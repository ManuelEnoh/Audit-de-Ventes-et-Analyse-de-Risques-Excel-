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13_ncr:1_{92E758AD-3DBB-4DD4-A4E3-76EB11A10B09}" xr6:coauthVersionLast="47" xr6:coauthVersionMax="47" xr10:uidLastSave="{00000000-0000-0000-0000-000000000000}"/>
  <bookViews>
    <workbookView xWindow="0" yWindow="0" windowWidth="23040" windowHeight="13680" activeTab="3" xr2:uid="{0CBD4F68-B74C-4057-B8F3-C471868763E0}"/>
  </bookViews>
  <sheets>
    <sheet name="Raw_Data" sheetId="4" r:id="rId1"/>
    <sheet name="Insights" sheetId="2" r:id="rId2"/>
    <sheet name="Anomalies" sheetId="8" r:id="rId3"/>
    <sheet name="Pivot_Summary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0" i="8" l="1" a="1"/>
  <c r="A180" i="8" s="1"/>
  <c r="A31" i="8" a="1"/>
  <c r="A31" i="8" s="1"/>
  <c r="A7" i="8" a="1"/>
  <c r="A7" i="8" s="1"/>
  <c r="B43" i="2"/>
  <c r="B42" i="2"/>
  <c r="B41" i="2"/>
  <c r="B40" i="2"/>
  <c r="B29" i="2"/>
  <c r="B28" i="2"/>
  <c r="B32" i="2"/>
  <c r="B25" i="2"/>
  <c r="B24" i="2"/>
  <c r="B16" i="2"/>
  <c r="B13" i="2"/>
  <c r="B12" i="2"/>
  <c r="B9" i="2"/>
  <c r="B6" i="2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2" i="4"/>
  <c r="B33" i="2"/>
  <c r="B3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<sst xmlns="http://schemas.openxmlformats.org/spreadsheetml/2006/main" count="30130" uniqueCount="405">
  <si>
    <t>Invoice_Number</t>
  </si>
  <si>
    <t>Sale_Date</t>
  </si>
  <si>
    <t>Client_ID</t>
  </si>
  <si>
    <t>Product_Code</t>
  </si>
  <si>
    <t>Product_Name</t>
  </si>
  <si>
    <t>Category</t>
  </si>
  <si>
    <t>Quantity</t>
  </si>
  <si>
    <t>Unit_Price</t>
  </si>
  <si>
    <t>Amount</t>
  </si>
  <si>
    <t>Country</t>
  </si>
  <si>
    <t>Channel</t>
  </si>
  <si>
    <t>CLIENT_0042</t>
  </si>
  <si>
    <t>PROD_004</t>
  </si>
  <si>
    <t>Desk Chair</t>
  </si>
  <si>
    <t>Furniture</t>
  </si>
  <si>
    <t>Belgium</t>
  </si>
  <si>
    <t>Retail</t>
  </si>
  <si>
    <t>CLIENT_0088</t>
  </si>
  <si>
    <t>PROD_005</t>
  </si>
  <si>
    <t>Standing Desk</t>
  </si>
  <si>
    <t>Switzerland</t>
  </si>
  <si>
    <t>B2B</t>
  </si>
  <si>
    <t>CLIENT_0258</t>
  </si>
  <si>
    <t>PROD_008</t>
  </si>
  <si>
    <t>Desk Lamp</t>
  </si>
  <si>
    <t>Italy</t>
  </si>
  <si>
    <t>Online</t>
  </si>
  <si>
    <t>CLIENT_0022</t>
  </si>
  <si>
    <t>PROD_009</t>
  </si>
  <si>
    <t>Phone Stand</t>
  </si>
  <si>
    <t>Accessories</t>
  </si>
  <si>
    <t>Sweden</t>
  </si>
  <si>
    <t>Reseller</t>
  </si>
  <si>
    <t>CLIENT_0271</t>
  </si>
  <si>
    <t>PROD_003</t>
  </si>
  <si>
    <t>USB-C Cable</t>
  </si>
  <si>
    <t>Electronics</t>
  </si>
  <si>
    <t>CLIENT_0021</t>
  </si>
  <si>
    <t>Spain</t>
  </si>
  <si>
    <t>CLIENT_0014</t>
  </si>
  <si>
    <t>PROD_002</t>
  </si>
  <si>
    <t>Wireless Mouse</t>
  </si>
  <si>
    <t>CLIENT_0206</t>
  </si>
  <si>
    <t>PROD_001</t>
  </si>
  <si>
    <t>Laptop Pro</t>
  </si>
  <si>
    <t>CLIENT_0054</t>
  </si>
  <si>
    <t>PROD_010</t>
  </si>
  <si>
    <t>Webcam HD</t>
  </si>
  <si>
    <t>Austria</t>
  </si>
  <si>
    <t>CLIENT_0213</t>
  </si>
  <si>
    <t>CLIENT_0065</t>
  </si>
  <si>
    <t>CLIENT_0063</t>
  </si>
  <si>
    <t>CLIENT_0041</t>
  </si>
  <si>
    <t>PROD_007</t>
  </si>
  <si>
    <t>Keyboard Mechanical</t>
  </si>
  <si>
    <t>Germany</t>
  </si>
  <si>
    <t>CLIENT_0062</t>
  </si>
  <si>
    <t>UK</t>
  </si>
  <si>
    <t>CLIENT_0218</t>
  </si>
  <si>
    <t>CLIENT_0237</t>
  </si>
  <si>
    <t>CLIENT_0128</t>
  </si>
  <si>
    <t>France</t>
  </si>
  <si>
    <t>CLIENT_0121</t>
  </si>
  <si>
    <t>CLIENT_0137</t>
  </si>
  <si>
    <t>Netherlands</t>
  </si>
  <si>
    <t>CLIENT_0233</t>
  </si>
  <si>
    <t>CLIENT_0247</t>
  </si>
  <si>
    <t>PROD_006</t>
  </si>
  <si>
    <t>Monitor 27"</t>
  </si>
  <si>
    <t>CLIENT_0187</t>
  </si>
  <si>
    <t>CLIENT_0147</t>
  </si>
  <si>
    <t>CLIENT_0129</t>
  </si>
  <si>
    <t>CLIENT_0099</t>
  </si>
  <si>
    <t>CLIENT_0254</t>
  </si>
  <si>
    <t>CLIENT_0194</t>
  </si>
  <si>
    <t>CLIENT_0195</t>
  </si>
  <si>
    <t>CLIENT_0238</t>
  </si>
  <si>
    <t>CLIENT_0095</t>
  </si>
  <si>
    <t>CLIENT_0174</t>
  </si>
  <si>
    <t>CLIENT_0104</t>
  </si>
  <si>
    <t>CLIENT_0170</t>
  </si>
  <si>
    <t>CLIENT_0036</t>
  </si>
  <si>
    <t>CLIENT_0092</t>
  </si>
  <si>
    <t>CLIENT_0190</t>
  </si>
  <si>
    <t>CLIENT_0047</t>
  </si>
  <si>
    <t>CLIENT_0275</t>
  </si>
  <si>
    <t>CLIENT_0279</t>
  </si>
  <si>
    <t>CLIENT_0192</t>
  </si>
  <si>
    <t>CLIENT_0185</t>
  </si>
  <si>
    <t>CLIENT_0010</t>
  </si>
  <si>
    <t>CLIENT_0250</t>
  </si>
  <si>
    <t>CLIENT_0035</t>
  </si>
  <si>
    <t>CLIENT_0105</t>
  </si>
  <si>
    <t>CLIENT_0217</t>
  </si>
  <si>
    <t>CLIENT_0177</t>
  </si>
  <si>
    <t>CLIENT_0152</t>
  </si>
  <si>
    <t>CLIENT_0286</t>
  </si>
  <si>
    <t>CLIENT_0069</t>
  </si>
  <si>
    <t>CLIENT_0151</t>
  </si>
  <si>
    <t>CLIENT_0009</t>
  </si>
  <si>
    <t>CLIENT_0007</t>
  </si>
  <si>
    <t>CLIENT_0136</t>
  </si>
  <si>
    <t>CLIENT_0202</t>
  </si>
  <si>
    <t>CLIENT_0242</t>
  </si>
  <si>
    <t>CLIENT_0117</t>
  </si>
  <si>
    <t>CLIENT_0203</t>
  </si>
  <si>
    <t>CLIENT_0012</t>
  </si>
  <si>
    <t>CLIENT_0028</t>
  </si>
  <si>
    <t>CLIENT_0201</t>
  </si>
  <si>
    <t>CLIENT_0256</t>
  </si>
  <si>
    <t>CLIENT_0224</t>
  </si>
  <si>
    <t>CLIENT_0283</t>
  </si>
  <si>
    <t>CLIENT_0006</t>
  </si>
  <si>
    <t>CLIENT_0023</t>
  </si>
  <si>
    <t>CLIENT_0001</t>
  </si>
  <si>
    <t>CLIENT_0259</t>
  </si>
  <si>
    <t>CLIENT_0251</t>
  </si>
  <si>
    <t>CLIENT_0075</t>
  </si>
  <si>
    <t>CLIENT_0098</t>
  </si>
  <si>
    <t>CLIENT_0030</t>
  </si>
  <si>
    <t>CLIENT_0138</t>
  </si>
  <si>
    <t>CLIENT_0235</t>
  </si>
  <si>
    <t>CLIENT_0005</t>
  </si>
  <si>
    <t>CLIENT_0078</t>
  </si>
  <si>
    <t>CLIENT_0257</t>
  </si>
  <si>
    <t>CLIENT_0127</t>
  </si>
  <si>
    <t>CLIENT_0154</t>
  </si>
  <si>
    <t>CLIENT_0239</t>
  </si>
  <si>
    <t>CLIENT_0300</t>
  </si>
  <si>
    <t>CLIENT_0146</t>
  </si>
  <si>
    <t>CLIENT_0236</t>
  </si>
  <si>
    <t>CLIENT_0229</t>
  </si>
  <si>
    <t>CLIENT_0070</t>
  </si>
  <si>
    <t>CLIENT_0140</t>
  </si>
  <si>
    <t>CLIENT_0168</t>
  </si>
  <si>
    <t>CLIENT_0265</t>
  </si>
  <si>
    <t>CLIENT_0060</t>
  </si>
  <si>
    <t>CLIENT_0089</t>
  </si>
  <si>
    <t>CLIENT_0157</t>
  </si>
  <si>
    <t>CLIENT_0038</t>
  </si>
  <si>
    <t>CLIENT_0159</t>
  </si>
  <si>
    <t>CLIENT_0115</t>
  </si>
  <si>
    <t>CLIENT_0133</t>
  </si>
  <si>
    <t>CLIENT_0287</t>
  </si>
  <si>
    <t>CLIENT_0017</t>
  </si>
  <si>
    <t>CLIENT_0084</t>
  </si>
  <si>
    <t>CLIENT_0175</t>
  </si>
  <si>
    <t>CLIENT_0166</t>
  </si>
  <si>
    <t>CLIENT_0266</t>
  </si>
  <si>
    <t>CLIENT_0055</t>
  </si>
  <si>
    <t>CLIENT_0263</t>
  </si>
  <si>
    <t>CLIENT_0197</t>
  </si>
  <si>
    <t>CLIENT_0158</t>
  </si>
  <si>
    <t>CLIENT_0246</t>
  </si>
  <si>
    <t>CLIENT_0027</t>
  </si>
  <si>
    <t>CLIENT_0122</t>
  </si>
  <si>
    <t>CLIENT_0292</t>
  </si>
  <si>
    <t>CLIENT_0111</t>
  </si>
  <si>
    <t>CLIENT_0039</t>
  </si>
  <si>
    <t>CLIENT_0057</t>
  </si>
  <si>
    <t>CLIENT_0200</t>
  </si>
  <si>
    <t>CLIENT_0026</t>
  </si>
  <si>
    <t>CLIENT_0176</t>
  </si>
  <si>
    <t>CLIENT_0223</t>
  </si>
  <si>
    <t>CLIENT_0210</t>
  </si>
  <si>
    <t>CLIENT_0227</t>
  </si>
  <si>
    <t>CLIENT_0245</t>
  </si>
  <si>
    <t>CLIENT_0011</t>
  </si>
  <si>
    <t>CLIENT_0262</t>
  </si>
  <si>
    <t>CLIENT_0145</t>
  </si>
  <si>
    <t>CLIENT_0120</t>
  </si>
  <si>
    <t>CLIENT_0123</t>
  </si>
  <si>
    <t>CLIENT_0114</t>
  </si>
  <si>
    <t>CLIENT_0045</t>
  </si>
  <si>
    <t>CLIENT_0013</t>
  </si>
  <si>
    <t>CLIENT_0188</t>
  </si>
  <si>
    <t>CLIENT_0196</t>
  </si>
  <si>
    <t>CLIENT_0058</t>
  </si>
  <si>
    <t>CLIENT_0162</t>
  </si>
  <si>
    <t>CLIENT_0274</t>
  </si>
  <si>
    <t>CLIENT_0181</t>
  </si>
  <si>
    <t>CLIENT_0015</t>
  </si>
  <si>
    <t>CLIENT_0072</t>
  </si>
  <si>
    <t>CLIENT_0214</t>
  </si>
  <si>
    <t>CLIENT_0161</t>
  </si>
  <si>
    <t>CLIENT_0090</t>
  </si>
  <si>
    <t>CLIENT_0264</t>
  </si>
  <si>
    <t>CLIENT_0087</t>
  </si>
  <si>
    <t>CLIENT_0288</t>
  </si>
  <si>
    <t>CLIENT_0150</t>
  </si>
  <si>
    <t>CLIENT_0093</t>
  </si>
  <si>
    <t>CLIENT_0050</t>
  </si>
  <si>
    <t>CLIENT_0125</t>
  </si>
  <si>
    <t>CLIENT_0282</t>
  </si>
  <si>
    <t>CLIENT_0130</t>
  </si>
  <si>
    <t>CLIENT_0261</t>
  </si>
  <si>
    <t>CLIENT_0156</t>
  </si>
  <si>
    <t>CLIENT_0294</t>
  </si>
  <si>
    <t>CLIENT_0289</t>
  </si>
  <si>
    <t>CLIENT_0132</t>
  </si>
  <si>
    <t>CLIENT_0110</t>
  </si>
  <si>
    <t>CLIENT_0277</t>
  </si>
  <si>
    <t>CLIENT_0074</t>
  </si>
  <si>
    <t>CLIENT_0173</t>
  </si>
  <si>
    <t>CLIENT_0208</t>
  </si>
  <si>
    <t>CLIENT_0167</t>
  </si>
  <si>
    <t>CLIENT_0143</t>
  </si>
  <si>
    <t>CLIENT_0077</t>
  </si>
  <si>
    <t>CLIENT_0241</t>
  </si>
  <si>
    <t>CLIENT_0106</t>
  </si>
  <si>
    <t>CLIENT_0180</t>
  </si>
  <si>
    <t>CLIENT_0082</t>
  </si>
  <si>
    <t>CLIENT_0067</t>
  </si>
  <si>
    <t>CLIENT_0141</t>
  </si>
  <si>
    <t>CLIENT_0079</t>
  </si>
  <si>
    <t>CLIENT_0160</t>
  </si>
  <si>
    <t>CLIENT_0219</t>
  </si>
  <si>
    <t>CLIENT_0164</t>
  </si>
  <si>
    <t>CLIENT_0183</t>
  </si>
  <si>
    <t>CLIENT_0113</t>
  </si>
  <si>
    <t>CLIENT_0029</t>
  </si>
  <si>
    <t>CLIENT_0008</t>
  </si>
  <si>
    <t>CLIENT_0228</t>
  </si>
  <si>
    <t>CLIENT_0255</t>
  </si>
  <si>
    <t>CLIENT_0153</t>
  </si>
  <si>
    <t>CLIENT_0172</t>
  </si>
  <si>
    <t>CLIENT_0032</t>
  </si>
  <si>
    <t>CLIENT_0044</t>
  </si>
  <si>
    <t>CLIENT_0231</t>
  </si>
  <si>
    <t>CLIENT_0234</t>
  </si>
  <si>
    <t>CLIENT_0186</t>
  </si>
  <si>
    <t>CLIENT_0260</t>
  </si>
  <si>
    <t>CLIENT_0107</t>
  </si>
  <si>
    <t>CLIENT_0220</t>
  </si>
  <si>
    <t>CLIENT_0182</t>
  </si>
  <si>
    <t>CLIENT_0178</t>
  </si>
  <si>
    <t>CLIENT_0165</t>
  </si>
  <si>
    <t>CLIENT_0086</t>
  </si>
  <si>
    <t>CLIENT_0248</t>
  </si>
  <si>
    <t>CLIENT_0267</t>
  </si>
  <si>
    <t>CLIENT_0268</t>
  </si>
  <si>
    <t>CLIENT_0101</t>
  </si>
  <si>
    <t>CLIENT_0211</t>
  </si>
  <si>
    <t>CLIENT_0108</t>
  </si>
  <si>
    <t>CLIENT_0270</t>
  </si>
  <si>
    <t>CLIENT_0073</t>
  </si>
  <si>
    <t>CLIENT_0076</t>
  </si>
  <si>
    <t>CLIENT_0276</t>
  </si>
  <si>
    <t>CLIENT_0109</t>
  </si>
  <si>
    <t>CLIENT_0103</t>
  </si>
  <si>
    <t>CLIENT_0296</t>
  </si>
  <si>
    <t>CLIENT_0284</t>
  </si>
  <si>
    <t>CLIENT_0056</t>
  </si>
  <si>
    <t>CLIENT_0064</t>
  </si>
  <si>
    <t>CLIENT_0031</t>
  </si>
  <si>
    <t>CLIENT_0285</t>
  </si>
  <si>
    <t>CLIENT_0139</t>
  </si>
  <si>
    <t>CLIENT_0091</t>
  </si>
  <si>
    <t>CLIENT_0116</t>
  </si>
  <si>
    <t>CLIENT_0171</t>
  </si>
  <si>
    <t>CLIENT_0083</t>
  </si>
  <si>
    <t>CLIENT_0295</t>
  </si>
  <si>
    <t>CLIENT_0053</t>
  </si>
  <si>
    <t>CLIENT_0148</t>
  </si>
  <si>
    <t>CLIENT_0119</t>
  </si>
  <si>
    <t>CLIENT_0273</t>
  </si>
  <si>
    <t>CLIENT_0100</t>
  </si>
  <si>
    <t>CLIENT_0126</t>
  </si>
  <si>
    <t>CLIENT_0068</t>
  </si>
  <si>
    <t>CLIENT_0222</t>
  </si>
  <si>
    <t>CLIENT_0094</t>
  </si>
  <si>
    <t>CLIENT_0216</t>
  </si>
  <si>
    <t>CLIENT_0155</t>
  </si>
  <si>
    <t>CLIENT_0046</t>
  </si>
  <si>
    <t>CLIENT_0024</t>
  </si>
  <si>
    <t>CLIENT_0249</t>
  </si>
  <si>
    <t>CLIENT_0212</t>
  </si>
  <si>
    <t>CLIENT_0272</t>
  </si>
  <si>
    <t>CLIENT_0169</t>
  </si>
  <si>
    <t>CLIENT_0043</t>
  </si>
  <si>
    <t>CLIENT_0193</t>
  </si>
  <si>
    <t>CLIENT_0080</t>
  </si>
  <si>
    <t>CLIENT_0002</t>
  </si>
  <si>
    <t>CLIENT_0124</t>
  </si>
  <si>
    <t>CLIENT_0033</t>
  </si>
  <si>
    <t>CLIENT_0215</t>
  </si>
  <si>
    <t>CLIENT_0291</t>
  </si>
  <si>
    <t>CLIENT_0134</t>
  </si>
  <si>
    <t>CLIENT_0059</t>
  </si>
  <si>
    <t>CLIENT_0207</t>
  </si>
  <si>
    <t>CLIENT_0097</t>
  </si>
  <si>
    <t>CLIENT_0209</t>
  </si>
  <si>
    <t>CLIENT_0118</t>
  </si>
  <si>
    <t>CLIENT_0019</t>
  </si>
  <si>
    <t>CLIENT_0048</t>
  </si>
  <si>
    <t>CLIENT_0040</t>
  </si>
  <si>
    <t>CLIENT_0269</t>
  </si>
  <si>
    <t>CLIENT_0204</t>
  </si>
  <si>
    <t>CLIENT_0253</t>
  </si>
  <si>
    <t>CLIENT_0051</t>
  </si>
  <si>
    <t>CLIENT_0052</t>
  </si>
  <si>
    <t>CLIENT_0278</t>
  </si>
  <si>
    <t>CLIENT_0102</t>
  </si>
  <si>
    <t>CLIENT_0149</t>
  </si>
  <si>
    <t>CLIENT_0299</t>
  </si>
  <si>
    <t>CLIENT_0184</t>
  </si>
  <si>
    <t>CLIENT_0066</t>
  </si>
  <si>
    <t>CLIENT_0025</t>
  </si>
  <si>
    <t>CLIENT_0061</t>
  </si>
  <si>
    <t>CLIENT_0191</t>
  </si>
  <si>
    <t>CLIENT_0163</t>
  </si>
  <si>
    <t>CLIENT_0230</t>
  </si>
  <si>
    <t>CLIENT_0003</t>
  </si>
  <si>
    <t>CLIENT_0018</t>
  </si>
  <si>
    <t>CLIENT_0144</t>
  </si>
  <si>
    <t>CLIENT_0135</t>
  </si>
  <si>
    <t>CLIENT_0298</t>
  </si>
  <si>
    <t>CLIENT_0096</t>
  </si>
  <si>
    <t>CLIENT_0112</t>
  </si>
  <si>
    <t>CLIENT_0244</t>
  </si>
  <si>
    <t>CLIENT_0297</t>
  </si>
  <si>
    <t>CLIENT_0225</t>
  </si>
  <si>
    <t>CLIENT_0221</t>
  </si>
  <si>
    <t>CLIENT_0199</t>
  </si>
  <si>
    <t>CLIENT_0071</t>
  </si>
  <si>
    <t>CLIENT_0131</t>
  </si>
  <si>
    <t>CLIENT_0004</t>
  </si>
  <si>
    <t>CLIENT_0232</t>
  </si>
  <si>
    <t>CLIENT_0205</t>
  </si>
  <si>
    <t>CLIENT_0226</t>
  </si>
  <si>
    <t>CLIENT_0252</t>
  </si>
  <si>
    <t>CLIENT_0243</t>
  </si>
  <si>
    <t>CLIENT_0049</t>
  </si>
  <si>
    <t>CLIENT_0020</t>
  </si>
  <si>
    <t>CLIENT_0085</t>
  </si>
  <si>
    <t>CLIENT_0034</t>
  </si>
  <si>
    <t>CLIENT_0016</t>
  </si>
  <si>
    <t>CLIENT_0280</t>
  </si>
  <si>
    <t>CLIENT_0290</t>
  </si>
  <si>
    <t>CLIENT_0240</t>
  </si>
  <si>
    <t>CLIENT_0281</t>
  </si>
  <si>
    <t>CLIENT_0037</t>
  </si>
  <si>
    <t>CLIENT_0142</t>
  </si>
  <si>
    <t>CLIENT_0198</t>
  </si>
  <si>
    <t>CLIENT_0293</t>
  </si>
  <si>
    <t>CLIENT_0189</t>
  </si>
  <si>
    <t>CLIENT_0081</t>
  </si>
  <si>
    <t>CLIENT_0179</t>
  </si>
  <si>
    <t xml:space="preserve">  Online (€)</t>
  </si>
  <si>
    <t xml:space="preserve">  Retail (€)</t>
  </si>
  <si>
    <t xml:space="preserve">  B2B (€)</t>
  </si>
  <si>
    <t xml:space="preserve">  Reseller (€)</t>
  </si>
  <si>
    <t>Tests de la qualité des données</t>
  </si>
  <si>
    <t>TEST 1 : Chiffre d'affaires total</t>
  </si>
  <si>
    <t>TEST 2 : Nombre de transactions</t>
  </si>
  <si>
    <t>TEST 3 : Montants négatifs (Risque de fraude)</t>
  </si>
  <si>
    <t>TEST 4 : Montants nuls (Qualité des données)</t>
  </si>
  <si>
    <t>TEST 7 : Valeur moyenne des transactions</t>
  </si>
  <si>
    <t>TEST 5 : Factures en double</t>
  </si>
  <si>
    <t>TEST 9 : Cohérence des prix par produit</t>
  </si>
  <si>
    <t>TEST 10 : Répartition du chiffre d'affaires</t>
  </si>
  <si>
    <t>Chiffre d'affaires total (€)</t>
  </si>
  <si>
    <t>Nombre de transactions</t>
  </si>
  <si>
    <t>Nombre de montants négatifs</t>
  </si>
  <si>
    <t>Montant négatif total</t>
  </si>
  <si>
    <t>Nombre de montants nuls</t>
  </si>
  <si>
    <t>Factures uniques</t>
  </si>
  <si>
    <t>Total des transactions</t>
  </si>
  <si>
    <t>Nombre de doublons</t>
  </si>
  <si>
    <t>Montant moyen (€)</t>
  </si>
  <si>
    <t>Montant médian (€)</t>
  </si>
  <si>
    <t>Clients uniques</t>
  </si>
  <si>
    <t>% du chiffre d'affaires total (%)</t>
  </si>
  <si>
    <t>CA du plus gros client (€)</t>
  </si>
  <si>
    <t>Variation de prix max (PROD_001) (%)</t>
  </si>
  <si>
    <t>→ Voir la feuille "Anomalies"</t>
  </si>
  <si>
    <t>TEST 8 : Concentration des clients</t>
  </si>
  <si>
    <t>Année</t>
  </si>
  <si>
    <t>Montant Recalculé</t>
  </si>
  <si>
    <t>Ecarts</t>
  </si>
  <si>
    <t>Transactions 2023</t>
  </si>
  <si>
    <t>Transactions 2025</t>
  </si>
  <si>
    <t>Row Labels</t>
  </si>
  <si>
    <t>Grand Total</t>
  </si>
  <si>
    <t>Sum of Montant Recalculé</t>
  </si>
  <si>
    <t>TEST 6 : Transactions hors période ( Cut-off)</t>
  </si>
  <si>
    <t>TOP 10 Clients</t>
  </si>
  <si>
    <t>REVENUE BY MONTH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</si>
  <si>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</si>
  <si>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</si>
  <si>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</si>
  <si>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</si>
  <si>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</si>
  <si>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</si>
  <si>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</si>
  <si>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</si>
  <si>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</si>
  <si>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</si>
  <si>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</si>
  <si>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</si>
  <si>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REVENUE BY CHANNEL</t>
  </si>
  <si>
    <t>Anomalies détectées - à investiguer</t>
  </si>
  <si>
    <t>1. Anomalie : Montants nuls</t>
  </si>
  <si>
    <t>2. Anomalie : Factures en double (Duplicate Invoices)</t>
  </si>
  <si>
    <t>3. Anomalie : Transactions hors période (Out-of-Period)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</si>
</sst>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\€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6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1F4E78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3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5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2" applyNumberFormat="1" applyFont="1" applyAlignment="1">
      <alignment horizontal="right"/>
    </xf>
    <xf numFmtId="9" fontId="0" fillId="0" borderId="0" xfId="3" applyFont="1" applyAlignment="1">
      <alignment horizontal="right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4" fillId="8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ENOH" refreshedDate="46041.651500810185" createdVersion="8" refreshedVersion="8" minRefreshableVersion="3" recordCount="5000" xr:uid="{638B5861-1268-40A8-BF5F-5327E9B02CAB}">
  <cacheSource type="worksheet">
    <worksheetSource ref="A1:N5001" sheet="Raw_Data"/>
  </cacheSource>
  <cacheFields count="17">
    <cacheField name="Invoice_Number" numFmtId="0">
      <sharedItems containsSemiMixedTypes="0" containsString="0" containsNumber="1" containsInteger="1" minValue="2024001000" maxValue="2024005999"/>
    </cacheField>
    <cacheField name="Sale_Date" numFmtId="164">
      <sharedItems containsSemiMixedTypes="0" containsNonDate="0" containsDate="1" containsString="0" minDate="2023-11-05T00:00:00" maxDate="2025-01-01T00:00:00" count="381">
        <d v="2024-04-12T00:00:00"/>
        <d v="2024-08-02T00:00:00"/>
        <d v="2024-12-31T00:00:00"/>
        <d v="2024-11-09T00:00:00"/>
        <d v="2024-07-06T00:00:00"/>
        <d v="2024-05-14T00:00:00"/>
        <d v="2024-11-11T00:00:00"/>
        <d v="2024-02-04T00:00:00"/>
        <d v="2024-01-02T00:00:00"/>
        <d v="2024-12-16T00:00:00"/>
        <d v="2024-10-22T00:00:00"/>
        <d v="2024-01-15T00:00:00"/>
        <d v="2024-05-15T00:00:00"/>
        <d v="2024-08-18T00:00:00"/>
        <d v="2024-02-17T00:00:00"/>
        <d v="2024-08-14T00:00:00"/>
        <d v="2024-01-05T00:00:00"/>
        <d v="2024-02-14T00:00:00"/>
        <d v="2024-11-26T00:00:00"/>
        <d v="2024-10-09T00:00:00"/>
        <d v="2024-07-16T00:00:00"/>
        <d v="2024-04-05T00:00:00"/>
        <d v="2024-02-21T00:00:00"/>
        <d v="2024-04-22T00:00:00"/>
        <d v="2024-08-11T00:00:00"/>
        <d v="2024-09-11T00:00:00"/>
        <d v="2024-05-03T00:00:00"/>
        <d v="2024-09-08T00:00:00"/>
        <d v="2024-12-25T00:00:00"/>
        <d v="2024-10-24T00:00:00"/>
        <d v="2024-10-30T00:00:00"/>
        <d v="2024-08-20T00:00:00"/>
        <d v="2024-04-13T00:00:00"/>
        <d v="2024-06-01T00:00:00"/>
        <d v="2024-01-22T00:00:00"/>
        <d v="2024-10-12T00:00:00"/>
        <d v="2024-11-12T00:00:00"/>
        <d v="2024-04-08T00:00:00"/>
        <d v="2024-06-29T00:00:00"/>
        <d v="2024-09-12T00:00:00"/>
        <d v="2024-11-18T00:00:00"/>
        <d v="2024-09-29T00:00:00"/>
        <d v="2024-02-08T00:00:00"/>
        <d v="2024-11-08T00:00:00"/>
        <d v="2024-05-22T00:00:00"/>
        <d v="2024-03-03T00:00:00"/>
        <d v="2024-06-28T00:00:00"/>
        <d v="2024-02-29T00:00:00"/>
        <d v="2024-12-15T00:00:00"/>
        <d v="2024-11-14T00:00:00"/>
        <d v="2024-04-26T00:00:00"/>
        <d v="2024-03-29T00:00:00"/>
        <d v="2024-07-07T00:00:00"/>
        <d v="2024-03-26T00:00:00"/>
        <d v="2024-07-22T00:00:00"/>
        <d v="2024-09-06T00:00:00"/>
        <d v="2024-08-10T00:00:00"/>
        <d v="2024-10-06T00:00:00"/>
        <d v="2024-06-26T00:00:00"/>
        <d v="2024-08-29T00:00:00"/>
        <d v="2024-04-24T00:00:00"/>
        <d v="2024-03-15T00:00:00"/>
        <d v="2024-12-20T00:00:00"/>
        <d v="2024-08-04T00:00:00"/>
        <d v="2024-05-23T00:00:00"/>
        <d v="2024-02-22T00:00:00"/>
        <d v="2024-03-16T00:00:00"/>
        <d v="2024-08-17T00:00:00"/>
        <d v="2024-06-13T00:00:00"/>
        <d v="2024-11-22T00:00:00"/>
        <d v="2024-03-31T00:00:00"/>
        <d v="2024-05-20T00:00:00"/>
        <d v="2024-12-13T00:00:00"/>
        <d v="2024-11-07T00:00:00"/>
        <d v="2024-07-31T00:00:00"/>
        <d v="2024-02-16T00:00:00"/>
        <d v="2024-06-04T00:00:00"/>
        <d v="2024-05-24T00:00:00"/>
        <d v="2024-03-22T00:00:00"/>
        <d v="2024-05-25T00:00:00"/>
        <d v="2024-11-06T00:00:00"/>
        <d v="2024-09-15T00:00:00"/>
        <d v="2024-10-14T00:00:00"/>
        <d v="2024-04-27T00:00:00"/>
        <d v="2024-08-09T00:00:00"/>
        <d v="2024-11-01T00:00:00"/>
        <d v="2024-06-14T00:00:00"/>
        <d v="2024-10-11T00:00:00"/>
        <d v="2024-05-05T00:00:00"/>
        <d v="2024-12-01T00:00:00"/>
        <d v="2024-12-17T00:00:00"/>
        <d v="2024-10-03T00:00:00"/>
        <d v="2024-02-03T00:00:00"/>
        <d v="2024-09-05T00:00:00"/>
        <d v="2024-10-18T00:00:00"/>
        <d v="2024-10-29T00:00:00"/>
        <d v="2024-12-30T00:00:00"/>
        <d v="2024-08-25T00:00:00"/>
        <d v="2024-01-28T00:00:00"/>
        <d v="2024-04-18T00:00:00"/>
        <d v="2024-09-20T00:00:00"/>
        <d v="2024-11-10T00:00:00"/>
        <d v="2024-04-03T00:00:00"/>
        <d v="2024-06-21T00:00:00"/>
        <d v="2024-05-18T00:00:00"/>
        <d v="2024-01-13T00:00:00"/>
        <d v="2024-08-23T00:00:00"/>
        <d v="2024-05-11T00:00:00"/>
        <d v="2024-12-18T00:00:00"/>
        <d v="2024-11-04T00:00:00"/>
        <d v="2024-04-20T00:00:00"/>
        <d v="2024-06-05T00:00:00"/>
        <d v="2024-11-17T00:00:00"/>
        <d v="2024-10-20T00:00:00"/>
        <d v="2024-04-04T00:00:00"/>
        <d v="2024-09-10T00:00:00"/>
        <d v="2024-01-23T00:00:00"/>
        <d v="2024-11-19T00:00:00"/>
        <d v="2024-04-01T00:00:00"/>
        <d v="2024-06-30T00:00:00"/>
        <d v="2024-05-28T00:00:00"/>
        <d v="2024-10-17T00:00:00"/>
        <d v="2024-07-28T00:00:00"/>
        <d v="2024-06-09T00:00:00"/>
        <d v="2024-02-18T00:00:00"/>
        <d v="2024-11-13T00:00:00"/>
        <d v="2024-03-18T00:00:00"/>
        <d v="2024-03-27T00:00:00"/>
        <d v="2024-04-06T00:00:00"/>
        <d v="2024-01-07T00:00:00"/>
        <d v="2024-04-28T00:00:00"/>
        <d v="2024-07-20T00:00:00"/>
        <d v="2024-07-27T00:00:00"/>
        <d v="2024-07-19T00:00:00"/>
        <d v="2024-12-21T00:00:00"/>
        <d v="2024-12-27T00:00:00"/>
        <d v="2024-09-24T00:00:00"/>
        <d v="2024-07-08T00:00:00"/>
        <d v="2024-07-05T00:00:00"/>
        <d v="2024-02-24T00:00:00"/>
        <d v="2024-05-27T00:00:00"/>
        <d v="2024-05-08T00:00:00"/>
        <d v="2024-01-25T00:00:00"/>
        <d v="2024-01-12T00:00:00"/>
        <d v="2024-01-17T00:00:00"/>
        <d v="2024-05-16T00:00:00"/>
        <d v="2024-06-07T00:00:00"/>
        <d v="2024-10-19T00:00:00"/>
        <d v="2024-01-04T00:00:00"/>
        <d v="2024-01-29T00:00:00"/>
        <d v="2024-12-24T00:00:00"/>
        <d v="2024-03-13T00:00:00"/>
        <d v="2024-02-28T00:00:00"/>
        <d v="2024-08-13T00:00:00"/>
        <d v="2024-03-02T00:00:00"/>
        <d v="2024-09-25T00:00:00"/>
        <d v="2024-06-18T00:00:00"/>
        <d v="2024-03-30T00:00:00"/>
        <d v="2024-03-21T00:00:00"/>
        <d v="2024-08-03T00:00:00"/>
        <d v="2024-12-28T00:00:00"/>
        <d v="2024-08-22T00:00:00"/>
        <d v="2024-06-08T00:00:00"/>
        <d v="2024-12-19T00:00:00"/>
        <d v="2024-10-04T00:00:00"/>
        <d v="2024-07-11T00:00:00"/>
        <d v="2024-09-26T00:00:00"/>
        <d v="2024-03-19T00:00:00"/>
        <d v="2024-05-09T00:00:00"/>
        <d v="2024-07-17T00:00:00"/>
        <d v="2024-02-15T00:00:00"/>
        <d v="2024-01-09T00:00:00"/>
        <d v="2024-01-11T00:00:00"/>
        <d v="2024-09-23T00:00:00"/>
        <d v="2024-10-31T00:00:00"/>
        <d v="2024-01-03T00:00:00"/>
        <d v="2024-07-01T00:00:00"/>
        <d v="2024-07-29T00:00:00"/>
        <d v="2024-11-27T00:00:00"/>
        <d v="2024-05-31T00:00:00"/>
        <d v="2024-09-02T00:00:00"/>
        <d v="2024-08-12T00:00:00"/>
        <d v="2024-03-24T00:00:00"/>
        <d v="2024-08-16T00:00:00"/>
        <d v="2024-10-27T00:00:00"/>
        <d v="2024-03-04T00:00:00"/>
        <d v="2024-02-13T00:00:00"/>
        <d v="2024-11-29T00:00:00"/>
        <d v="2024-11-20T00:00:00"/>
        <d v="2024-08-21T00:00:00"/>
        <d v="2024-04-23T00:00:00"/>
        <d v="2024-10-28T00:00:00"/>
        <d v="2024-03-09T00:00:00"/>
        <d v="2024-03-17T00:00:00"/>
        <d v="2024-04-11T00:00:00"/>
        <d v="2024-11-05T00:00:00"/>
        <d v="2024-03-25T00:00:00"/>
        <d v="2024-02-12T00:00:00"/>
        <d v="2024-04-17T00:00:00"/>
        <d v="2024-06-20T00:00:00"/>
        <d v="2024-09-27T00:00:00"/>
        <d v="2024-06-15T00:00:00"/>
        <d v="2024-08-05T00:00:00"/>
        <d v="2024-03-10T00:00:00"/>
        <d v="2024-02-27T00:00:00"/>
        <d v="2024-05-29T00:00:00"/>
        <d v="2024-07-26T00:00:00"/>
        <d v="2024-12-29T00:00:00"/>
        <d v="2024-09-28T00:00:00"/>
        <d v="2024-05-30T00:00:00"/>
        <d v="2024-09-18T00:00:00"/>
        <d v="2024-05-13T00:00:00"/>
        <d v="2024-06-03T00:00:00"/>
        <d v="2024-02-11T00:00:00"/>
        <d v="2024-08-19T00:00:00"/>
        <d v="2024-12-08T00:00:00"/>
        <d v="2024-04-10T00:00:00"/>
        <d v="2024-09-17T00:00:00"/>
        <d v="2024-05-01T00:00:00"/>
        <d v="2024-03-28T00:00:00"/>
        <d v="2024-01-10T00:00:00"/>
        <d v="2024-08-30T00:00:00"/>
        <d v="2024-07-04T00:00:00"/>
        <d v="2024-01-20T00:00:00"/>
        <d v="2024-01-24T00:00:00"/>
        <d v="2024-01-19T00:00:00"/>
        <d v="2024-09-07T00:00:00"/>
        <d v="2024-07-10T00:00:00"/>
        <d v="2024-04-15T00:00:00"/>
        <d v="2024-04-16T00:00:00"/>
        <d v="2024-07-14T00:00:00"/>
        <d v="2024-05-21T00:00:00"/>
        <d v="2024-06-25T00:00:00"/>
        <d v="2024-03-05T00:00:00"/>
        <d v="2024-03-06T00:00:00"/>
        <d v="2024-11-02T00:00:00"/>
        <d v="2024-10-23T00:00:00"/>
        <d v="2024-01-08T00:00:00"/>
        <d v="2024-01-21T00:00:00"/>
        <d v="2024-06-02T00:00:00"/>
        <d v="2024-09-04T00:00:00"/>
        <d v="2024-01-01T00:00:00"/>
        <d v="2024-07-09T00:00:00"/>
        <d v="2024-10-07T00:00:00"/>
        <d v="2024-03-23T00:00:00"/>
        <d v="2024-04-29T00:00:00"/>
        <d v="2024-03-08T00:00:00"/>
        <d v="2024-02-07T00:00:00"/>
        <d v="2024-06-10T00:00:00"/>
        <d v="2024-04-02T00:00:00"/>
        <d v="2024-09-01T00:00:00"/>
        <d v="2024-12-09T00:00:00"/>
        <d v="2024-02-10T00:00:00"/>
        <d v="2024-06-22T00:00:00"/>
        <d v="2024-09-22T00:00:00"/>
        <d v="2024-04-09T00:00:00"/>
        <d v="2024-10-10T00:00:00"/>
        <d v="2023-12-22T00:00:00"/>
        <d v="2024-06-23T00:00:00"/>
        <d v="2024-11-24T00:00:00"/>
        <d v="2024-08-01T00:00:00"/>
        <d v="2024-09-13T00:00:00"/>
        <d v="2024-12-23T00:00:00"/>
        <d v="2024-03-01T00:00:00"/>
        <d v="2024-10-16T00:00:00"/>
        <d v="2024-08-28T00:00:00"/>
        <d v="2024-12-03T00:00:00"/>
        <d v="2024-12-05T00:00:00"/>
        <d v="2024-02-23T00:00:00"/>
        <d v="2024-11-16T00:00:00"/>
        <d v="2024-04-07T00:00:00"/>
        <d v="2024-01-26T00:00:00"/>
        <d v="2024-08-27T00:00:00"/>
        <d v="2024-09-30T00:00:00"/>
        <d v="2024-09-03T00:00:00"/>
        <d v="2024-03-14T00:00:00"/>
        <d v="2024-06-19T00:00:00"/>
        <d v="2024-06-11T00:00:00"/>
        <d v="2024-10-08T00:00:00"/>
        <d v="2024-04-25T00:00:00"/>
        <d v="2024-06-17T00:00:00"/>
        <d v="2024-07-03T00:00:00"/>
        <d v="2024-12-04T00:00:00"/>
        <d v="2024-06-16T00:00:00"/>
        <d v="2024-11-23T00:00:00"/>
        <d v="2024-08-06T00:00:00"/>
        <d v="2024-08-24T00:00:00"/>
        <d v="2024-05-02T00:00:00"/>
        <d v="2024-07-23T00:00:00"/>
        <d v="2024-10-21T00:00:00"/>
        <d v="2024-10-15T00:00:00"/>
        <d v="2024-05-26T00:00:00"/>
        <d v="2024-11-15T00:00:00"/>
        <d v="2024-11-28T00:00:00"/>
        <d v="2024-07-25T00:00:00"/>
        <d v="2024-02-25T00:00:00"/>
        <d v="2024-01-27T00:00:00"/>
        <d v="2024-05-12T00:00:00"/>
        <d v="2024-05-04T00:00:00"/>
        <d v="2024-07-24T00:00:00"/>
        <d v="2024-11-03T00:00:00"/>
        <d v="2024-03-12T00:00:00"/>
        <d v="2024-08-08T00:00:00"/>
        <d v="2024-12-07T00:00:00"/>
        <d v="2024-05-19T00:00:00"/>
        <d v="2024-07-21T00:00:00"/>
        <d v="2024-02-06T00:00:00"/>
        <d v="2024-12-11T00:00:00"/>
        <d v="2024-01-06T00:00:00"/>
        <d v="2024-06-12T00:00:00"/>
        <d v="2024-08-26T00:00:00"/>
        <d v="2024-10-02T00:00:00"/>
        <d v="2024-10-13T00:00:00"/>
        <d v="2024-10-25T00:00:00"/>
        <d v="2024-09-16T00:00:00"/>
        <d v="2024-01-30T00:00:00"/>
        <d v="2024-07-15T00:00:00"/>
        <d v="2024-10-05T00:00:00"/>
        <d v="2024-08-07T00:00:00"/>
        <d v="2024-12-26T00:00:00"/>
        <d v="2024-09-14T00:00:00"/>
        <d v="2024-11-30T00:00:00"/>
        <d v="2024-01-14T00:00:00"/>
        <d v="2024-12-22T00:00:00"/>
        <d v="2024-08-15T00:00:00"/>
        <d v="2024-02-26T00:00:00"/>
        <d v="2024-06-27T00:00:00"/>
        <d v="2024-12-06T00:00:00"/>
        <d v="2024-01-18T00:00:00"/>
        <d v="2024-03-11T00:00:00"/>
        <d v="2024-11-25T00:00:00"/>
        <d v="2024-10-26T00:00:00"/>
        <d v="2024-08-31T00:00:00"/>
        <d v="2024-04-14T00:00:00"/>
        <d v="2024-07-13T00:00:00"/>
        <d v="2024-12-02T00:00:00"/>
        <d v="2024-01-31T00:00:00"/>
        <d v="2024-05-07T00:00:00"/>
        <d v="2024-09-21T00:00:00"/>
        <d v="2024-04-21T00:00:00"/>
        <d v="2024-03-20T00:00:00"/>
        <d v="2024-02-01T00:00:00"/>
        <d v="2024-04-30T00:00:00"/>
        <d v="2024-01-16T00:00:00"/>
        <d v="2024-09-09T00:00:00"/>
        <d v="2024-06-24T00:00:00"/>
        <d v="2024-05-10T00:00:00"/>
        <d v="2024-10-01T00:00:00"/>
        <d v="2024-07-12T00:00:00"/>
        <d v="2024-05-17T00:00:00"/>
        <d v="2024-11-21T00:00:00"/>
        <d v="2024-12-10T00:00:00"/>
        <d v="2024-06-06T00:00:00"/>
        <d v="2024-02-20T00:00:00"/>
        <d v="2024-07-02T00:00:00"/>
        <d v="2024-03-07T00:00:00"/>
        <d v="2024-12-14T00:00:00"/>
        <d v="2024-05-06T00:00:00"/>
        <d v="2024-09-19T00:00:00"/>
        <d v="2024-07-18T00:00:00"/>
        <d v="2024-02-02T00:00:00"/>
        <d v="2024-02-19T00:00:00"/>
        <d v="2024-02-09T00:00:00"/>
        <d v="2023-12-17T00:00:00"/>
        <d v="2024-04-19T00:00:00"/>
        <d v="2024-07-30T00:00:00"/>
        <d v="2024-02-05T00:00:00"/>
        <d v="2024-12-12T00:00:00"/>
        <d v="2023-12-30T00:00:00"/>
        <d v="2023-11-17T00:00:00"/>
        <d v="2023-11-10T00:00:00"/>
        <d v="2023-12-09T00:00:00"/>
        <d v="2023-12-11T00:00:00"/>
        <d v="2023-11-06T00:00:00"/>
        <d v="2023-11-16T00:00:00"/>
        <d v="2023-11-07T00:00:00"/>
        <d v="2023-11-13T00:00:00"/>
        <d v="2023-11-05T00:00:00"/>
        <d v="2023-12-31T00:00:00"/>
        <d v="2023-12-19T00:00:00"/>
        <d v="2023-11-12T00:00:00"/>
      </sharedItems>
      <fieldGroup par="16"/>
    </cacheField>
    <cacheField name="Année" numFmtId="49">
      <sharedItems containsSemiMixedTypes="0" containsString="0" containsNumber="1" containsInteger="1" minValue="2023" maxValue="2024"/>
    </cacheField>
    <cacheField name="Client_ID" numFmtId="0">
      <sharedItems count="300">
        <s v="CLIENT_0042"/>
        <s v="CLIENT_0088"/>
        <s v="CLIENT_0258"/>
        <s v="CLIENT_0022"/>
        <s v="CLIENT_0271"/>
        <s v="CLIENT_0021"/>
        <s v="CLIENT_0014"/>
        <s v="CLIENT_0206"/>
        <s v="CLIENT_0054"/>
        <s v="CLIENT_0213"/>
        <s v="CLIENT_0065"/>
        <s v="CLIENT_0063"/>
        <s v="CLIENT_0041"/>
        <s v="CLIENT_0062"/>
        <s v="CLIENT_0218"/>
        <s v="CLIENT_0237"/>
        <s v="CLIENT_0128"/>
        <s v="CLIENT_0121"/>
        <s v="CLIENT_0137"/>
        <s v="CLIENT_0233"/>
        <s v="CLIENT_0247"/>
        <s v="CLIENT_0187"/>
        <s v="CLIENT_0147"/>
        <s v="CLIENT_0129"/>
        <s v="CLIENT_0099"/>
        <s v="CLIENT_0254"/>
        <s v="CLIENT_0194"/>
        <s v="CLIENT_0195"/>
        <s v="CLIENT_0238"/>
        <s v="CLIENT_0095"/>
        <s v="CLIENT_0174"/>
        <s v="CLIENT_0104"/>
        <s v="CLIENT_0170"/>
        <s v="CLIENT_0036"/>
        <s v="CLIENT_0092"/>
        <s v="CLIENT_0190"/>
        <s v="CLIENT_0047"/>
        <s v="CLIENT_0275"/>
        <s v="CLIENT_0279"/>
        <s v="CLIENT_0192"/>
        <s v="CLIENT_0185"/>
        <s v="CLIENT_0010"/>
        <s v="CLIENT_0250"/>
        <s v="CLIENT_0035"/>
        <s v="CLIENT_0105"/>
        <s v="CLIENT_0217"/>
        <s v="CLIENT_0177"/>
        <s v="CLIENT_0152"/>
        <s v="CLIENT_0286"/>
        <s v="CLIENT_0069"/>
        <s v="CLIENT_0151"/>
        <s v="CLIENT_0009"/>
        <s v="CLIENT_0007"/>
        <s v="CLIENT_0136"/>
        <s v="CLIENT_0202"/>
        <s v="CLIENT_0242"/>
        <s v="CLIENT_0117"/>
        <s v="CLIENT_0203"/>
        <s v="CLIENT_0012"/>
        <s v="CLIENT_0028"/>
        <s v="CLIENT_0201"/>
        <s v="CLIENT_0256"/>
        <s v="CLIENT_0224"/>
        <s v="CLIENT_0283"/>
        <s v="CLIENT_0006"/>
        <s v="CLIENT_0023"/>
        <s v="CLIENT_0001"/>
        <s v="CLIENT_0259"/>
        <s v="CLIENT_0251"/>
        <s v="CLIENT_0075"/>
        <s v="CLIENT_0098"/>
        <s v="CLIENT_0030"/>
        <s v="CLIENT_0138"/>
        <s v="CLIENT_0235"/>
        <s v="CLIENT_0005"/>
        <s v="CLIENT_0078"/>
        <s v="CLIENT_0257"/>
        <s v="CLIENT_0127"/>
        <s v="CLIENT_0154"/>
        <s v="CLIENT_0239"/>
        <s v="CLIENT_0300"/>
        <s v="CLIENT_0146"/>
        <s v="CLIENT_0236"/>
        <s v="CLIENT_0229"/>
        <s v="CLIENT_0070"/>
        <s v="CLIENT_0140"/>
        <s v="CLIENT_0168"/>
        <s v="CLIENT_0265"/>
        <s v="CLIENT_0060"/>
        <s v="CLIENT_0089"/>
        <s v="CLIENT_0157"/>
        <s v="CLIENT_0038"/>
        <s v="CLIENT_0159"/>
        <s v="CLIENT_0115"/>
        <s v="CLIENT_0133"/>
        <s v="CLIENT_0287"/>
        <s v="CLIENT_0017"/>
        <s v="CLIENT_0084"/>
        <s v="CLIENT_0175"/>
        <s v="CLIENT_0166"/>
        <s v="CLIENT_0266"/>
        <s v="CLIENT_0055"/>
        <s v="CLIENT_0263"/>
        <s v="CLIENT_0197"/>
        <s v="CLIENT_0158"/>
        <s v="CLIENT_0246"/>
        <s v="CLIENT_0027"/>
        <s v="CLIENT_0122"/>
        <s v="CLIENT_0292"/>
        <s v="CLIENT_0111"/>
        <s v="CLIENT_0039"/>
        <s v="CLIENT_0057"/>
        <s v="CLIENT_0200"/>
        <s v="CLIENT_0026"/>
        <s v="CLIENT_0176"/>
        <s v="CLIENT_0223"/>
        <s v="CLIENT_0210"/>
        <s v="CLIENT_0227"/>
        <s v="CLIENT_0245"/>
        <s v="CLIENT_0011"/>
        <s v="CLIENT_0262"/>
        <s v="CLIENT_0145"/>
        <s v="CLIENT_0120"/>
        <s v="CLIENT_0123"/>
        <s v="CLIENT_0114"/>
        <s v="CLIENT_0045"/>
        <s v="CLIENT_0013"/>
        <s v="CLIENT_0188"/>
        <s v="CLIENT_0196"/>
        <s v="CLIENT_0058"/>
        <s v="CLIENT_0162"/>
        <s v="CLIENT_0274"/>
        <s v="CLIENT_0181"/>
        <s v="CLIENT_0015"/>
        <s v="CLIENT_0072"/>
        <s v="CLIENT_0214"/>
        <s v="CLIENT_0161"/>
        <s v="CLIENT_0090"/>
        <s v="CLIENT_0264"/>
        <s v="CLIENT_0087"/>
        <s v="CLIENT_0288"/>
        <s v="CLIENT_0150"/>
        <s v="CLIENT_0093"/>
        <s v="CLIENT_0050"/>
        <s v="CLIENT_0125"/>
        <s v="CLIENT_0282"/>
        <s v="CLIENT_0130"/>
        <s v="CLIENT_0261"/>
        <s v="CLIENT_0156"/>
        <s v="CLIENT_0294"/>
        <s v="CLIENT_0289"/>
        <s v="CLIENT_0132"/>
        <s v="CLIENT_0110"/>
        <s v="CLIENT_0277"/>
        <s v="CLIENT_0074"/>
        <s v="CLIENT_0173"/>
        <s v="CLIENT_0208"/>
        <s v="CLIENT_0167"/>
        <s v="CLIENT_0143"/>
        <s v="CLIENT_0077"/>
        <s v="CLIENT_0241"/>
        <s v="CLIENT_0106"/>
        <s v="CLIENT_0180"/>
        <s v="CLIENT_0082"/>
        <s v="CLIENT_0067"/>
        <s v="CLIENT_0141"/>
        <s v="CLIENT_0079"/>
        <s v="CLIENT_0160"/>
        <s v="CLIENT_0219"/>
        <s v="CLIENT_0164"/>
        <s v="CLIENT_0183"/>
        <s v="CLIENT_0113"/>
        <s v="CLIENT_0029"/>
        <s v="CLIENT_0008"/>
        <s v="CLIENT_0228"/>
        <s v="CLIENT_0255"/>
        <s v="CLIENT_0153"/>
        <s v="CLIENT_0172"/>
        <s v="CLIENT_0032"/>
        <s v="CLIENT_0044"/>
        <s v="CLIENT_0231"/>
        <s v="CLIENT_0234"/>
        <s v="CLIENT_0186"/>
        <s v="CLIENT_0260"/>
        <s v="CLIENT_0107"/>
        <s v="CLIENT_0220"/>
        <s v="CLIENT_0182"/>
        <s v="CLIENT_0178"/>
        <s v="CLIENT_0165"/>
        <s v="CLIENT_0086"/>
        <s v="CLIENT_0248"/>
        <s v="CLIENT_0267"/>
        <s v="CLIENT_0268"/>
        <s v="CLIENT_0101"/>
        <s v="CLIENT_0211"/>
        <s v="CLIENT_0108"/>
        <s v="CLIENT_0270"/>
        <s v="CLIENT_0073"/>
        <s v="CLIENT_0076"/>
        <s v="CLIENT_0276"/>
        <s v="CLIENT_0109"/>
        <s v="CLIENT_0103"/>
        <s v="CLIENT_0296"/>
        <s v="CLIENT_0284"/>
        <s v="CLIENT_0056"/>
        <s v="CLIENT_0064"/>
        <s v="CLIENT_0031"/>
        <s v="CLIENT_0285"/>
        <s v="CLIENT_0139"/>
        <s v="CLIENT_0091"/>
        <s v="CLIENT_0116"/>
        <s v="CLIENT_0171"/>
        <s v="CLIENT_0083"/>
        <s v="CLIENT_0295"/>
        <s v="CLIENT_0053"/>
        <s v="CLIENT_0148"/>
        <s v="CLIENT_0119"/>
        <s v="CLIENT_0273"/>
        <s v="CLIENT_0100"/>
        <s v="CLIENT_0126"/>
        <s v="CLIENT_0068"/>
        <s v="CLIENT_0222"/>
        <s v="CLIENT_0094"/>
        <s v="CLIENT_0216"/>
        <s v="CLIENT_0155"/>
        <s v="CLIENT_0046"/>
        <s v="CLIENT_0024"/>
        <s v="CLIENT_0249"/>
        <s v="CLIENT_0212"/>
        <s v="CLIENT_0272"/>
        <s v="CLIENT_0169"/>
        <s v="CLIENT_0043"/>
        <s v="CLIENT_0193"/>
        <s v="CLIENT_0080"/>
        <s v="CLIENT_0002"/>
        <s v="CLIENT_0124"/>
        <s v="CLIENT_0033"/>
        <s v="CLIENT_0215"/>
        <s v="CLIENT_0291"/>
        <s v="CLIENT_0134"/>
        <s v="CLIENT_0059"/>
        <s v="CLIENT_0207"/>
        <s v="CLIENT_0097"/>
        <s v="CLIENT_0209"/>
        <s v="CLIENT_0118"/>
        <s v="CLIENT_0019"/>
        <s v="CLIENT_0048"/>
        <s v="CLIENT_0040"/>
        <s v="CLIENT_0269"/>
        <s v="CLIENT_0204"/>
        <s v="CLIENT_0253"/>
        <s v="CLIENT_0051"/>
        <s v="CLIENT_0052"/>
        <s v="CLIENT_0278"/>
        <s v="CLIENT_0102"/>
        <s v="CLIENT_0149"/>
        <s v="CLIENT_0299"/>
        <s v="CLIENT_0184"/>
        <s v="CLIENT_0066"/>
        <s v="CLIENT_0025"/>
        <s v="CLIENT_0061"/>
        <s v="CLIENT_0191"/>
        <s v="CLIENT_0163"/>
        <s v="CLIENT_0230"/>
        <s v="CLIENT_0003"/>
        <s v="CLIENT_0018"/>
        <s v="CLIENT_0144"/>
        <s v="CLIENT_0135"/>
        <s v="CLIENT_0298"/>
        <s v="CLIENT_0096"/>
        <s v="CLIENT_0112"/>
        <s v="CLIENT_0244"/>
        <s v="CLIENT_0297"/>
        <s v="CLIENT_0225"/>
        <s v="CLIENT_0221"/>
        <s v="CLIENT_0199"/>
        <s v="CLIENT_0071"/>
        <s v="CLIENT_0131"/>
        <s v="CLIENT_0004"/>
        <s v="CLIENT_0232"/>
        <s v="CLIENT_0205"/>
        <s v="CLIENT_0226"/>
        <s v="CLIENT_0252"/>
        <s v="CLIENT_0243"/>
        <s v="CLIENT_0049"/>
        <s v="CLIENT_0020"/>
        <s v="CLIENT_0085"/>
        <s v="CLIENT_0034"/>
        <s v="CLIENT_0016"/>
        <s v="CLIENT_0280"/>
        <s v="CLIENT_0290"/>
        <s v="CLIENT_0240"/>
        <s v="CLIENT_0281"/>
        <s v="CLIENT_0037"/>
        <s v="CLIENT_0142"/>
        <s v="CLIENT_0198"/>
        <s v="CLIENT_0293"/>
        <s v="CLIENT_0189"/>
        <s v="CLIENT_0081"/>
        <s v="CLIENT_0179"/>
      </sharedItems>
    </cacheField>
    <cacheField name="Product_Code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0" maxValue="5"/>
    </cacheField>
    <cacheField name="Unit_Price" numFmtId="165">
      <sharedItems containsSemiMixedTypes="0" containsString="0" containsNumber="1" minValue="13.15" maxValue="1979.41"/>
    </cacheField>
    <cacheField name="Amount" numFmtId="165">
      <sharedItems containsSemiMixedTypes="0" containsString="0" containsNumber="1" minValue="0" maxValue="6329.55"/>
    </cacheField>
    <cacheField name="Montant Recalculé" numFmtId="165">
      <sharedItems containsSemiMixedTypes="0" containsString="0" containsNumber="1" minValue="0" maxValue="6329.55"/>
    </cacheField>
    <cacheField name="Ecarts" numFmtId="165">
      <sharedItems containsSemiMixedTypes="0" containsString="0" containsNumber="1" containsInteger="1" minValue="0" maxValue="0"/>
    </cacheField>
    <cacheField name="Country" numFmtId="0">
      <sharedItems/>
    </cacheField>
    <cacheField name="Channel" numFmtId="0">
      <sharedItems count="4">
        <s v="Retail"/>
        <s v="B2B"/>
        <s v="Online"/>
        <s v="Reseller"/>
      </sharedItems>
    </cacheField>
    <cacheField name="Months (Sale_Date)" numFmtId="0" databaseField="0">
      <fieldGroup base="1">
        <rangePr groupBy="months" startDate="2023-11-05T00:00:00" endDate="2025-01-01T00:00:00"/>
        <groupItems count="14">
          <s v="&lt;05-1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5"/>
        </groupItems>
      </fieldGroup>
    </cacheField>
    <cacheField name="Quarters (Sale_Date)" numFmtId="0" databaseField="0">
      <fieldGroup base="1">
        <rangePr groupBy="quarters" startDate="2023-11-05T00:00:00" endDate="2025-01-01T00:00:00"/>
        <groupItems count="6">
          <s v="&lt;05-11-23"/>
          <s v="Qtr1"/>
          <s v="Qtr2"/>
          <s v="Qtr3"/>
          <s v="Qtr4"/>
          <s v="&gt;01-01-25"/>
        </groupItems>
      </fieldGroup>
    </cacheField>
    <cacheField name="Years (Sale_Date)" numFmtId="0" databaseField="0">
      <fieldGroup base="1">
        <rangePr groupBy="years" startDate="2023-11-05T00:00:00" endDate="2025-01-01T00:00:00"/>
        <groupItems count="5">
          <s v="&lt;05-11-23"/>
          <s v="2023"/>
          <s v="2024"/>
          <s v="2025"/>
          <s v="&gt;01-0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2024001000"/>
    <x v="0"/>
    <n v="2024"/>
    <x v="0"/>
    <s v="PROD_004"/>
    <s v="Desk Chair"/>
    <s v="Furniture"/>
    <n v="4"/>
    <n v="361.33"/>
    <n v="1445.32"/>
    <n v="1445.32"/>
    <n v="0"/>
    <s v="Belgium"/>
    <x v="0"/>
  </r>
  <r>
    <n v="2024001001"/>
    <x v="1"/>
    <n v="2024"/>
    <x v="1"/>
    <s v="PROD_005"/>
    <s v="Standing Desk"/>
    <s v="Furniture"/>
    <n v="2"/>
    <n v="645.69000000000005"/>
    <n v="1291.3800000000001"/>
    <n v="1291.3800000000001"/>
    <n v="0"/>
    <s v="Switzerland"/>
    <x v="1"/>
  </r>
  <r>
    <n v="2024001002"/>
    <x v="2"/>
    <n v="2024"/>
    <x v="2"/>
    <s v="PROD_008"/>
    <s v="Desk Lamp"/>
    <s v="Furniture"/>
    <n v="3"/>
    <n v="77.680000000000007"/>
    <n v="233.04"/>
    <n v="233.04000000000002"/>
    <n v="0"/>
    <s v="Italy"/>
    <x v="2"/>
  </r>
  <r>
    <n v="2024001003"/>
    <x v="3"/>
    <n v="2024"/>
    <x v="3"/>
    <s v="PROD_009"/>
    <s v="Phone Stand"/>
    <s v="Accessories"/>
    <n v="1"/>
    <n v="24.34"/>
    <n v="24.34"/>
    <n v="24.34"/>
    <n v="0"/>
    <s v="Sweden"/>
    <x v="3"/>
  </r>
  <r>
    <n v="2024001004"/>
    <x v="4"/>
    <n v="2024"/>
    <x v="4"/>
    <s v="PROD_003"/>
    <s v="USB-C Cable"/>
    <s v="Electronics"/>
    <n v="1"/>
    <n v="14.98"/>
    <n v="14.98"/>
    <n v="14.98"/>
    <n v="0"/>
    <s v="Italy"/>
    <x v="1"/>
  </r>
  <r>
    <n v="2024001005"/>
    <x v="5"/>
    <n v="2024"/>
    <x v="5"/>
    <s v="PROD_009"/>
    <s v="Phone Stand"/>
    <s v="Accessories"/>
    <n v="1"/>
    <n v="25.44"/>
    <n v="25.44"/>
    <n v="25.44"/>
    <n v="0"/>
    <s v="Spain"/>
    <x v="2"/>
  </r>
  <r>
    <n v="2024001006"/>
    <x v="6"/>
    <n v="2024"/>
    <x v="6"/>
    <s v="PROD_002"/>
    <s v="Wireless Mouse"/>
    <s v="Electronics"/>
    <n v="1"/>
    <n v="46.75"/>
    <n v="46.75"/>
    <n v="46.75"/>
    <n v="0"/>
    <s v="Switzerland"/>
    <x v="1"/>
  </r>
  <r>
    <n v="2024001007"/>
    <x v="7"/>
    <n v="2024"/>
    <x v="7"/>
    <s v="PROD_001"/>
    <s v="Laptop Pro"/>
    <s v="Electronics"/>
    <n v="1"/>
    <n v="1133.93"/>
    <n v="1133.93"/>
    <n v="1133.93"/>
    <n v="0"/>
    <s v="Switzerland"/>
    <x v="3"/>
  </r>
  <r>
    <n v="2024001008"/>
    <x v="8"/>
    <n v="2024"/>
    <x v="8"/>
    <s v="PROD_010"/>
    <s v="Webcam HD"/>
    <s v="Electronics"/>
    <n v="2"/>
    <n v="80.2"/>
    <n v="160.4"/>
    <n v="160.4"/>
    <n v="0"/>
    <s v="Spain"/>
    <x v="0"/>
  </r>
  <r>
    <n v="2024001009"/>
    <x v="9"/>
    <n v="2024"/>
    <x v="4"/>
    <s v="PROD_008"/>
    <s v="Desk Lamp"/>
    <s v="Furniture"/>
    <n v="2"/>
    <n v="75.819999999999993"/>
    <n v="151.63999999999999"/>
    <n v="151.63999999999999"/>
    <n v="0"/>
    <s v="Austria"/>
    <x v="0"/>
  </r>
  <r>
    <n v="2024001010"/>
    <x v="10"/>
    <n v="2024"/>
    <x v="9"/>
    <s v="PROD_002"/>
    <s v="Wireless Mouse"/>
    <s v="Electronics"/>
    <n v="2"/>
    <n v="46.04"/>
    <n v="92.08"/>
    <n v="92.08"/>
    <n v="0"/>
    <s v="Austria"/>
    <x v="2"/>
  </r>
  <r>
    <n v="2024001011"/>
    <x v="11"/>
    <n v="2024"/>
    <x v="10"/>
    <s v="PROD_009"/>
    <s v="Phone Stand"/>
    <s v="Accessories"/>
    <n v="5"/>
    <n v="25.11"/>
    <n v="125.55"/>
    <n v="125.55"/>
    <n v="0"/>
    <s v="Switzerland"/>
    <x v="2"/>
  </r>
  <r>
    <n v="2024001012"/>
    <x v="12"/>
    <n v="2024"/>
    <x v="11"/>
    <s v="PROD_003"/>
    <s v="USB-C Cable"/>
    <s v="Electronics"/>
    <n v="2"/>
    <n v="15.67"/>
    <n v="31.34"/>
    <n v="31.34"/>
    <n v="0"/>
    <s v="Italy"/>
    <x v="0"/>
  </r>
  <r>
    <n v="2024001013"/>
    <x v="13"/>
    <n v="2024"/>
    <x v="12"/>
    <s v="PROD_007"/>
    <s v="Keyboard Mechanical"/>
    <s v="Electronics"/>
    <n v="3"/>
    <n v="124.53"/>
    <n v="373.59"/>
    <n v="373.59000000000003"/>
    <n v="0"/>
    <s v="Germany"/>
    <x v="2"/>
  </r>
  <r>
    <n v="2024001014"/>
    <x v="14"/>
    <n v="2024"/>
    <x v="13"/>
    <s v="PROD_008"/>
    <s v="Desk Lamp"/>
    <s v="Furniture"/>
    <n v="2"/>
    <n v="73.7"/>
    <n v="147.4"/>
    <n v="147.4"/>
    <n v="0"/>
    <s v="UK"/>
    <x v="2"/>
  </r>
  <r>
    <n v="2024001015"/>
    <x v="15"/>
    <n v="2024"/>
    <x v="0"/>
    <s v="PROD_005"/>
    <s v="Standing Desk"/>
    <s v="Furniture"/>
    <n v="5"/>
    <n v="619.14"/>
    <n v="3095.7"/>
    <n v="3095.7"/>
    <n v="0"/>
    <s v="UK"/>
    <x v="2"/>
  </r>
  <r>
    <n v="2024001016"/>
    <x v="16"/>
    <n v="2024"/>
    <x v="14"/>
    <s v="PROD_007"/>
    <s v="Keyboard Mechanical"/>
    <s v="Electronics"/>
    <n v="3"/>
    <n v="140.22999999999999"/>
    <n v="420.69"/>
    <n v="420.68999999999994"/>
    <n v="0"/>
    <s v="Sweden"/>
    <x v="0"/>
  </r>
  <r>
    <n v="2024001017"/>
    <x v="2"/>
    <n v="2024"/>
    <x v="11"/>
    <s v="PROD_007"/>
    <s v="Keyboard Mechanical"/>
    <s v="Electronics"/>
    <n v="1"/>
    <n v="114.48"/>
    <n v="114.48"/>
    <n v="114.48"/>
    <n v="0"/>
    <s v="Spain"/>
    <x v="0"/>
  </r>
  <r>
    <n v="2024001018"/>
    <x v="13"/>
    <n v="2024"/>
    <x v="15"/>
    <s v="PROD_004"/>
    <s v="Desk Chair"/>
    <s v="Furniture"/>
    <n v="4"/>
    <n v="378.4"/>
    <n v="1513.6"/>
    <n v="1513.6"/>
    <n v="0"/>
    <s v="Germany"/>
    <x v="0"/>
  </r>
  <r>
    <n v="2024001019"/>
    <x v="17"/>
    <n v="2024"/>
    <x v="0"/>
    <s v="PROD_009"/>
    <s v="Phone Stand"/>
    <s v="Accessories"/>
    <n v="1"/>
    <n v="26.03"/>
    <n v="26.03"/>
    <n v="26.03"/>
    <n v="0"/>
    <s v="Spain"/>
    <x v="0"/>
  </r>
  <r>
    <n v="2024001020"/>
    <x v="18"/>
    <n v="2024"/>
    <x v="16"/>
    <s v="PROD_010"/>
    <s v="Webcam HD"/>
    <s v="Electronics"/>
    <n v="1"/>
    <n v="93.26"/>
    <n v="93.26"/>
    <n v="93.26"/>
    <n v="0"/>
    <s v="France"/>
    <x v="2"/>
  </r>
  <r>
    <n v="2024001021"/>
    <x v="19"/>
    <n v="2024"/>
    <x v="17"/>
    <s v="PROD_004"/>
    <s v="Desk Chair"/>
    <s v="Furniture"/>
    <n v="1"/>
    <n v="345.52"/>
    <n v="345.52"/>
    <n v="345.52"/>
    <n v="0"/>
    <s v="UK"/>
    <x v="1"/>
  </r>
  <r>
    <n v="2024001022"/>
    <x v="20"/>
    <n v="2024"/>
    <x v="18"/>
    <s v="PROD_005"/>
    <s v="Standing Desk"/>
    <s v="Furniture"/>
    <n v="2"/>
    <n v="572.79"/>
    <n v="1145.58"/>
    <n v="1145.58"/>
    <n v="0"/>
    <s v="Netherlands"/>
    <x v="3"/>
  </r>
  <r>
    <n v="2024001023"/>
    <x v="21"/>
    <n v="2024"/>
    <x v="19"/>
    <s v="PROD_004"/>
    <s v="Desk Chair"/>
    <s v="Furniture"/>
    <n v="1"/>
    <n v="335.7"/>
    <n v="335.7"/>
    <n v="335.7"/>
    <n v="0"/>
    <s v="France"/>
    <x v="0"/>
  </r>
  <r>
    <n v="2024001024"/>
    <x v="22"/>
    <n v="2024"/>
    <x v="0"/>
    <s v="PROD_007"/>
    <s v="Keyboard Mechanical"/>
    <s v="Electronics"/>
    <n v="1"/>
    <n v="113.56"/>
    <n v="113.56"/>
    <n v="113.56"/>
    <n v="0"/>
    <s v="France"/>
    <x v="1"/>
  </r>
  <r>
    <n v="2024001025"/>
    <x v="23"/>
    <n v="2024"/>
    <x v="0"/>
    <s v="PROD_002"/>
    <s v="Wireless Mouse"/>
    <s v="Electronics"/>
    <n v="2"/>
    <n v="42.77"/>
    <n v="85.54"/>
    <n v="85.54"/>
    <n v="0"/>
    <s v="Netherlands"/>
    <x v="1"/>
  </r>
  <r>
    <n v="2024001026"/>
    <x v="24"/>
    <n v="2024"/>
    <x v="0"/>
    <s v="PROD_001"/>
    <s v="Laptop Pro"/>
    <s v="Electronics"/>
    <n v="2"/>
    <n v="1220.28"/>
    <n v="2440.56"/>
    <n v="2440.56"/>
    <n v="0"/>
    <s v="Sweden"/>
    <x v="3"/>
  </r>
  <r>
    <n v="2024001027"/>
    <x v="20"/>
    <n v="2024"/>
    <x v="20"/>
    <s v="PROD_004"/>
    <s v="Desk Chair"/>
    <s v="Furniture"/>
    <n v="1"/>
    <n v="384.55"/>
    <n v="384.55"/>
    <n v="384.55"/>
    <n v="0"/>
    <s v="Switzerland"/>
    <x v="1"/>
  </r>
  <r>
    <n v="2024001028"/>
    <x v="25"/>
    <n v="2024"/>
    <x v="0"/>
    <s v="PROD_006"/>
    <s v="Monitor 27&quot;"/>
    <s v="Electronics"/>
    <n v="1"/>
    <n v="428.1"/>
    <n v="428.1"/>
    <n v="428.1"/>
    <n v="0"/>
    <s v="France"/>
    <x v="2"/>
  </r>
  <r>
    <n v="2024001029"/>
    <x v="26"/>
    <n v="2024"/>
    <x v="21"/>
    <s v="PROD_006"/>
    <s v="Monitor 27&quot;"/>
    <s v="Electronics"/>
    <n v="2"/>
    <n v="427.85"/>
    <n v="855.7"/>
    <n v="855.7"/>
    <n v="0"/>
    <s v="UK"/>
    <x v="3"/>
  </r>
  <r>
    <n v="2024001030"/>
    <x v="27"/>
    <n v="2024"/>
    <x v="22"/>
    <s v="PROD_004"/>
    <s v="Desk Chair"/>
    <s v="Furniture"/>
    <n v="2"/>
    <n v="359.39"/>
    <n v="718.78"/>
    <n v="718.78"/>
    <n v="0"/>
    <s v="Belgium"/>
    <x v="0"/>
  </r>
  <r>
    <n v="2024001031"/>
    <x v="28"/>
    <n v="2024"/>
    <x v="23"/>
    <s v="PROD_009"/>
    <s v="Phone Stand"/>
    <s v="Accessories"/>
    <n v="1"/>
    <n v="23.86"/>
    <n v="23.86"/>
    <n v="23.86"/>
    <n v="0"/>
    <s v="Belgium"/>
    <x v="1"/>
  </r>
  <r>
    <n v="2024001032"/>
    <x v="29"/>
    <n v="2024"/>
    <x v="24"/>
    <s v="PROD_007"/>
    <s v="Keyboard Mechanical"/>
    <s v="Electronics"/>
    <n v="2"/>
    <n v="121.36"/>
    <n v="242.72"/>
    <n v="242.72"/>
    <n v="0"/>
    <s v="France"/>
    <x v="0"/>
  </r>
  <r>
    <n v="2024001033"/>
    <x v="30"/>
    <n v="2024"/>
    <x v="25"/>
    <s v="PROD_005"/>
    <s v="Standing Desk"/>
    <s v="Furniture"/>
    <n v="4"/>
    <n v="639.21"/>
    <n v="2556.84"/>
    <n v="2556.84"/>
    <n v="0"/>
    <s v="Belgium"/>
    <x v="2"/>
  </r>
  <r>
    <n v="2024001034"/>
    <x v="31"/>
    <n v="2024"/>
    <x v="24"/>
    <s v="PROD_003"/>
    <s v="USB-C Cable"/>
    <s v="Electronics"/>
    <n v="2"/>
    <n v="15.46"/>
    <n v="30.92"/>
    <n v="30.92"/>
    <n v="0"/>
    <s v="France"/>
    <x v="3"/>
  </r>
  <r>
    <n v="2024001035"/>
    <x v="32"/>
    <n v="2024"/>
    <x v="25"/>
    <s v="PROD_003"/>
    <s v="USB-C Cable"/>
    <s v="Electronics"/>
    <n v="1"/>
    <n v="15.91"/>
    <n v="15.91"/>
    <n v="15.91"/>
    <n v="0"/>
    <s v="Austria"/>
    <x v="1"/>
  </r>
  <r>
    <n v="2024001036"/>
    <x v="33"/>
    <n v="2024"/>
    <x v="26"/>
    <s v="PROD_006"/>
    <s v="Monitor 27&quot;"/>
    <s v="Electronics"/>
    <n v="1"/>
    <n v="399.9"/>
    <n v="399.9"/>
    <n v="399.9"/>
    <n v="0"/>
    <s v="Spain"/>
    <x v="3"/>
  </r>
  <r>
    <n v="2024001037"/>
    <x v="5"/>
    <n v="2024"/>
    <x v="27"/>
    <s v="PROD_001"/>
    <s v="Laptop Pro"/>
    <s v="Electronics"/>
    <n v="1"/>
    <n v="1177"/>
    <n v="1177"/>
    <n v="1177"/>
    <n v="0"/>
    <s v="UK"/>
    <x v="0"/>
  </r>
  <r>
    <n v="2024001038"/>
    <x v="34"/>
    <n v="2024"/>
    <x v="28"/>
    <s v="PROD_006"/>
    <s v="Monitor 27&quot;"/>
    <s v="Electronics"/>
    <n v="5"/>
    <n v="418.21"/>
    <n v="2091.0500000000002"/>
    <n v="2091.0499999999997"/>
    <n v="0"/>
    <s v="Germany"/>
    <x v="2"/>
  </r>
  <r>
    <n v="2024001039"/>
    <x v="35"/>
    <n v="2024"/>
    <x v="0"/>
    <s v="PROD_001"/>
    <s v="Laptop Pro"/>
    <s v="Electronics"/>
    <n v="2"/>
    <n v="1198.22"/>
    <n v="2396.44"/>
    <n v="2396.44"/>
    <n v="0"/>
    <s v="France"/>
    <x v="2"/>
  </r>
  <r>
    <n v="2024001040"/>
    <x v="36"/>
    <n v="2024"/>
    <x v="22"/>
    <s v="PROD_004"/>
    <s v="Desk Chair"/>
    <s v="Furniture"/>
    <n v="1"/>
    <n v="331.26"/>
    <n v="331.26"/>
    <n v="331.26"/>
    <n v="0"/>
    <s v="Italy"/>
    <x v="0"/>
  </r>
  <r>
    <n v="2024001041"/>
    <x v="37"/>
    <n v="2024"/>
    <x v="19"/>
    <s v="PROD_005"/>
    <s v="Standing Desk"/>
    <s v="Furniture"/>
    <n v="4"/>
    <n v="614.47"/>
    <n v="2457.88"/>
    <n v="2457.88"/>
    <n v="0"/>
    <s v="France"/>
    <x v="0"/>
  </r>
  <r>
    <n v="2024001042"/>
    <x v="38"/>
    <n v="2024"/>
    <x v="29"/>
    <s v="PROD_003"/>
    <s v="USB-C Cable"/>
    <s v="Electronics"/>
    <n v="5"/>
    <n v="14.84"/>
    <n v="74.2"/>
    <n v="74.2"/>
    <n v="0"/>
    <s v="Belgium"/>
    <x v="2"/>
  </r>
  <r>
    <n v="2024001043"/>
    <x v="39"/>
    <n v="2024"/>
    <x v="16"/>
    <s v="PROD_002"/>
    <s v="Wireless Mouse"/>
    <s v="Electronics"/>
    <n v="2"/>
    <n v="43.93"/>
    <n v="87.86"/>
    <n v="87.86"/>
    <n v="0"/>
    <s v="Netherlands"/>
    <x v="0"/>
  </r>
  <r>
    <n v="2024001044"/>
    <x v="40"/>
    <n v="2024"/>
    <x v="30"/>
    <s v="PROD_008"/>
    <s v="Desk Lamp"/>
    <s v="Furniture"/>
    <n v="1"/>
    <n v="75.41"/>
    <n v="75.41"/>
    <n v="75.41"/>
    <n v="0"/>
    <s v="Sweden"/>
    <x v="0"/>
  </r>
  <r>
    <n v="2024001045"/>
    <x v="41"/>
    <n v="2024"/>
    <x v="31"/>
    <s v="PROD_001"/>
    <s v="Laptop Pro"/>
    <s v="Electronics"/>
    <n v="1"/>
    <n v="1283.3800000000001"/>
    <n v="1283.3800000000001"/>
    <n v="1283.3800000000001"/>
    <n v="0"/>
    <s v="Netherlands"/>
    <x v="3"/>
  </r>
  <r>
    <n v="2024001046"/>
    <x v="42"/>
    <n v="2024"/>
    <x v="32"/>
    <s v="PROD_007"/>
    <s v="Keyboard Mechanical"/>
    <s v="Electronics"/>
    <n v="1"/>
    <n v="123.94"/>
    <n v="123.94"/>
    <n v="123.94"/>
    <n v="0"/>
    <s v="Sweden"/>
    <x v="1"/>
  </r>
  <r>
    <n v="2024001047"/>
    <x v="43"/>
    <n v="2024"/>
    <x v="33"/>
    <s v="PROD_004"/>
    <s v="Desk Chair"/>
    <s v="Furniture"/>
    <n v="2"/>
    <n v="324.87"/>
    <n v="649.74"/>
    <n v="649.74"/>
    <n v="0"/>
    <s v="UK"/>
    <x v="1"/>
  </r>
  <r>
    <n v="2024001048"/>
    <x v="44"/>
    <n v="2024"/>
    <x v="34"/>
    <s v="PROD_002"/>
    <s v="Wireless Mouse"/>
    <s v="Electronics"/>
    <n v="1"/>
    <n v="43.91"/>
    <n v="43.91"/>
    <n v="43.91"/>
    <n v="0"/>
    <s v="Austria"/>
    <x v="0"/>
  </r>
  <r>
    <n v="2024001049"/>
    <x v="45"/>
    <n v="2024"/>
    <x v="35"/>
    <s v="PROD_006"/>
    <s v="Monitor 27&quot;"/>
    <s v="Electronics"/>
    <n v="2"/>
    <n v="401.64"/>
    <n v="803.28"/>
    <n v="803.28"/>
    <n v="0"/>
    <s v="Netherlands"/>
    <x v="2"/>
  </r>
  <r>
    <n v="2024001050"/>
    <x v="46"/>
    <n v="2024"/>
    <x v="32"/>
    <s v="PROD_006"/>
    <s v="Monitor 27&quot;"/>
    <s v="Electronics"/>
    <n v="1"/>
    <n v="360.17"/>
    <n v="360.17"/>
    <n v="360.17"/>
    <n v="0"/>
    <s v="Switzerland"/>
    <x v="2"/>
  </r>
  <r>
    <n v="2024001051"/>
    <x v="47"/>
    <n v="2024"/>
    <x v="0"/>
    <s v="PROD_005"/>
    <s v="Standing Desk"/>
    <s v="Furniture"/>
    <n v="1"/>
    <n v="612.78"/>
    <n v="612.78"/>
    <n v="612.78"/>
    <n v="0"/>
    <s v="Netherlands"/>
    <x v="2"/>
  </r>
  <r>
    <n v="2024001052"/>
    <x v="48"/>
    <n v="2024"/>
    <x v="36"/>
    <s v="PROD_003"/>
    <s v="USB-C Cable"/>
    <s v="Electronics"/>
    <n v="0"/>
    <n v="13.48"/>
    <n v="0"/>
    <n v="0"/>
    <n v="0"/>
    <s v="France"/>
    <x v="3"/>
  </r>
  <r>
    <n v="2024001053"/>
    <x v="49"/>
    <n v="2024"/>
    <x v="37"/>
    <s v="PROD_010"/>
    <s v="Webcam HD"/>
    <s v="Electronics"/>
    <n v="1"/>
    <n v="90.84"/>
    <n v="90.84"/>
    <n v="90.84"/>
    <n v="0"/>
    <s v="Italy"/>
    <x v="0"/>
  </r>
  <r>
    <n v="2024001054"/>
    <x v="50"/>
    <n v="2024"/>
    <x v="38"/>
    <s v="PROD_009"/>
    <s v="Phone Stand"/>
    <s v="Accessories"/>
    <n v="2"/>
    <n v="23.06"/>
    <n v="46.12"/>
    <n v="46.12"/>
    <n v="0"/>
    <s v="Netherlands"/>
    <x v="3"/>
  </r>
  <r>
    <n v="2024001055"/>
    <x v="51"/>
    <n v="2024"/>
    <x v="0"/>
    <s v="PROD_008"/>
    <s v="Desk Lamp"/>
    <s v="Furniture"/>
    <n v="4"/>
    <n v="78.63"/>
    <n v="314.52"/>
    <n v="314.52"/>
    <n v="0"/>
    <s v="France"/>
    <x v="3"/>
  </r>
  <r>
    <n v="2024001056"/>
    <x v="52"/>
    <n v="2024"/>
    <x v="39"/>
    <s v="PROD_005"/>
    <s v="Standing Desk"/>
    <s v="Furniture"/>
    <n v="2"/>
    <n v="554.41999999999996"/>
    <n v="1108.8399999999999"/>
    <n v="1108.8399999999999"/>
    <n v="0"/>
    <s v="UK"/>
    <x v="2"/>
  </r>
  <r>
    <n v="2024001057"/>
    <x v="53"/>
    <n v="2024"/>
    <x v="40"/>
    <s v="PROD_005"/>
    <s v="Standing Desk"/>
    <s v="Furniture"/>
    <n v="1"/>
    <n v="585.47"/>
    <n v="585.47"/>
    <n v="585.47"/>
    <n v="0"/>
    <s v="Spain"/>
    <x v="2"/>
  </r>
  <r>
    <n v="2024001058"/>
    <x v="54"/>
    <n v="2024"/>
    <x v="14"/>
    <s v="PROD_010"/>
    <s v="Webcam HD"/>
    <s v="Electronics"/>
    <n v="1"/>
    <n v="84.17"/>
    <n v="84.17"/>
    <n v="84.17"/>
    <n v="0"/>
    <s v="Italy"/>
    <x v="1"/>
  </r>
  <r>
    <n v="2024001059"/>
    <x v="55"/>
    <n v="2024"/>
    <x v="41"/>
    <s v="PROD_006"/>
    <s v="Monitor 27&quot;"/>
    <s v="Electronics"/>
    <n v="2"/>
    <n v="397.9"/>
    <n v="795.8"/>
    <n v="795.8"/>
    <n v="0"/>
    <s v="Germany"/>
    <x v="3"/>
  </r>
  <r>
    <n v="2024001060"/>
    <x v="56"/>
    <n v="2024"/>
    <x v="42"/>
    <s v="PROD_003"/>
    <s v="USB-C Cable"/>
    <s v="Electronics"/>
    <n v="2"/>
    <n v="15.3"/>
    <n v="30.6"/>
    <n v="30.6"/>
    <n v="0"/>
    <s v="Spain"/>
    <x v="3"/>
  </r>
  <r>
    <n v="2024001061"/>
    <x v="57"/>
    <n v="2024"/>
    <x v="20"/>
    <s v="PROD_002"/>
    <s v="Wireless Mouse"/>
    <s v="Electronics"/>
    <n v="1"/>
    <n v="47.05"/>
    <n v="47.05"/>
    <n v="47.05"/>
    <n v="0"/>
    <s v="Spain"/>
    <x v="3"/>
  </r>
  <r>
    <n v="2024001062"/>
    <x v="58"/>
    <n v="2024"/>
    <x v="0"/>
    <s v="PROD_003"/>
    <s v="USB-C Cable"/>
    <s v="Electronics"/>
    <n v="2"/>
    <n v="16.600000000000001"/>
    <n v="33.200000000000003"/>
    <n v="33.200000000000003"/>
    <n v="0"/>
    <s v="Italy"/>
    <x v="3"/>
  </r>
  <r>
    <n v="2024001063"/>
    <x v="40"/>
    <n v="2024"/>
    <x v="10"/>
    <s v="PROD_001"/>
    <s v="Laptop Pro"/>
    <s v="Electronics"/>
    <n v="2"/>
    <n v="1082.8699999999999"/>
    <n v="2165.7399999999998"/>
    <n v="2165.7399999999998"/>
    <n v="0"/>
    <s v="Germany"/>
    <x v="2"/>
  </r>
  <r>
    <n v="2024001064"/>
    <x v="59"/>
    <n v="2024"/>
    <x v="43"/>
    <s v="PROD_007"/>
    <s v="Keyboard Mechanical"/>
    <s v="Electronics"/>
    <n v="1"/>
    <n v="125.31"/>
    <n v="125.31"/>
    <n v="125.31"/>
    <n v="0"/>
    <s v="Sweden"/>
    <x v="0"/>
  </r>
  <r>
    <n v="2024001065"/>
    <x v="60"/>
    <n v="2024"/>
    <x v="44"/>
    <s v="PROD_007"/>
    <s v="Keyboard Mechanical"/>
    <s v="Electronics"/>
    <n v="1"/>
    <n v="117.21"/>
    <n v="117.21"/>
    <n v="117.21"/>
    <n v="0"/>
    <s v="Italy"/>
    <x v="0"/>
  </r>
  <r>
    <n v="2024001066"/>
    <x v="61"/>
    <n v="2024"/>
    <x v="45"/>
    <s v="PROD_005"/>
    <s v="Standing Desk"/>
    <s v="Furniture"/>
    <n v="4"/>
    <n v="533.5"/>
    <n v="2134"/>
    <n v="2134"/>
    <n v="0"/>
    <s v="Switzerland"/>
    <x v="3"/>
  </r>
  <r>
    <n v="2024001067"/>
    <x v="15"/>
    <n v="2024"/>
    <x v="46"/>
    <s v="PROD_003"/>
    <s v="USB-C Cable"/>
    <s v="Electronics"/>
    <n v="1"/>
    <n v="16.04"/>
    <n v="16.04"/>
    <n v="16.04"/>
    <n v="0"/>
    <s v="Germany"/>
    <x v="2"/>
  </r>
  <r>
    <n v="2024001068"/>
    <x v="2"/>
    <n v="2024"/>
    <x v="47"/>
    <s v="PROD_007"/>
    <s v="Keyboard Mechanical"/>
    <s v="Electronics"/>
    <n v="4"/>
    <n v="118.69"/>
    <n v="474.76"/>
    <n v="474.76"/>
    <n v="0"/>
    <s v="Belgium"/>
    <x v="2"/>
  </r>
  <r>
    <n v="2024001069"/>
    <x v="62"/>
    <n v="2024"/>
    <x v="48"/>
    <s v="PROD_001"/>
    <s v="Laptop Pro"/>
    <s v="Electronics"/>
    <n v="2"/>
    <n v="1265.93"/>
    <n v="2531.86"/>
    <n v="2531.86"/>
    <n v="0"/>
    <s v="Spain"/>
    <x v="3"/>
  </r>
  <r>
    <n v="2024001070"/>
    <x v="63"/>
    <n v="2024"/>
    <x v="21"/>
    <s v="PROD_003"/>
    <s v="USB-C Cable"/>
    <s v="Electronics"/>
    <n v="1"/>
    <n v="14.8"/>
    <n v="14.8"/>
    <n v="14.8"/>
    <n v="0"/>
    <s v="Spain"/>
    <x v="1"/>
  </r>
  <r>
    <n v="2024001071"/>
    <x v="64"/>
    <n v="2024"/>
    <x v="49"/>
    <s v="PROD_003"/>
    <s v="USB-C Cable"/>
    <s v="Electronics"/>
    <n v="2"/>
    <n v="14.54"/>
    <n v="29.08"/>
    <n v="29.08"/>
    <n v="0"/>
    <s v="Spain"/>
    <x v="1"/>
  </r>
  <r>
    <n v="2024001072"/>
    <x v="65"/>
    <n v="2024"/>
    <x v="50"/>
    <s v="PROD_009"/>
    <s v="Phone Stand"/>
    <s v="Accessories"/>
    <n v="1"/>
    <n v="25.41"/>
    <n v="25.41"/>
    <n v="25.41"/>
    <n v="0"/>
    <s v="Germany"/>
    <x v="1"/>
  </r>
  <r>
    <n v="2024001073"/>
    <x v="66"/>
    <n v="2024"/>
    <x v="51"/>
    <s v="PROD_010"/>
    <s v="Webcam HD"/>
    <s v="Electronics"/>
    <n v="3"/>
    <n v="97.54"/>
    <n v="292.62"/>
    <n v="292.62"/>
    <n v="0"/>
    <s v="France"/>
    <x v="2"/>
  </r>
  <r>
    <n v="2024001074"/>
    <x v="67"/>
    <n v="2024"/>
    <x v="52"/>
    <s v="PROD_008"/>
    <s v="Desk Lamp"/>
    <s v="Furniture"/>
    <n v="1"/>
    <n v="82.24"/>
    <n v="82.24"/>
    <n v="82.24"/>
    <n v="0"/>
    <s v="Italy"/>
    <x v="2"/>
  </r>
  <r>
    <n v="2024001075"/>
    <x v="68"/>
    <n v="2024"/>
    <x v="53"/>
    <s v="PROD_001"/>
    <s v="Laptop Pro"/>
    <s v="Electronics"/>
    <n v="3"/>
    <n v="1252.3499999999999"/>
    <n v="3757.05"/>
    <n v="3757.0499999999997"/>
    <n v="0"/>
    <s v="France"/>
    <x v="1"/>
  </r>
  <r>
    <n v="2024001076"/>
    <x v="69"/>
    <n v="2024"/>
    <x v="45"/>
    <s v="PROD_004"/>
    <s v="Desk Chair"/>
    <s v="Furniture"/>
    <n v="1"/>
    <n v="347.13"/>
    <n v="347.13"/>
    <n v="347.13"/>
    <n v="0"/>
    <s v="Netherlands"/>
    <x v="1"/>
  </r>
  <r>
    <n v="2024001077"/>
    <x v="70"/>
    <n v="2024"/>
    <x v="54"/>
    <s v="PROD_010"/>
    <s v="Webcam HD"/>
    <s v="Electronics"/>
    <n v="1"/>
    <n v="98.37"/>
    <n v="98.37"/>
    <n v="98.37"/>
    <n v="0"/>
    <s v="UK"/>
    <x v="2"/>
  </r>
  <r>
    <n v="2024001078"/>
    <x v="71"/>
    <n v="2024"/>
    <x v="55"/>
    <s v="PROD_010"/>
    <s v="Webcam HD"/>
    <s v="Electronics"/>
    <n v="2"/>
    <n v="92.91"/>
    <n v="185.82"/>
    <n v="185.82"/>
    <n v="0"/>
    <s v="Belgium"/>
    <x v="2"/>
  </r>
  <r>
    <n v="2024001079"/>
    <x v="72"/>
    <n v="2024"/>
    <x v="35"/>
    <s v="PROD_009"/>
    <s v="Phone Stand"/>
    <s v="Accessories"/>
    <n v="1"/>
    <n v="25.67"/>
    <n v="25.67"/>
    <n v="25.67"/>
    <n v="0"/>
    <s v="France"/>
    <x v="2"/>
  </r>
  <r>
    <n v="2024001080"/>
    <x v="73"/>
    <n v="2024"/>
    <x v="56"/>
    <s v="PROD_006"/>
    <s v="Monitor 27&quot;"/>
    <s v="Electronics"/>
    <n v="3"/>
    <n v="400.91"/>
    <n v="1202.73"/>
    <n v="1202.73"/>
    <n v="0"/>
    <s v="Italy"/>
    <x v="3"/>
  </r>
  <r>
    <n v="2024001081"/>
    <x v="74"/>
    <n v="2024"/>
    <x v="57"/>
    <s v="PROD_005"/>
    <s v="Standing Desk"/>
    <s v="Furniture"/>
    <n v="1"/>
    <n v="611.67999999999995"/>
    <n v="611.67999999999995"/>
    <n v="611.67999999999995"/>
    <n v="0"/>
    <s v="UK"/>
    <x v="3"/>
  </r>
  <r>
    <n v="2024001082"/>
    <x v="75"/>
    <n v="2024"/>
    <x v="19"/>
    <s v="PROD_001"/>
    <s v="Laptop Pro"/>
    <s v="Electronics"/>
    <n v="2"/>
    <n v="1329.19"/>
    <n v="2658.38"/>
    <n v="2658.38"/>
    <n v="0"/>
    <s v="Netherlands"/>
    <x v="1"/>
  </r>
  <r>
    <n v="2024001083"/>
    <x v="64"/>
    <n v="2024"/>
    <x v="58"/>
    <s v="PROD_010"/>
    <s v="Webcam HD"/>
    <s v="Electronics"/>
    <n v="4"/>
    <n v="86.55"/>
    <n v="346.2"/>
    <n v="346.2"/>
    <n v="0"/>
    <s v="Switzerland"/>
    <x v="0"/>
  </r>
  <r>
    <n v="2024001084"/>
    <x v="76"/>
    <n v="2024"/>
    <x v="0"/>
    <s v="PROD_005"/>
    <s v="Standing Desk"/>
    <s v="Furniture"/>
    <n v="1"/>
    <n v="595.27"/>
    <n v="595.27"/>
    <n v="595.27"/>
    <n v="0"/>
    <s v="Sweden"/>
    <x v="3"/>
  </r>
  <r>
    <n v="2024001085"/>
    <x v="58"/>
    <n v="2024"/>
    <x v="59"/>
    <s v="PROD_005"/>
    <s v="Standing Desk"/>
    <s v="Furniture"/>
    <n v="5"/>
    <n v="559.35"/>
    <n v="2796.75"/>
    <n v="2796.75"/>
    <n v="0"/>
    <s v="Netherlands"/>
    <x v="1"/>
  </r>
  <r>
    <n v="2024001086"/>
    <x v="77"/>
    <n v="2024"/>
    <x v="60"/>
    <s v="PROD_001"/>
    <s v="Laptop Pro"/>
    <s v="Electronics"/>
    <n v="1"/>
    <n v="1109.1300000000001"/>
    <n v="1109.1300000000001"/>
    <n v="1109.1300000000001"/>
    <n v="0"/>
    <s v="UK"/>
    <x v="2"/>
  </r>
  <r>
    <n v="2024001087"/>
    <x v="78"/>
    <n v="2024"/>
    <x v="61"/>
    <s v="PROD_005"/>
    <s v="Standing Desk"/>
    <s v="Furniture"/>
    <n v="2"/>
    <n v="620.39"/>
    <n v="1240.78"/>
    <n v="1240.78"/>
    <n v="0"/>
    <s v="Germany"/>
    <x v="0"/>
  </r>
  <r>
    <n v="2024001088"/>
    <x v="73"/>
    <n v="2024"/>
    <x v="48"/>
    <s v="PROD_002"/>
    <s v="Wireless Mouse"/>
    <s v="Electronics"/>
    <n v="2"/>
    <n v="44.3"/>
    <n v="88.6"/>
    <n v="88.6"/>
    <n v="0"/>
    <s v="Netherlands"/>
    <x v="2"/>
  </r>
  <r>
    <n v="2024001089"/>
    <x v="79"/>
    <n v="2024"/>
    <x v="62"/>
    <s v="PROD_001"/>
    <s v="Laptop Pro"/>
    <s v="Electronics"/>
    <n v="1"/>
    <n v="1129.81"/>
    <n v="1129.81"/>
    <n v="1129.81"/>
    <n v="0"/>
    <s v="Sweden"/>
    <x v="1"/>
  </r>
  <r>
    <n v="2024001090"/>
    <x v="63"/>
    <n v="2024"/>
    <x v="63"/>
    <s v="PROD_001"/>
    <s v="Laptop Pro"/>
    <s v="Electronics"/>
    <n v="3"/>
    <n v="1052.8599999999999"/>
    <n v="3158.58"/>
    <n v="3158.58"/>
    <n v="0"/>
    <s v="France"/>
    <x v="2"/>
  </r>
  <r>
    <n v="2024001091"/>
    <x v="80"/>
    <n v="2024"/>
    <x v="64"/>
    <s v="PROD_001"/>
    <s v="Laptop Pro"/>
    <s v="Electronics"/>
    <n v="2"/>
    <n v="1145.92"/>
    <n v="2291.84"/>
    <n v="2291.84"/>
    <n v="0"/>
    <s v="Italy"/>
    <x v="0"/>
  </r>
  <r>
    <n v="2024001092"/>
    <x v="81"/>
    <n v="2024"/>
    <x v="65"/>
    <s v="PROD_005"/>
    <s v="Standing Desk"/>
    <s v="Furniture"/>
    <n v="2"/>
    <n v="580.66999999999996"/>
    <n v="1161.3399999999999"/>
    <n v="1161.3399999999999"/>
    <n v="0"/>
    <s v="Italy"/>
    <x v="0"/>
  </r>
  <r>
    <n v="2024001093"/>
    <x v="2"/>
    <n v="2024"/>
    <x v="66"/>
    <s v="PROD_003"/>
    <s v="USB-C Cable"/>
    <s v="Electronics"/>
    <n v="1"/>
    <n v="16.02"/>
    <n v="16.02"/>
    <n v="16.02"/>
    <n v="0"/>
    <s v="Spain"/>
    <x v="0"/>
  </r>
  <r>
    <n v="2024001094"/>
    <x v="82"/>
    <n v="2024"/>
    <x v="0"/>
    <s v="PROD_002"/>
    <s v="Wireless Mouse"/>
    <s v="Electronics"/>
    <n v="1"/>
    <n v="45.75"/>
    <n v="45.75"/>
    <n v="45.75"/>
    <n v="0"/>
    <s v="Germany"/>
    <x v="0"/>
  </r>
  <r>
    <n v="2024001095"/>
    <x v="83"/>
    <n v="2024"/>
    <x v="67"/>
    <s v="PROD_002"/>
    <s v="Wireless Mouse"/>
    <s v="Electronics"/>
    <n v="3"/>
    <n v="43.32"/>
    <n v="129.96"/>
    <n v="129.96"/>
    <n v="0"/>
    <s v="Netherlands"/>
    <x v="3"/>
  </r>
  <r>
    <n v="2024001096"/>
    <x v="84"/>
    <n v="2024"/>
    <x v="68"/>
    <s v="PROD_009"/>
    <s v="Phone Stand"/>
    <s v="Accessories"/>
    <n v="2"/>
    <n v="21.74"/>
    <n v="43.48"/>
    <n v="43.48"/>
    <n v="0"/>
    <s v="Italy"/>
    <x v="2"/>
  </r>
  <r>
    <n v="2024001097"/>
    <x v="2"/>
    <n v="2024"/>
    <x v="69"/>
    <s v="PROD_003"/>
    <s v="USB-C Cable"/>
    <s v="Electronics"/>
    <n v="4"/>
    <n v="14.51"/>
    <n v="58.04"/>
    <n v="58.04"/>
    <n v="0"/>
    <s v="Germany"/>
    <x v="0"/>
  </r>
  <r>
    <n v="2024001098"/>
    <x v="85"/>
    <n v="2024"/>
    <x v="70"/>
    <s v="PROD_002"/>
    <s v="Wireless Mouse"/>
    <s v="Electronics"/>
    <n v="1"/>
    <n v="46.99"/>
    <n v="46.99"/>
    <n v="46.99"/>
    <n v="0"/>
    <s v="Spain"/>
    <x v="2"/>
  </r>
  <r>
    <n v="2024001099"/>
    <x v="86"/>
    <n v="2024"/>
    <x v="71"/>
    <s v="PROD_007"/>
    <s v="Keyboard Mechanical"/>
    <s v="Electronics"/>
    <n v="2"/>
    <n v="119.18"/>
    <n v="238.36"/>
    <n v="238.36"/>
    <n v="0"/>
    <s v="France"/>
    <x v="2"/>
  </r>
  <r>
    <n v="2024001100"/>
    <x v="87"/>
    <n v="2024"/>
    <x v="72"/>
    <s v="PROD_008"/>
    <s v="Desk Lamp"/>
    <s v="Furniture"/>
    <n v="3"/>
    <n v="80.510000000000005"/>
    <n v="241.53"/>
    <n v="241.53000000000003"/>
    <n v="0"/>
    <s v="Germany"/>
    <x v="2"/>
  </r>
  <r>
    <n v="2024001101"/>
    <x v="88"/>
    <n v="2024"/>
    <x v="73"/>
    <s v="PROD_003"/>
    <s v="USB-C Cable"/>
    <s v="Electronics"/>
    <n v="2"/>
    <n v="14.64"/>
    <n v="29.28"/>
    <n v="29.28"/>
    <n v="0"/>
    <s v="Belgium"/>
    <x v="1"/>
  </r>
  <r>
    <n v="2024001102"/>
    <x v="89"/>
    <n v="2024"/>
    <x v="0"/>
    <s v="PROD_006"/>
    <s v="Monitor 27&quot;"/>
    <s v="Electronics"/>
    <n v="2"/>
    <n v="411.2"/>
    <n v="822.4"/>
    <n v="822.4"/>
    <n v="0"/>
    <s v="Austria"/>
    <x v="1"/>
  </r>
  <r>
    <n v="2024001103"/>
    <x v="90"/>
    <n v="2024"/>
    <x v="27"/>
    <s v="PROD_002"/>
    <s v="Wireless Mouse"/>
    <s v="Electronics"/>
    <n v="2"/>
    <n v="42.95"/>
    <n v="85.9"/>
    <n v="85.9"/>
    <n v="0"/>
    <s v="UK"/>
    <x v="1"/>
  </r>
  <r>
    <n v="2024001104"/>
    <x v="91"/>
    <n v="2024"/>
    <x v="74"/>
    <s v="PROD_002"/>
    <s v="Wireless Mouse"/>
    <s v="Electronics"/>
    <n v="1"/>
    <n v="44.76"/>
    <n v="44.76"/>
    <n v="44.76"/>
    <n v="0"/>
    <s v="Sweden"/>
    <x v="0"/>
  </r>
  <r>
    <n v="2024001105"/>
    <x v="92"/>
    <n v="2024"/>
    <x v="75"/>
    <s v="PROD_010"/>
    <s v="Webcam HD"/>
    <s v="Electronics"/>
    <n v="2"/>
    <n v="85.34"/>
    <n v="170.68"/>
    <n v="170.68"/>
    <n v="0"/>
    <s v="Austria"/>
    <x v="0"/>
  </r>
  <r>
    <n v="2024001106"/>
    <x v="93"/>
    <n v="2024"/>
    <x v="36"/>
    <s v="PROD_009"/>
    <s v="Phone Stand"/>
    <s v="Accessories"/>
    <n v="2"/>
    <n v="23.47"/>
    <n v="46.94"/>
    <n v="46.94"/>
    <n v="0"/>
    <s v="France"/>
    <x v="0"/>
  </r>
  <r>
    <n v="2024001107"/>
    <x v="94"/>
    <n v="2024"/>
    <x v="76"/>
    <s v="PROD_008"/>
    <s v="Desk Lamp"/>
    <s v="Furniture"/>
    <n v="2"/>
    <n v="80.17"/>
    <n v="160.34"/>
    <n v="160.34"/>
    <n v="0"/>
    <s v="Spain"/>
    <x v="1"/>
  </r>
  <r>
    <n v="2024001108"/>
    <x v="95"/>
    <n v="2024"/>
    <x v="77"/>
    <s v="PROD_008"/>
    <s v="Desk Lamp"/>
    <s v="Furniture"/>
    <n v="1"/>
    <n v="73.94"/>
    <n v="73.94"/>
    <n v="73.94"/>
    <n v="0"/>
    <s v="Switzerland"/>
    <x v="0"/>
  </r>
  <r>
    <n v="2024001109"/>
    <x v="96"/>
    <n v="2024"/>
    <x v="78"/>
    <s v="PROD_008"/>
    <s v="Desk Lamp"/>
    <s v="Furniture"/>
    <n v="1"/>
    <n v="85.47"/>
    <n v="85.47"/>
    <n v="85.47"/>
    <n v="0"/>
    <s v="UK"/>
    <x v="1"/>
  </r>
  <r>
    <n v="2024001110"/>
    <x v="97"/>
    <n v="2024"/>
    <x v="79"/>
    <s v="PROD_002"/>
    <s v="Wireless Mouse"/>
    <s v="Electronics"/>
    <n v="1"/>
    <n v="41.39"/>
    <n v="41.39"/>
    <n v="41.39"/>
    <n v="0"/>
    <s v="Austria"/>
    <x v="1"/>
  </r>
  <r>
    <n v="2024001111"/>
    <x v="98"/>
    <n v="2024"/>
    <x v="54"/>
    <s v="PROD_007"/>
    <s v="Keyboard Mechanical"/>
    <s v="Electronics"/>
    <n v="1"/>
    <n v="121.22"/>
    <n v="121.22"/>
    <n v="121.22"/>
    <n v="0"/>
    <s v="Belgium"/>
    <x v="0"/>
  </r>
  <r>
    <n v="2024001112"/>
    <x v="88"/>
    <n v="2024"/>
    <x v="80"/>
    <s v="PROD_009"/>
    <s v="Phone Stand"/>
    <s v="Accessories"/>
    <n v="3"/>
    <n v="27.11"/>
    <n v="81.33"/>
    <n v="81.33"/>
    <n v="0"/>
    <s v="UK"/>
    <x v="2"/>
  </r>
  <r>
    <n v="2024001113"/>
    <x v="99"/>
    <n v="2024"/>
    <x v="81"/>
    <s v="PROD_004"/>
    <s v="Desk Chair"/>
    <s v="Furniture"/>
    <n v="2"/>
    <n v="365.43"/>
    <n v="730.86"/>
    <n v="730.86"/>
    <n v="0"/>
    <s v="Germany"/>
    <x v="1"/>
  </r>
  <r>
    <n v="2024001114"/>
    <x v="100"/>
    <n v="2024"/>
    <x v="82"/>
    <s v="PROD_003"/>
    <s v="USB-C Cable"/>
    <s v="Electronics"/>
    <n v="1"/>
    <n v="15.53"/>
    <n v="15.53"/>
    <n v="15.53"/>
    <n v="0"/>
    <s v="Germany"/>
    <x v="1"/>
  </r>
  <r>
    <n v="2024001115"/>
    <x v="101"/>
    <n v="2024"/>
    <x v="83"/>
    <s v="PROD_009"/>
    <s v="Phone Stand"/>
    <s v="Accessories"/>
    <n v="1"/>
    <n v="24.64"/>
    <n v="24.64"/>
    <n v="24.64"/>
    <n v="0"/>
    <s v="Netherlands"/>
    <x v="2"/>
  </r>
  <r>
    <n v="2024001116"/>
    <x v="20"/>
    <n v="2024"/>
    <x v="84"/>
    <s v="PROD_007"/>
    <s v="Keyboard Mechanical"/>
    <s v="Electronics"/>
    <n v="1"/>
    <n v="124.78"/>
    <n v="124.78"/>
    <n v="124.78"/>
    <n v="0"/>
    <s v="Netherlands"/>
    <x v="0"/>
  </r>
  <r>
    <n v="2024001117"/>
    <x v="102"/>
    <n v="2024"/>
    <x v="13"/>
    <s v="PROD_009"/>
    <s v="Phone Stand"/>
    <s v="Accessories"/>
    <n v="2"/>
    <n v="25.18"/>
    <n v="50.36"/>
    <n v="50.36"/>
    <n v="0"/>
    <s v="Switzerland"/>
    <x v="0"/>
  </r>
  <r>
    <n v="2024001118"/>
    <x v="103"/>
    <n v="2024"/>
    <x v="80"/>
    <s v="PROD_005"/>
    <s v="Standing Desk"/>
    <s v="Furniture"/>
    <n v="1"/>
    <n v="577.1"/>
    <n v="577.1"/>
    <n v="577.1"/>
    <n v="0"/>
    <s v="France"/>
    <x v="3"/>
  </r>
  <r>
    <n v="2024001119"/>
    <x v="23"/>
    <n v="2024"/>
    <x v="85"/>
    <s v="PROD_001"/>
    <s v="Laptop Pro"/>
    <s v="Electronics"/>
    <n v="2"/>
    <n v="1091.71"/>
    <n v="2183.42"/>
    <n v="2183.42"/>
    <n v="0"/>
    <s v="Netherlands"/>
    <x v="2"/>
  </r>
  <r>
    <n v="2024001120"/>
    <x v="104"/>
    <n v="2024"/>
    <x v="67"/>
    <s v="PROD_001"/>
    <s v="Laptop Pro"/>
    <s v="Electronics"/>
    <n v="1"/>
    <n v="1324.02"/>
    <n v="1324.02"/>
    <n v="1324.02"/>
    <n v="0"/>
    <s v="Sweden"/>
    <x v="3"/>
  </r>
  <r>
    <n v="2024001121"/>
    <x v="105"/>
    <n v="2024"/>
    <x v="86"/>
    <s v="PROD_002"/>
    <s v="Wireless Mouse"/>
    <s v="Electronics"/>
    <n v="1"/>
    <n v="40.619999999999997"/>
    <n v="40.619999999999997"/>
    <n v="40.619999999999997"/>
    <n v="0"/>
    <s v="Italy"/>
    <x v="2"/>
  </r>
  <r>
    <n v="2024001122"/>
    <x v="41"/>
    <n v="2024"/>
    <x v="87"/>
    <s v="PROD_008"/>
    <s v="Desk Lamp"/>
    <s v="Furniture"/>
    <n v="2"/>
    <n v="79.150000000000006"/>
    <n v="158.30000000000001"/>
    <n v="158.30000000000001"/>
    <n v="0"/>
    <s v="Italy"/>
    <x v="0"/>
  </r>
  <r>
    <n v="2024001123"/>
    <x v="106"/>
    <n v="2024"/>
    <x v="18"/>
    <s v="PROD_002"/>
    <s v="Wireless Mouse"/>
    <s v="Electronics"/>
    <n v="1"/>
    <n v="45.36"/>
    <n v="45.36"/>
    <n v="45.36"/>
    <n v="0"/>
    <s v="UK"/>
    <x v="2"/>
  </r>
  <r>
    <n v="2024001124"/>
    <x v="10"/>
    <n v="2024"/>
    <x v="88"/>
    <s v="PROD_008"/>
    <s v="Desk Lamp"/>
    <s v="Furniture"/>
    <n v="3"/>
    <n v="83.05"/>
    <n v="249.15"/>
    <n v="249.14999999999998"/>
    <n v="0"/>
    <s v="UK"/>
    <x v="2"/>
  </r>
  <r>
    <n v="2024001125"/>
    <x v="68"/>
    <n v="2024"/>
    <x v="74"/>
    <s v="PROD_003"/>
    <s v="USB-C Cable"/>
    <s v="Electronics"/>
    <n v="2"/>
    <n v="15.48"/>
    <n v="30.96"/>
    <n v="30.96"/>
    <n v="0"/>
    <s v="Sweden"/>
    <x v="0"/>
  </r>
  <r>
    <n v="2024001059"/>
    <x v="107"/>
    <n v="2024"/>
    <x v="89"/>
    <s v="PROD_010"/>
    <s v="Webcam HD"/>
    <s v="Electronics"/>
    <n v="1"/>
    <n v="88.87"/>
    <n v="88.87"/>
    <n v="88.87"/>
    <n v="0"/>
    <s v="UK"/>
    <x v="2"/>
  </r>
  <r>
    <n v="2024001127"/>
    <x v="108"/>
    <n v="2024"/>
    <x v="65"/>
    <s v="PROD_001"/>
    <s v="Laptop Pro"/>
    <s v="Electronics"/>
    <n v="1"/>
    <n v="1278.06"/>
    <n v="1278.06"/>
    <n v="1278.06"/>
    <n v="0"/>
    <s v="France"/>
    <x v="1"/>
  </r>
  <r>
    <n v="2024001128"/>
    <x v="109"/>
    <n v="2024"/>
    <x v="31"/>
    <s v="PROD_008"/>
    <s v="Desk Lamp"/>
    <s v="Furniture"/>
    <n v="2"/>
    <n v="74.09"/>
    <n v="148.18"/>
    <n v="148.18"/>
    <n v="0"/>
    <s v="Spain"/>
    <x v="1"/>
  </r>
  <r>
    <n v="2024001129"/>
    <x v="110"/>
    <n v="2024"/>
    <x v="90"/>
    <s v="PROD_001"/>
    <s v="Laptop Pro"/>
    <s v="Electronics"/>
    <n v="2"/>
    <n v="1268.6300000000001"/>
    <n v="2537.2600000000002"/>
    <n v="2537.2600000000002"/>
    <n v="0"/>
    <s v="Belgium"/>
    <x v="1"/>
  </r>
  <r>
    <n v="2024001130"/>
    <x v="111"/>
    <n v="2024"/>
    <x v="91"/>
    <s v="PROD_009"/>
    <s v="Phone Stand"/>
    <s v="Accessories"/>
    <n v="1"/>
    <n v="26.04"/>
    <n v="26.04"/>
    <n v="26.04"/>
    <n v="0"/>
    <s v="Spain"/>
    <x v="0"/>
  </r>
  <r>
    <n v="2024001131"/>
    <x v="112"/>
    <n v="2024"/>
    <x v="41"/>
    <s v="PROD_005"/>
    <s v="Standing Desk"/>
    <s v="Furniture"/>
    <n v="3"/>
    <n v="574.32000000000005"/>
    <n v="1722.96"/>
    <n v="1722.96"/>
    <n v="0"/>
    <s v="France"/>
    <x v="0"/>
  </r>
  <r>
    <n v="2024001132"/>
    <x v="113"/>
    <n v="2024"/>
    <x v="92"/>
    <s v="PROD_004"/>
    <s v="Desk Chair"/>
    <s v="Furniture"/>
    <n v="1"/>
    <n v="350.97"/>
    <n v="350.97"/>
    <n v="350.97"/>
    <n v="0"/>
    <s v="Switzerland"/>
    <x v="2"/>
  </r>
  <r>
    <n v="2024001133"/>
    <x v="111"/>
    <n v="2024"/>
    <x v="0"/>
    <s v="PROD_004"/>
    <s v="Desk Chair"/>
    <s v="Furniture"/>
    <n v="2"/>
    <n v="393.85"/>
    <n v="787.7"/>
    <n v="787.7"/>
    <n v="0"/>
    <s v="Germany"/>
    <x v="1"/>
  </r>
  <r>
    <n v="2024001134"/>
    <x v="114"/>
    <n v="2024"/>
    <x v="93"/>
    <s v="PROD_003"/>
    <s v="USB-C Cable"/>
    <s v="Electronics"/>
    <n v="2"/>
    <n v="15.54"/>
    <n v="31.08"/>
    <n v="31.08"/>
    <n v="0"/>
    <s v="Spain"/>
    <x v="1"/>
  </r>
  <r>
    <n v="2024001135"/>
    <x v="115"/>
    <n v="2024"/>
    <x v="0"/>
    <s v="PROD_010"/>
    <s v="Webcam HD"/>
    <s v="Electronics"/>
    <n v="1"/>
    <n v="97.05"/>
    <n v="97.05"/>
    <n v="97.05"/>
    <n v="0"/>
    <s v="Netherlands"/>
    <x v="3"/>
  </r>
  <r>
    <n v="2024001136"/>
    <x v="116"/>
    <n v="2024"/>
    <x v="14"/>
    <s v="PROD_008"/>
    <s v="Desk Lamp"/>
    <s v="Furniture"/>
    <n v="2"/>
    <n v="79.19"/>
    <n v="158.38"/>
    <n v="158.38"/>
    <n v="0"/>
    <s v="Spain"/>
    <x v="3"/>
  </r>
  <r>
    <n v="2024001137"/>
    <x v="117"/>
    <n v="2024"/>
    <x v="94"/>
    <s v="PROD_008"/>
    <s v="Desk Lamp"/>
    <s v="Furniture"/>
    <n v="1"/>
    <n v="80.19"/>
    <n v="80.19"/>
    <n v="80.19"/>
    <n v="0"/>
    <s v="Sweden"/>
    <x v="2"/>
  </r>
  <r>
    <n v="2024001138"/>
    <x v="118"/>
    <n v="2024"/>
    <x v="95"/>
    <s v="PROD_010"/>
    <s v="Webcam HD"/>
    <s v="Electronics"/>
    <n v="1"/>
    <n v="88.52"/>
    <n v="88.52"/>
    <n v="88.52"/>
    <n v="0"/>
    <s v="Sweden"/>
    <x v="0"/>
  </r>
  <r>
    <n v="2024001139"/>
    <x v="119"/>
    <n v="2024"/>
    <x v="66"/>
    <s v="PROD_006"/>
    <s v="Monitor 27&quot;"/>
    <s v="Electronics"/>
    <n v="2"/>
    <n v="390.59"/>
    <n v="781.18"/>
    <n v="781.18"/>
    <n v="0"/>
    <s v="Switzerland"/>
    <x v="1"/>
  </r>
  <r>
    <n v="2024001140"/>
    <x v="120"/>
    <n v="2024"/>
    <x v="0"/>
    <s v="PROD_009"/>
    <s v="Phone Stand"/>
    <s v="Accessories"/>
    <n v="2"/>
    <n v="25.77"/>
    <n v="51.54"/>
    <n v="51.54"/>
    <n v="0"/>
    <s v="Sweden"/>
    <x v="2"/>
  </r>
  <r>
    <n v="2024001141"/>
    <x v="121"/>
    <n v="2024"/>
    <x v="11"/>
    <s v="PROD_004"/>
    <s v="Desk Chair"/>
    <s v="Furniture"/>
    <n v="2"/>
    <n v="338.97"/>
    <n v="677.94"/>
    <n v="677.94"/>
    <n v="0"/>
    <s v="Netherlands"/>
    <x v="0"/>
  </r>
  <r>
    <n v="2024001142"/>
    <x v="122"/>
    <n v="2024"/>
    <x v="96"/>
    <s v="PROD_003"/>
    <s v="USB-C Cable"/>
    <s v="Electronics"/>
    <n v="1"/>
    <n v="14.1"/>
    <n v="14.1"/>
    <n v="14.1"/>
    <n v="0"/>
    <s v="Italy"/>
    <x v="3"/>
  </r>
  <r>
    <n v="2024001143"/>
    <x v="123"/>
    <n v="2024"/>
    <x v="46"/>
    <s v="PROD_006"/>
    <s v="Monitor 27&quot;"/>
    <s v="Electronics"/>
    <n v="1"/>
    <n v="405.54"/>
    <n v="405.54"/>
    <n v="405.54"/>
    <n v="0"/>
    <s v="Germany"/>
    <x v="2"/>
  </r>
  <r>
    <n v="2024001144"/>
    <x v="124"/>
    <n v="2024"/>
    <x v="97"/>
    <s v="PROD_009"/>
    <s v="Phone Stand"/>
    <s v="Accessories"/>
    <n v="1"/>
    <n v="24"/>
    <n v="24"/>
    <n v="24"/>
    <n v="0"/>
    <s v="Switzerland"/>
    <x v="2"/>
  </r>
  <r>
    <n v="2024001145"/>
    <x v="69"/>
    <n v="2024"/>
    <x v="76"/>
    <s v="PROD_007"/>
    <s v="Keyboard Mechanical"/>
    <s v="Electronics"/>
    <n v="1"/>
    <n v="119.01"/>
    <n v="119.01"/>
    <n v="119.01"/>
    <n v="0"/>
    <s v="Switzerland"/>
    <x v="1"/>
  </r>
  <r>
    <n v="2024001146"/>
    <x v="125"/>
    <n v="2024"/>
    <x v="0"/>
    <s v="PROD_001"/>
    <s v="Laptop Pro"/>
    <s v="Electronics"/>
    <n v="1"/>
    <n v="1354.2"/>
    <n v="1354.2"/>
    <n v="1354.2"/>
    <n v="0"/>
    <s v="Germany"/>
    <x v="2"/>
  </r>
  <r>
    <n v="2024001147"/>
    <x v="126"/>
    <n v="2024"/>
    <x v="98"/>
    <s v="PROD_002"/>
    <s v="Wireless Mouse"/>
    <s v="Electronics"/>
    <n v="2"/>
    <n v="42.51"/>
    <n v="85.02"/>
    <n v="85.02"/>
    <n v="0"/>
    <s v="France"/>
    <x v="0"/>
  </r>
  <r>
    <n v="2024001148"/>
    <x v="84"/>
    <n v="2024"/>
    <x v="99"/>
    <s v="PROD_003"/>
    <s v="USB-C Cable"/>
    <s v="Electronics"/>
    <n v="1"/>
    <n v="15.22"/>
    <n v="15.22"/>
    <n v="15.22"/>
    <n v="0"/>
    <s v="Belgium"/>
    <x v="1"/>
  </r>
  <r>
    <n v="2024001149"/>
    <x v="82"/>
    <n v="2024"/>
    <x v="100"/>
    <s v="PROD_010"/>
    <s v="Webcam HD"/>
    <s v="Electronics"/>
    <n v="3"/>
    <n v="88.85"/>
    <n v="266.55"/>
    <n v="266.54999999999995"/>
    <n v="0"/>
    <s v="Germany"/>
    <x v="3"/>
  </r>
  <r>
    <n v="2024001150"/>
    <x v="127"/>
    <n v="2024"/>
    <x v="101"/>
    <s v="PROD_002"/>
    <s v="Wireless Mouse"/>
    <s v="Electronics"/>
    <n v="3"/>
    <n v="47.75"/>
    <n v="143.25"/>
    <n v="143.25"/>
    <n v="0"/>
    <s v="UK"/>
    <x v="3"/>
  </r>
  <r>
    <n v="2024001151"/>
    <x v="25"/>
    <n v="2024"/>
    <x v="8"/>
    <s v="PROD_009"/>
    <s v="Phone Stand"/>
    <s v="Accessories"/>
    <n v="3"/>
    <n v="22.28"/>
    <n v="66.84"/>
    <n v="66.84"/>
    <n v="0"/>
    <s v="UK"/>
    <x v="1"/>
  </r>
  <r>
    <n v="2024001152"/>
    <x v="128"/>
    <n v="2024"/>
    <x v="34"/>
    <s v="PROD_008"/>
    <s v="Desk Lamp"/>
    <s v="Furniture"/>
    <n v="1"/>
    <n v="83.26"/>
    <n v="83.26"/>
    <n v="83.26"/>
    <n v="0"/>
    <s v="Switzerland"/>
    <x v="0"/>
  </r>
  <r>
    <n v="2024001153"/>
    <x v="68"/>
    <n v="2024"/>
    <x v="0"/>
    <s v="PROD_006"/>
    <s v="Monitor 27&quot;"/>
    <s v="Electronics"/>
    <n v="1"/>
    <n v="381.19"/>
    <n v="381.19"/>
    <n v="381.19"/>
    <n v="0"/>
    <s v="Belgium"/>
    <x v="3"/>
  </r>
  <r>
    <n v="2024001154"/>
    <x v="129"/>
    <n v="2024"/>
    <x v="102"/>
    <s v="PROD_001"/>
    <s v="Laptop Pro"/>
    <s v="Electronics"/>
    <n v="1"/>
    <n v="1099.81"/>
    <n v="1099.81"/>
    <n v="1099.81"/>
    <n v="0"/>
    <s v="Germany"/>
    <x v="2"/>
  </r>
  <r>
    <n v="2024001155"/>
    <x v="95"/>
    <n v="2024"/>
    <x v="103"/>
    <s v="PROD_004"/>
    <s v="Desk Chair"/>
    <s v="Furniture"/>
    <n v="1"/>
    <n v="380.88"/>
    <n v="380.88"/>
    <n v="380.88"/>
    <n v="0"/>
    <s v="Germany"/>
    <x v="1"/>
  </r>
  <r>
    <n v="2024001156"/>
    <x v="130"/>
    <n v="2024"/>
    <x v="0"/>
    <s v="PROD_004"/>
    <s v="Desk Chair"/>
    <s v="Furniture"/>
    <n v="2"/>
    <n v="371.82"/>
    <n v="743.64"/>
    <n v="743.64"/>
    <n v="0"/>
    <s v="Germany"/>
    <x v="2"/>
  </r>
  <r>
    <n v="2024001157"/>
    <x v="62"/>
    <n v="2024"/>
    <x v="0"/>
    <s v="PROD_004"/>
    <s v="Desk Chair"/>
    <s v="Furniture"/>
    <n v="5"/>
    <n v="312.02999999999997"/>
    <n v="1560.15"/>
    <n v="1560.1499999999999"/>
    <n v="0"/>
    <s v="Switzerland"/>
    <x v="2"/>
  </r>
  <r>
    <n v="2024001158"/>
    <x v="131"/>
    <n v="2024"/>
    <x v="104"/>
    <s v="PROD_008"/>
    <s v="Desk Lamp"/>
    <s v="Furniture"/>
    <n v="5"/>
    <n v="74.66"/>
    <n v="373.3"/>
    <n v="373.29999999999995"/>
    <n v="0"/>
    <s v="Germany"/>
    <x v="1"/>
  </r>
  <r>
    <n v="2024001159"/>
    <x v="132"/>
    <n v="2024"/>
    <x v="6"/>
    <s v="PROD_009"/>
    <s v="Phone Stand"/>
    <s v="Accessories"/>
    <n v="2"/>
    <n v="24.85"/>
    <n v="49.7"/>
    <n v="49.7"/>
    <n v="0"/>
    <s v="Austria"/>
    <x v="1"/>
  </r>
  <r>
    <n v="2024001160"/>
    <x v="133"/>
    <n v="2024"/>
    <x v="105"/>
    <s v="PROD_006"/>
    <s v="Monitor 27&quot;"/>
    <s v="Electronics"/>
    <n v="3"/>
    <n v="400.37"/>
    <n v="1201.1099999999999"/>
    <n v="1201.1100000000001"/>
    <n v="0"/>
    <s v="Germany"/>
    <x v="1"/>
  </r>
  <r>
    <n v="2024001161"/>
    <x v="2"/>
    <n v="2024"/>
    <x v="69"/>
    <s v="PROD_006"/>
    <s v="Monitor 27&quot;"/>
    <s v="Electronics"/>
    <n v="4"/>
    <n v="406.95"/>
    <n v="1627.8"/>
    <n v="1627.8"/>
    <n v="0"/>
    <s v="Italy"/>
    <x v="0"/>
  </r>
  <r>
    <n v="2024001162"/>
    <x v="134"/>
    <n v="2024"/>
    <x v="12"/>
    <s v="PROD_006"/>
    <s v="Monitor 27&quot;"/>
    <s v="Electronics"/>
    <n v="1"/>
    <n v="398.62"/>
    <n v="398.62"/>
    <n v="398.62"/>
    <n v="0"/>
    <s v="Belgium"/>
    <x v="2"/>
  </r>
  <r>
    <n v="2024001163"/>
    <x v="135"/>
    <n v="2024"/>
    <x v="106"/>
    <s v="PROD_009"/>
    <s v="Phone Stand"/>
    <s v="Accessories"/>
    <n v="1"/>
    <n v="21.78"/>
    <n v="21.78"/>
    <n v="21.78"/>
    <n v="0"/>
    <s v="Switzerland"/>
    <x v="0"/>
  </r>
  <r>
    <n v="2024001164"/>
    <x v="136"/>
    <n v="2024"/>
    <x v="15"/>
    <s v="PROD_009"/>
    <s v="Phone Stand"/>
    <s v="Accessories"/>
    <n v="1"/>
    <n v="26.48"/>
    <n v="26.48"/>
    <n v="26.48"/>
    <n v="0"/>
    <s v="Italy"/>
    <x v="3"/>
  </r>
  <r>
    <n v="2024001165"/>
    <x v="137"/>
    <n v="2024"/>
    <x v="107"/>
    <s v="PROD_002"/>
    <s v="Wireless Mouse"/>
    <s v="Electronics"/>
    <n v="1"/>
    <n v="45.58"/>
    <n v="45.58"/>
    <n v="45.58"/>
    <n v="0"/>
    <s v="France"/>
    <x v="1"/>
  </r>
  <r>
    <n v="2024001166"/>
    <x v="2"/>
    <n v="2024"/>
    <x v="108"/>
    <s v="PROD_003"/>
    <s v="USB-C Cable"/>
    <s v="Electronics"/>
    <n v="1"/>
    <n v="13.86"/>
    <n v="13.86"/>
    <n v="13.86"/>
    <n v="0"/>
    <s v="Spain"/>
    <x v="2"/>
  </r>
  <r>
    <n v="2024001167"/>
    <x v="138"/>
    <n v="2024"/>
    <x v="0"/>
    <s v="PROD_007"/>
    <s v="Keyboard Mechanical"/>
    <s v="Electronics"/>
    <n v="2"/>
    <n v="115.21"/>
    <n v="230.42"/>
    <n v="230.42"/>
    <n v="0"/>
    <s v="Netherlands"/>
    <x v="0"/>
  </r>
  <r>
    <n v="2024001168"/>
    <x v="139"/>
    <n v="2024"/>
    <x v="109"/>
    <s v="PROD_008"/>
    <s v="Desk Lamp"/>
    <s v="Furniture"/>
    <n v="4"/>
    <n v="76.569999999999993"/>
    <n v="306.27999999999997"/>
    <n v="306.27999999999997"/>
    <n v="0"/>
    <s v="Spain"/>
    <x v="1"/>
  </r>
  <r>
    <n v="2024001169"/>
    <x v="140"/>
    <n v="2024"/>
    <x v="0"/>
    <s v="PROD_003"/>
    <s v="USB-C Cable"/>
    <s v="Electronics"/>
    <n v="2"/>
    <n v="15.53"/>
    <n v="31.06"/>
    <n v="31.06"/>
    <n v="0"/>
    <s v="France"/>
    <x v="0"/>
  </r>
  <r>
    <n v="2024001170"/>
    <x v="96"/>
    <n v="2024"/>
    <x v="0"/>
    <s v="PROD_002"/>
    <s v="Wireless Mouse"/>
    <s v="Electronics"/>
    <n v="2"/>
    <n v="40.229999999999997"/>
    <n v="80.459999999999994"/>
    <n v="80.459999999999994"/>
    <n v="0"/>
    <s v="Switzerland"/>
    <x v="2"/>
  </r>
  <r>
    <n v="2024001171"/>
    <x v="141"/>
    <n v="2024"/>
    <x v="0"/>
    <s v="PROD_009"/>
    <s v="Phone Stand"/>
    <s v="Accessories"/>
    <n v="2"/>
    <n v="24.56"/>
    <n v="49.12"/>
    <n v="49.12"/>
    <n v="0"/>
    <s v="Switzerland"/>
    <x v="0"/>
  </r>
  <r>
    <n v="2024001172"/>
    <x v="142"/>
    <n v="2024"/>
    <x v="110"/>
    <s v="PROD_003"/>
    <s v="USB-C Cable"/>
    <s v="Electronics"/>
    <n v="3"/>
    <n v="15.47"/>
    <n v="46.41"/>
    <n v="46.410000000000004"/>
    <n v="0"/>
    <s v="Netherlands"/>
    <x v="0"/>
  </r>
  <r>
    <n v="2024001173"/>
    <x v="143"/>
    <n v="2024"/>
    <x v="37"/>
    <s v="PROD_005"/>
    <s v="Standing Desk"/>
    <s v="Furniture"/>
    <n v="1"/>
    <n v="629.17999999999995"/>
    <n v="629.17999999999995"/>
    <n v="629.17999999999995"/>
    <n v="0"/>
    <s v="France"/>
    <x v="2"/>
  </r>
  <r>
    <n v="2024001174"/>
    <x v="144"/>
    <n v="2024"/>
    <x v="111"/>
    <s v="PROD_007"/>
    <s v="Keyboard Mechanical"/>
    <s v="Electronics"/>
    <n v="2"/>
    <n v="124.15"/>
    <n v="248.3"/>
    <n v="248.3"/>
    <n v="0"/>
    <s v="France"/>
    <x v="1"/>
  </r>
  <r>
    <n v="2024001175"/>
    <x v="20"/>
    <n v="2024"/>
    <x v="112"/>
    <s v="PROD_009"/>
    <s v="Phone Stand"/>
    <s v="Accessories"/>
    <n v="4"/>
    <n v="26.61"/>
    <n v="106.44"/>
    <n v="106.44"/>
    <n v="0"/>
    <s v="Sweden"/>
    <x v="2"/>
  </r>
  <r>
    <n v="2024001176"/>
    <x v="96"/>
    <n v="2024"/>
    <x v="113"/>
    <s v="PROD_010"/>
    <s v="Webcam HD"/>
    <s v="Electronics"/>
    <n v="2"/>
    <n v="81.209999999999994"/>
    <n v="162.41999999999999"/>
    <n v="162.41999999999999"/>
    <n v="0"/>
    <s v="Italy"/>
    <x v="1"/>
  </r>
  <r>
    <n v="2024001177"/>
    <x v="145"/>
    <n v="2024"/>
    <x v="114"/>
    <s v="PROD_008"/>
    <s v="Desk Lamp"/>
    <s v="Furniture"/>
    <n v="5"/>
    <n v="78.88"/>
    <n v="394.4"/>
    <n v="394.4"/>
    <n v="0"/>
    <s v="Belgium"/>
    <x v="2"/>
  </r>
  <r>
    <n v="2024001178"/>
    <x v="78"/>
    <n v="2024"/>
    <x v="115"/>
    <s v="PROD_004"/>
    <s v="Desk Chair"/>
    <s v="Furniture"/>
    <n v="3"/>
    <n v="366.42"/>
    <n v="1099.26"/>
    <n v="1099.26"/>
    <n v="0"/>
    <s v="France"/>
    <x v="0"/>
  </r>
  <r>
    <n v="2024001179"/>
    <x v="146"/>
    <n v="2024"/>
    <x v="47"/>
    <s v="PROD_003"/>
    <s v="USB-C Cable"/>
    <s v="Electronics"/>
    <n v="2"/>
    <n v="14.61"/>
    <n v="29.22"/>
    <n v="29.22"/>
    <n v="0"/>
    <s v="Germany"/>
    <x v="1"/>
  </r>
  <r>
    <n v="2024001180"/>
    <x v="147"/>
    <n v="2024"/>
    <x v="0"/>
    <s v="PROD_008"/>
    <s v="Desk Lamp"/>
    <s v="Furniture"/>
    <n v="1"/>
    <n v="85.78"/>
    <n v="85.78"/>
    <n v="85.78"/>
    <n v="0"/>
    <s v="Switzerland"/>
    <x v="2"/>
  </r>
  <r>
    <n v="2024001181"/>
    <x v="148"/>
    <n v="2024"/>
    <x v="116"/>
    <s v="PROD_001"/>
    <s v="Laptop Pro"/>
    <s v="Electronics"/>
    <n v="3"/>
    <n v="1085.73"/>
    <n v="3257.19"/>
    <n v="3257.19"/>
    <n v="0"/>
    <s v="Sweden"/>
    <x v="3"/>
  </r>
  <r>
    <n v="2024001182"/>
    <x v="80"/>
    <n v="2024"/>
    <x v="117"/>
    <s v="PROD_010"/>
    <s v="Webcam HD"/>
    <s v="Electronics"/>
    <n v="5"/>
    <n v="92.88"/>
    <n v="464.4"/>
    <n v="464.4"/>
    <n v="0"/>
    <s v="Belgium"/>
    <x v="0"/>
  </r>
  <r>
    <n v="2024001183"/>
    <x v="149"/>
    <n v="2024"/>
    <x v="118"/>
    <s v="PROD_009"/>
    <s v="Phone Stand"/>
    <s v="Accessories"/>
    <n v="2"/>
    <n v="24.79"/>
    <n v="49.58"/>
    <n v="49.58"/>
    <n v="0"/>
    <s v="Austria"/>
    <x v="0"/>
  </r>
  <r>
    <n v="2024001184"/>
    <x v="150"/>
    <n v="2024"/>
    <x v="0"/>
    <s v="PROD_004"/>
    <s v="Desk Chair"/>
    <s v="Furniture"/>
    <n v="2"/>
    <n v="342.65"/>
    <n v="685.3"/>
    <n v="685.3"/>
    <n v="0"/>
    <s v="Switzerland"/>
    <x v="0"/>
  </r>
  <r>
    <n v="2024001185"/>
    <x v="117"/>
    <n v="2024"/>
    <x v="81"/>
    <s v="PROD_005"/>
    <s v="Standing Desk"/>
    <s v="Furniture"/>
    <n v="1"/>
    <n v="591.54999999999995"/>
    <n v="591.54999999999995"/>
    <n v="591.54999999999995"/>
    <n v="0"/>
    <s v="France"/>
    <x v="2"/>
  </r>
  <r>
    <n v="2024001186"/>
    <x v="151"/>
    <n v="2024"/>
    <x v="85"/>
    <s v="PROD_010"/>
    <s v="Webcam HD"/>
    <s v="Electronics"/>
    <n v="3"/>
    <n v="92.53"/>
    <n v="277.58999999999997"/>
    <n v="277.59000000000003"/>
    <n v="0"/>
    <s v="Belgium"/>
    <x v="3"/>
  </r>
  <r>
    <n v="2024001187"/>
    <x v="49"/>
    <n v="2024"/>
    <x v="119"/>
    <s v="PROD_002"/>
    <s v="Wireless Mouse"/>
    <s v="Electronics"/>
    <n v="1"/>
    <n v="41.55"/>
    <n v="41.55"/>
    <n v="41.55"/>
    <n v="0"/>
    <s v="Spain"/>
    <x v="3"/>
  </r>
  <r>
    <n v="2024001188"/>
    <x v="152"/>
    <n v="2024"/>
    <x v="0"/>
    <s v="PROD_008"/>
    <s v="Desk Lamp"/>
    <s v="Furniture"/>
    <n v="4"/>
    <n v="84.67"/>
    <n v="338.68"/>
    <n v="338.68"/>
    <n v="0"/>
    <s v="Sweden"/>
    <x v="1"/>
  </r>
  <r>
    <n v="2024001189"/>
    <x v="153"/>
    <n v="2024"/>
    <x v="0"/>
    <s v="PROD_009"/>
    <s v="Phone Stand"/>
    <s v="Accessories"/>
    <n v="1"/>
    <n v="27.03"/>
    <n v="27.03"/>
    <n v="27.03"/>
    <n v="0"/>
    <s v="France"/>
    <x v="0"/>
  </r>
  <r>
    <n v="2024001190"/>
    <x v="81"/>
    <n v="2024"/>
    <x v="120"/>
    <s v="PROD_005"/>
    <s v="Standing Desk"/>
    <s v="Furniture"/>
    <n v="1"/>
    <n v="588.79999999999995"/>
    <n v="588.79999999999995"/>
    <n v="588.79999999999995"/>
    <n v="0"/>
    <s v="Germany"/>
    <x v="0"/>
  </r>
  <r>
    <n v="2024001191"/>
    <x v="154"/>
    <n v="2024"/>
    <x v="121"/>
    <s v="PROD_008"/>
    <s v="Desk Lamp"/>
    <s v="Furniture"/>
    <n v="3"/>
    <n v="75.31"/>
    <n v="225.93"/>
    <n v="225.93"/>
    <n v="0"/>
    <s v="UK"/>
    <x v="0"/>
  </r>
  <r>
    <n v="2024001192"/>
    <x v="155"/>
    <n v="2024"/>
    <x v="122"/>
    <s v="PROD_009"/>
    <s v="Phone Stand"/>
    <s v="Accessories"/>
    <n v="2"/>
    <n v="23.95"/>
    <n v="47.9"/>
    <n v="47.9"/>
    <n v="0"/>
    <s v="Austria"/>
    <x v="3"/>
  </r>
  <r>
    <n v="2024001193"/>
    <x v="40"/>
    <n v="2024"/>
    <x v="123"/>
    <s v="PROD_009"/>
    <s v="Phone Stand"/>
    <s v="Accessories"/>
    <n v="1"/>
    <n v="25.21"/>
    <n v="25.21"/>
    <n v="25.21"/>
    <n v="0"/>
    <s v="Germany"/>
    <x v="3"/>
  </r>
  <r>
    <n v="2024001194"/>
    <x v="156"/>
    <n v="2024"/>
    <x v="0"/>
    <s v="PROD_009"/>
    <s v="Phone Stand"/>
    <s v="Accessories"/>
    <n v="1"/>
    <n v="25.16"/>
    <n v="25.16"/>
    <n v="25.16"/>
    <n v="0"/>
    <s v="Germany"/>
    <x v="3"/>
  </r>
  <r>
    <n v="2024001195"/>
    <x v="26"/>
    <n v="2024"/>
    <x v="0"/>
    <s v="PROD_006"/>
    <s v="Monitor 27&quot;"/>
    <s v="Electronics"/>
    <n v="1"/>
    <n v="404.59"/>
    <n v="404.59"/>
    <n v="404.59"/>
    <n v="0"/>
    <s v="Italy"/>
    <x v="3"/>
  </r>
  <r>
    <n v="2024001196"/>
    <x v="157"/>
    <n v="2024"/>
    <x v="0"/>
    <s v="PROD_002"/>
    <s v="Wireless Mouse"/>
    <s v="Electronics"/>
    <n v="1"/>
    <n v="46.56"/>
    <n v="46.56"/>
    <n v="46.56"/>
    <n v="0"/>
    <s v="Italy"/>
    <x v="2"/>
  </r>
  <r>
    <n v="2024001197"/>
    <x v="158"/>
    <n v="2024"/>
    <x v="124"/>
    <s v="PROD_008"/>
    <s v="Desk Lamp"/>
    <s v="Furniture"/>
    <n v="3"/>
    <n v="75.760000000000005"/>
    <n v="227.28"/>
    <n v="227.28000000000003"/>
    <n v="0"/>
    <s v="UK"/>
    <x v="0"/>
  </r>
  <r>
    <n v="2024001198"/>
    <x v="40"/>
    <n v="2024"/>
    <x v="0"/>
    <s v="PROD_008"/>
    <s v="Desk Lamp"/>
    <s v="Furniture"/>
    <n v="2"/>
    <n v="84.41"/>
    <n v="168.82"/>
    <n v="168.82"/>
    <n v="0"/>
    <s v="France"/>
    <x v="0"/>
  </r>
  <r>
    <n v="2024001199"/>
    <x v="159"/>
    <n v="2024"/>
    <x v="22"/>
    <s v="PROD_008"/>
    <s v="Desk Lamp"/>
    <s v="Furniture"/>
    <n v="1"/>
    <n v="80.53"/>
    <n v="80.53"/>
    <n v="80.53"/>
    <n v="0"/>
    <s v="Austria"/>
    <x v="2"/>
  </r>
  <r>
    <n v="2024001200"/>
    <x v="160"/>
    <n v="2024"/>
    <x v="125"/>
    <s v="PROD_009"/>
    <s v="Phone Stand"/>
    <s v="Accessories"/>
    <n v="4"/>
    <n v="25.4"/>
    <n v="101.6"/>
    <n v="101.6"/>
    <n v="0"/>
    <s v="Belgium"/>
    <x v="2"/>
  </r>
  <r>
    <n v="2024001201"/>
    <x v="161"/>
    <n v="2024"/>
    <x v="125"/>
    <s v="PROD_010"/>
    <s v="Webcam HD"/>
    <s v="Electronics"/>
    <n v="1"/>
    <n v="87.17"/>
    <n v="87.17"/>
    <n v="87.17"/>
    <n v="0"/>
    <s v="Belgium"/>
    <x v="0"/>
  </r>
  <r>
    <n v="2024001202"/>
    <x v="162"/>
    <n v="2024"/>
    <x v="104"/>
    <s v="PROD_007"/>
    <s v="Keyboard Mechanical"/>
    <s v="Electronics"/>
    <n v="1"/>
    <n v="122.51"/>
    <n v="122.51"/>
    <n v="122.51"/>
    <n v="0"/>
    <s v="Belgium"/>
    <x v="0"/>
  </r>
  <r>
    <n v="2024001203"/>
    <x v="24"/>
    <n v="2024"/>
    <x v="126"/>
    <s v="PROD_001"/>
    <s v="Laptop Pro"/>
    <s v="Electronics"/>
    <n v="2"/>
    <n v="1224.02"/>
    <n v="2448.04"/>
    <n v="2448.04"/>
    <n v="0"/>
    <s v="Switzerland"/>
    <x v="1"/>
  </r>
  <r>
    <n v="2024001204"/>
    <x v="163"/>
    <n v="2024"/>
    <x v="127"/>
    <s v="PROD_008"/>
    <s v="Desk Lamp"/>
    <s v="Furniture"/>
    <n v="3"/>
    <n v="78.44"/>
    <n v="235.32"/>
    <n v="235.32"/>
    <n v="0"/>
    <s v="Belgium"/>
    <x v="0"/>
  </r>
  <r>
    <n v="2024001205"/>
    <x v="31"/>
    <n v="2024"/>
    <x v="0"/>
    <s v="PROD_002"/>
    <s v="Wireless Mouse"/>
    <s v="Electronics"/>
    <n v="1"/>
    <n v="43.49"/>
    <n v="43.49"/>
    <n v="43.49"/>
    <n v="0"/>
    <s v="Italy"/>
    <x v="2"/>
  </r>
  <r>
    <n v="2024001206"/>
    <x v="164"/>
    <n v="2024"/>
    <x v="128"/>
    <s v="PROD_004"/>
    <s v="Desk Chair"/>
    <s v="Furniture"/>
    <n v="2"/>
    <n v="346.74"/>
    <n v="693.48"/>
    <n v="693.48"/>
    <n v="0"/>
    <s v="France"/>
    <x v="3"/>
  </r>
  <r>
    <n v="2024001207"/>
    <x v="165"/>
    <n v="2024"/>
    <x v="3"/>
    <s v="PROD_010"/>
    <s v="Webcam HD"/>
    <s v="Electronics"/>
    <n v="1"/>
    <n v="88.18"/>
    <n v="88.18"/>
    <n v="88.18"/>
    <n v="0"/>
    <s v="Germany"/>
    <x v="0"/>
  </r>
  <r>
    <n v="2024001208"/>
    <x v="166"/>
    <n v="2024"/>
    <x v="39"/>
    <s v="PROD_004"/>
    <s v="Desk Chair"/>
    <s v="Furniture"/>
    <n v="2"/>
    <n v="320.16000000000003"/>
    <n v="640.32000000000005"/>
    <n v="640.32000000000005"/>
    <n v="0"/>
    <s v="France"/>
    <x v="0"/>
  </r>
  <r>
    <n v="2024001209"/>
    <x v="167"/>
    <n v="2024"/>
    <x v="129"/>
    <s v="PROD_007"/>
    <s v="Keyboard Mechanical"/>
    <s v="Electronics"/>
    <n v="1"/>
    <n v="128.30000000000001"/>
    <n v="128.30000000000001"/>
    <n v="128.30000000000001"/>
    <n v="0"/>
    <s v="Germany"/>
    <x v="2"/>
  </r>
  <r>
    <n v="2024001210"/>
    <x v="148"/>
    <n v="2024"/>
    <x v="24"/>
    <s v="PROD_009"/>
    <s v="Phone Stand"/>
    <s v="Accessories"/>
    <n v="1"/>
    <n v="25.81"/>
    <n v="25.81"/>
    <n v="25.81"/>
    <n v="0"/>
    <s v="Spain"/>
    <x v="3"/>
  </r>
  <r>
    <n v="2024001211"/>
    <x v="168"/>
    <n v="2024"/>
    <x v="98"/>
    <s v="PROD_004"/>
    <s v="Desk Chair"/>
    <s v="Furniture"/>
    <n v="2"/>
    <n v="367.28"/>
    <n v="734.56"/>
    <n v="734.56"/>
    <n v="0"/>
    <s v="UK"/>
    <x v="2"/>
  </r>
  <r>
    <n v="2024001212"/>
    <x v="106"/>
    <n v="2024"/>
    <x v="34"/>
    <s v="PROD_005"/>
    <s v="Standing Desk"/>
    <s v="Furniture"/>
    <n v="4"/>
    <n v="589.69000000000005"/>
    <n v="2358.7600000000002"/>
    <n v="2358.7600000000002"/>
    <n v="0"/>
    <s v="France"/>
    <x v="0"/>
  </r>
  <r>
    <n v="2024001213"/>
    <x v="11"/>
    <n v="2024"/>
    <x v="130"/>
    <s v="PROD_003"/>
    <s v="USB-C Cable"/>
    <s v="Electronics"/>
    <n v="1"/>
    <n v="16.16"/>
    <n v="16.16"/>
    <n v="16.16"/>
    <n v="0"/>
    <s v="Austria"/>
    <x v="3"/>
  </r>
  <r>
    <n v="2024001214"/>
    <x v="143"/>
    <n v="2024"/>
    <x v="131"/>
    <s v="PROD_008"/>
    <s v="Desk Lamp"/>
    <s v="Furniture"/>
    <n v="1"/>
    <n v="79.37"/>
    <n v="79.37"/>
    <n v="79.37"/>
    <n v="0"/>
    <s v="Germany"/>
    <x v="3"/>
  </r>
  <r>
    <n v="2024001215"/>
    <x v="169"/>
    <n v="2024"/>
    <x v="132"/>
    <s v="PROD_008"/>
    <s v="Desk Lamp"/>
    <s v="Furniture"/>
    <n v="4"/>
    <n v="75.25"/>
    <n v="301"/>
    <n v="301"/>
    <n v="0"/>
    <s v="UK"/>
    <x v="3"/>
  </r>
  <r>
    <n v="2024001216"/>
    <x v="170"/>
    <n v="2024"/>
    <x v="133"/>
    <s v="PROD_009"/>
    <s v="Phone Stand"/>
    <s v="Accessories"/>
    <n v="1"/>
    <n v="27.05"/>
    <n v="27.05"/>
    <n v="27.05"/>
    <n v="0"/>
    <s v="Spain"/>
    <x v="3"/>
  </r>
  <r>
    <n v="2024001217"/>
    <x v="171"/>
    <n v="2024"/>
    <x v="0"/>
    <s v="PROD_006"/>
    <s v="Monitor 27&quot;"/>
    <s v="Electronics"/>
    <n v="1"/>
    <n v="430.02"/>
    <n v="430.02"/>
    <n v="430.02"/>
    <n v="0"/>
    <s v="Netherlands"/>
    <x v="0"/>
  </r>
  <r>
    <n v="2024001218"/>
    <x v="50"/>
    <n v="2024"/>
    <x v="134"/>
    <s v="PROD_001"/>
    <s v="Laptop Pro"/>
    <s v="Electronics"/>
    <n v="1"/>
    <n v="1189.6199999999999"/>
    <n v="1189.6199999999999"/>
    <n v="1189.6199999999999"/>
    <n v="0"/>
    <s v="Netherlands"/>
    <x v="3"/>
  </r>
  <r>
    <n v="2024001219"/>
    <x v="172"/>
    <n v="2024"/>
    <x v="45"/>
    <s v="PROD_001"/>
    <s v="Laptop Pro"/>
    <s v="Electronics"/>
    <n v="4"/>
    <n v="1158.71"/>
    <n v="4634.84"/>
    <n v="4634.84"/>
    <n v="0"/>
    <s v="Austria"/>
    <x v="3"/>
  </r>
  <r>
    <n v="2024001220"/>
    <x v="173"/>
    <n v="2024"/>
    <x v="135"/>
    <s v="PROD_003"/>
    <s v="USB-C Cable"/>
    <s v="Electronics"/>
    <n v="1"/>
    <n v="15"/>
    <n v="15"/>
    <n v="15"/>
    <n v="0"/>
    <s v="Netherlands"/>
    <x v="3"/>
  </r>
  <r>
    <n v="2024001221"/>
    <x v="140"/>
    <n v="2024"/>
    <x v="136"/>
    <s v="PROD_010"/>
    <s v="Webcam HD"/>
    <s v="Electronics"/>
    <n v="3"/>
    <n v="84.79"/>
    <n v="254.37"/>
    <n v="254.37"/>
    <n v="0"/>
    <s v="Germany"/>
    <x v="3"/>
  </r>
  <r>
    <n v="2024001222"/>
    <x v="108"/>
    <n v="2024"/>
    <x v="0"/>
    <s v="PROD_002"/>
    <s v="Wireless Mouse"/>
    <s v="Electronics"/>
    <n v="2"/>
    <n v="43.94"/>
    <n v="87.88"/>
    <n v="87.88"/>
    <n v="0"/>
    <s v="Belgium"/>
    <x v="0"/>
  </r>
  <r>
    <n v="2024001223"/>
    <x v="86"/>
    <n v="2024"/>
    <x v="137"/>
    <s v="PROD_010"/>
    <s v="Webcam HD"/>
    <s v="Electronics"/>
    <n v="3"/>
    <n v="94.84"/>
    <n v="284.52"/>
    <n v="284.52"/>
    <n v="0"/>
    <s v="Germany"/>
    <x v="0"/>
  </r>
  <r>
    <n v="2024001224"/>
    <x v="174"/>
    <n v="2024"/>
    <x v="123"/>
    <s v="PROD_006"/>
    <s v="Monitor 27&quot;"/>
    <s v="Electronics"/>
    <n v="2"/>
    <n v="429.52"/>
    <n v="859.04"/>
    <n v="859.04"/>
    <n v="0"/>
    <s v="Austria"/>
    <x v="0"/>
  </r>
  <r>
    <n v="2024001225"/>
    <x v="54"/>
    <n v="2024"/>
    <x v="138"/>
    <s v="PROD_008"/>
    <s v="Desk Lamp"/>
    <s v="Furniture"/>
    <n v="2"/>
    <n v="86.09"/>
    <n v="172.18"/>
    <n v="172.18"/>
    <n v="0"/>
    <s v="Spain"/>
    <x v="0"/>
  </r>
  <r>
    <n v="2024001226"/>
    <x v="110"/>
    <n v="2024"/>
    <x v="68"/>
    <s v="PROD_007"/>
    <s v="Keyboard Mechanical"/>
    <s v="Electronics"/>
    <n v="2"/>
    <n v="132.94"/>
    <n v="265.88"/>
    <n v="265.88"/>
    <n v="0"/>
    <s v="Netherlands"/>
    <x v="0"/>
  </r>
  <r>
    <n v="2024001227"/>
    <x v="175"/>
    <n v="2024"/>
    <x v="77"/>
    <s v="PROD_009"/>
    <s v="Phone Stand"/>
    <s v="Accessories"/>
    <n v="1"/>
    <n v="26.47"/>
    <n v="26.47"/>
    <n v="26.47"/>
    <n v="0"/>
    <s v="Germany"/>
    <x v="0"/>
  </r>
  <r>
    <n v="2024001228"/>
    <x v="143"/>
    <n v="2024"/>
    <x v="139"/>
    <s v="PROD_009"/>
    <s v="Phone Stand"/>
    <s v="Accessories"/>
    <n v="3"/>
    <n v="23.71"/>
    <n v="71.13"/>
    <n v="71.13"/>
    <n v="0"/>
    <s v="Belgium"/>
    <x v="2"/>
  </r>
  <r>
    <n v="2024001229"/>
    <x v="176"/>
    <n v="2024"/>
    <x v="140"/>
    <s v="PROD_003"/>
    <s v="USB-C Cable"/>
    <s v="Electronics"/>
    <n v="1"/>
    <n v="14.6"/>
    <n v="14.6"/>
    <n v="14.6"/>
    <n v="0"/>
    <s v="Netherlands"/>
    <x v="0"/>
  </r>
  <r>
    <n v="2024001230"/>
    <x v="177"/>
    <n v="2024"/>
    <x v="141"/>
    <s v="PROD_005"/>
    <s v="Standing Desk"/>
    <s v="Furniture"/>
    <n v="5"/>
    <n v="601.14"/>
    <n v="3005.7"/>
    <n v="3005.7"/>
    <n v="0"/>
    <s v="Sweden"/>
    <x v="1"/>
  </r>
  <r>
    <n v="2024001231"/>
    <x v="7"/>
    <n v="2024"/>
    <x v="142"/>
    <s v="PROD_006"/>
    <s v="Monitor 27&quot;"/>
    <s v="Electronics"/>
    <n v="1"/>
    <n v="402.4"/>
    <n v="402.4"/>
    <n v="402.4"/>
    <n v="0"/>
    <s v="France"/>
    <x v="1"/>
  </r>
  <r>
    <n v="2024001232"/>
    <x v="178"/>
    <n v="2024"/>
    <x v="9"/>
    <s v="PROD_010"/>
    <s v="Webcam HD"/>
    <s v="Electronics"/>
    <n v="2"/>
    <n v="81.61"/>
    <n v="163.22"/>
    <n v="163.22"/>
    <n v="0"/>
    <s v="Spain"/>
    <x v="3"/>
  </r>
  <r>
    <n v="2024001233"/>
    <x v="179"/>
    <n v="2024"/>
    <x v="143"/>
    <s v="PROD_001"/>
    <s v="Laptop Pro"/>
    <s v="Electronics"/>
    <n v="2"/>
    <n v="1145.9000000000001"/>
    <n v="2291.8000000000002"/>
    <n v="2291.8000000000002"/>
    <n v="0"/>
    <s v="Austria"/>
    <x v="3"/>
  </r>
  <r>
    <n v="2024001234"/>
    <x v="55"/>
    <n v="2024"/>
    <x v="56"/>
    <s v="PROD_002"/>
    <s v="Wireless Mouse"/>
    <s v="Electronics"/>
    <n v="1"/>
    <n v="41.33"/>
    <n v="41.33"/>
    <n v="41.33"/>
    <n v="0"/>
    <s v="UK"/>
    <x v="0"/>
  </r>
  <r>
    <n v="2024001235"/>
    <x v="180"/>
    <n v="2024"/>
    <x v="144"/>
    <s v="PROD_003"/>
    <s v="USB-C Cable"/>
    <s v="Electronics"/>
    <n v="2"/>
    <n v="14.57"/>
    <n v="29.14"/>
    <n v="29.14"/>
    <n v="0"/>
    <s v="Switzerland"/>
    <x v="2"/>
  </r>
  <r>
    <n v="2024001236"/>
    <x v="181"/>
    <n v="2024"/>
    <x v="145"/>
    <s v="PROD_008"/>
    <s v="Desk Lamp"/>
    <s v="Furniture"/>
    <n v="1"/>
    <n v="86.64"/>
    <n v="86.64"/>
    <n v="86.64"/>
    <n v="0"/>
    <s v="Germany"/>
    <x v="1"/>
  </r>
  <r>
    <n v="2024001237"/>
    <x v="147"/>
    <n v="2024"/>
    <x v="12"/>
    <s v="PROD_006"/>
    <s v="Monitor 27&quot;"/>
    <s v="Electronics"/>
    <n v="3"/>
    <n v="425.51"/>
    <n v="1276.53"/>
    <n v="1276.53"/>
    <n v="0"/>
    <s v="Switzerland"/>
    <x v="1"/>
  </r>
  <r>
    <n v="2024001238"/>
    <x v="182"/>
    <n v="2024"/>
    <x v="146"/>
    <s v="PROD_007"/>
    <s v="Keyboard Mechanical"/>
    <s v="Electronics"/>
    <n v="1"/>
    <n v="122.25"/>
    <n v="122.25"/>
    <n v="122.25"/>
    <n v="0"/>
    <s v="Germany"/>
    <x v="1"/>
  </r>
  <r>
    <n v="2024001239"/>
    <x v="183"/>
    <n v="2024"/>
    <x v="147"/>
    <s v="PROD_001"/>
    <s v="Laptop Pro"/>
    <s v="Electronics"/>
    <n v="3"/>
    <n v="1194.79"/>
    <n v="3584.37"/>
    <n v="3584.37"/>
    <n v="0"/>
    <s v="Switzerland"/>
    <x v="3"/>
  </r>
  <r>
    <n v="2024001240"/>
    <x v="184"/>
    <n v="2024"/>
    <x v="95"/>
    <s v="PROD_010"/>
    <s v="Webcam HD"/>
    <s v="Electronics"/>
    <n v="1"/>
    <n v="90.35"/>
    <n v="90.35"/>
    <n v="90.35"/>
    <n v="0"/>
    <s v="Sweden"/>
    <x v="3"/>
  </r>
  <r>
    <n v="2024001241"/>
    <x v="48"/>
    <n v="2024"/>
    <x v="76"/>
    <s v="PROD_005"/>
    <s v="Standing Desk"/>
    <s v="Furniture"/>
    <n v="1"/>
    <n v="561.51"/>
    <n v="561.51"/>
    <n v="561.51"/>
    <n v="0"/>
    <s v="France"/>
    <x v="2"/>
  </r>
  <r>
    <n v="2024001242"/>
    <x v="185"/>
    <n v="2024"/>
    <x v="0"/>
    <s v="PROD_006"/>
    <s v="Monitor 27&quot;"/>
    <s v="Electronics"/>
    <n v="1"/>
    <n v="393.57"/>
    <n v="393.57"/>
    <n v="393.57"/>
    <n v="0"/>
    <s v="France"/>
    <x v="3"/>
  </r>
  <r>
    <n v="2024001243"/>
    <x v="186"/>
    <n v="2024"/>
    <x v="148"/>
    <s v="PROD_006"/>
    <s v="Monitor 27&quot;"/>
    <s v="Electronics"/>
    <n v="1"/>
    <n v="441.53"/>
    <n v="441.53"/>
    <n v="441.53"/>
    <n v="0"/>
    <s v="Spain"/>
    <x v="0"/>
  </r>
  <r>
    <n v="2024001244"/>
    <x v="187"/>
    <n v="2024"/>
    <x v="146"/>
    <s v="PROD_009"/>
    <s v="Phone Stand"/>
    <s v="Accessories"/>
    <n v="2"/>
    <n v="24.84"/>
    <n v="49.68"/>
    <n v="49.68"/>
    <n v="0"/>
    <s v="Italy"/>
    <x v="1"/>
  </r>
  <r>
    <n v="2024001245"/>
    <x v="188"/>
    <n v="2024"/>
    <x v="136"/>
    <s v="PROD_001"/>
    <s v="Laptop Pro"/>
    <s v="Electronics"/>
    <n v="2"/>
    <n v="1137.9000000000001"/>
    <n v="2275.8000000000002"/>
    <n v="2275.8000000000002"/>
    <n v="0"/>
    <s v="Sweden"/>
    <x v="3"/>
  </r>
  <r>
    <n v="2024001246"/>
    <x v="38"/>
    <n v="2024"/>
    <x v="55"/>
    <s v="PROD_008"/>
    <s v="Desk Lamp"/>
    <s v="Furniture"/>
    <n v="2"/>
    <n v="80.27"/>
    <n v="160.54"/>
    <n v="160.54"/>
    <n v="0"/>
    <s v="Switzerland"/>
    <x v="1"/>
  </r>
  <r>
    <n v="2024001247"/>
    <x v="58"/>
    <n v="2024"/>
    <x v="149"/>
    <s v="PROD_004"/>
    <s v="Desk Chair"/>
    <s v="Furniture"/>
    <n v="1"/>
    <n v="357"/>
    <n v="357"/>
    <n v="357"/>
    <n v="0"/>
    <s v="Spain"/>
    <x v="3"/>
  </r>
  <r>
    <n v="2024001248"/>
    <x v="189"/>
    <n v="2024"/>
    <x v="0"/>
    <s v="PROD_007"/>
    <s v="Keyboard Mechanical"/>
    <s v="Electronics"/>
    <n v="1"/>
    <n v="123.6"/>
    <n v="123.6"/>
    <n v="123.6"/>
    <n v="0"/>
    <s v="Netherlands"/>
    <x v="2"/>
  </r>
  <r>
    <n v="2024001249"/>
    <x v="53"/>
    <n v="2024"/>
    <x v="98"/>
    <s v="PROD_002"/>
    <s v="Wireless Mouse"/>
    <s v="Electronics"/>
    <n v="2"/>
    <n v="43.18"/>
    <n v="86.36"/>
    <n v="86.36"/>
    <n v="0"/>
    <s v="Belgium"/>
    <x v="0"/>
  </r>
  <r>
    <n v="2024001250"/>
    <x v="190"/>
    <n v="2024"/>
    <x v="121"/>
    <s v="PROD_010"/>
    <s v="Webcam HD"/>
    <s v="Electronics"/>
    <n v="3"/>
    <n v="87.98"/>
    <n v="263.94"/>
    <n v="263.94"/>
    <n v="0"/>
    <s v="Switzerland"/>
    <x v="2"/>
  </r>
  <r>
    <n v="2024001251"/>
    <x v="191"/>
    <n v="2024"/>
    <x v="150"/>
    <s v="PROD_001"/>
    <s v="Laptop Pro"/>
    <s v="Electronics"/>
    <n v="1"/>
    <n v="1204.05"/>
    <n v="1204.05"/>
    <n v="1204.05"/>
    <n v="0"/>
    <s v="Italy"/>
    <x v="3"/>
  </r>
  <r>
    <n v="2024001252"/>
    <x v="192"/>
    <n v="2024"/>
    <x v="137"/>
    <s v="PROD_002"/>
    <s v="Wireless Mouse"/>
    <s v="Electronics"/>
    <n v="5"/>
    <n v="47.26"/>
    <n v="236.3"/>
    <n v="236.29999999999998"/>
    <n v="0"/>
    <s v="Austria"/>
    <x v="2"/>
  </r>
  <r>
    <n v="2024001253"/>
    <x v="193"/>
    <n v="2024"/>
    <x v="92"/>
    <s v="PROD_009"/>
    <s v="Phone Stand"/>
    <s v="Accessories"/>
    <n v="1"/>
    <n v="24.68"/>
    <n v="24.68"/>
    <n v="24.68"/>
    <n v="0"/>
    <s v="Germany"/>
    <x v="2"/>
  </r>
  <r>
    <n v="2024001254"/>
    <x v="194"/>
    <n v="2024"/>
    <x v="151"/>
    <s v="PROD_006"/>
    <s v="Monitor 27&quot;"/>
    <s v="Electronics"/>
    <n v="1"/>
    <n v="415.8"/>
    <n v="415.8"/>
    <n v="415.8"/>
    <n v="0"/>
    <s v="France"/>
    <x v="3"/>
  </r>
  <r>
    <n v="2024001255"/>
    <x v="195"/>
    <n v="2024"/>
    <x v="89"/>
    <s v="PROD_005"/>
    <s v="Standing Desk"/>
    <s v="Furniture"/>
    <n v="1"/>
    <n v="588.26"/>
    <n v="588.26"/>
    <n v="588.26"/>
    <n v="0"/>
    <s v="Sweden"/>
    <x v="1"/>
  </r>
  <r>
    <n v="2024001256"/>
    <x v="44"/>
    <n v="2024"/>
    <x v="142"/>
    <s v="PROD_009"/>
    <s v="Phone Stand"/>
    <s v="Accessories"/>
    <n v="2"/>
    <n v="22.31"/>
    <n v="44.62"/>
    <n v="44.62"/>
    <n v="0"/>
    <s v="Netherlands"/>
    <x v="0"/>
  </r>
  <r>
    <n v="2024001257"/>
    <x v="173"/>
    <n v="2024"/>
    <x v="152"/>
    <s v="PROD_010"/>
    <s v="Webcam HD"/>
    <s v="Electronics"/>
    <n v="3"/>
    <n v="97.96"/>
    <n v="293.88"/>
    <n v="293.88"/>
    <n v="0"/>
    <s v="Austria"/>
    <x v="1"/>
  </r>
  <r>
    <n v="2024001140"/>
    <x v="196"/>
    <n v="2024"/>
    <x v="145"/>
    <s v="PROD_008"/>
    <s v="Desk Lamp"/>
    <s v="Furniture"/>
    <n v="2"/>
    <n v="78.180000000000007"/>
    <n v="156.36000000000001"/>
    <n v="156.36000000000001"/>
    <n v="0"/>
    <s v="Sweden"/>
    <x v="2"/>
  </r>
  <r>
    <n v="2024001259"/>
    <x v="143"/>
    <n v="2024"/>
    <x v="94"/>
    <s v="PROD_002"/>
    <s v="Wireless Mouse"/>
    <s v="Electronics"/>
    <n v="2"/>
    <n v="44.96"/>
    <n v="89.92"/>
    <n v="89.92"/>
    <n v="0"/>
    <s v="Spain"/>
    <x v="1"/>
  </r>
  <r>
    <n v="2024001260"/>
    <x v="197"/>
    <n v="2024"/>
    <x v="5"/>
    <s v="PROD_007"/>
    <s v="Keyboard Mechanical"/>
    <s v="Electronics"/>
    <n v="1"/>
    <n v="120.78"/>
    <n v="120.78"/>
    <n v="120.78"/>
    <n v="0"/>
    <s v="UK"/>
    <x v="1"/>
  </r>
  <r>
    <n v="2024001261"/>
    <x v="117"/>
    <n v="2024"/>
    <x v="153"/>
    <s v="PROD_006"/>
    <s v="Monitor 27&quot;"/>
    <s v="Electronics"/>
    <n v="1"/>
    <n v="407.6"/>
    <n v="407.6"/>
    <n v="407.6"/>
    <n v="0"/>
    <s v="Spain"/>
    <x v="3"/>
  </r>
  <r>
    <n v="2024001262"/>
    <x v="22"/>
    <n v="2024"/>
    <x v="106"/>
    <s v="PROD_003"/>
    <s v="USB-C Cable"/>
    <s v="Electronics"/>
    <n v="2"/>
    <n v="15.19"/>
    <n v="30.38"/>
    <n v="30.38"/>
    <n v="0"/>
    <s v="Germany"/>
    <x v="2"/>
  </r>
  <r>
    <n v="2024001263"/>
    <x v="193"/>
    <n v="2024"/>
    <x v="151"/>
    <s v="PROD_010"/>
    <s v="Webcam HD"/>
    <s v="Electronics"/>
    <n v="1"/>
    <n v="87.84"/>
    <n v="87.84"/>
    <n v="87.84"/>
    <n v="0"/>
    <s v="Belgium"/>
    <x v="1"/>
  </r>
  <r>
    <n v="2024001264"/>
    <x v="198"/>
    <n v="2024"/>
    <x v="154"/>
    <s v="PROD_007"/>
    <s v="Keyboard Mechanical"/>
    <s v="Electronics"/>
    <n v="2"/>
    <n v="116.39"/>
    <n v="232.78"/>
    <n v="232.78"/>
    <n v="0"/>
    <s v="Sweden"/>
    <x v="2"/>
  </r>
  <r>
    <n v="2024001265"/>
    <x v="29"/>
    <n v="2024"/>
    <x v="33"/>
    <s v="PROD_004"/>
    <s v="Desk Chair"/>
    <s v="Furniture"/>
    <n v="1"/>
    <n v="355.6"/>
    <n v="355.6"/>
    <n v="355.6"/>
    <n v="0"/>
    <s v="Belgium"/>
    <x v="0"/>
  </r>
  <r>
    <n v="2024001266"/>
    <x v="199"/>
    <n v="2024"/>
    <x v="155"/>
    <s v="PROD_010"/>
    <s v="Webcam HD"/>
    <s v="Electronics"/>
    <n v="1"/>
    <n v="101.46"/>
    <n v="101.46"/>
    <n v="101.46"/>
    <n v="0"/>
    <s v="Sweden"/>
    <x v="2"/>
  </r>
  <r>
    <n v="2024001267"/>
    <x v="200"/>
    <n v="2024"/>
    <x v="41"/>
    <s v="PROD_008"/>
    <s v="Desk Lamp"/>
    <s v="Furniture"/>
    <n v="1"/>
    <n v="81.650000000000006"/>
    <n v="81.650000000000006"/>
    <n v="81.650000000000006"/>
    <n v="0"/>
    <s v="Sweden"/>
    <x v="3"/>
  </r>
  <r>
    <n v="2024001268"/>
    <x v="179"/>
    <n v="2024"/>
    <x v="156"/>
    <s v="PROD_001"/>
    <s v="Laptop Pro"/>
    <s v="Electronics"/>
    <n v="1"/>
    <n v="1156.9000000000001"/>
    <n v="1156.9000000000001"/>
    <n v="1156.9000000000001"/>
    <n v="0"/>
    <s v="UK"/>
    <x v="3"/>
  </r>
  <r>
    <n v="2024001269"/>
    <x v="47"/>
    <n v="2024"/>
    <x v="157"/>
    <s v="PROD_010"/>
    <s v="Webcam HD"/>
    <s v="Electronics"/>
    <n v="3"/>
    <n v="94.03"/>
    <n v="282.08999999999997"/>
    <n v="282.09000000000003"/>
    <n v="0"/>
    <s v="UK"/>
    <x v="3"/>
  </r>
  <r>
    <n v="2024001270"/>
    <x v="59"/>
    <n v="2024"/>
    <x v="49"/>
    <s v="PROD_001"/>
    <s v="Laptop Pro"/>
    <s v="Electronics"/>
    <n v="2"/>
    <n v="1178.75"/>
    <n v="2357.5"/>
    <n v="2357.5"/>
    <n v="0"/>
    <s v="France"/>
    <x v="0"/>
  </r>
  <r>
    <n v="2024001271"/>
    <x v="147"/>
    <n v="2024"/>
    <x v="158"/>
    <s v="PROD_003"/>
    <s v="USB-C Cable"/>
    <s v="Electronics"/>
    <n v="2"/>
    <n v="15.34"/>
    <n v="30.68"/>
    <n v="30.68"/>
    <n v="0"/>
    <s v="Sweden"/>
    <x v="2"/>
  </r>
  <r>
    <n v="2024001272"/>
    <x v="126"/>
    <n v="2024"/>
    <x v="159"/>
    <s v="PROD_009"/>
    <s v="Phone Stand"/>
    <s v="Accessories"/>
    <n v="1"/>
    <n v="24"/>
    <n v="24"/>
    <n v="24"/>
    <n v="0"/>
    <s v="Netherlands"/>
    <x v="2"/>
  </r>
  <r>
    <n v="2024001273"/>
    <x v="201"/>
    <n v="2024"/>
    <x v="160"/>
    <s v="PROD_007"/>
    <s v="Keyboard Mechanical"/>
    <s v="Electronics"/>
    <n v="1"/>
    <n v="129.83000000000001"/>
    <n v="129.83000000000001"/>
    <n v="129.83000000000001"/>
    <n v="0"/>
    <s v="UK"/>
    <x v="3"/>
  </r>
  <r>
    <n v="2024001274"/>
    <x v="202"/>
    <n v="2024"/>
    <x v="0"/>
    <s v="PROD_006"/>
    <s v="Monitor 27&quot;"/>
    <s v="Electronics"/>
    <n v="2"/>
    <n v="392.42"/>
    <n v="784.84"/>
    <n v="784.84"/>
    <n v="0"/>
    <s v="Switzerland"/>
    <x v="2"/>
  </r>
  <r>
    <n v="2024001275"/>
    <x v="108"/>
    <n v="2024"/>
    <x v="0"/>
    <s v="PROD_004"/>
    <s v="Desk Chair"/>
    <s v="Furniture"/>
    <n v="1"/>
    <n v="346.44"/>
    <n v="346.44"/>
    <n v="346.44"/>
    <n v="0"/>
    <s v="Switzerland"/>
    <x v="2"/>
  </r>
  <r>
    <n v="2024001276"/>
    <x v="203"/>
    <n v="2024"/>
    <x v="128"/>
    <s v="PROD_001"/>
    <s v="Laptop Pro"/>
    <s v="Electronics"/>
    <n v="3"/>
    <n v="1168.75"/>
    <n v="3506.25"/>
    <n v="3506.25"/>
    <n v="0"/>
    <s v="Italy"/>
    <x v="3"/>
  </r>
  <r>
    <n v="2024001277"/>
    <x v="67"/>
    <n v="2024"/>
    <x v="0"/>
    <s v="PROD_008"/>
    <s v="Desk Lamp"/>
    <s v="Furniture"/>
    <n v="2"/>
    <n v="80.819999999999993"/>
    <n v="161.63999999999999"/>
    <n v="161.63999999999999"/>
    <n v="0"/>
    <s v="Netherlands"/>
    <x v="3"/>
  </r>
  <r>
    <n v="2024001278"/>
    <x v="204"/>
    <n v="2024"/>
    <x v="67"/>
    <s v="PROD_006"/>
    <s v="Monitor 27&quot;"/>
    <s v="Electronics"/>
    <n v="2"/>
    <n v="433.45"/>
    <n v="866.9"/>
    <n v="866.9"/>
    <n v="0"/>
    <s v="Spain"/>
    <x v="3"/>
  </r>
  <r>
    <n v="2024001279"/>
    <x v="205"/>
    <n v="2024"/>
    <x v="0"/>
    <s v="PROD_010"/>
    <s v="Webcam HD"/>
    <s v="Electronics"/>
    <n v="4"/>
    <n v="91.89"/>
    <n v="367.56"/>
    <n v="367.56"/>
    <n v="0"/>
    <s v="Austria"/>
    <x v="1"/>
  </r>
  <r>
    <n v="2024001280"/>
    <x v="206"/>
    <n v="2024"/>
    <x v="161"/>
    <s v="PROD_009"/>
    <s v="Phone Stand"/>
    <s v="Accessories"/>
    <n v="3"/>
    <n v="24.97"/>
    <n v="74.91"/>
    <n v="74.91"/>
    <n v="0"/>
    <s v="Belgium"/>
    <x v="3"/>
  </r>
  <r>
    <n v="2024001281"/>
    <x v="60"/>
    <n v="2024"/>
    <x v="31"/>
    <s v="PROD_006"/>
    <s v="Monitor 27&quot;"/>
    <s v="Electronics"/>
    <n v="5"/>
    <n v="407.67"/>
    <n v="2038.35"/>
    <n v="2038.3500000000001"/>
    <n v="0"/>
    <s v="Switzerland"/>
    <x v="3"/>
  </r>
  <r>
    <n v="2024001282"/>
    <x v="207"/>
    <n v="2024"/>
    <x v="17"/>
    <s v="PROD_005"/>
    <s v="Standing Desk"/>
    <s v="Furniture"/>
    <n v="1"/>
    <n v="624.4"/>
    <n v="624.4"/>
    <n v="624.4"/>
    <n v="0"/>
    <s v="France"/>
    <x v="2"/>
  </r>
  <r>
    <n v="2024001283"/>
    <x v="208"/>
    <n v="2024"/>
    <x v="91"/>
    <s v="PROD_004"/>
    <s v="Desk Chair"/>
    <s v="Furniture"/>
    <n v="2"/>
    <n v="337.99"/>
    <n v="675.98"/>
    <n v="675.98"/>
    <n v="0"/>
    <s v="Spain"/>
    <x v="2"/>
  </r>
  <r>
    <n v="2024001284"/>
    <x v="209"/>
    <n v="2024"/>
    <x v="0"/>
    <s v="PROD_002"/>
    <s v="Wireless Mouse"/>
    <s v="Electronics"/>
    <n v="1"/>
    <n v="41.54"/>
    <n v="41.54"/>
    <n v="41.54"/>
    <n v="0"/>
    <s v="Austria"/>
    <x v="2"/>
  </r>
  <r>
    <n v="2024001285"/>
    <x v="18"/>
    <n v="2024"/>
    <x v="162"/>
    <s v="PROD_007"/>
    <s v="Keyboard Mechanical"/>
    <s v="Electronics"/>
    <n v="4"/>
    <n v="112.86"/>
    <n v="451.44"/>
    <n v="451.44"/>
    <n v="0"/>
    <s v="Germany"/>
    <x v="1"/>
  </r>
  <r>
    <n v="2024001286"/>
    <x v="210"/>
    <n v="2024"/>
    <x v="158"/>
    <s v="PROD_006"/>
    <s v="Monitor 27&quot;"/>
    <s v="Electronics"/>
    <n v="2"/>
    <n v="400.52"/>
    <n v="801.04"/>
    <n v="801.04"/>
    <n v="0"/>
    <s v="France"/>
    <x v="0"/>
  </r>
  <r>
    <n v="2024001287"/>
    <x v="86"/>
    <n v="2024"/>
    <x v="163"/>
    <s v="PROD_003"/>
    <s v="USB-C Cable"/>
    <s v="Electronics"/>
    <n v="2"/>
    <n v="13.15"/>
    <n v="26.3"/>
    <n v="26.3"/>
    <n v="0"/>
    <s v="Sweden"/>
    <x v="0"/>
  </r>
  <r>
    <n v="2024001288"/>
    <x v="211"/>
    <n v="2024"/>
    <x v="164"/>
    <s v="PROD_007"/>
    <s v="Keyboard Mechanical"/>
    <s v="Electronics"/>
    <n v="1"/>
    <n v="118.95"/>
    <n v="118.95"/>
    <n v="118.95"/>
    <n v="0"/>
    <s v="Germany"/>
    <x v="1"/>
  </r>
  <r>
    <n v="2024001289"/>
    <x v="168"/>
    <n v="2024"/>
    <x v="0"/>
    <s v="PROD_003"/>
    <s v="USB-C Cable"/>
    <s v="Electronics"/>
    <n v="1"/>
    <n v="14.43"/>
    <n v="14.43"/>
    <n v="14.43"/>
    <n v="0"/>
    <s v="Spain"/>
    <x v="0"/>
  </r>
  <r>
    <n v="2024001290"/>
    <x v="39"/>
    <n v="2024"/>
    <x v="0"/>
    <s v="PROD_010"/>
    <s v="Webcam HD"/>
    <s v="Electronics"/>
    <n v="3"/>
    <n v="89.89"/>
    <n v="269.67"/>
    <n v="269.67"/>
    <n v="0"/>
    <s v="Netherlands"/>
    <x v="0"/>
  </r>
  <r>
    <n v="2024001291"/>
    <x v="142"/>
    <n v="2024"/>
    <x v="165"/>
    <s v="PROD_005"/>
    <s v="Standing Desk"/>
    <s v="Furniture"/>
    <n v="1"/>
    <n v="624.53"/>
    <n v="624.53"/>
    <n v="624.53"/>
    <n v="0"/>
    <s v="Italy"/>
    <x v="0"/>
  </r>
  <r>
    <n v="2024001292"/>
    <x v="142"/>
    <n v="2024"/>
    <x v="166"/>
    <s v="PROD_004"/>
    <s v="Desk Chair"/>
    <s v="Furniture"/>
    <n v="1"/>
    <n v="342.79"/>
    <n v="342.79"/>
    <n v="342.79"/>
    <n v="0"/>
    <s v="Spain"/>
    <x v="0"/>
  </r>
  <r>
    <n v="2024001293"/>
    <x v="6"/>
    <n v="2024"/>
    <x v="167"/>
    <s v="PROD_002"/>
    <s v="Wireless Mouse"/>
    <s v="Electronics"/>
    <n v="2"/>
    <n v="45.68"/>
    <n v="91.36"/>
    <n v="91.36"/>
    <n v="0"/>
    <s v="UK"/>
    <x v="1"/>
  </r>
  <r>
    <n v="2024001294"/>
    <x v="16"/>
    <n v="2024"/>
    <x v="100"/>
    <s v="PROD_009"/>
    <s v="Phone Stand"/>
    <s v="Accessories"/>
    <n v="1"/>
    <n v="24.3"/>
    <n v="24.3"/>
    <n v="24.3"/>
    <n v="0"/>
    <s v="Austria"/>
    <x v="3"/>
  </r>
  <r>
    <n v="2024001295"/>
    <x v="137"/>
    <n v="2024"/>
    <x v="102"/>
    <s v="PROD_001"/>
    <s v="Laptop Pro"/>
    <s v="Electronics"/>
    <n v="2"/>
    <n v="1175.3399999999999"/>
    <n v="2350.6799999999998"/>
    <n v="2350.6799999999998"/>
    <n v="0"/>
    <s v="Belgium"/>
    <x v="3"/>
  </r>
  <r>
    <n v="2024001296"/>
    <x v="41"/>
    <n v="2024"/>
    <x v="0"/>
    <s v="PROD_005"/>
    <s v="Standing Desk"/>
    <s v="Furniture"/>
    <n v="2"/>
    <n v="628.49"/>
    <n v="1256.98"/>
    <n v="1256.98"/>
    <n v="0"/>
    <s v="Netherlands"/>
    <x v="1"/>
  </r>
  <r>
    <n v="2024001297"/>
    <x v="58"/>
    <n v="2024"/>
    <x v="11"/>
    <s v="PROD_005"/>
    <s v="Standing Desk"/>
    <s v="Furniture"/>
    <n v="3"/>
    <n v="555.45000000000005"/>
    <n v="1666.35"/>
    <n v="1666.3500000000001"/>
    <n v="0"/>
    <s v="UK"/>
    <x v="1"/>
  </r>
  <r>
    <n v="2024001298"/>
    <x v="212"/>
    <n v="2024"/>
    <x v="34"/>
    <s v="PROD_006"/>
    <s v="Monitor 27&quot;"/>
    <s v="Electronics"/>
    <n v="3"/>
    <n v="417.57"/>
    <n v="1252.71"/>
    <n v="1252.71"/>
    <n v="0"/>
    <s v="Belgium"/>
    <x v="0"/>
  </r>
  <r>
    <n v="2024001299"/>
    <x v="154"/>
    <n v="2024"/>
    <x v="168"/>
    <s v="PROD_005"/>
    <s v="Standing Desk"/>
    <s v="Furniture"/>
    <n v="1"/>
    <n v="622.87"/>
    <n v="622.87"/>
    <n v="622.87"/>
    <n v="0"/>
    <s v="Italy"/>
    <x v="0"/>
  </r>
  <r>
    <n v="2024001300"/>
    <x v="3"/>
    <n v="2024"/>
    <x v="10"/>
    <s v="PROD_005"/>
    <s v="Standing Desk"/>
    <s v="Furniture"/>
    <n v="3"/>
    <n v="564.16999999999996"/>
    <n v="1692.51"/>
    <n v="1692.5099999999998"/>
    <n v="0"/>
    <s v="Italy"/>
    <x v="2"/>
  </r>
  <r>
    <n v="2024001301"/>
    <x v="162"/>
    <n v="2024"/>
    <x v="169"/>
    <s v="PROD_001"/>
    <s v="Laptop Pro"/>
    <s v="Electronics"/>
    <n v="1"/>
    <n v="1230.77"/>
    <n v="1230.77"/>
    <n v="1230.77"/>
    <n v="0"/>
    <s v="Italy"/>
    <x v="3"/>
  </r>
  <r>
    <n v="2024001302"/>
    <x v="39"/>
    <n v="2024"/>
    <x v="170"/>
    <s v="PROD_005"/>
    <s v="Standing Desk"/>
    <s v="Furniture"/>
    <n v="1"/>
    <n v="586.70000000000005"/>
    <n v="586.70000000000005"/>
    <n v="586.70000000000005"/>
    <n v="0"/>
    <s v="Germany"/>
    <x v="3"/>
  </r>
  <r>
    <n v="2024001303"/>
    <x v="15"/>
    <n v="2024"/>
    <x v="19"/>
    <s v="PROD_004"/>
    <s v="Desk Chair"/>
    <s v="Furniture"/>
    <n v="3"/>
    <n v="334.52"/>
    <n v="1003.56"/>
    <n v="1003.56"/>
    <n v="0"/>
    <s v="Sweden"/>
    <x v="2"/>
  </r>
  <r>
    <n v="2024001304"/>
    <x v="213"/>
    <n v="2024"/>
    <x v="171"/>
    <s v="PROD_009"/>
    <s v="Phone Stand"/>
    <s v="Accessories"/>
    <n v="1"/>
    <n v="25.58"/>
    <n v="25.58"/>
    <n v="25.58"/>
    <n v="0"/>
    <s v="Germany"/>
    <x v="3"/>
  </r>
  <r>
    <n v="2024001305"/>
    <x v="14"/>
    <n v="2024"/>
    <x v="172"/>
    <s v="PROD_001"/>
    <s v="Laptop Pro"/>
    <s v="Electronics"/>
    <n v="3"/>
    <n v="1210"/>
    <n v="3630"/>
    <n v="3630"/>
    <n v="0"/>
    <s v="Sweden"/>
    <x v="3"/>
  </r>
  <r>
    <n v="2024001306"/>
    <x v="214"/>
    <n v="2024"/>
    <x v="153"/>
    <s v="PROD_007"/>
    <s v="Keyboard Mechanical"/>
    <s v="Electronics"/>
    <n v="2"/>
    <n v="121.66"/>
    <n v="243.32"/>
    <n v="243.32"/>
    <n v="0"/>
    <s v="France"/>
    <x v="3"/>
  </r>
  <r>
    <n v="2024001307"/>
    <x v="215"/>
    <n v="2024"/>
    <x v="155"/>
    <s v="PROD_003"/>
    <s v="USB-C Cable"/>
    <s v="Electronics"/>
    <n v="1"/>
    <n v="15.6"/>
    <n v="15.6"/>
    <n v="15.6"/>
    <n v="0"/>
    <s v="France"/>
    <x v="1"/>
  </r>
  <r>
    <n v="2024001308"/>
    <x v="216"/>
    <n v="2024"/>
    <x v="173"/>
    <s v="PROD_008"/>
    <s v="Desk Lamp"/>
    <s v="Furniture"/>
    <n v="1"/>
    <n v="78.540000000000006"/>
    <n v="78.540000000000006"/>
    <n v="78.540000000000006"/>
    <n v="0"/>
    <s v="Switzerland"/>
    <x v="1"/>
  </r>
  <r>
    <n v="2024001309"/>
    <x v="179"/>
    <n v="2024"/>
    <x v="96"/>
    <s v="PROD_005"/>
    <s v="Standing Desk"/>
    <s v="Furniture"/>
    <n v="2"/>
    <n v="605.54"/>
    <n v="1211.08"/>
    <n v="1211.08"/>
    <n v="0"/>
    <s v="Switzerland"/>
    <x v="0"/>
  </r>
  <r>
    <n v="2024001310"/>
    <x v="2"/>
    <n v="2024"/>
    <x v="174"/>
    <s v="PROD_004"/>
    <s v="Desk Chair"/>
    <s v="Furniture"/>
    <n v="3"/>
    <n v="331.68"/>
    <n v="995.04"/>
    <n v="995.04"/>
    <n v="0"/>
    <s v="Sweden"/>
    <x v="2"/>
  </r>
  <r>
    <n v="2024001311"/>
    <x v="217"/>
    <n v="2024"/>
    <x v="173"/>
    <s v="PROD_010"/>
    <s v="Webcam HD"/>
    <s v="Electronics"/>
    <n v="1"/>
    <n v="92.41"/>
    <n v="92.41"/>
    <n v="92.41"/>
    <n v="0"/>
    <s v="France"/>
    <x v="1"/>
  </r>
  <r>
    <n v="2024001312"/>
    <x v="12"/>
    <n v="2024"/>
    <x v="61"/>
    <s v="PROD_008"/>
    <s v="Desk Lamp"/>
    <s v="Furniture"/>
    <n v="2"/>
    <n v="74.989999999999995"/>
    <n v="149.97999999999999"/>
    <n v="149.97999999999999"/>
    <n v="0"/>
    <s v="France"/>
    <x v="3"/>
  </r>
  <r>
    <n v="2024001313"/>
    <x v="117"/>
    <n v="2024"/>
    <x v="0"/>
    <s v="PROD_009"/>
    <s v="Phone Stand"/>
    <s v="Accessories"/>
    <n v="2"/>
    <n v="24.37"/>
    <n v="48.74"/>
    <n v="48.74"/>
    <n v="0"/>
    <s v="Sweden"/>
    <x v="1"/>
  </r>
  <r>
    <n v="2024001314"/>
    <x v="137"/>
    <n v="2024"/>
    <x v="175"/>
    <s v="PROD_002"/>
    <s v="Wireless Mouse"/>
    <s v="Electronics"/>
    <n v="1"/>
    <n v="44.84"/>
    <n v="44.84"/>
    <n v="44.84"/>
    <n v="0"/>
    <s v="Germany"/>
    <x v="0"/>
  </r>
  <r>
    <n v="2024001315"/>
    <x v="155"/>
    <n v="2024"/>
    <x v="132"/>
    <s v="PROD_002"/>
    <s v="Wireless Mouse"/>
    <s v="Electronics"/>
    <n v="1"/>
    <n v="42.6"/>
    <n v="42.6"/>
    <n v="42.6"/>
    <n v="0"/>
    <s v="France"/>
    <x v="3"/>
  </r>
  <r>
    <n v="2024001316"/>
    <x v="176"/>
    <n v="2024"/>
    <x v="176"/>
    <s v="PROD_008"/>
    <s v="Desk Lamp"/>
    <s v="Furniture"/>
    <n v="1"/>
    <n v="88.22"/>
    <n v="88.22"/>
    <n v="88.22"/>
    <n v="0"/>
    <s v="Netherlands"/>
    <x v="3"/>
  </r>
  <r>
    <n v="2024001317"/>
    <x v="74"/>
    <n v="2024"/>
    <x v="177"/>
    <s v="PROD_003"/>
    <s v="USB-C Cable"/>
    <s v="Electronics"/>
    <n v="3"/>
    <n v="14.17"/>
    <n v="42.51"/>
    <n v="42.51"/>
    <n v="0"/>
    <s v="Switzerland"/>
    <x v="2"/>
  </r>
  <r>
    <n v="2024001318"/>
    <x v="218"/>
    <n v="2024"/>
    <x v="178"/>
    <s v="PROD_007"/>
    <s v="Keyboard Mechanical"/>
    <s v="Electronics"/>
    <n v="3"/>
    <n v="121.81"/>
    <n v="365.43"/>
    <n v="365.43"/>
    <n v="0"/>
    <s v="Italy"/>
    <x v="2"/>
  </r>
  <r>
    <n v="2024001319"/>
    <x v="120"/>
    <n v="2024"/>
    <x v="0"/>
    <s v="PROD_008"/>
    <s v="Desk Lamp"/>
    <s v="Furniture"/>
    <n v="2"/>
    <n v="73.36"/>
    <n v="146.72"/>
    <n v="146.72"/>
    <n v="0"/>
    <s v="Belgium"/>
    <x v="1"/>
  </r>
  <r>
    <n v="2024001320"/>
    <x v="106"/>
    <n v="2024"/>
    <x v="62"/>
    <s v="PROD_006"/>
    <s v="Monitor 27&quot;"/>
    <s v="Electronics"/>
    <n v="3"/>
    <n v="405.89"/>
    <n v="1217.67"/>
    <n v="1217.67"/>
    <n v="0"/>
    <s v="Germany"/>
    <x v="0"/>
  </r>
  <r>
    <n v="2024001321"/>
    <x v="149"/>
    <n v="2024"/>
    <x v="9"/>
    <s v="PROD_004"/>
    <s v="Desk Chair"/>
    <s v="Furniture"/>
    <n v="3"/>
    <n v="319.94"/>
    <n v="959.82"/>
    <n v="959.81999999999994"/>
    <n v="0"/>
    <s v="UK"/>
    <x v="1"/>
  </r>
  <r>
    <n v="2024001322"/>
    <x v="219"/>
    <n v="2024"/>
    <x v="179"/>
    <s v="PROD_006"/>
    <s v="Monitor 27&quot;"/>
    <s v="Electronics"/>
    <n v="2"/>
    <n v="404.82"/>
    <n v="809.64"/>
    <n v="809.64"/>
    <n v="0"/>
    <s v="Netherlands"/>
    <x v="1"/>
  </r>
  <r>
    <n v="2024001323"/>
    <x v="116"/>
    <n v="2024"/>
    <x v="71"/>
    <s v="PROD_007"/>
    <s v="Keyboard Mechanical"/>
    <s v="Electronics"/>
    <n v="2"/>
    <n v="135.61000000000001"/>
    <n v="271.22000000000003"/>
    <n v="271.22000000000003"/>
    <n v="0"/>
    <s v="Austria"/>
    <x v="3"/>
  </r>
  <r>
    <n v="2024001324"/>
    <x v="183"/>
    <n v="2024"/>
    <x v="109"/>
    <s v="PROD_008"/>
    <s v="Desk Lamp"/>
    <s v="Furniture"/>
    <n v="1"/>
    <n v="79.16"/>
    <n v="79.16"/>
    <n v="79.16"/>
    <n v="0"/>
    <s v="Sweden"/>
    <x v="0"/>
  </r>
  <r>
    <n v="2024001325"/>
    <x v="220"/>
    <n v="2024"/>
    <x v="180"/>
    <s v="PROD_002"/>
    <s v="Wireless Mouse"/>
    <s v="Electronics"/>
    <n v="1"/>
    <n v="43.09"/>
    <n v="43.09"/>
    <n v="43.09"/>
    <n v="0"/>
    <s v="Austria"/>
    <x v="3"/>
  </r>
  <r>
    <n v="2024001326"/>
    <x v="53"/>
    <n v="2024"/>
    <x v="181"/>
    <s v="PROD_010"/>
    <s v="Webcam HD"/>
    <s v="Electronics"/>
    <n v="3"/>
    <n v="93.72"/>
    <n v="281.16000000000003"/>
    <n v="281.15999999999997"/>
    <n v="0"/>
    <s v="Spain"/>
    <x v="1"/>
  </r>
  <r>
    <n v="2024001327"/>
    <x v="221"/>
    <n v="2024"/>
    <x v="115"/>
    <s v="PROD_007"/>
    <s v="Keyboard Mechanical"/>
    <s v="Electronics"/>
    <n v="1"/>
    <n v="124.79"/>
    <n v="124.79"/>
    <n v="124.79"/>
    <n v="0"/>
    <s v="UK"/>
    <x v="2"/>
  </r>
  <r>
    <n v="2024001328"/>
    <x v="222"/>
    <n v="2024"/>
    <x v="151"/>
    <s v="PROD_004"/>
    <s v="Desk Chair"/>
    <s v="Furniture"/>
    <n v="2"/>
    <n v="353.93"/>
    <n v="707.86"/>
    <n v="707.86"/>
    <n v="0"/>
    <s v="Italy"/>
    <x v="0"/>
  </r>
  <r>
    <n v="2024001329"/>
    <x v="195"/>
    <n v="2024"/>
    <x v="54"/>
    <s v="PROD_006"/>
    <s v="Monitor 27&quot;"/>
    <s v="Electronics"/>
    <n v="1"/>
    <n v="418.65"/>
    <n v="418.65"/>
    <n v="418.65"/>
    <n v="0"/>
    <s v="Austria"/>
    <x v="2"/>
  </r>
  <r>
    <n v="2024001330"/>
    <x v="223"/>
    <n v="2024"/>
    <x v="0"/>
    <s v="PROD_001"/>
    <s v="Laptop Pro"/>
    <s v="Electronics"/>
    <n v="2"/>
    <n v="1332.86"/>
    <n v="2665.72"/>
    <n v="2665.72"/>
    <n v="0"/>
    <s v="Switzerland"/>
    <x v="2"/>
  </r>
  <r>
    <n v="2024001331"/>
    <x v="89"/>
    <n v="2024"/>
    <x v="182"/>
    <s v="PROD_007"/>
    <s v="Keyboard Mechanical"/>
    <s v="Electronics"/>
    <n v="2"/>
    <n v="118.22"/>
    <n v="236.44"/>
    <n v="236.44"/>
    <n v="0"/>
    <s v="Switzerland"/>
    <x v="0"/>
  </r>
  <r>
    <n v="2024001332"/>
    <x v="224"/>
    <n v="2024"/>
    <x v="130"/>
    <s v="PROD_002"/>
    <s v="Wireless Mouse"/>
    <s v="Electronics"/>
    <n v="2"/>
    <n v="42.77"/>
    <n v="85.54"/>
    <n v="85.54"/>
    <n v="0"/>
    <s v="Switzerland"/>
    <x v="2"/>
  </r>
  <r>
    <n v="2024001333"/>
    <x v="66"/>
    <n v="2024"/>
    <x v="71"/>
    <s v="PROD_010"/>
    <s v="Webcam HD"/>
    <s v="Electronics"/>
    <n v="2"/>
    <n v="91.74"/>
    <n v="183.48"/>
    <n v="183.48"/>
    <n v="0"/>
    <s v="Spain"/>
    <x v="3"/>
  </r>
  <r>
    <n v="2024001334"/>
    <x v="225"/>
    <n v="2024"/>
    <x v="155"/>
    <s v="PROD_004"/>
    <s v="Desk Chair"/>
    <s v="Furniture"/>
    <n v="1"/>
    <n v="334.64"/>
    <n v="334.64"/>
    <n v="334.64"/>
    <n v="0"/>
    <s v="Spain"/>
    <x v="2"/>
  </r>
  <r>
    <n v="2024001335"/>
    <x v="226"/>
    <n v="2024"/>
    <x v="68"/>
    <s v="PROD_009"/>
    <s v="Phone Stand"/>
    <s v="Accessories"/>
    <n v="4"/>
    <n v="25.98"/>
    <n v="103.92"/>
    <n v="103.92"/>
    <n v="0"/>
    <s v="France"/>
    <x v="2"/>
  </r>
  <r>
    <n v="2024001336"/>
    <x v="20"/>
    <n v="2024"/>
    <x v="183"/>
    <s v="PROD_004"/>
    <s v="Desk Chair"/>
    <s v="Furniture"/>
    <n v="3"/>
    <n v="346.04"/>
    <n v="1038.1199999999999"/>
    <n v="1038.1200000000001"/>
    <n v="0"/>
    <s v="Belgium"/>
    <x v="2"/>
  </r>
  <r>
    <n v="2024001337"/>
    <x v="157"/>
    <n v="2024"/>
    <x v="0"/>
    <s v="PROD_005"/>
    <s v="Standing Desk"/>
    <s v="Furniture"/>
    <n v="1"/>
    <n v="571.22"/>
    <n v="571.22"/>
    <n v="571.22"/>
    <n v="0"/>
    <s v="Sweden"/>
    <x v="0"/>
  </r>
  <r>
    <n v="2024001338"/>
    <x v="81"/>
    <n v="2024"/>
    <x v="184"/>
    <s v="PROD_001"/>
    <s v="Laptop Pro"/>
    <s v="Electronics"/>
    <n v="2"/>
    <n v="1300.79"/>
    <n v="2601.58"/>
    <n v="2601.58"/>
    <n v="0"/>
    <s v="UK"/>
    <x v="2"/>
  </r>
  <r>
    <n v="2024001339"/>
    <x v="2"/>
    <n v="2024"/>
    <x v="49"/>
    <s v="PROD_005"/>
    <s v="Standing Desk"/>
    <s v="Furniture"/>
    <n v="1"/>
    <n v="622.04999999999995"/>
    <n v="622.04999999999995"/>
    <n v="622.04999999999995"/>
    <n v="0"/>
    <s v="Italy"/>
    <x v="0"/>
  </r>
  <r>
    <n v="2024001340"/>
    <x v="227"/>
    <n v="2024"/>
    <x v="147"/>
    <s v="PROD_004"/>
    <s v="Desk Chair"/>
    <s v="Furniture"/>
    <n v="1"/>
    <n v="353.6"/>
    <n v="353.6"/>
    <n v="353.6"/>
    <n v="0"/>
    <s v="Germany"/>
    <x v="1"/>
  </r>
  <r>
    <n v="2024001341"/>
    <x v="141"/>
    <n v="2024"/>
    <x v="0"/>
    <s v="PROD_008"/>
    <s v="Desk Lamp"/>
    <s v="Furniture"/>
    <n v="2"/>
    <n v="78.489999999999995"/>
    <n v="156.97999999999999"/>
    <n v="156.97999999999999"/>
    <n v="0"/>
    <s v="Netherlands"/>
    <x v="2"/>
  </r>
  <r>
    <n v="2024001342"/>
    <x v="119"/>
    <n v="2024"/>
    <x v="0"/>
    <s v="PROD_009"/>
    <s v="Phone Stand"/>
    <s v="Accessories"/>
    <n v="3"/>
    <n v="25.44"/>
    <n v="76.319999999999993"/>
    <n v="76.320000000000007"/>
    <n v="0"/>
    <s v="Switzerland"/>
    <x v="3"/>
  </r>
  <r>
    <n v="2024001343"/>
    <x v="228"/>
    <n v="2024"/>
    <x v="185"/>
    <s v="PROD_007"/>
    <s v="Keyboard Mechanical"/>
    <s v="Electronics"/>
    <n v="1"/>
    <n v="120.73"/>
    <n v="120.73"/>
    <n v="120.73"/>
    <n v="0"/>
    <s v="Switzerland"/>
    <x v="0"/>
  </r>
  <r>
    <n v="2024001344"/>
    <x v="89"/>
    <n v="2024"/>
    <x v="186"/>
    <s v="PROD_010"/>
    <s v="Webcam HD"/>
    <s v="Electronics"/>
    <n v="3"/>
    <n v="86.77"/>
    <n v="260.31"/>
    <n v="260.31"/>
    <n v="0"/>
    <s v="Spain"/>
    <x v="3"/>
  </r>
  <r>
    <n v="2024001345"/>
    <x v="229"/>
    <n v="2024"/>
    <x v="97"/>
    <s v="PROD_002"/>
    <s v="Wireless Mouse"/>
    <s v="Electronics"/>
    <n v="4"/>
    <n v="43.91"/>
    <n v="175.64"/>
    <n v="175.64"/>
    <n v="0"/>
    <s v="Austria"/>
    <x v="2"/>
  </r>
  <r>
    <n v="2024001346"/>
    <x v="230"/>
    <n v="2024"/>
    <x v="187"/>
    <s v="PROD_001"/>
    <s v="Laptop Pro"/>
    <s v="Electronics"/>
    <n v="3"/>
    <n v="1190.95"/>
    <n v="3572.85"/>
    <n v="3572.8500000000004"/>
    <n v="0"/>
    <s v="Switzerland"/>
    <x v="1"/>
  </r>
  <r>
    <n v="2024001347"/>
    <x v="140"/>
    <n v="2024"/>
    <x v="158"/>
    <s v="PROD_007"/>
    <s v="Keyboard Mechanical"/>
    <s v="Electronics"/>
    <n v="1"/>
    <n v="118.58"/>
    <n v="118.58"/>
    <n v="118.58"/>
    <n v="0"/>
    <s v="Sweden"/>
    <x v="3"/>
  </r>
  <r>
    <n v="2024001348"/>
    <x v="231"/>
    <n v="2024"/>
    <x v="188"/>
    <s v="PROD_010"/>
    <s v="Webcam HD"/>
    <s v="Electronics"/>
    <n v="5"/>
    <n v="92.01"/>
    <n v="460.05"/>
    <n v="460.05"/>
    <n v="0"/>
    <s v="Italy"/>
    <x v="3"/>
  </r>
  <r>
    <n v="2024001349"/>
    <x v="174"/>
    <n v="2024"/>
    <x v="136"/>
    <s v="PROD_002"/>
    <s v="Wireless Mouse"/>
    <s v="Electronics"/>
    <n v="2"/>
    <n v="43.42"/>
    <n v="86.84"/>
    <n v="86.84"/>
    <n v="0"/>
    <s v="Sweden"/>
    <x v="2"/>
  </r>
  <r>
    <n v="2024001350"/>
    <x v="69"/>
    <n v="2024"/>
    <x v="189"/>
    <s v="PROD_007"/>
    <s v="Keyboard Mechanical"/>
    <s v="Electronics"/>
    <n v="2"/>
    <n v="126.07"/>
    <n v="252.14"/>
    <n v="252.14"/>
    <n v="0"/>
    <s v="Belgium"/>
    <x v="0"/>
  </r>
  <r>
    <n v="2024001351"/>
    <x v="232"/>
    <n v="2024"/>
    <x v="96"/>
    <s v="PROD_002"/>
    <s v="Wireless Mouse"/>
    <s v="Electronics"/>
    <n v="1"/>
    <n v="39.86"/>
    <n v="39.86"/>
    <n v="39.86"/>
    <n v="0"/>
    <s v="Netherlands"/>
    <x v="0"/>
  </r>
  <r>
    <n v="2024001352"/>
    <x v="233"/>
    <n v="2024"/>
    <x v="0"/>
    <s v="PROD_010"/>
    <s v="Webcam HD"/>
    <s v="Electronics"/>
    <n v="1"/>
    <n v="87.98"/>
    <n v="87.98"/>
    <n v="87.98"/>
    <n v="0"/>
    <s v="UK"/>
    <x v="2"/>
  </r>
  <r>
    <n v="2024001353"/>
    <x v="201"/>
    <n v="2024"/>
    <x v="189"/>
    <s v="PROD_008"/>
    <s v="Desk Lamp"/>
    <s v="Furniture"/>
    <n v="3"/>
    <n v="88.04"/>
    <n v="264.12"/>
    <n v="264.12"/>
    <n v="0"/>
    <s v="Netherlands"/>
    <x v="3"/>
  </r>
  <r>
    <n v="2024001354"/>
    <x v="152"/>
    <n v="2024"/>
    <x v="72"/>
    <s v="PROD_003"/>
    <s v="USB-C Cable"/>
    <s v="Electronics"/>
    <n v="1"/>
    <n v="14.53"/>
    <n v="14.53"/>
    <n v="14.53"/>
    <n v="0"/>
    <s v="Belgium"/>
    <x v="2"/>
  </r>
  <r>
    <n v="2024001355"/>
    <x v="223"/>
    <n v="2024"/>
    <x v="78"/>
    <s v="PROD_004"/>
    <s v="Desk Chair"/>
    <s v="Furniture"/>
    <n v="3"/>
    <n v="360.54"/>
    <n v="1081.6199999999999"/>
    <n v="1081.6200000000001"/>
    <n v="0"/>
    <s v="Netherlands"/>
    <x v="1"/>
  </r>
  <r>
    <n v="2024001356"/>
    <x v="214"/>
    <n v="2024"/>
    <x v="9"/>
    <s v="PROD_006"/>
    <s v="Monitor 27&quot;"/>
    <s v="Electronics"/>
    <n v="1"/>
    <n v="431.65"/>
    <n v="431.65"/>
    <n v="431.65"/>
    <n v="0"/>
    <s v="France"/>
    <x v="1"/>
  </r>
  <r>
    <n v="2024001357"/>
    <x v="234"/>
    <n v="2024"/>
    <x v="190"/>
    <s v="PROD_003"/>
    <s v="USB-C Cable"/>
    <s v="Electronics"/>
    <n v="4"/>
    <n v="15.28"/>
    <n v="61.12"/>
    <n v="61.12"/>
    <n v="0"/>
    <s v="France"/>
    <x v="0"/>
  </r>
  <r>
    <n v="2024001358"/>
    <x v="15"/>
    <n v="2024"/>
    <x v="120"/>
    <s v="PROD_007"/>
    <s v="Keyboard Mechanical"/>
    <s v="Electronics"/>
    <n v="2"/>
    <n v="117.44"/>
    <n v="234.88"/>
    <n v="234.88"/>
    <n v="0"/>
    <s v="UK"/>
    <x v="2"/>
  </r>
  <r>
    <n v="2024001359"/>
    <x v="235"/>
    <n v="2024"/>
    <x v="191"/>
    <s v="PROD_008"/>
    <s v="Desk Lamp"/>
    <s v="Furniture"/>
    <n v="1"/>
    <n v="84.59"/>
    <n v="84.59"/>
    <n v="84.59"/>
    <n v="0"/>
    <s v="Switzerland"/>
    <x v="3"/>
  </r>
  <r>
    <n v="2024001360"/>
    <x v="236"/>
    <n v="2024"/>
    <x v="169"/>
    <s v="PROD_005"/>
    <s v="Standing Desk"/>
    <s v="Furniture"/>
    <n v="2"/>
    <n v="586.58000000000004"/>
    <n v="1173.1600000000001"/>
    <n v="1173.1600000000001"/>
    <n v="0"/>
    <s v="Switzerland"/>
    <x v="0"/>
  </r>
  <r>
    <n v="2024001361"/>
    <x v="213"/>
    <n v="2024"/>
    <x v="192"/>
    <s v="PROD_002"/>
    <s v="Wireless Mouse"/>
    <s v="Electronics"/>
    <n v="1"/>
    <n v="47.88"/>
    <n v="47.88"/>
    <n v="47.88"/>
    <n v="0"/>
    <s v="UK"/>
    <x v="2"/>
  </r>
  <r>
    <n v="2024001362"/>
    <x v="81"/>
    <n v="2024"/>
    <x v="0"/>
    <s v="PROD_002"/>
    <s v="Wireless Mouse"/>
    <s v="Electronics"/>
    <n v="1"/>
    <n v="50.72"/>
    <n v="50.72"/>
    <n v="50.72"/>
    <n v="0"/>
    <s v="Belgium"/>
    <x v="3"/>
  </r>
  <r>
    <n v="2024001363"/>
    <x v="237"/>
    <n v="2024"/>
    <x v="193"/>
    <s v="PROD_005"/>
    <s v="Standing Desk"/>
    <s v="Furniture"/>
    <n v="1"/>
    <n v="605.48"/>
    <n v="605.48"/>
    <n v="605.48"/>
    <n v="0"/>
    <s v="Netherlands"/>
    <x v="0"/>
  </r>
  <r>
    <n v="2024001364"/>
    <x v="180"/>
    <n v="2024"/>
    <x v="37"/>
    <s v="PROD_009"/>
    <s v="Phone Stand"/>
    <s v="Accessories"/>
    <n v="3"/>
    <n v="25.65"/>
    <n v="76.95"/>
    <n v="76.949999999999989"/>
    <n v="0"/>
    <s v="Belgium"/>
    <x v="2"/>
  </r>
  <r>
    <n v="2024001365"/>
    <x v="238"/>
    <n v="2024"/>
    <x v="104"/>
    <s v="PROD_002"/>
    <s v="Wireless Mouse"/>
    <s v="Electronics"/>
    <n v="1"/>
    <n v="45.01"/>
    <n v="45.01"/>
    <n v="45.01"/>
    <n v="0"/>
    <s v="Netherlands"/>
    <x v="0"/>
  </r>
  <r>
    <n v="2024001366"/>
    <x v="56"/>
    <n v="2024"/>
    <x v="0"/>
    <s v="PROD_007"/>
    <s v="Keyboard Mechanical"/>
    <s v="Electronics"/>
    <n v="1"/>
    <n v="116.38"/>
    <n v="116.38"/>
    <n v="116.38"/>
    <n v="0"/>
    <s v="Spain"/>
    <x v="2"/>
  </r>
  <r>
    <n v="2024001367"/>
    <x v="239"/>
    <n v="2024"/>
    <x v="94"/>
    <s v="PROD_003"/>
    <s v="USB-C Cable"/>
    <s v="Electronics"/>
    <n v="1"/>
    <n v="15.21"/>
    <n v="15.21"/>
    <n v="15.21"/>
    <n v="0"/>
    <s v="Austria"/>
    <x v="3"/>
  </r>
  <r>
    <n v="2024001368"/>
    <x v="211"/>
    <n v="2024"/>
    <x v="194"/>
    <s v="PROD_009"/>
    <s v="Phone Stand"/>
    <s v="Accessories"/>
    <n v="1"/>
    <n v="24.79"/>
    <n v="24.79"/>
    <n v="24.79"/>
    <n v="0"/>
    <s v="Italy"/>
    <x v="3"/>
  </r>
  <r>
    <n v="2024001369"/>
    <x v="153"/>
    <n v="2024"/>
    <x v="0"/>
    <s v="PROD_006"/>
    <s v="Monitor 27&quot;"/>
    <s v="Electronics"/>
    <n v="3"/>
    <n v="426.12"/>
    <n v="1278.3599999999999"/>
    <n v="1278.3600000000001"/>
    <n v="0"/>
    <s v="Sweden"/>
    <x v="3"/>
  </r>
  <r>
    <n v="2024001370"/>
    <x v="91"/>
    <n v="2024"/>
    <x v="148"/>
    <s v="PROD_008"/>
    <s v="Desk Lamp"/>
    <s v="Furniture"/>
    <n v="1"/>
    <n v="77.61"/>
    <n v="77.61"/>
    <n v="77.61"/>
    <n v="0"/>
    <s v="Germany"/>
    <x v="2"/>
  </r>
  <r>
    <n v="2024001371"/>
    <x v="235"/>
    <n v="2024"/>
    <x v="69"/>
    <s v="PROD_009"/>
    <s v="Phone Stand"/>
    <s v="Accessories"/>
    <n v="1"/>
    <n v="27.05"/>
    <n v="27.05"/>
    <n v="27.05"/>
    <n v="0"/>
    <s v="Netherlands"/>
    <x v="2"/>
  </r>
  <r>
    <n v="2024001372"/>
    <x v="188"/>
    <n v="2024"/>
    <x v="195"/>
    <s v="PROD_003"/>
    <s v="USB-C Cable"/>
    <s v="Electronics"/>
    <n v="1"/>
    <n v="14.63"/>
    <n v="14.63"/>
    <n v="14.63"/>
    <n v="0"/>
    <s v="UK"/>
    <x v="3"/>
  </r>
  <r>
    <n v="2024001373"/>
    <x v="240"/>
    <n v="2024"/>
    <x v="148"/>
    <s v="PROD_007"/>
    <s v="Keyboard Mechanical"/>
    <s v="Electronics"/>
    <n v="1"/>
    <n v="121.78"/>
    <n v="121.78"/>
    <n v="121.78"/>
    <n v="0"/>
    <s v="Spain"/>
    <x v="3"/>
  </r>
  <r>
    <n v="2024001374"/>
    <x v="241"/>
    <n v="2024"/>
    <x v="20"/>
    <s v="PROD_007"/>
    <s v="Keyboard Mechanical"/>
    <s v="Electronics"/>
    <n v="1"/>
    <n v="125.21"/>
    <n v="125.21"/>
    <n v="125.21"/>
    <n v="0"/>
    <s v="Netherlands"/>
    <x v="1"/>
  </r>
  <r>
    <n v="2024001184"/>
    <x v="242"/>
    <n v="2024"/>
    <x v="5"/>
    <s v="PROD_003"/>
    <s v="USB-C Cable"/>
    <s v="Electronics"/>
    <n v="3"/>
    <n v="14.72"/>
    <n v="44.16"/>
    <n v="44.160000000000004"/>
    <n v="0"/>
    <s v="Italy"/>
    <x v="0"/>
  </r>
  <r>
    <n v="2024001376"/>
    <x v="231"/>
    <n v="2024"/>
    <x v="110"/>
    <s v="PROD_009"/>
    <s v="Phone Stand"/>
    <s v="Accessories"/>
    <n v="3"/>
    <n v="23.48"/>
    <n v="70.44"/>
    <n v="70.44"/>
    <n v="0"/>
    <s v="France"/>
    <x v="0"/>
  </r>
  <r>
    <n v="2024001377"/>
    <x v="226"/>
    <n v="2024"/>
    <x v="168"/>
    <s v="PROD_007"/>
    <s v="Keyboard Mechanical"/>
    <s v="Electronics"/>
    <n v="1"/>
    <n v="125.01"/>
    <n v="125.01"/>
    <n v="125.01"/>
    <n v="0"/>
    <s v="Germany"/>
    <x v="3"/>
  </r>
  <r>
    <n v="2024001378"/>
    <x v="170"/>
    <n v="2024"/>
    <x v="91"/>
    <s v="PROD_004"/>
    <s v="Desk Chair"/>
    <s v="Furniture"/>
    <n v="1"/>
    <n v="345.83"/>
    <n v="345.83"/>
    <n v="345.83"/>
    <n v="0"/>
    <s v="Spain"/>
    <x v="2"/>
  </r>
  <r>
    <n v="2024001379"/>
    <x v="243"/>
    <n v="2024"/>
    <x v="196"/>
    <s v="PROD_010"/>
    <s v="Webcam HD"/>
    <s v="Electronics"/>
    <n v="4"/>
    <n v="85.44"/>
    <n v="341.76"/>
    <n v="341.76"/>
    <n v="0"/>
    <s v="Netherlands"/>
    <x v="3"/>
  </r>
  <r>
    <n v="2024001380"/>
    <x v="244"/>
    <n v="2024"/>
    <x v="152"/>
    <s v="PROD_003"/>
    <s v="USB-C Cable"/>
    <s v="Electronics"/>
    <n v="3"/>
    <n v="15.63"/>
    <n v="46.89"/>
    <n v="46.89"/>
    <n v="0"/>
    <s v="Belgium"/>
    <x v="0"/>
  </r>
  <r>
    <n v="2024001381"/>
    <x v="45"/>
    <n v="2024"/>
    <x v="197"/>
    <s v="PROD_007"/>
    <s v="Keyboard Mechanical"/>
    <s v="Electronics"/>
    <n v="2"/>
    <n v="122.97"/>
    <n v="245.94"/>
    <n v="245.94"/>
    <n v="0"/>
    <s v="UK"/>
    <x v="1"/>
  </r>
  <r>
    <n v="2024001382"/>
    <x v="245"/>
    <n v="2024"/>
    <x v="169"/>
    <s v="PROD_008"/>
    <s v="Desk Lamp"/>
    <s v="Furniture"/>
    <n v="1"/>
    <n v="80.34"/>
    <n v="80.34"/>
    <n v="80.34"/>
    <n v="0"/>
    <s v="Spain"/>
    <x v="2"/>
  </r>
  <r>
    <n v="2024001383"/>
    <x v="231"/>
    <n v="2024"/>
    <x v="57"/>
    <s v="PROD_005"/>
    <s v="Standing Desk"/>
    <s v="Furniture"/>
    <n v="1"/>
    <n v="582.6"/>
    <n v="582.6"/>
    <n v="582.6"/>
    <n v="0"/>
    <s v="Austria"/>
    <x v="3"/>
  </r>
  <r>
    <n v="2024001384"/>
    <x v="246"/>
    <n v="2024"/>
    <x v="138"/>
    <s v="PROD_002"/>
    <s v="Wireless Mouse"/>
    <s v="Electronics"/>
    <n v="2"/>
    <n v="47.03"/>
    <n v="94.06"/>
    <n v="94.06"/>
    <n v="0"/>
    <s v="Belgium"/>
    <x v="3"/>
  </r>
  <r>
    <n v="2024001385"/>
    <x v="154"/>
    <n v="2024"/>
    <x v="104"/>
    <s v="PROD_003"/>
    <s v="USB-C Cable"/>
    <s v="Electronics"/>
    <n v="1"/>
    <n v="15.16"/>
    <n v="15.16"/>
    <n v="15.16"/>
    <n v="0"/>
    <s v="Germany"/>
    <x v="2"/>
  </r>
  <r>
    <n v="2024001386"/>
    <x v="25"/>
    <n v="2024"/>
    <x v="0"/>
    <s v="PROD_005"/>
    <s v="Standing Desk"/>
    <s v="Furniture"/>
    <n v="1"/>
    <n v="610.42999999999995"/>
    <n v="610.42999999999995"/>
    <n v="610.42999999999995"/>
    <n v="0"/>
    <s v="France"/>
    <x v="2"/>
  </r>
  <r>
    <n v="2024001387"/>
    <x v="133"/>
    <n v="2024"/>
    <x v="43"/>
    <s v="PROD_001"/>
    <s v="Laptop Pro"/>
    <s v="Electronics"/>
    <n v="1"/>
    <n v="1269.81"/>
    <n v="1269.81"/>
    <n v="1269.81"/>
    <n v="0"/>
    <s v="France"/>
    <x v="3"/>
  </r>
  <r>
    <n v="2024001388"/>
    <x v="184"/>
    <n v="2024"/>
    <x v="198"/>
    <s v="PROD_009"/>
    <s v="Phone Stand"/>
    <s v="Accessories"/>
    <n v="1"/>
    <n v="24.56"/>
    <n v="24.56"/>
    <n v="24.56"/>
    <n v="0"/>
    <s v="Italy"/>
    <x v="1"/>
  </r>
  <r>
    <n v="2024001389"/>
    <x v="247"/>
    <n v="2024"/>
    <x v="199"/>
    <s v="PROD_009"/>
    <s v="Phone Stand"/>
    <s v="Accessories"/>
    <n v="2"/>
    <n v="24.56"/>
    <n v="49.12"/>
    <n v="49.12"/>
    <n v="0"/>
    <s v="Spain"/>
    <x v="1"/>
  </r>
  <r>
    <n v="2024001390"/>
    <x v="72"/>
    <n v="2024"/>
    <x v="59"/>
    <s v="PROD_004"/>
    <s v="Desk Chair"/>
    <s v="Furniture"/>
    <n v="1"/>
    <n v="387.99"/>
    <n v="387.99"/>
    <n v="387.99"/>
    <n v="0"/>
    <s v="Germany"/>
    <x v="3"/>
  </r>
  <r>
    <n v="2024001391"/>
    <x v="248"/>
    <n v="2024"/>
    <x v="76"/>
    <s v="PROD_008"/>
    <s v="Desk Lamp"/>
    <s v="Furniture"/>
    <n v="2"/>
    <n v="79.3"/>
    <n v="158.6"/>
    <n v="158.6"/>
    <n v="0"/>
    <s v="Netherlands"/>
    <x v="0"/>
  </r>
  <r>
    <n v="2024001392"/>
    <x v="33"/>
    <n v="2024"/>
    <x v="116"/>
    <s v="PROD_001"/>
    <s v="Laptop Pro"/>
    <s v="Electronics"/>
    <n v="1"/>
    <n v="1086.6300000000001"/>
    <n v="1086.6300000000001"/>
    <n v="1086.6300000000001"/>
    <n v="0"/>
    <s v="Sweden"/>
    <x v="2"/>
  </r>
  <r>
    <n v="2024001393"/>
    <x v="249"/>
    <n v="2024"/>
    <x v="200"/>
    <s v="PROD_001"/>
    <s v="Laptop Pro"/>
    <s v="Electronics"/>
    <n v="2"/>
    <n v="1363.69"/>
    <n v="2727.38"/>
    <n v="2727.38"/>
    <n v="0"/>
    <s v="Spain"/>
    <x v="3"/>
  </r>
  <r>
    <n v="2024001394"/>
    <x v="232"/>
    <n v="2024"/>
    <x v="165"/>
    <s v="PROD_006"/>
    <s v="Monitor 27&quot;"/>
    <s v="Electronics"/>
    <n v="3"/>
    <n v="390.3"/>
    <n v="1170.9000000000001"/>
    <n v="1170.9000000000001"/>
    <n v="0"/>
    <s v="Belgium"/>
    <x v="2"/>
  </r>
  <r>
    <n v="2024001395"/>
    <x v="250"/>
    <n v="2024"/>
    <x v="39"/>
    <s v="PROD_010"/>
    <s v="Webcam HD"/>
    <s v="Electronics"/>
    <n v="1"/>
    <n v="93.49"/>
    <n v="93.49"/>
    <n v="93.49"/>
    <n v="0"/>
    <s v="Austria"/>
    <x v="2"/>
  </r>
  <r>
    <n v="2024001396"/>
    <x v="251"/>
    <n v="2024"/>
    <x v="0"/>
    <s v="PROD_005"/>
    <s v="Standing Desk"/>
    <s v="Furniture"/>
    <n v="1"/>
    <n v="603.96"/>
    <n v="603.96"/>
    <n v="603.96"/>
    <n v="0"/>
    <s v="Belgium"/>
    <x v="1"/>
  </r>
  <r>
    <n v="2024001397"/>
    <x v="252"/>
    <n v="2024"/>
    <x v="110"/>
    <s v="PROD_003"/>
    <s v="USB-C Cable"/>
    <s v="Electronics"/>
    <n v="1"/>
    <n v="16"/>
    <n v="16"/>
    <n v="16"/>
    <n v="0"/>
    <s v="France"/>
    <x v="3"/>
  </r>
  <r>
    <n v="2024001398"/>
    <x v="198"/>
    <n v="2024"/>
    <x v="0"/>
    <s v="PROD_003"/>
    <s v="USB-C Cable"/>
    <s v="Electronics"/>
    <n v="1"/>
    <n v="15.2"/>
    <n v="15.2"/>
    <n v="15.2"/>
    <n v="0"/>
    <s v="France"/>
    <x v="2"/>
  </r>
  <r>
    <n v="2024001399"/>
    <x v="157"/>
    <n v="2024"/>
    <x v="201"/>
    <s v="PROD_010"/>
    <s v="Webcam HD"/>
    <s v="Electronics"/>
    <n v="2"/>
    <n v="92.29"/>
    <n v="184.58"/>
    <n v="184.58"/>
    <n v="0"/>
    <s v="Austria"/>
    <x v="1"/>
  </r>
  <r>
    <n v="2024001400"/>
    <x v="253"/>
    <n v="2024"/>
    <x v="104"/>
    <s v="PROD_007"/>
    <s v="Keyboard Mechanical"/>
    <s v="Electronics"/>
    <n v="1"/>
    <n v="117.74"/>
    <n v="117.74"/>
    <n v="117.74"/>
    <n v="0"/>
    <s v="Spain"/>
    <x v="0"/>
  </r>
  <r>
    <n v="2024001401"/>
    <x v="123"/>
    <n v="2024"/>
    <x v="0"/>
    <s v="PROD_004"/>
    <s v="Desk Chair"/>
    <s v="Furniture"/>
    <n v="1"/>
    <n v="360.08"/>
    <n v="360.08"/>
    <n v="360.08"/>
    <n v="0"/>
    <s v="UK"/>
    <x v="1"/>
  </r>
  <r>
    <n v="2024001402"/>
    <x v="182"/>
    <n v="2024"/>
    <x v="0"/>
    <s v="PROD_001"/>
    <s v="Laptop Pro"/>
    <s v="Electronics"/>
    <n v="1"/>
    <n v="1186.51"/>
    <n v="1186.51"/>
    <n v="1186.51"/>
    <n v="0"/>
    <s v="Belgium"/>
    <x v="0"/>
  </r>
  <r>
    <n v="2024001403"/>
    <x v="87"/>
    <n v="2024"/>
    <x v="0"/>
    <s v="PROD_009"/>
    <s v="Phone Stand"/>
    <s v="Accessories"/>
    <n v="2"/>
    <n v="24.19"/>
    <n v="48.38"/>
    <n v="48.38"/>
    <n v="0"/>
    <s v="UK"/>
    <x v="1"/>
  </r>
  <r>
    <n v="2024001404"/>
    <x v="254"/>
    <n v="2024"/>
    <x v="116"/>
    <s v="PROD_003"/>
    <s v="USB-C Cable"/>
    <s v="Electronics"/>
    <n v="4"/>
    <n v="15.71"/>
    <n v="62.84"/>
    <n v="62.84"/>
    <n v="0"/>
    <s v="Spain"/>
    <x v="0"/>
  </r>
  <r>
    <n v="2024001405"/>
    <x v="212"/>
    <n v="2024"/>
    <x v="56"/>
    <s v="PROD_002"/>
    <s v="Wireless Mouse"/>
    <s v="Electronics"/>
    <n v="2"/>
    <n v="45.65"/>
    <n v="91.3"/>
    <n v="91.3"/>
    <n v="0"/>
    <s v="UK"/>
    <x v="3"/>
  </r>
  <r>
    <n v="2024001406"/>
    <x v="48"/>
    <n v="2024"/>
    <x v="202"/>
    <s v="PROD_002"/>
    <s v="Wireless Mouse"/>
    <s v="Electronics"/>
    <n v="1"/>
    <n v="41.18"/>
    <n v="41.18"/>
    <n v="41.18"/>
    <n v="0"/>
    <s v="France"/>
    <x v="1"/>
  </r>
  <r>
    <n v="2024001407"/>
    <x v="184"/>
    <n v="2024"/>
    <x v="9"/>
    <s v="PROD_001"/>
    <s v="Laptop Pro"/>
    <s v="Electronics"/>
    <n v="1"/>
    <n v="1161.27"/>
    <n v="1161.27"/>
    <n v="1161.27"/>
    <n v="0"/>
    <s v="Austria"/>
    <x v="1"/>
  </r>
  <r>
    <n v="2024001408"/>
    <x v="113"/>
    <n v="2024"/>
    <x v="203"/>
    <s v="PROD_005"/>
    <s v="Standing Desk"/>
    <s v="Furniture"/>
    <n v="2"/>
    <n v="655.21"/>
    <n v="1310.42"/>
    <n v="1310.42"/>
    <n v="0"/>
    <s v="Belgium"/>
    <x v="2"/>
  </r>
  <r>
    <n v="2024001409"/>
    <x v="218"/>
    <n v="2024"/>
    <x v="71"/>
    <s v="PROD_002"/>
    <s v="Wireless Mouse"/>
    <s v="Electronics"/>
    <n v="1"/>
    <n v="43.32"/>
    <n v="43.32"/>
    <n v="43.32"/>
    <n v="0"/>
    <s v="UK"/>
    <x v="3"/>
  </r>
  <r>
    <n v="2024001410"/>
    <x v="199"/>
    <n v="2024"/>
    <x v="12"/>
    <s v="PROD_007"/>
    <s v="Keyboard Mechanical"/>
    <s v="Electronics"/>
    <n v="1"/>
    <n v="108.99"/>
    <n v="108.99"/>
    <n v="108.99"/>
    <n v="0"/>
    <s v="Austria"/>
    <x v="0"/>
  </r>
  <r>
    <n v="2024001411"/>
    <x v="255"/>
    <n v="2024"/>
    <x v="157"/>
    <s v="PROD_002"/>
    <s v="Wireless Mouse"/>
    <s v="Electronics"/>
    <n v="1"/>
    <n v="47.64"/>
    <n v="47.64"/>
    <n v="47.64"/>
    <n v="0"/>
    <s v="Italy"/>
    <x v="1"/>
  </r>
  <r>
    <n v="2024001412"/>
    <x v="230"/>
    <n v="2024"/>
    <x v="204"/>
    <s v="PROD_001"/>
    <s v="Laptop Pro"/>
    <s v="Electronics"/>
    <n v="1"/>
    <n v="1278.6199999999999"/>
    <n v="1278.6199999999999"/>
    <n v="1278.6199999999999"/>
    <n v="0"/>
    <s v="France"/>
    <x v="2"/>
  </r>
  <r>
    <n v="2024001413"/>
    <x v="113"/>
    <n v="2024"/>
    <x v="205"/>
    <s v="PROD_005"/>
    <s v="Standing Desk"/>
    <s v="Furniture"/>
    <n v="2"/>
    <n v="641.87"/>
    <n v="1283.74"/>
    <n v="1283.74"/>
    <n v="0"/>
    <s v="Spain"/>
    <x v="3"/>
  </r>
  <r>
    <n v="2024001414"/>
    <x v="54"/>
    <n v="2024"/>
    <x v="206"/>
    <s v="PROD_004"/>
    <s v="Desk Chair"/>
    <s v="Furniture"/>
    <n v="1"/>
    <n v="350.49"/>
    <n v="350.49"/>
    <n v="350.49"/>
    <n v="0"/>
    <s v="Spain"/>
    <x v="0"/>
  </r>
  <r>
    <n v="2024001415"/>
    <x v="212"/>
    <n v="2024"/>
    <x v="181"/>
    <s v="PROD_003"/>
    <s v="USB-C Cable"/>
    <s v="Electronics"/>
    <n v="1"/>
    <n v="15.31"/>
    <n v="15.31"/>
    <n v="15.31"/>
    <n v="0"/>
    <s v="Italy"/>
    <x v="0"/>
  </r>
  <r>
    <n v="2024001416"/>
    <x v="218"/>
    <n v="2024"/>
    <x v="144"/>
    <s v="PROD_005"/>
    <s v="Standing Desk"/>
    <s v="Furniture"/>
    <n v="4"/>
    <n v="620.91"/>
    <n v="2483.64"/>
    <n v="2483.64"/>
    <n v="0"/>
    <s v="Spain"/>
    <x v="0"/>
  </r>
  <r>
    <n v="2024001417"/>
    <x v="133"/>
    <n v="2024"/>
    <x v="207"/>
    <s v="PROD_004"/>
    <s v="Desk Chair"/>
    <s v="Furniture"/>
    <n v="1"/>
    <n v="344.16"/>
    <n v="344.16"/>
    <n v="344.16"/>
    <n v="0"/>
    <s v="Netherlands"/>
    <x v="3"/>
  </r>
  <r>
    <n v="2024001418"/>
    <x v="192"/>
    <n v="2024"/>
    <x v="188"/>
    <s v="PROD_009"/>
    <s v="Phone Stand"/>
    <s v="Accessories"/>
    <n v="2"/>
    <n v="26.97"/>
    <n v="53.94"/>
    <n v="53.94"/>
    <n v="0"/>
    <s v="Belgium"/>
    <x v="1"/>
  </r>
  <r>
    <n v="2024001419"/>
    <x v="213"/>
    <n v="2024"/>
    <x v="200"/>
    <s v="PROD_003"/>
    <s v="USB-C Cable"/>
    <s v="Electronics"/>
    <n v="1"/>
    <n v="15.19"/>
    <n v="15.19"/>
    <n v="15.19"/>
    <n v="0"/>
    <s v="Italy"/>
    <x v="0"/>
  </r>
  <r>
    <n v="2024001420"/>
    <x v="238"/>
    <n v="2024"/>
    <x v="80"/>
    <s v="PROD_007"/>
    <s v="Keyboard Mechanical"/>
    <s v="Electronics"/>
    <n v="2"/>
    <n v="121.76"/>
    <n v="243.52"/>
    <n v="243.52"/>
    <n v="0"/>
    <s v="UK"/>
    <x v="2"/>
  </r>
  <r>
    <n v="2024001421"/>
    <x v="110"/>
    <n v="2024"/>
    <x v="208"/>
    <s v="PROD_004"/>
    <s v="Desk Chair"/>
    <s v="Furniture"/>
    <n v="1"/>
    <n v="329.3"/>
    <n v="329.3"/>
    <n v="329.3"/>
    <n v="0"/>
    <s v="France"/>
    <x v="1"/>
  </r>
  <r>
    <n v="2024001422"/>
    <x v="27"/>
    <n v="2024"/>
    <x v="31"/>
    <s v="PROD_006"/>
    <s v="Monitor 27&quot;"/>
    <s v="Electronics"/>
    <n v="2"/>
    <n v="375.41"/>
    <n v="750.82"/>
    <n v="750.82"/>
    <n v="0"/>
    <s v="Italy"/>
    <x v="3"/>
  </r>
  <r>
    <n v="2024001423"/>
    <x v="256"/>
    <n v="2024"/>
    <x v="74"/>
    <s v="PROD_001"/>
    <s v="Laptop Pro"/>
    <s v="Electronics"/>
    <n v="2"/>
    <n v="1229.8"/>
    <n v="2459.6"/>
    <n v="2459.6"/>
    <n v="0"/>
    <s v="Netherlands"/>
    <x v="1"/>
  </r>
  <r>
    <n v="2024001424"/>
    <x v="185"/>
    <n v="2024"/>
    <x v="209"/>
    <s v="PROD_005"/>
    <s v="Standing Desk"/>
    <s v="Furniture"/>
    <n v="2"/>
    <n v="582.16"/>
    <n v="1164.32"/>
    <n v="1164.32"/>
    <n v="0"/>
    <s v="Netherlands"/>
    <x v="2"/>
  </r>
  <r>
    <n v="2024001425"/>
    <x v="180"/>
    <n v="2024"/>
    <x v="74"/>
    <s v="PROD_001"/>
    <s v="Laptop Pro"/>
    <s v="Electronics"/>
    <n v="2"/>
    <n v="1074.1300000000001"/>
    <n v="2148.2600000000002"/>
    <n v="2148.2600000000002"/>
    <n v="0"/>
    <s v="Austria"/>
    <x v="0"/>
  </r>
  <r>
    <n v="2024001426"/>
    <x v="257"/>
    <n v="2023"/>
    <x v="84"/>
    <s v="PROD_001"/>
    <s v="Laptop Pro"/>
    <s v="Electronics"/>
    <n v="4"/>
    <n v="1145.44"/>
    <n v="4581.76"/>
    <n v="4581.76"/>
    <n v="0"/>
    <s v="Netherlands"/>
    <x v="1"/>
  </r>
  <r>
    <n v="2024001427"/>
    <x v="176"/>
    <n v="2024"/>
    <x v="42"/>
    <s v="PROD_004"/>
    <s v="Desk Chair"/>
    <s v="Furniture"/>
    <n v="1"/>
    <n v="350.51"/>
    <n v="350.51"/>
    <n v="350.51"/>
    <n v="0"/>
    <s v="France"/>
    <x v="0"/>
  </r>
  <r>
    <n v="2024001428"/>
    <x v="159"/>
    <n v="2024"/>
    <x v="57"/>
    <s v="PROD_009"/>
    <s v="Phone Stand"/>
    <s v="Accessories"/>
    <n v="1"/>
    <n v="25.67"/>
    <n v="25.67"/>
    <n v="25.67"/>
    <n v="0"/>
    <s v="Germany"/>
    <x v="3"/>
  </r>
  <r>
    <n v="2024001429"/>
    <x v="258"/>
    <n v="2024"/>
    <x v="79"/>
    <s v="PROD_004"/>
    <s v="Desk Chair"/>
    <s v="Furniture"/>
    <n v="3"/>
    <n v="355.37"/>
    <n v="1066.1099999999999"/>
    <n v="1066.1100000000001"/>
    <n v="0"/>
    <s v="UK"/>
    <x v="3"/>
  </r>
  <r>
    <n v="2024001430"/>
    <x v="259"/>
    <n v="2024"/>
    <x v="210"/>
    <s v="PROD_001"/>
    <s v="Laptop Pro"/>
    <s v="Electronics"/>
    <n v="2"/>
    <n v="1138.6099999999999"/>
    <n v="2277.2199999999998"/>
    <n v="2277.2199999999998"/>
    <n v="0"/>
    <s v="Netherlands"/>
    <x v="1"/>
  </r>
  <r>
    <n v="2024001431"/>
    <x v="188"/>
    <n v="2024"/>
    <x v="126"/>
    <s v="PROD_007"/>
    <s v="Keyboard Mechanical"/>
    <s v="Electronics"/>
    <n v="1"/>
    <n v="115.23"/>
    <n v="115.23"/>
    <n v="115.23"/>
    <n v="0"/>
    <s v="Netherlands"/>
    <x v="2"/>
  </r>
  <r>
    <n v="2024001432"/>
    <x v="260"/>
    <n v="2024"/>
    <x v="211"/>
    <s v="PROD_003"/>
    <s v="USB-C Cable"/>
    <s v="Electronics"/>
    <n v="2"/>
    <n v="14.69"/>
    <n v="29.38"/>
    <n v="29.38"/>
    <n v="0"/>
    <s v="Germany"/>
    <x v="2"/>
  </r>
  <r>
    <n v="2024001433"/>
    <x v="179"/>
    <n v="2024"/>
    <x v="43"/>
    <s v="PROD_008"/>
    <s v="Desk Lamp"/>
    <s v="Furniture"/>
    <n v="2"/>
    <n v="77.010000000000005"/>
    <n v="154.02000000000001"/>
    <n v="154.02000000000001"/>
    <n v="0"/>
    <s v="UK"/>
    <x v="1"/>
  </r>
  <r>
    <n v="2024001434"/>
    <x v="100"/>
    <n v="2024"/>
    <x v="145"/>
    <s v="PROD_001"/>
    <s v="Laptop Pro"/>
    <s v="Electronics"/>
    <n v="1"/>
    <n v="1272.56"/>
    <n v="1272.56"/>
    <n v="1272.56"/>
    <n v="0"/>
    <s v="Italy"/>
    <x v="2"/>
  </r>
  <r>
    <n v="2024001435"/>
    <x v="214"/>
    <n v="2024"/>
    <x v="53"/>
    <s v="PROD_005"/>
    <s v="Standing Desk"/>
    <s v="Furniture"/>
    <n v="3"/>
    <n v="556.80999999999995"/>
    <n v="1670.43"/>
    <n v="1670.4299999999998"/>
    <n v="0"/>
    <s v="Austria"/>
    <x v="1"/>
  </r>
  <r>
    <n v="2024001436"/>
    <x v="261"/>
    <n v="2024"/>
    <x v="169"/>
    <s v="PROD_003"/>
    <s v="USB-C Cable"/>
    <s v="Electronics"/>
    <n v="2"/>
    <n v="14.98"/>
    <n v="29.96"/>
    <n v="29.96"/>
    <n v="0"/>
    <s v="Spain"/>
    <x v="0"/>
  </r>
  <r>
    <n v="2024001437"/>
    <x v="262"/>
    <n v="2024"/>
    <x v="0"/>
    <s v="PROD_003"/>
    <s v="USB-C Cable"/>
    <s v="Electronics"/>
    <n v="2"/>
    <n v="14.34"/>
    <n v="28.68"/>
    <n v="28.68"/>
    <n v="0"/>
    <s v="Germany"/>
    <x v="2"/>
  </r>
  <r>
    <n v="2024001438"/>
    <x v="263"/>
    <n v="2024"/>
    <x v="212"/>
    <s v="PROD_006"/>
    <s v="Monitor 27&quot;"/>
    <s v="Electronics"/>
    <n v="1"/>
    <n v="400.02"/>
    <n v="400.02"/>
    <n v="400.02"/>
    <n v="0"/>
    <s v="Sweden"/>
    <x v="3"/>
  </r>
  <r>
    <n v="2024001439"/>
    <x v="64"/>
    <n v="2024"/>
    <x v="127"/>
    <s v="PROD_002"/>
    <s v="Wireless Mouse"/>
    <s v="Electronics"/>
    <n v="1"/>
    <n v="43.16"/>
    <n v="43.16"/>
    <n v="43.16"/>
    <n v="0"/>
    <s v="Switzerland"/>
    <x v="1"/>
  </r>
  <r>
    <n v="2024001440"/>
    <x v="264"/>
    <n v="2024"/>
    <x v="213"/>
    <s v="PROD_003"/>
    <s v="USB-C Cable"/>
    <s v="Electronics"/>
    <n v="3"/>
    <n v="14.88"/>
    <n v="44.64"/>
    <n v="44.64"/>
    <n v="0"/>
    <s v="Netherlands"/>
    <x v="2"/>
  </r>
  <r>
    <n v="2024001441"/>
    <x v="13"/>
    <n v="2024"/>
    <x v="214"/>
    <s v="PROD_007"/>
    <s v="Keyboard Mechanical"/>
    <s v="Electronics"/>
    <n v="1"/>
    <n v="124.2"/>
    <n v="124.2"/>
    <n v="124.2"/>
    <n v="0"/>
    <s v="Austria"/>
    <x v="0"/>
  </r>
  <r>
    <n v="2024001442"/>
    <x v="155"/>
    <n v="2024"/>
    <x v="5"/>
    <s v="PROD_003"/>
    <s v="USB-C Cable"/>
    <s v="Electronics"/>
    <n v="1"/>
    <n v="14.36"/>
    <n v="14.36"/>
    <n v="14.36"/>
    <n v="0"/>
    <s v="France"/>
    <x v="1"/>
  </r>
  <r>
    <n v="2024001443"/>
    <x v="116"/>
    <n v="2024"/>
    <x v="178"/>
    <s v="PROD_010"/>
    <s v="Webcam HD"/>
    <s v="Electronics"/>
    <n v="2"/>
    <n v="91.51"/>
    <n v="183.02"/>
    <n v="183.02"/>
    <n v="0"/>
    <s v="Switzerland"/>
    <x v="0"/>
  </r>
  <r>
    <n v="2024001444"/>
    <x v="22"/>
    <n v="2024"/>
    <x v="215"/>
    <s v="PROD_002"/>
    <s v="Wireless Mouse"/>
    <s v="Electronics"/>
    <n v="1"/>
    <n v="46.9"/>
    <n v="46.9"/>
    <n v="46.9"/>
    <n v="0"/>
    <s v="Switzerland"/>
    <x v="1"/>
  </r>
  <r>
    <n v="2024001445"/>
    <x v="34"/>
    <n v="2024"/>
    <x v="71"/>
    <s v="PROD_004"/>
    <s v="Desk Chair"/>
    <s v="Furniture"/>
    <n v="1"/>
    <n v="359.79"/>
    <n v="359.79"/>
    <n v="359.79"/>
    <n v="0"/>
    <s v="Belgium"/>
    <x v="3"/>
  </r>
  <r>
    <n v="2024001446"/>
    <x v="143"/>
    <n v="2024"/>
    <x v="216"/>
    <s v="PROD_002"/>
    <s v="Wireless Mouse"/>
    <s v="Electronics"/>
    <n v="1"/>
    <n v="43.82"/>
    <n v="43.82"/>
    <n v="43.82"/>
    <n v="0"/>
    <s v="France"/>
    <x v="1"/>
  </r>
  <r>
    <n v="2024001447"/>
    <x v="265"/>
    <n v="2024"/>
    <x v="78"/>
    <s v="PROD_002"/>
    <s v="Wireless Mouse"/>
    <s v="Electronics"/>
    <n v="1"/>
    <n v="45.34"/>
    <n v="45.34"/>
    <n v="45.34"/>
    <n v="0"/>
    <s v="Netherlands"/>
    <x v="2"/>
  </r>
  <r>
    <n v="2024001448"/>
    <x v="215"/>
    <n v="2024"/>
    <x v="1"/>
    <s v="PROD_002"/>
    <s v="Wireless Mouse"/>
    <s v="Electronics"/>
    <n v="1"/>
    <n v="46.08"/>
    <n v="46.08"/>
    <n v="46.08"/>
    <n v="0"/>
    <s v="Austria"/>
    <x v="2"/>
  </r>
  <r>
    <n v="2024001449"/>
    <x v="229"/>
    <n v="2024"/>
    <x v="22"/>
    <s v="PROD_009"/>
    <s v="Phone Stand"/>
    <s v="Accessories"/>
    <n v="3"/>
    <n v="24.78"/>
    <n v="74.34"/>
    <n v="74.34"/>
    <n v="0"/>
    <s v="Spain"/>
    <x v="3"/>
  </r>
  <r>
    <n v="2024001450"/>
    <x v="266"/>
    <n v="2024"/>
    <x v="165"/>
    <s v="PROD_003"/>
    <s v="USB-C Cable"/>
    <s v="Electronics"/>
    <n v="4"/>
    <n v="15.29"/>
    <n v="61.16"/>
    <n v="61.16"/>
    <n v="0"/>
    <s v="Italy"/>
    <x v="2"/>
  </r>
  <r>
    <n v="2024001451"/>
    <x v="222"/>
    <n v="2024"/>
    <x v="14"/>
    <s v="PROD_001"/>
    <s v="Laptop Pro"/>
    <s v="Electronics"/>
    <n v="4"/>
    <n v="1193.81"/>
    <n v="4775.24"/>
    <n v="4775.24"/>
    <n v="0"/>
    <s v="Austria"/>
    <x v="3"/>
  </r>
  <r>
    <n v="2024001452"/>
    <x v="258"/>
    <n v="2024"/>
    <x v="0"/>
    <s v="PROD_007"/>
    <s v="Keyboard Mechanical"/>
    <s v="Electronics"/>
    <n v="1"/>
    <n v="118.99"/>
    <n v="118.99"/>
    <n v="118.99"/>
    <n v="0"/>
    <s v="Switzerland"/>
    <x v="3"/>
  </r>
  <r>
    <n v="2024001453"/>
    <x v="172"/>
    <n v="2024"/>
    <x v="217"/>
    <s v="PROD_004"/>
    <s v="Desk Chair"/>
    <s v="Furniture"/>
    <n v="2"/>
    <n v="353.49"/>
    <n v="706.98"/>
    <n v="706.98"/>
    <n v="0"/>
    <s v="Austria"/>
    <x v="2"/>
  </r>
  <r>
    <n v="2024001454"/>
    <x v="267"/>
    <n v="2024"/>
    <x v="194"/>
    <s v="PROD_005"/>
    <s v="Standing Desk"/>
    <s v="Furniture"/>
    <n v="1"/>
    <n v="612.24"/>
    <n v="612.24"/>
    <n v="612.24"/>
    <n v="0"/>
    <s v="Austria"/>
    <x v="1"/>
  </r>
  <r>
    <n v="2024001455"/>
    <x v="95"/>
    <n v="2024"/>
    <x v="81"/>
    <s v="PROD_003"/>
    <s v="USB-C Cable"/>
    <s v="Electronics"/>
    <n v="1"/>
    <n v="14.91"/>
    <n v="14.91"/>
    <n v="14.91"/>
    <n v="0"/>
    <s v="Belgium"/>
    <x v="2"/>
  </r>
  <r>
    <n v="2024001456"/>
    <x v="105"/>
    <n v="2024"/>
    <x v="116"/>
    <s v="PROD_005"/>
    <s v="Standing Desk"/>
    <s v="Furniture"/>
    <n v="3"/>
    <n v="588.1"/>
    <n v="1764.3"/>
    <n v="1764.3000000000002"/>
    <n v="0"/>
    <s v="Austria"/>
    <x v="0"/>
  </r>
  <r>
    <n v="2024001457"/>
    <x v="195"/>
    <n v="2024"/>
    <x v="218"/>
    <s v="PROD_007"/>
    <s v="Keyboard Mechanical"/>
    <s v="Electronics"/>
    <n v="2"/>
    <n v="122.9"/>
    <n v="245.8"/>
    <n v="245.8"/>
    <n v="0"/>
    <s v="Germany"/>
    <x v="2"/>
  </r>
  <r>
    <n v="2024001458"/>
    <x v="159"/>
    <n v="2024"/>
    <x v="138"/>
    <s v="PROD_007"/>
    <s v="Keyboard Mechanical"/>
    <s v="Electronics"/>
    <n v="1"/>
    <n v="120.83"/>
    <n v="120.83"/>
    <n v="120.83"/>
    <n v="0"/>
    <s v="Netherlands"/>
    <x v="0"/>
  </r>
  <r>
    <n v="2024001459"/>
    <x v="233"/>
    <n v="2024"/>
    <x v="5"/>
    <s v="PROD_003"/>
    <s v="USB-C Cable"/>
    <s v="Electronics"/>
    <n v="2"/>
    <n v="14.75"/>
    <n v="29.5"/>
    <n v="29.5"/>
    <n v="0"/>
    <s v="France"/>
    <x v="0"/>
  </r>
  <r>
    <n v="2024001460"/>
    <x v="268"/>
    <n v="2024"/>
    <x v="72"/>
    <s v="PROD_005"/>
    <s v="Standing Desk"/>
    <s v="Furniture"/>
    <n v="1"/>
    <n v="554.24"/>
    <n v="554.24"/>
    <n v="554.24"/>
    <n v="0"/>
    <s v="Netherlands"/>
    <x v="2"/>
  </r>
  <r>
    <n v="2024001461"/>
    <x v="134"/>
    <n v="2024"/>
    <x v="72"/>
    <s v="PROD_003"/>
    <s v="USB-C Cable"/>
    <s v="Electronics"/>
    <n v="1"/>
    <n v="14.15"/>
    <n v="14.15"/>
    <n v="14.15"/>
    <n v="0"/>
    <s v="Netherlands"/>
    <x v="2"/>
  </r>
  <r>
    <n v="2024001462"/>
    <x v="136"/>
    <n v="2024"/>
    <x v="186"/>
    <s v="PROD_004"/>
    <s v="Desk Chair"/>
    <s v="Furniture"/>
    <n v="1"/>
    <n v="359.42"/>
    <n v="359.42"/>
    <n v="359.42"/>
    <n v="0"/>
    <s v="Sweden"/>
    <x v="0"/>
  </r>
  <r>
    <n v="2024001463"/>
    <x v="269"/>
    <n v="2024"/>
    <x v="216"/>
    <s v="PROD_001"/>
    <s v="Laptop Pro"/>
    <s v="Electronics"/>
    <n v="2"/>
    <n v="1197.5"/>
    <n v="2395"/>
    <n v="2395"/>
    <n v="0"/>
    <s v="Sweden"/>
    <x v="3"/>
  </r>
  <r>
    <n v="2024001464"/>
    <x v="19"/>
    <n v="2024"/>
    <x v="132"/>
    <s v="PROD_010"/>
    <s v="Webcam HD"/>
    <s v="Electronics"/>
    <n v="3"/>
    <n v="88.93"/>
    <n v="266.79000000000002"/>
    <n v="266.79000000000002"/>
    <n v="0"/>
    <s v="Netherlands"/>
    <x v="1"/>
  </r>
  <r>
    <n v="2024001465"/>
    <x v="24"/>
    <n v="2024"/>
    <x v="176"/>
    <s v="PROD_001"/>
    <s v="Laptop Pro"/>
    <s v="Electronics"/>
    <n v="2"/>
    <n v="1211.53"/>
    <n v="2423.06"/>
    <n v="2423.06"/>
    <n v="0"/>
    <s v="Belgium"/>
    <x v="3"/>
  </r>
  <r>
    <n v="2024001466"/>
    <x v="43"/>
    <n v="2024"/>
    <x v="219"/>
    <s v="PROD_005"/>
    <s v="Standing Desk"/>
    <s v="Furniture"/>
    <n v="2"/>
    <n v="620.11"/>
    <n v="1240.22"/>
    <n v="1240.22"/>
    <n v="0"/>
    <s v="Switzerland"/>
    <x v="2"/>
  </r>
  <r>
    <n v="2024001467"/>
    <x v="260"/>
    <n v="2024"/>
    <x v="0"/>
    <s v="PROD_004"/>
    <s v="Desk Chair"/>
    <s v="Furniture"/>
    <n v="3"/>
    <n v="361.85"/>
    <n v="1085.55"/>
    <n v="1085.5500000000002"/>
    <n v="0"/>
    <s v="Austria"/>
    <x v="2"/>
  </r>
  <r>
    <n v="2024001468"/>
    <x v="270"/>
    <n v="2024"/>
    <x v="0"/>
    <s v="PROD_002"/>
    <s v="Wireless Mouse"/>
    <s v="Electronics"/>
    <n v="1"/>
    <n v="44.6"/>
    <n v="44.6"/>
    <n v="44.6"/>
    <n v="0"/>
    <s v="Sweden"/>
    <x v="3"/>
  </r>
  <r>
    <n v="2024001469"/>
    <x v="157"/>
    <n v="2024"/>
    <x v="31"/>
    <s v="PROD_009"/>
    <s v="Phone Stand"/>
    <s v="Accessories"/>
    <n v="1"/>
    <n v="27.08"/>
    <n v="27.08"/>
    <n v="27.08"/>
    <n v="0"/>
    <s v="Switzerland"/>
    <x v="3"/>
  </r>
  <r>
    <n v="2024001470"/>
    <x v="18"/>
    <n v="2024"/>
    <x v="158"/>
    <s v="PROD_006"/>
    <s v="Monitor 27&quot;"/>
    <s v="Electronics"/>
    <n v="1"/>
    <n v="386.76"/>
    <n v="386.76"/>
    <n v="386.76"/>
    <n v="0"/>
    <s v="Sweden"/>
    <x v="2"/>
  </r>
  <r>
    <n v="2024001471"/>
    <x v="271"/>
    <n v="2024"/>
    <x v="0"/>
    <s v="PROD_009"/>
    <s v="Phone Stand"/>
    <s v="Accessories"/>
    <n v="3"/>
    <n v="24.25"/>
    <n v="72.75"/>
    <n v="72.75"/>
    <n v="0"/>
    <s v="UK"/>
    <x v="1"/>
  </r>
  <r>
    <n v="2024001472"/>
    <x v="38"/>
    <n v="2024"/>
    <x v="220"/>
    <s v="PROD_001"/>
    <s v="Laptop Pro"/>
    <s v="Electronics"/>
    <n v="1"/>
    <n v="1185.96"/>
    <n v="1185.96"/>
    <n v="1185.96"/>
    <n v="0"/>
    <s v="Austria"/>
    <x v="1"/>
  </r>
  <r>
    <n v="2024001140"/>
    <x v="146"/>
    <n v="2024"/>
    <x v="30"/>
    <s v="PROD_002"/>
    <s v="Wireless Mouse"/>
    <s v="Electronics"/>
    <n v="2"/>
    <n v="46.05"/>
    <n v="92.1"/>
    <n v="92.1"/>
    <n v="0"/>
    <s v="Germany"/>
    <x v="2"/>
  </r>
  <r>
    <n v="2024001474"/>
    <x v="2"/>
    <n v="2024"/>
    <x v="190"/>
    <s v="PROD_006"/>
    <s v="Monitor 27&quot;"/>
    <s v="Electronics"/>
    <n v="1"/>
    <n v="420.71"/>
    <n v="420.71"/>
    <n v="420.71"/>
    <n v="0"/>
    <s v="Sweden"/>
    <x v="2"/>
  </r>
  <r>
    <n v="2024001475"/>
    <x v="170"/>
    <n v="2024"/>
    <x v="149"/>
    <s v="PROD_006"/>
    <s v="Monitor 27&quot;"/>
    <s v="Electronics"/>
    <n v="3"/>
    <n v="384.29"/>
    <n v="1152.8699999999999"/>
    <n v="1152.8700000000001"/>
    <n v="0"/>
    <s v="Sweden"/>
    <x v="0"/>
  </r>
  <r>
    <n v="2024001476"/>
    <x v="56"/>
    <n v="2024"/>
    <x v="221"/>
    <s v="PROD_003"/>
    <s v="USB-C Cable"/>
    <s v="Electronics"/>
    <n v="1"/>
    <n v="13.93"/>
    <n v="13.93"/>
    <n v="13.93"/>
    <n v="0"/>
    <s v="France"/>
    <x v="2"/>
  </r>
  <r>
    <n v="2024001477"/>
    <x v="272"/>
    <n v="2024"/>
    <x v="0"/>
    <s v="PROD_002"/>
    <s v="Wireless Mouse"/>
    <s v="Electronics"/>
    <n v="3"/>
    <n v="44.4"/>
    <n v="133.19999999999999"/>
    <n v="133.19999999999999"/>
    <n v="0"/>
    <s v="Netherlands"/>
    <x v="2"/>
  </r>
  <r>
    <n v="2024001478"/>
    <x v="208"/>
    <n v="2024"/>
    <x v="0"/>
    <s v="PROD_004"/>
    <s v="Desk Chair"/>
    <s v="Furniture"/>
    <n v="4"/>
    <n v="350.84"/>
    <n v="1403.36"/>
    <n v="1403.36"/>
    <n v="0"/>
    <s v="Italy"/>
    <x v="2"/>
  </r>
  <r>
    <n v="2024001479"/>
    <x v="273"/>
    <n v="2024"/>
    <x v="0"/>
    <s v="PROD_003"/>
    <s v="USB-C Cable"/>
    <s v="Electronics"/>
    <n v="1"/>
    <n v="15.25"/>
    <n v="15.25"/>
    <n v="15.25"/>
    <n v="0"/>
    <s v="Netherlands"/>
    <x v="0"/>
  </r>
  <r>
    <n v="2024001480"/>
    <x v="239"/>
    <n v="2024"/>
    <x v="183"/>
    <s v="PROD_003"/>
    <s v="USB-C Cable"/>
    <s v="Electronics"/>
    <n v="2"/>
    <n v="16.02"/>
    <n v="32.04"/>
    <n v="32.04"/>
    <n v="0"/>
    <s v="Italy"/>
    <x v="3"/>
  </r>
  <r>
    <n v="2024001481"/>
    <x v="274"/>
    <n v="2024"/>
    <x v="0"/>
    <s v="PROD_008"/>
    <s v="Desk Lamp"/>
    <s v="Furniture"/>
    <n v="1"/>
    <n v="76.02"/>
    <n v="76.02"/>
    <n v="76.02"/>
    <n v="0"/>
    <s v="Switzerland"/>
    <x v="0"/>
  </r>
  <r>
    <n v="2024001482"/>
    <x v="90"/>
    <n v="2024"/>
    <x v="222"/>
    <s v="PROD_001"/>
    <s v="Laptop Pro"/>
    <s v="Electronics"/>
    <n v="1"/>
    <n v="1233.74"/>
    <n v="1233.74"/>
    <n v="1233.74"/>
    <n v="0"/>
    <s v="Austria"/>
    <x v="2"/>
  </r>
  <r>
    <n v="2024001483"/>
    <x v="275"/>
    <n v="2024"/>
    <x v="33"/>
    <s v="PROD_005"/>
    <s v="Standing Desk"/>
    <s v="Furniture"/>
    <n v="1"/>
    <n v="612.52"/>
    <n v="612.52"/>
    <n v="612.52"/>
    <n v="0"/>
    <s v="Sweden"/>
    <x v="1"/>
  </r>
  <r>
    <n v="2024001484"/>
    <x v="276"/>
    <n v="2024"/>
    <x v="223"/>
    <s v="PROD_010"/>
    <s v="Webcam HD"/>
    <s v="Electronics"/>
    <n v="1"/>
    <n v="92.11"/>
    <n v="92.11"/>
    <n v="92.11"/>
    <n v="0"/>
    <s v="Netherlands"/>
    <x v="2"/>
  </r>
  <r>
    <n v="2024001485"/>
    <x v="212"/>
    <n v="2024"/>
    <x v="165"/>
    <s v="PROD_010"/>
    <s v="Webcam HD"/>
    <s v="Electronics"/>
    <n v="4"/>
    <n v="93.21"/>
    <n v="372.84"/>
    <n v="372.84"/>
    <n v="0"/>
    <s v="Netherlands"/>
    <x v="3"/>
  </r>
  <r>
    <n v="2024001486"/>
    <x v="274"/>
    <n v="2024"/>
    <x v="224"/>
    <s v="PROD_002"/>
    <s v="Wireless Mouse"/>
    <s v="Electronics"/>
    <n v="5"/>
    <n v="41.98"/>
    <n v="209.9"/>
    <n v="209.89999999999998"/>
    <n v="0"/>
    <s v="Italy"/>
    <x v="0"/>
  </r>
  <r>
    <n v="2024001487"/>
    <x v="277"/>
    <n v="2024"/>
    <x v="24"/>
    <s v="PROD_001"/>
    <s v="Laptop Pro"/>
    <s v="Electronics"/>
    <n v="1"/>
    <n v="1103.8"/>
    <n v="1103.8"/>
    <n v="1103.8"/>
    <n v="0"/>
    <s v="Sweden"/>
    <x v="0"/>
  </r>
  <r>
    <n v="2024001488"/>
    <x v="144"/>
    <n v="2024"/>
    <x v="131"/>
    <s v="PROD_004"/>
    <s v="Desk Chair"/>
    <s v="Furniture"/>
    <n v="1"/>
    <n v="317.79000000000002"/>
    <n v="317.79000000000002"/>
    <n v="317.79000000000002"/>
    <n v="0"/>
    <s v="France"/>
    <x v="0"/>
  </r>
  <r>
    <n v="2024001489"/>
    <x v="261"/>
    <n v="2024"/>
    <x v="129"/>
    <s v="PROD_010"/>
    <s v="Webcam HD"/>
    <s v="Electronics"/>
    <n v="4"/>
    <n v="97.25"/>
    <n v="389"/>
    <n v="389"/>
    <n v="0"/>
    <s v="Spain"/>
    <x v="1"/>
  </r>
  <r>
    <n v="2024001490"/>
    <x v="254"/>
    <n v="2024"/>
    <x v="57"/>
    <s v="PROD_009"/>
    <s v="Phone Stand"/>
    <s v="Accessories"/>
    <n v="1"/>
    <n v="24.49"/>
    <n v="24.49"/>
    <n v="24.49"/>
    <n v="0"/>
    <s v="Spain"/>
    <x v="2"/>
  </r>
  <r>
    <n v="2024001491"/>
    <x v="39"/>
    <n v="2024"/>
    <x v="0"/>
    <s v="PROD_008"/>
    <s v="Desk Lamp"/>
    <s v="Furniture"/>
    <n v="2"/>
    <n v="82.75"/>
    <n v="165.5"/>
    <n v="165.5"/>
    <n v="0"/>
    <s v="UK"/>
    <x v="3"/>
  </r>
  <r>
    <n v="2024001492"/>
    <x v="278"/>
    <n v="2024"/>
    <x v="200"/>
    <s v="PROD_007"/>
    <s v="Keyboard Mechanical"/>
    <s v="Electronics"/>
    <n v="3"/>
    <n v="128.47"/>
    <n v="385.41"/>
    <n v="385.40999999999997"/>
    <n v="0"/>
    <s v="Sweden"/>
    <x v="3"/>
  </r>
  <r>
    <n v="2024001493"/>
    <x v="59"/>
    <n v="2024"/>
    <x v="210"/>
    <s v="PROD_008"/>
    <s v="Desk Lamp"/>
    <s v="Furniture"/>
    <n v="1"/>
    <n v="78.38"/>
    <n v="78.38"/>
    <n v="78.38"/>
    <n v="0"/>
    <s v="UK"/>
    <x v="3"/>
  </r>
  <r>
    <n v="2024001494"/>
    <x v="0"/>
    <n v="2024"/>
    <x v="225"/>
    <s v="PROD_009"/>
    <s v="Phone Stand"/>
    <s v="Accessories"/>
    <n v="1"/>
    <n v="25.85"/>
    <n v="25.85"/>
    <n v="25.85"/>
    <n v="0"/>
    <s v="France"/>
    <x v="1"/>
  </r>
  <r>
    <n v="2024001495"/>
    <x v="57"/>
    <n v="2024"/>
    <x v="63"/>
    <s v="PROD_008"/>
    <s v="Desk Lamp"/>
    <s v="Furniture"/>
    <n v="1"/>
    <n v="78.540000000000006"/>
    <n v="78.540000000000006"/>
    <n v="78.540000000000006"/>
    <n v="0"/>
    <s v="Spain"/>
    <x v="0"/>
  </r>
  <r>
    <n v="2024001496"/>
    <x v="224"/>
    <n v="2024"/>
    <x v="226"/>
    <s v="PROD_010"/>
    <s v="Webcam HD"/>
    <s v="Electronics"/>
    <n v="3"/>
    <n v="76.84"/>
    <n v="230.52"/>
    <n v="230.52"/>
    <n v="0"/>
    <s v="Italy"/>
    <x v="3"/>
  </r>
  <r>
    <n v="2024001497"/>
    <x v="279"/>
    <n v="2024"/>
    <x v="38"/>
    <s v="PROD_005"/>
    <s v="Standing Desk"/>
    <s v="Furniture"/>
    <n v="1"/>
    <n v="637.42999999999995"/>
    <n v="637.42999999999995"/>
    <n v="637.42999999999995"/>
    <n v="0"/>
    <s v="Italy"/>
    <x v="0"/>
  </r>
  <r>
    <n v="2024001498"/>
    <x v="280"/>
    <n v="2024"/>
    <x v="227"/>
    <s v="PROD_006"/>
    <s v="Monitor 27&quot;"/>
    <s v="Electronics"/>
    <n v="1"/>
    <n v="382.67"/>
    <n v="382.67"/>
    <n v="382.67"/>
    <n v="0"/>
    <s v="Belgium"/>
    <x v="0"/>
  </r>
  <r>
    <n v="2024001499"/>
    <x v="196"/>
    <n v="2024"/>
    <x v="228"/>
    <s v="PROD_003"/>
    <s v="USB-C Cable"/>
    <s v="Electronics"/>
    <n v="3"/>
    <n v="15.48"/>
    <n v="46.44"/>
    <n v="46.44"/>
    <n v="0"/>
    <s v="Netherlands"/>
    <x v="1"/>
  </r>
  <r>
    <n v="2024001500"/>
    <x v="178"/>
    <n v="2024"/>
    <x v="91"/>
    <s v="PROD_003"/>
    <s v="USB-C Cable"/>
    <s v="Electronics"/>
    <n v="2"/>
    <n v="15.5"/>
    <n v="31"/>
    <n v="31"/>
    <n v="0"/>
    <s v="Belgium"/>
    <x v="0"/>
  </r>
  <r>
    <n v="2024001501"/>
    <x v="85"/>
    <n v="2024"/>
    <x v="71"/>
    <s v="PROD_005"/>
    <s v="Standing Desk"/>
    <s v="Furniture"/>
    <n v="2"/>
    <n v="613.88"/>
    <n v="1227.76"/>
    <n v="1227.76"/>
    <n v="0"/>
    <s v="UK"/>
    <x v="0"/>
  </r>
  <r>
    <n v="2024001502"/>
    <x v="281"/>
    <n v="2024"/>
    <x v="36"/>
    <s v="PROD_006"/>
    <s v="Monitor 27&quot;"/>
    <s v="Electronics"/>
    <n v="1"/>
    <n v="414.11"/>
    <n v="414.11"/>
    <n v="414.11"/>
    <n v="0"/>
    <s v="Netherlands"/>
    <x v="2"/>
  </r>
  <r>
    <n v="2024001503"/>
    <x v="265"/>
    <n v="2024"/>
    <x v="229"/>
    <s v="PROD_007"/>
    <s v="Keyboard Mechanical"/>
    <s v="Electronics"/>
    <n v="2"/>
    <n v="115.49"/>
    <n v="230.98"/>
    <n v="230.98"/>
    <n v="0"/>
    <s v="Sweden"/>
    <x v="3"/>
  </r>
  <r>
    <n v="2024001504"/>
    <x v="248"/>
    <n v="2024"/>
    <x v="175"/>
    <s v="PROD_009"/>
    <s v="Phone Stand"/>
    <s v="Accessories"/>
    <n v="1"/>
    <n v="24.59"/>
    <n v="24.59"/>
    <n v="24.59"/>
    <n v="0"/>
    <s v="France"/>
    <x v="3"/>
  </r>
  <r>
    <n v="2024001181"/>
    <x v="14"/>
    <n v="2024"/>
    <x v="109"/>
    <s v="PROD_009"/>
    <s v="Phone Stand"/>
    <s v="Accessories"/>
    <n v="1"/>
    <n v="27.88"/>
    <n v="27.88"/>
    <n v="27.88"/>
    <n v="0"/>
    <s v="Italy"/>
    <x v="0"/>
  </r>
  <r>
    <n v="2024001506"/>
    <x v="265"/>
    <n v="2024"/>
    <x v="0"/>
    <s v="PROD_001"/>
    <s v="Laptop Pro"/>
    <s v="Electronics"/>
    <n v="2"/>
    <n v="1127.6500000000001"/>
    <n v="2255.3000000000002"/>
    <n v="2255.3000000000002"/>
    <n v="0"/>
    <s v="Belgium"/>
    <x v="1"/>
  </r>
  <r>
    <n v="2024001507"/>
    <x v="20"/>
    <n v="2024"/>
    <x v="66"/>
    <s v="PROD_007"/>
    <s v="Keyboard Mechanical"/>
    <s v="Electronics"/>
    <n v="1"/>
    <n v="118.91"/>
    <n v="118.91"/>
    <n v="118.91"/>
    <n v="0"/>
    <s v="Austria"/>
    <x v="2"/>
  </r>
  <r>
    <n v="2024001508"/>
    <x v="226"/>
    <n v="2024"/>
    <x v="230"/>
    <s v="PROD_009"/>
    <s v="Phone Stand"/>
    <s v="Accessories"/>
    <n v="1"/>
    <n v="25.55"/>
    <n v="25.55"/>
    <n v="25.55"/>
    <n v="0"/>
    <s v="Belgium"/>
    <x v="3"/>
  </r>
  <r>
    <n v="2024001509"/>
    <x v="233"/>
    <n v="2024"/>
    <x v="4"/>
    <s v="PROD_004"/>
    <s v="Desk Chair"/>
    <s v="Furniture"/>
    <n v="3"/>
    <n v="363.63"/>
    <n v="1090.8900000000001"/>
    <n v="1090.8899999999999"/>
    <n v="0"/>
    <s v="Spain"/>
    <x v="0"/>
  </r>
  <r>
    <n v="2024001510"/>
    <x v="282"/>
    <n v="2024"/>
    <x v="231"/>
    <s v="PROD_004"/>
    <s v="Desk Chair"/>
    <s v="Furniture"/>
    <n v="1"/>
    <n v="358.51"/>
    <n v="358.51"/>
    <n v="358.51"/>
    <n v="0"/>
    <s v="Germany"/>
    <x v="2"/>
  </r>
  <r>
    <n v="2024001511"/>
    <x v="274"/>
    <n v="2024"/>
    <x v="223"/>
    <s v="PROD_003"/>
    <s v="USB-C Cable"/>
    <s v="Electronics"/>
    <n v="2"/>
    <n v="15.94"/>
    <n v="31.88"/>
    <n v="31.88"/>
    <n v="0"/>
    <s v="France"/>
    <x v="2"/>
  </r>
  <r>
    <n v="2024001512"/>
    <x v="283"/>
    <n v="2024"/>
    <x v="232"/>
    <s v="PROD_005"/>
    <s v="Standing Desk"/>
    <s v="Furniture"/>
    <n v="2"/>
    <n v="592.86"/>
    <n v="1185.72"/>
    <n v="1185.72"/>
    <n v="0"/>
    <s v="UK"/>
    <x v="1"/>
  </r>
  <r>
    <n v="2024001513"/>
    <x v="54"/>
    <n v="2024"/>
    <x v="233"/>
    <s v="PROD_010"/>
    <s v="Webcam HD"/>
    <s v="Electronics"/>
    <n v="3"/>
    <n v="91.21"/>
    <n v="273.63"/>
    <n v="273.63"/>
    <n v="0"/>
    <s v="Spain"/>
    <x v="3"/>
  </r>
  <r>
    <n v="2024001514"/>
    <x v="209"/>
    <n v="2024"/>
    <x v="234"/>
    <s v="PROD_008"/>
    <s v="Desk Lamp"/>
    <s v="Furniture"/>
    <n v="3"/>
    <n v="76.87"/>
    <n v="230.61"/>
    <n v="230.61"/>
    <n v="0"/>
    <s v="Switzerland"/>
    <x v="1"/>
  </r>
  <r>
    <n v="2024001515"/>
    <x v="190"/>
    <n v="2024"/>
    <x v="229"/>
    <s v="PROD_007"/>
    <s v="Keyboard Mechanical"/>
    <s v="Electronics"/>
    <n v="4"/>
    <n v="120.02"/>
    <n v="480.08"/>
    <n v="480.08"/>
    <n v="0"/>
    <s v="Germany"/>
    <x v="3"/>
  </r>
  <r>
    <n v="2024001516"/>
    <x v="284"/>
    <n v="2024"/>
    <x v="235"/>
    <s v="PROD_001"/>
    <s v="Laptop Pro"/>
    <s v="Electronics"/>
    <n v="2"/>
    <n v="1139.8499999999999"/>
    <n v="2279.6999999999998"/>
    <n v="2279.6999999999998"/>
    <n v="0"/>
    <s v="France"/>
    <x v="0"/>
  </r>
  <r>
    <n v="2024001517"/>
    <x v="128"/>
    <n v="2024"/>
    <x v="74"/>
    <s v="PROD_009"/>
    <s v="Phone Stand"/>
    <s v="Accessories"/>
    <n v="3"/>
    <n v="23.62"/>
    <n v="70.86"/>
    <n v="70.86"/>
    <n v="0"/>
    <s v="Italy"/>
    <x v="0"/>
  </r>
  <r>
    <n v="2024001518"/>
    <x v="152"/>
    <n v="2024"/>
    <x v="236"/>
    <s v="PROD_002"/>
    <s v="Wireless Mouse"/>
    <s v="Electronics"/>
    <n v="1"/>
    <n v="42.49"/>
    <n v="42.49"/>
    <n v="42.49"/>
    <n v="0"/>
    <s v="Germany"/>
    <x v="0"/>
  </r>
  <r>
    <n v="2024001519"/>
    <x v="75"/>
    <n v="2024"/>
    <x v="157"/>
    <s v="PROD_004"/>
    <s v="Desk Chair"/>
    <s v="Furniture"/>
    <n v="5"/>
    <n v="371.63"/>
    <n v="1858.15"/>
    <n v="1858.15"/>
    <n v="0"/>
    <s v="Spain"/>
    <x v="0"/>
  </r>
  <r>
    <n v="2024001520"/>
    <x v="167"/>
    <n v="2024"/>
    <x v="237"/>
    <s v="PROD_007"/>
    <s v="Keyboard Mechanical"/>
    <s v="Electronics"/>
    <n v="1"/>
    <n v="117.52"/>
    <n v="117.52"/>
    <n v="117.52"/>
    <n v="0"/>
    <s v="Switzerland"/>
    <x v="0"/>
  </r>
  <r>
    <n v="2024001521"/>
    <x v="49"/>
    <n v="2024"/>
    <x v="54"/>
    <s v="PROD_009"/>
    <s v="Phone Stand"/>
    <s v="Accessories"/>
    <n v="5"/>
    <n v="25.33"/>
    <n v="126.65"/>
    <n v="126.64999999999999"/>
    <n v="0"/>
    <s v="Sweden"/>
    <x v="0"/>
  </r>
  <r>
    <n v="2024001522"/>
    <x v="111"/>
    <n v="2024"/>
    <x v="54"/>
    <s v="PROD_001"/>
    <s v="Laptop Pro"/>
    <s v="Electronics"/>
    <n v="1"/>
    <n v="1223.29"/>
    <n v="1223.29"/>
    <n v="1223.29"/>
    <n v="0"/>
    <s v="Austria"/>
    <x v="2"/>
  </r>
  <r>
    <n v="2024001523"/>
    <x v="78"/>
    <n v="2024"/>
    <x v="168"/>
    <s v="PROD_001"/>
    <s v="Laptop Pro"/>
    <s v="Electronics"/>
    <n v="1"/>
    <n v="1202.32"/>
    <n v="1202.32"/>
    <n v="1202.32"/>
    <n v="0"/>
    <s v="UK"/>
    <x v="0"/>
  </r>
  <r>
    <n v="2024001524"/>
    <x v="270"/>
    <n v="2024"/>
    <x v="238"/>
    <s v="PROD_002"/>
    <s v="Wireless Mouse"/>
    <s v="Electronics"/>
    <n v="1"/>
    <n v="45.47"/>
    <n v="45.47"/>
    <n v="45.47"/>
    <n v="0"/>
    <s v="Belgium"/>
    <x v="1"/>
  </r>
  <r>
    <n v="2024001525"/>
    <x v="285"/>
    <n v="2024"/>
    <x v="90"/>
    <s v="PROD_006"/>
    <s v="Monitor 27&quot;"/>
    <s v="Electronics"/>
    <n v="1"/>
    <n v="401.39"/>
    <n v="401.39"/>
    <n v="401.39"/>
    <n v="0"/>
    <s v="Austria"/>
    <x v="0"/>
  </r>
  <r>
    <n v="2024001526"/>
    <x v="140"/>
    <n v="2024"/>
    <x v="0"/>
    <s v="PROD_003"/>
    <s v="USB-C Cable"/>
    <s v="Electronics"/>
    <n v="2"/>
    <n v="14.03"/>
    <n v="28.06"/>
    <n v="28.06"/>
    <n v="0"/>
    <s v="Germany"/>
    <x v="0"/>
  </r>
  <r>
    <n v="2024001527"/>
    <x v="40"/>
    <n v="2024"/>
    <x v="239"/>
    <s v="PROD_010"/>
    <s v="Webcam HD"/>
    <s v="Electronics"/>
    <n v="1"/>
    <n v="93.73"/>
    <n v="93.73"/>
    <n v="93.73"/>
    <n v="0"/>
    <s v="Netherlands"/>
    <x v="2"/>
  </r>
  <r>
    <n v="2024001528"/>
    <x v="255"/>
    <n v="2024"/>
    <x v="240"/>
    <s v="PROD_002"/>
    <s v="Wireless Mouse"/>
    <s v="Electronics"/>
    <n v="3"/>
    <n v="46.24"/>
    <n v="138.72"/>
    <n v="138.72"/>
    <n v="0"/>
    <s v="Switzerland"/>
    <x v="0"/>
  </r>
  <r>
    <n v="2024001529"/>
    <x v="134"/>
    <n v="2024"/>
    <x v="70"/>
    <s v="PROD_009"/>
    <s v="Phone Stand"/>
    <s v="Accessories"/>
    <n v="1"/>
    <n v="25.43"/>
    <n v="25.43"/>
    <n v="25.43"/>
    <n v="0"/>
    <s v="France"/>
    <x v="2"/>
  </r>
  <r>
    <n v="2024001530"/>
    <x v="184"/>
    <n v="2024"/>
    <x v="220"/>
    <s v="PROD_007"/>
    <s v="Keyboard Mechanical"/>
    <s v="Electronics"/>
    <n v="1"/>
    <n v="123.43"/>
    <n v="123.43"/>
    <n v="123.43"/>
    <n v="0"/>
    <s v="Spain"/>
    <x v="2"/>
  </r>
  <r>
    <n v="2024001531"/>
    <x v="286"/>
    <n v="2024"/>
    <x v="225"/>
    <s v="PROD_010"/>
    <s v="Webcam HD"/>
    <s v="Electronics"/>
    <n v="2"/>
    <n v="89.72"/>
    <n v="179.44"/>
    <n v="179.44"/>
    <n v="0"/>
    <s v="Netherlands"/>
    <x v="3"/>
  </r>
  <r>
    <n v="2024001532"/>
    <x v="86"/>
    <n v="2024"/>
    <x v="121"/>
    <s v="PROD_010"/>
    <s v="Webcam HD"/>
    <s v="Electronics"/>
    <n v="1"/>
    <n v="86.11"/>
    <n v="86.11"/>
    <n v="86.11"/>
    <n v="0"/>
    <s v="Italy"/>
    <x v="1"/>
  </r>
  <r>
    <n v="2024001533"/>
    <x v="2"/>
    <n v="2024"/>
    <x v="151"/>
    <s v="PROD_009"/>
    <s v="Phone Stand"/>
    <s v="Accessories"/>
    <n v="1"/>
    <n v="24.82"/>
    <n v="24.82"/>
    <n v="24.82"/>
    <n v="0"/>
    <s v="UK"/>
    <x v="3"/>
  </r>
  <r>
    <n v="2024001534"/>
    <x v="72"/>
    <n v="2024"/>
    <x v="217"/>
    <s v="PROD_009"/>
    <s v="Phone Stand"/>
    <s v="Accessories"/>
    <n v="2"/>
    <n v="23.8"/>
    <n v="47.6"/>
    <n v="47.6"/>
    <n v="0"/>
    <s v="Belgium"/>
    <x v="2"/>
  </r>
  <r>
    <n v="2024001535"/>
    <x v="250"/>
    <n v="2024"/>
    <x v="50"/>
    <s v="PROD_004"/>
    <s v="Desk Chair"/>
    <s v="Furniture"/>
    <n v="1"/>
    <n v="361.37"/>
    <n v="361.37"/>
    <n v="361.37"/>
    <n v="0"/>
    <s v="France"/>
    <x v="2"/>
  </r>
  <r>
    <n v="2024001536"/>
    <x v="2"/>
    <n v="2024"/>
    <x v="0"/>
    <s v="PROD_005"/>
    <s v="Standing Desk"/>
    <s v="Furniture"/>
    <n v="1"/>
    <n v="592.61"/>
    <n v="592.61"/>
    <n v="592.61"/>
    <n v="0"/>
    <s v="Germany"/>
    <x v="1"/>
  </r>
  <r>
    <n v="2024001537"/>
    <x v="125"/>
    <n v="2024"/>
    <x v="136"/>
    <s v="PROD_002"/>
    <s v="Wireless Mouse"/>
    <s v="Electronics"/>
    <n v="1"/>
    <n v="46.57"/>
    <n v="46.57"/>
    <n v="46.57"/>
    <n v="0"/>
    <s v="Belgium"/>
    <x v="0"/>
  </r>
  <r>
    <n v="2024001538"/>
    <x v="266"/>
    <n v="2024"/>
    <x v="91"/>
    <s v="PROD_003"/>
    <s v="USB-C Cable"/>
    <s v="Electronics"/>
    <n v="1"/>
    <n v="15.69"/>
    <n v="15.69"/>
    <n v="15.69"/>
    <n v="0"/>
    <s v="UK"/>
    <x v="0"/>
  </r>
  <r>
    <n v="2024001539"/>
    <x v="262"/>
    <n v="2024"/>
    <x v="209"/>
    <s v="PROD_008"/>
    <s v="Desk Lamp"/>
    <s v="Furniture"/>
    <n v="1"/>
    <n v="77.23"/>
    <n v="77.23"/>
    <n v="77.23"/>
    <n v="0"/>
    <s v="Sweden"/>
    <x v="2"/>
  </r>
  <r>
    <n v="2024001540"/>
    <x v="151"/>
    <n v="2024"/>
    <x v="184"/>
    <s v="PROD_009"/>
    <s v="Phone Stand"/>
    <s v="Accessories"/>
    <n v="1"/>
    <n v="24.47"/>
    <n v="24.47"/>
    <n v="24.47"/>
    <n v="0"/>
    <s v="Sweden"/>
    <x v="1"/>
  </r>
  <r>
    <n v="2024001541"/>
    <x v="287"/>
    <n v="2024"/>
    <x v="0"/>
    <s v="PROD_006"/>
    <s v="Monitor 27&quot;"/>
    <s v="Electronics"/>
    <n v="1"/>
    <n v="427.25"/>
    <n v="427.25"/>
    <n v="427.25"/>
    <n v="0"/>
    <s v="Spain"/>
    <x v="0"/>
  </r>
  <r>
    <n v="2024001542"/>
    <x v="27"/>
    <n v="2024"/>
    <x v="184"/>
    <s v="PROD_005"/>
    <s v="Standing Desk"/>
    <s v="Furniture"/>
    <n v="3"/>
    <n v="600.08000000000004"/>
    <n v="1800.24"/>
    <n v="1800.2400000000002"/>
    <n v="0"/>
    <s v="Sweden"/>
    <x v="2"/>
  </r>
  <r>
    <n v="2024001543"/>
    <x v="288"/>
    <n v="2024"/>
    <x v="183"/>
    <s v="PROD_006"/>
    <s v="Monitor 27&quot;"/>
    <s v="Electronics"/>
    <n v="2"/>
    <n v="345.96"/>
    <n v="691.92"/>
    <n v="691.92"/>
    <n v="0"/>
    <s v="Netherlands"/>
    <x v="3"/>
  </r>
  <r>
    <n v="2024001544"/>
    <x v="117"/>
    <n v="2024"/>
    <x v="241"/>
    <s v="PROD_001"/>
    <s v="Laptop Pro"/>
    <s v="Electronics"/>
    <n v="3"/>
    <n v="1304.95"/>
    <n v="3914.85"/>
    <n v="3914.8500000000004"/>
    <n v="0"/>
    <s v="France"/>
    <x v="0"/>
  </r>
  <r>
    <n v="2024001545"/>
    <x v="247"/>
    <n v="2024"/>
    <x v="94"/>
    <s v="PROD_001"/>
    <s v="Laptop Pro"/>
    <s v="Electronics"/>
    <n v="1"/>
    <n v="1138.9100000000001"/>
    <n v="1138.9100000000001"/>
    <n v="1138.9100000000001"/>
    <n v="0"/>
    <s v="Italy"/>
    <x v="0"/>
  </r>
  <r>
    <n v="2024001546"/>
    <x v="99"/>
    <n v="2024"/>
    <x v="0"/>
    <s v="PROD_004"/>
    <s v="Desk Chair"/>
    <s v="Furniture"/>
    <n v="1"/>
    <n v="348.18"/>
    <n v="348.18"/>
    <n v="348.18"/>
    <n v="0"/>
    <s v="Sweden"/>
    <x v="1"/>
  </r>
  <r>
    <n v="2024001547"/>
    <x v="33"/>
    <n v="2024"/>
    <x v="153"/>
    <s v="PROD_010"/>
    <s v="Webcam HD"/>
    <s v="Electronics"/>
    <n v="3"/>
    <n v="93.51"/>
    <n v="280.52999999999997"/>
    <n v="280.53000000000003"/>
    <n v="0"/>
    <s v="Austria"/>
    <x v="2"/>
  </r>
  <r>
    <n v="2024001548"/>
    <x v="2"/>
    <n v="2024"/>
    <x v="178"/>
    <s v="PROD_007"/>
    <s v="Keyboard Mechanical"/>
    <s v="Electronics"/>
    <n v="4"/>
    <n v="113.13"/>
    <n v="452.52"/>
    <n v="452.52"/>
    <n v="0"/>
    <s v="Sweden"/>
    <x v="0"/>
  </r>
  <r>
    <n v="2024001549"/>
    <x v="289"/>
    <n v="2024"/>
    <x v="242"/>
    <s v="PROD_001"/>
    <s v="Laptop Pro"/>
    <s v="Electronics"/>
    <n v="1"/>
    <n v="1118.2"/>
    <n v="1118.2"/>
    <n v="1118.2"/>
    <n v="0"/>
    <s v="Austria"/>
    <x v="0"/>
  </r>
  <r>
    <n v="2024001550"/>
    <x v="99"/>
    <n v="2024"/>
    <x v="43"/>
    <s v="PROD_007"/>
    <s v="Keyboard Mechanical"/>
    <s v="Electronics"/>
    <n v="1"/>
    <n v="122.51"/>
    <n v="122.51"/>
    <n v="122.51"/>
    <n v="0"/>
    <s v="France"/>
    <x v="3"/>
  </r>
  <r>
    <n v="2024001551"/>
    <x v="43"/>
    <n v="2024"/>
    <x v="0"/>
    <s v="PROD_006"/>
    <s v="Monitor 27&quot;"/>
    <s v="Electronics"/>
    <n v="1"/>
    <n v="416.94"/>
    <n v="416.94"/>
    <n v="416.94"/>
    <n v="0"/>
    <s v="Italy"/>
    <x v="1"/>
  </r>
  <r>
    <n v="2024001552"/>
    <x v="71"/>
    <n v="2024"/>
    <x v="167"/>
    <s v="PROD_004"/>
    <s v="Desk Chair"/>
    <s v="Furniture"/>
    <n v="1"/>
    <n v="351.96"/>
    <n v="351.96"/>
    <n v="351.96"/>
    <n v="0"/>
    <s v="Netherlands"/>
    <x v="0"/>
  </r>
  <r>
    <n v="2024001553"/>
    <x v="290"/>
    <n v="2024"/>
    <x v="243"/>
    <s v="PROD_010"/>
    <s v="Webcam HD"/>
    <s v="Electronics"/>
    <n v="3"/>
    <n v="97.85"/>
    <n v="293.55"/>
    <n v="293.54999999999995"/>
    <n v="0"/>
    <s v="Sweden"/>
    <x v="0"/>
  </r>
  <r>
    <n v="2024001554"/>
    <x v="60"/>
    <n v="2024"/>
    <x v="130"/>
    <s v="PROD_009"/>
    <s v="Phone Stand"/>
    <s v="Accessories"/>
    <n v="1"/>
    <n v="23.88"/>
    <n v="23.88"/>
    <n v="23.88"/>
    <n v="0"/>
    <s v="Netherlands"/>
    <x v="1"/>
  </r>
  <r>
    <n v="2024001555"/>
    <x v="291"/>
    <n v="2024"/>
    <x v="244"/>
    <s v="PROD_008"/>
    <s v="Desk Lamp"/>
    <s v="Furniture"/>
    <n v="2"/>
    <n v="77.959999999999994"/>
    <n v="155.91999999999999"/>
    <n v="155.91999999999999"/>
    <n v="0"/>
    <s v="Austria"/>
    <x v="1"/>
  </r>
  <r>
    <n v="2024001556"/>
    <x v="290"/>
    <n v="2024"/>
    <x v="245"/>
    <s v="PROD_003"/>
    <s v="USB-C Cable"/>
    <s v="Electronics"/>
    <n v="2"/>
    <n v="14.35"/>
    <n v="28.7"/>
    <n v="28.7"/>
    <n v="0"/>
    <s v="Germany"/>
    <x v="0"/>
  </r>
  <r>
    <n v="2024001557"/>
    <x v="71"/>
    <n v="2024"/>
    <x v="105"/>
    <s v="PROD_001"/>
    <s v="Laptop Pro"/>
    <s v="Electronics"/>
    <n v="2"/>
    <n v="1232.08"/>
    <n v="2464.16"/>
    <n v="2464.16"/>
    <n v="0"/>
    <s v="France"/>
    <x v="2"/>
  </r>
  <r>
    <n v="2024001558"/>
    <x v="292"/>
    <n v="2024"/>
    <x v="213"/>
    <s v="PROD_008"/>
    <s v="Desk Lamp"/>
    <s v="Furniture"/>
    <n v="2"/>
    <n v="78.11"/>
    <n v="156.22"/>
    <n v="156.22"/>
    <n v="0"/>
    <s v="France"/>
    <x v="1"/>
  </r>
  <r>
    <n v="2024001559"/>
    <x v="129"/>
    <n v="2024"/>
    <x v="201"/>
    <s v="PROD_005"/>
    <s v="Standing Desk"/>
    <s v="Furniture"/>
    <n v="3"/>
    <n v="561.47"/>
    <n v="1684.41"/>
    <n v="1684.41"/>
    <n v="0"/>
    <s v="France"/>
    <x v="1"/>
  </r>
  <r>
    <n v="2024001560"/>
    <x v="142"/>
    <n v="2024"/>
    <x v="68"/>
    <s v="PROD_003"/>
    <s v="USB-C Cable"/>
    <s v="Electronics"/>
    <n v="2"/>
    <n v="16.100000000000001"/>
    <n v="32.200000000000003"/>
    <n v="32.200000000000003"/>
    <n v="0"/>
    <s v="Austria"/>
    <x v="0"/>
  </r>
  <r>
    <n v="2024001561"/>
    <x v="76"/>
    <n v="2024"/>
    <x v="197"/>
    <s v="PROD_008"/>
    <s v="Desk Lamp"/>
    <s v="Furniture"/>
    <n v="3"/>
    <n v="83.99"/>
    <n v="251.97"/>
    <n v="251.96999999999997"/>
    <n v="0"/>
    <s v="Austria"/>
    <x v="0"/>
  </r>
  <r>
    <n v="2024001562"/>
    <x v="89"/>
    <n v="2024"/>
    <x v="0"/>
    <s v="PROD_009"/>
    <s v="Phone Stand"/>
    <s v="Accessories"/>
    <n v="1"/>
    <n v="26.37"/>
    <n v="26.37"/>
    <n v="26.37"/>
    <n v="0"/>
    <s v="UK"/>
    <x v="1"/>
  </r>
  <r>
    <n v="2024001563"/>
    <x v="200"/>
    <n v="2024"/>
    <x v="208"/>
    <s v="PROD_005"/>
    <s v="Standing Desk"/>
    <s v="Furniture"/>
    <n v="1"/>
    <n v="581.23"/>
    <n v="581.23"/>
    <n v="581.23"/>
    <n v="0"/>
    <s v="Austria"/>
    <x v="3"/>
  </r>
  <r>
    <n v="2024001564"/>
    <x v="79"/>
    <n v="2024"/>
    <x v="246"/>
    <s v="PROD_002"/>
    <s v="Wireless Mouse"/>
    <s v="Electronics"/>
    <n v="1"/>
    <n v="44.38"/>
    <n v="44.38"/>
    <n v="44.38"/>
    <n v="0"/>
    <s v="Austria"/>
    <x v="3"/>
  </r>
  <r>
    <n v="2024001565"/>
    <x v="94"/>
    <n v="2024"/>
    <x v="185"/>
    <s v="PROD_004"/>
    <s v="Desk Chair"/>
    <s v="Furniture"/>
    <n v="2"/>
    <n v="366.46"/>
    <n v="732.92"/>
    <n v="732.92"/>
    <n v="0"/>
    <s v="Germany"/>
    <x v="0"/>
  </r>
  <r>
    <n v="2024001566"/>
    <x v="293"/>
    <n v="2024"/>
    <x v="0"/>
    <s v="PROD_006"/>
    <s v="Monitor 27&quot;"/>
    <s v="Electronics"/>
    <n v="1"/>
    <n v="378.44"/>
    <n v="378.44"/>
    <n v="378.44"/>
    <n v="0"/>
    <s v="Netherlands"/>
    <x v="0"/>
  </r>
  <r>
    <n v="2024001567"/>
    <x v="292"/>
    <n v="2024"/>
    <x v="247"/>
    <s v="PROD_007"/>
    <s v="Keyboard Mechanical"/>
    <s v="Electronics"/>
    <n v="1"/>
    <n v="115.87"/>
    <n v="115.87"/>
    <n v="115.87"/>
    <n v="0"/>
    <s v="Spain"/>
    <x v="1"/>
  </r>
  <r>
    <n v="2024001568"/>
    <x v="218"/>
    <n v="2024"/>
    <x v="184"/>
    <s v="PROD_002"/>
    <s v="Wireless Mouse"/>
    <s v="Electronics"/>
    <n v="2"/>
    <n v="44.55"/>
    <n v="89.1"/>
    <n v="89.1"/>
    <n v="0"/>
    <s v="Germany"/>
    <x v="2"/>
  </r>
  <r>
    <n v="2024001569"/>
    <x v="294"/>
    <n v="2024"/>
    <x v="246"/>
    <s v="PROD_009"/>
    <s v="Phone Stand"/>
    <s v="Accessories"/>
    <n v="2"/>
    <n v="24.99"/>
    <n v="49.98"/>
    <n v="49.98"/>
    <n v="0"/>
    <s v="Austria"/>
    <x v="0"/>
  </r>
  <r>
    <n v="2024001570"/>
    <x v="3"/>
    <n v="2024"/>
    <x v="0"/>
    <s v="PROD_005"/>
    <s v="Standing Desk"/>
    <s v="Furniture"/>
    <n v="2"/>
    <n v="640.15"/>
    <n v="1280.3"/>
    <n v="1280.3"/>
    <n v="0"/>
    <s v="Spain"/>
    <x v="2"/>
  </r>
  <r>
    <n v="2024001571"/>
    <x v="62"/>
    <n v="2024"/>
    <x v="194"/>
    <s v="PROD_007"/>
    <s v="Keyboard Mechanical"/>
    <s v="Electronics"/>
    <n v="2"/>
    <n v="113.22"/>
    <n v="226.44"/>
    <n v="226.44"/>
    <n v="0"/>
    <s v="Netherlands"/>
    <x v="2"/>
  </r>
  <r>
    <n v="2024001572"/>
    <x v="1"/>
    <n v="2024"/>
    <x v="153"/>
    <s v="PROD_010"/>
    <s v="Webcam HD"/>
    <s v="Electronics"/>
    <n v="3"/>
    <n v="98.39"/>
    <n v="295.17"/>
    <n v="295.17"/>
    <n v="0"/>
    <s v="Sweden"/>
    <x v="3"/>
  </r>
  <r>
    <n v="2024001573"/>
    <x v="156"/>
    <n v="2024"/>
    <x v="248"/>
    <s v="PROD_006"/>
    <s v="Monitor 27&quot;"/>
    <s v="Electronics"/>
    <n v="1"/>
    <n v="422.2"/>
    <n v="422.2"/>
    <n v="422.2"/>
    <n v="0"/>
    <s v="Switzerland"/>
    <x v="1"/>
  </r>
  <r>
    <n v="2024001574"/>
    <x v="43"/>
    <n v="2024"/>
    <x v="247"/>
    <s v="PROD_002"/>
    <s v="Wireless Mouse"/>
    <s v="Electronics"/>
    <n v="1"/>
    <n v="45.04"/>
    <n v="45.04"/>
    <n v="45.04"/>
    <n v="0"/>
    <s v="France"/>
    <x v="0"/>
  </r>
  <r>
    <n v="2024001575"/>
    <x v="2"/>
    <n v="2024"/>
    <x v="187"/>
    <s v="PROD_003"/>
    <s v="USB-C Cable"/>
    <s v="Electronics"/>
    <n v="3"/>
    <n v="15.68"/>
    <n v="47.04"/>
    <n v="47.04"/>
    <n v="0"/>
    <s v="Germany"/>
    <x v="0"/>
  </r>
  <r>
    <n v="2024001576"/>
    <x v="24"/>
    <n v="2024"/>
    <x v="13"/>
    <s v="PROD_006"/>
    <s v="Monitor 27&quot;"/>
    <s v="Electronics"/>
    <n v="2"/>
    <n v="426.4"/>
    <n v="852.8"/>
    <n v="852.8"/>
    <n v="0"/>
    <s v="France"/>
    <x v="0"/>
  </r>
  <r>
    <n v="2024001577"/>
    <x v="103"/>
    <n v="2024"/>
    <x v="148"/>
    <s v="PROD_005"/>
    <s v="Standing Desk"/>
    <s v="Furniture"/>
    <n v="2"/>
    <n v="621.80999999999995"/>
    <n v="1243.6199999999999"/>
    <n v="1243.6199999999999"/>
    <n v="0"/>
    <s v="Spain"/>
    <x v="1"/>
  </r>
  <r>
    <n v="2024001578"/>
    <x v="164"/>
    <n v="2024"/>
    <x v="154"/>
    <s v="PROD_007"/>
    <s v="Keyboard Mechanical"/>
    <s v="Electronics"/>
    <n v="3"/>
    <n v="119.06"/>
    <n v="357.18"/>
    <n v="357.18"/>
    <n v="0"/>
    <s v="Belgium"/>
    <x v="0"/>
  </r>
  <r>
    <n v="2024001579"/>
    <x v="267"/>
    <n v="2024"/>
    <x v="249"/>
    <s v="PROD_001"/>
    <s v="Laptop Pro"/>
    <s v="Electronics"/>
    <n v="1"/>
    <n v="1278.5"/>
    <n v="1278.5"/>
    <n v="1278.5"/>
    <n v="0"/>
    <s v="France"/>
    <x v="2"/>
  </r>
  <r>
    <n v="2024001580"/>
    <x v="45"/>
    <n v="2024"/>
    <x v="3"/>
    <s v="PROD_006"/>
    <s v="Monitor 27&quot;"/>
    <s v="Electronics"/>
    <n v="1"/>
    <n v="419.6"/>
    <n v="419.6"/>
    <n v="419.6"/>
    <n v="0"/>
    <s v="Netherlands"/>
    <x v="2"/>
  </r>
  <r>
    <n v="2024001581"/>
    <x v="295"/>
    <n v="2024"/>
    <x v="0"/>
    <s v="PROD_008"/>
    <s v="Desk Lamp"/>
    <s v="Furniture"/>
    <n v="1"/>
    <n v="81.42"/>
    <n v="81.42"/>
    <n v="81.42"/>
    <n v="0"/>
    <s v="Belgium"/>
    <x v="3"/>
  </r>
  <r>
    <n v="2024001582"/>
    <x v="193"/>
    <n v="2024"/>
    <x v="0"/>
    <s v="PROD_006"/>
    <s v="Monitor 27&quot;"/>
    <s v="Electronics"/>
    <n v="1"/>
    <n v="414.88"/>
    <n v="414.88"/>
    <n v="414.88"/>
    <n v="0"/>
    <s v="Netherlands"/>
    <x v="3"/>
  </r>
  <r>
    <n v="2024001583"/>
    <x v="296"/>
    <n v="2024"/>
    <x v="199"/>
    <s v="PROD_010"/>
    <s v="Webcam HD"/>
    <s v="Electronics"/>
    <n v="1"/>
    <n v="92.65"/>
    <n v="92.65"/>
    <n v="92.65"/>
    <n v="0"/>
    <s v="UK"/>
    <x v="1"/>
  </r>
  <r>
    <n v="2024001584"/>
    <x v="44"/>
    <n v="2024"/>
    <x v="250"/>
    <s v="PROD_001"/>
    <s v="Laptop Pro"/>
    <s v="Electronics"/>
    <n v="4"/>
    <n v="1188.55"/>
    <n v="4754.2"/>
    <n v="4754.2"/>
    <n v="0"/>
    <s v="Italy"/>
    <x v="1"/>
  </r>
  <r>
    <n v="2024001585"/>
    <x v="53"/>
    <n v="2024"/>
    <x v="0"/>
    <s v="PROD_006"/>
    <s v="Monitor 27&quot;"/>
    <s v="Electronics"/>
    <n v="1"/>
    <n v="399.26"/>
    <n v="399.26"/>
    <n v="399.26"/>
    <n v="0"/>
    <s v="Switzerland"/>
    <x v="0"/>
  </r>
  <r>
    <n v="2024001586"/>
    <x v="134"/>
    <n v="2024"/>
    <x v="170"/>
    <s v="PROD_010"/>
    <s v="Webcam HD"/>
    <s v="Electronics"/>
    <n v="2"/>
    <n v="94.35"/>
    <n v="188.7"/>
    <n v="188.7"/>
    <n v="0"/>
    <s v="Sweden"/>
    <x v="1"/>
  </r>
  <r>
    <n v="2024001587"/>
    <x v="142"/>
    <n v="2024"/>
    <x v="220"/>
    <s v="PROD_003"/>
    <s v="USB-C Cable"/>
    <s v="Electronics"/>
    <n v="1"/>
    <n v="15.25"/>
    <n v="15.25"/>
    <n v="15.25"/>
    <n v="0"/>
    <s v="Sweden"/>
    <x v="2"/>
  </r>
  <r>
    <n v="2024001588"/>
    <x v="33"/>
    <n v="2024"/>
    <x v="199"/>
    <s v="PROD_003"/>
    <s v="USB-C Cable"/>
    <s v="Electronics"/>
    <n v="3"/>
    <n v="13.88"/>
    <n v="41.64"/>
    <n v="41.64"/>
    <n v="0"/>
    <s v="Italy"/>
    <x v="1"/>
  </r>
  <r>
    <n v="2024001589"/>
    <x v="101"/>
    <n v="2024"/>
    <x v="251"/>
    <s v="PROD_005"/>
    <s v="Standing Desk"/>
    <s v="Furniture"/>
    <n v="5"/>
    <n v="558.04"/>
    <n v="2790.2"/>
    <n v="2790.2"/>
    <n v="0"/>
    <s v="Spain"/>
    <x v="0"/>
  </r>
  <r>
    <n v="2024001590"/>
    <x v="23"/>
    <n v="2024"/>
    <x v="32"/>
    <s v="PROD_004"/>
    <s v="Desk Chair"/>
    <s v="Furniture"/>
    <n v="4"/>
    <n v="361.45"/>
    <n v="1445.8"/>
    <n v="1445.8"/>
    <n v="0"/>
    <s v="Germany"/>
    <x v="1"/>
  </r>
  <r>
    <n v="2024001591"/>
    <x v="139"/>
    <n v="2024"/>
    <x v="186"/>
    <s v="PROD_002"/>
    <s v="Wireless Mouse"/>
    <s v="Electronics"/>
    <n v="1"/>
    <n v="45.01"/>
    <n v="45.01"/>
    <n v="45.01"/>
    <n v="0"/>
    <s v="Italy"/>
    <x v="3"/>
  </r>
  <r>
    <n v="2024001592"/>
    <x v="297"/>
    <n v="2024"/>
    <x v="240"/>
    <s v="PROD_009"/>
    <s v="Phone Stand"/>
    <s v="Accessories"/>
    <n v="2"/>
    <n v="24.07"/>
    <n v="48.14"/>
    <n v="48.14"/>
    <n v="0"/>
    <s v="Belgium"/>
    <x v="3"/>
  </r>
  <r>
    <n v="2024001593"/>
    <x v="165"/>
    <n v="2024"/>
    <x v="0"/>
    <s v="PROD_008"/>
    <s v="Desk Lamp"/>
    <s v="Furniture"/>
    <n v="2"/>
    <n v="78.06"/>
    <n v="156.12"/>
    <n v="156.12"/>
    <n v="0"/>
    <s v="Netherlands"/>
    <x v="0"/>
  </r>
  <r>
    <n v="2024001594"/>
    <x v="132"/>
    <n v="2024"/>
    <x v="142"/>
    <s v="PROD_002"/>
    <s v="Wireless Mouse"/>
    <s v="Electronics"/>
    <n v="1"/>
    <n v="46.18"/>
    <n v="46.18"/>
    <n v="46.18"/>
    <n v="0"/>
    <s v="Switzerland"/>
    <x v="0"/>
  </r>
  <r>
    <n v="2024001595"/>
    <x v="223"/>
    <n v="2024"/>
    <x v="221"/>
    <s v="PROD_006"/>
    <s v="Monitor 27&quot;"/>
    <s v="Electronics"/>
    <n v="2"/>
    <n v="426.62"/>
    <n v="853.24"/>
    <n v="853.24"/>
    <n v="0"/>
    <s v="Switzerland"/>
    <x v="0"/>
  </r>
  <r>
    <n v="2024001596"/>
    <x v="102"/>
    <n v="2024"/>
    <x v="0"/>
    <s v="PROD_002"/>
    <s v="Wireless Mouse"/>
    <s v="Electronics"/>
    <n v="2"/>
    <n v="45.87"/>
    <n v="91.74"/>
    <n v="91.74"/>
    <n v="0"/>
    <s v="Sweden"/>
    <x v="1"/>
  </r>
  <r>
    <n v="2024001597"/>
    <x v="207"/>
    <n v="2024"/>
    <x v="0"/>
    <s v="PROD_008"/>
    <s v="Desk Lamp"/>
    <s v="Furniture"/>
    <n v="2"/>
    <n v="79.180000000000007"/>
    <n v="158.36000000000001"/>
    <n v="158.36000000000001"/>
    <n v="0"/>
    <s v="Spain"/>
    <x v="3"/>
  </r>
  <r>
    <n v="2024001598"/>
    <x v="149"/>
    <n v="2024"/>
    <x v="202"/>
    <s v="PROD_010"/>
    <s v="Webcam HD"/>
    <s v="Electronics"/>
    <n v="1"/>
    <n v="94.19"/>
    <n v="94.19"/>
    <n v="94.19"/>
    <n v="0"/>
    <s v="Belgium"/>
    <x v="3"/>
  </r>
  <r>
    <n v="2024001599"/>
    <x v="17"/>
    <n v="2024"/>
    <x v="79"/>
    <s v="PROD_008"/>
    <s v="Desk Lamp"/>
    <s v="Furniture"/>
    <n v="1"/>
    <n v="81.05"/>
    <n v="81.05"/>
    <n v="81.05"/>
    <n v="0"/>
    <s v="Italy"/>
    <x v="1"/>
  </r>
  <r>
    <n v="2024001600"/>
    <x v="219"/>
    <n v="2024"/>
    <x v="61"/>
    <s v="PROD_009"/>
    <s v="Phone Stand"/>
    <s v="Accessories"/>
    <n v="5"/>
    <n v="25.36"/>
    <n v="126.8"/>
    <n v="126.8"/>
    <n v="0"/>
    <s v="Switzerland"/>
    <x v="1"/>
  </r>
  <r>
    <n v="2024001601"/>
    <x v="114"/>
    <n v="2024"/>
    <x v="221"/>
    <s v="PROD_004"/>
    <s v="Desk Chair"/>
    <s v="Furniture"/>
    <n v="1"/>
    <n v="351.31"/>
    <n v="351.31"/>
    <n v="351.31"/>
    <n v="0"/>
    <s v="Italy"/>
    <x v="1"/>
  </r>
  <r>
    <n v="2024001602"/>
    <x v="136"/>
    <n v="2024"/>
    <x v="217"/>
    <s v="PROD_010"/>
    <s v="Webcam HD"/>
    <s v="Electronics"/>
    <n v="4"/>
    <n v="89.07"/>
    <n v="356.28"/>
    <n v="356.28"/>
    <n v="0"/>
    <s v="Germany"/>
    <x v="1"/>
  </r>
  <r>
    <n v="2024001603"/>
    <x v="207"/>
    <n v="2024"/>
    <x v="129"/>
    <s v="PROD_002"/>
    <s v="Wireless Mouse"/>
    <s v="Electronics"/>
    <n v="1"/>
    <n v="43.32"/>
    <n v="43.32"/>
    <n v="43.32"/>
    <n v="0"/>
    <s v="Germany"/>
    <x v="0"/>
  </r>
  <r>
    <n v="2024001604"/>
    <x v="159"/>
    <n v="2024"/>
    <x v="252"/>
    <s v="PROD_005"/>
    <s v="Standing Desk"/>
    <s v="Furniture"/>
    <n v="2"/>
    <n v="587.66"/>
    <n v="1175.32"/>
    <n v="1175.32"/>
    <n v="0"/>
    <s v="Switzerland"/>
    <x v="2"/>
  </r>
  <r>
    <n v="2024001605"/>
    <x v="48"/>
    <n v="2024"/>
    <x v="204"/>
    <s v="PROD_010"/>
    <s v="Webcam HD"/>
    <s v="Electronics"/>
    <n v="1"/>
    <n v="87.82"/>
    <n v="87.82"/>
    <n v="87.82"/>
    <n v="0"/>
    <s v="France"/>
    <x v="3"/>
  </r>
  <r>
    <n v="2024001606"/>
    <x v="298"/>
    <n v="2024"/>
    <x v="126"/>
    <s v="PROD_004"/>
    <s v="Desk Chair"/>
    <s v="Furniture"/>
    <n v="1"/>
    <n v="343.36"/>
    <n v="343.36"/>
    <n v="343.36"/>
    <n v="0"/>
    <s v="Netherlands"/>
    <x v="1"/>
  </r>
  <r>
    <n v="2024001607"/>
    <x v="251"/>
    <n v="2024"/>
    <x v="253"/>
    <s v="PROD_002"/>
    <s v="Wireless Mouse"/>
    <s v="Electronics"/>
    <n v="3"/>
    <n v="45.75"/>
    <n v="137.25"/>
    <n v="137.25"/>
    <n v="0"/>
    <s v="Italy"/>
    <x v="3"/>
  </r>
  <r>
    <n v="2024001608"/>
    <x v="254"/>
    <n v="2024"/>
    <x v="0"/>
    <s v="PROD_008"/>
    <s v="Desk Lamp"/>
    <s v="Furniture"/>
    <n v="1"/>
    <n v="80.47"/>
    <n v="80.47"/>
    <n v="80.47"/>
    <n v="0"/>
    <s v="France"/>
    <x v="1"/>
  </r>
  <r>
    <n v="2024001609"/>
    <x v="56"/>
    <n v="2024"/>
    <x v="161"/>
    <s v="PROD_005"/>
    <s v="Standing Desk"/>
    <s v="Furniture"/>
    <n v="1"/>
    <n v="596.97"/>
    <n v="596.97"/>
    <n v="596.97"/>
    <n v="0"/>
    <s v="Austria"/>
    <x v="0"/>
  </r>
  <r>
    <n v="2024001610"/>
    <x v="51"/>
    <n v="2024"/>
    <x v="114"/>
    <s v="PROD_002"/>
    <s v="Wireless Mouse"/>
    <s v="Electronics"/>
    <n v="2"/>
    <n v="46.08"/>
    <n v="92.16"/>
    <n v="92.16"/>
    <n v="0"/>
    <s v="Belgium"/>
    <x v="1"/>
  </r>
  <r>
    <n v="2024001611"/>
    <x v="105"/>
    <n v="2024"/>
    <x v="178"/>
    <s v="PROD_009"/>
    <s v="Phone Stand"/>
    <s v="Accessories"/>
    <n v="4"/>
    <n v="25.46"/>
    <n v="101.84"/>
    <n v="101.84"/>
    <n v="0"/>
    <s v="Sweden"/>
    <x v="1"/>
  </r>
  <r>
    <n v="2024001612"/>
    <x v="78"/>
    <n v="2024"/>
    <x v="156"/>
    <s v="PROD_009"/>
    <s v="Phone Stand"/>
    <s v="Accessories"/>
    <n v="1"/>
    <n v="26.56"/>
    <n v="26.56"/>
    <n v="26.56"/>
    <n v="0"/>
    <s v="Belgium"/>
    <x v="2"/>
  </r>
  <r>
    <n v="2024001613"/>
    <x v="15"/>
    <n v="2024"/>
    <x v="246"/>
    <s v="PROD_002"/>
    <s v="Wireless Mouse"/>
    <s v="Electronics"/>
    <n v="1"/>
    <n v="44.86"/>
    <n v="44.86"/>
    <n v="44.86"/>
    <n v="0"/>
    <s v="Belgium"/>
    <x v="3"/>
  </r>
  <r>
    <n v="2024001614"/>
    <x v="138"/>
    <n v="2024"/>
    <x v="62"/>
    <s v="PROD_008"/>
    <s v="Desk Lamp"/>
    <s v="Furniture"/>
    <n v="1"/>
    <n v="87.62"/>
    <n v="87.62"/>
    <n v="87.62"/>
    <n v="0"/>
    <s v="Sweden"/>
    <x v="0"/>
  </r>
  <r>
    <n v="2024001615"/>
    <x v="114"/>
    <n v="2024"/>
    <x v="151"/>
    <s v="PROD_007"/>
    <s v="Keyboard Mechanical"/>
    <s v="Electronics"/>
    <n v="4"/>
    <n v="129.76"/>
    <n v="519.04"/>
    <n v="519.04"/>
    <n v="0"/>
    <s v="Netherlands"/>
    <x v="1"/>
  </r>
  <r>
    <n v="2024001616"/>
    <x v="245"/>
    <n v="2024"/>
    <x v="185"/>
    <s v="PROD_005"/>
    <s v="Standing Desk"/>
    <s v="Furniture"/>
    <n v="1"/>
    <n v="581.76"/>
    <n v="581.76"/>
    <n v="581.76"/>
    <n v="0"/>
    <s v="Germany"/>
    <x v="3"/>
  </r>
  <r>
    <n v="2024001617"/>
    <x v="21"/>
    <n v="2024"/>
    <x v="112"/>
    <s v="PROD_007"/>
    <s v="Keyboard Mechanical"/>
    <s v="Electronics"/>
    <n v="2"/>
    <n v="116.77"/>
    <n v="233.54"/>
    <n v="233.54"/>
    <n v="0"/>
    <s v="Austria"/>
    <x v="0"/>
  </r>
  <r>
    <n v="2024001618"/>
    <x v="299"/>
    <n v="2024"/>
    <x v="178"/>
    <s v="PROD_003"/>
    <s v="USB-C Cable"/>
    <s v="Electronics"/>
    <n v="4"/>
    <n v="14.77"/>
    <n v="59.08"/>
    <n v="59.08"/>
    <n v="0"/>
    <s v="Italy"/>
    <x v="0"/>
  </r>
  <r>
    <n v="2024001619"/>
    <x v="300"/>
    <n v="2024"/>
    <x v="77"/>
    <s v="PROD_009"/>
    <s v="Phone Stand"/>
    <s v="Accessories"/>
    <n v="1"/>
    <n v="25.92"/>
    <n v="25.92"/>
    <n v="25.92"/>
    <n v="0"/>
    <s v="Italy"/>
    <x v="0"/>
  </r>
  <r>
    <n v="2024001620"/>
    <x v="182"/>
    <n v="2024"/>
    <x v="126"/>
    <s v="PROD_010"/>
    <s v="Webcam HD"/>
    <s v="Electronics"/>
    <n v="3"/>
    <n v="96.09"/>
    <n v="288.27"/>
    <n v="288.27"/>
    <n v="0"/>
    <s v="Netherlands"/>
    <x v="3"/>
  </r>
  <r>
    <n v="2024001139"/>
    <x v="41"/>
    <n v="2024"/>
    <x v="129"/>
    <s v="PROD_008"/>
    <s v="Desk Lamp"/>
    <s v="Furniture"/>
    <n v="4"/>
    <n v="82.76"/>
    <n v="331.04"/>
    <n v="331.04"/>
    <n v="0"/>
    <s v="Belgium"/>
    <x v="0"/>
  </r>
  <r>
    <n v="2024001440"/>
    <x v="284"/>
    <n v="2024"/>
    <x v="138"/>
    <s v="PROD_010"/>
    <s v="Webcam HD"/>
    <s v="Electronics"/>
    <n v="3"/>
    <n v="93.34"/>
    <n v="280.02"/>
    <n v="280.02"/>
    <n v="0"/>
    <s v="Belgium"/>
    <x v="0"/>
  </r>
  <r>
    <n v="2024001623"/>
    <x v="180"/>
    <n v="2024"/>
    <x v="116"/>
    <s v="PROD_001"/>
    <s v="Laptop Pro"/>
    <s v="Electronics"/>
    <n v="2"/>
    <n v="1259.93"/>
    <n v="2519.86"/>
    <n v="2519.86"/>
    <n v="0"/>
    <s v="Germany"/>
    <x v="2"/>
  </r>
  <r>
    <n v="2024001624"/>
    <x v="97"/>
    <n v="2024"/>
    <x v="222"/>
    <s v="PROD_002"/>
    <s v="Wireless Mouse"/>
    <s v="Electronics"/>
    <n v="1"/>
    <n v="45.32"/>
    <n v="45.32"/>
    <n v="45.32"/>
    <n v="0"/>
    <s v="Spain"/>
    <x v="1"/>
  </r>
  <r>
    <n v="2024001625"/>
    <x v="133"/>
    <n v="2024"/>
    <x v="162"/>
    <s v="PROD_010"/>
    <s v="Webcam HD"/>
    <s v="Electronics"/>
    <n v="3"/>
    <n v="80.41"/>
    <n v="241.23"/>
    <n v="241.23"/>
    <n v="0"/>
    <s v="Italy"/>
    <x v="1"/>
  </r>
  <r>
    <n v="2024001626"/>
    <x v="46"/>
    <n v="2024"/>
    <x v="18"/>
    <s v="PROD_006"/>
    <s v="Monitor 27&quot;"/>
    <s v="Electronics"/>
    <n v="5"/>
    <n v="412.98"/>
    <n v="2064.9"/>
    <n v="2064.9"/>
    <n v="0"/>
    <s v="Austria"/>
    <x v="3"/>
  </r>
  <r>
    <n v="2024001627"/>
    <x v="200"/>
    <n v="2024"/>
    <x v="85"/>
    <s v="PROD_001"/>
    <s v="Laptop Pro"/>
    <s v="Electronics"/>
    <n v="3"/>
    <n v="1245.44"/>
    <n v="3736.32"/>
    <n v="3736.32"/>
    <n v="0"/>
    <s v="Austria"/>
    <x v="2"/>
  </r>
  <r>
    <n v="2024001628"/>
    <x v="301"/>
    <n v="2024"/>
    <x v="224"/>
    <s v="PROD_001"/>
    <s v="Laptop Pro"/>
    <s v="Electronics"/>
    <n v="2"/>
    <n v="1314.74"/>
    <n v="2629.48"/>
    <n v="2629.48"/>
    <n v="0"/>
    <s v="France"/>
    <x v="3"/>
  </r>
  <r>
    <n v="2024001629"/>
    <x v="302"/>
    <n v="2024"/>
    <x v="9"/>
    <s v="PROD_005"/>
    <s v="Standing Desk"/>
    <s v="Furniture"/>
    <n v="3"/>
    <n v="625.91999999999996"/>
    <n v="1877.76"/>
    <n v="1877.7599999999998"/>
    <n v="0"/>
    <s v="Switzerland"/>
    <x v="0"/>
  </r>
  <r>
    <n v="2024001630"/>
    <x v="303"/>
    <n v="2024"/>
    <x v="254"/>
    <s v="PROD_005"/>
    <s v="Standing Desk"/>
    <s v="Furniture"/>
    <n v="2"/>
    <n v="574.98"/>
    <n v="1149.96"/>
    <n v="1149.96"/>
    <n v="0"/>
    <s v="France"/>
    <x v="1"/>
  </r>
  <r>
    <n v="2024001631"/>
    <x v="104"/>
    <n v="2024"/>
    <x v="255"/>
    <s v="PROD_003"/>
    <s v="USB-C Cable"/>
    <s v="Electronics"/>
    <n v="1"/>
    <n v="14.9"/>
    <n v="14.9"/>
    <n v="14.9"/>
    <n v="0"/>
    <s v="Switzerland"/>
    <x v="1"/>
  </r>
  <r>
    <n v="2024001632"/>
    <x v="150"/>
    <n v="2024"/>
    <x v="148"/>
    <s v="PROD_001"/>
    <s v="Laptop Pro"/>
    <s v="Electronics"/>
    <n v="2"/>
    <n v="1163.47"/>
    <n v="2326.94"/>
    <n v="2326.94"/>
    <n v="0"/>
    <s v="Netherlands"/>
    <x v="1"/>
  </r>
  <r>
    <n v="2024001633"/>
    <x v="147"/>
    <n v="2024"/>
    <x v="0"/>
    <s v="PROD_003"/>
    <s v="USB-C Cable"/>
    <s v="Electronics"/>
    <n v="2"/>
    <n v="14.31"/>
    <n v="28.62"/>
    <n v="28.62"/>
    <n v="0"/>
    <s v="Netherlands"/>
    <x v="0"/>
  </r>
  <r>
    <n v="2024001634"/>
    <x v="232"/>
    <n v="2024"/>
    <x v="256"/>
    <s v="PROD_004"/>
    <s v="Desk Chair"/>
    <s v="Furniture"/>
    <n v="4"/>
    <n v="365.33"/>
    <n v="1461.32"/>
    <n v="1461.32"/>
    <n v="0"/>
    <s v="UK"/>
    <x v="0"/>
  </r>
  <r>
    <n v="2024001635"/>
    <x v="27"/>
    <n v="2024"/>
    <x v="28"/>
    <s v="PROD_008"/>
    <s v="Desk Lamp"/>
    <s v="Furniture"/>
    <n v="1"/>
    <n v="85.89"/>
    <n v="85.89"/>
    <n v="85.89"/>
    <n v="0"/>
    <s v="France"/>
    <x v="0"/>
  </r>
  <r>
    <n v="2024001636"/>
    <x v="122"/>
    <n v="2024"/>
    <x v="202"/>
    <s v="PROD_001"/>
    <s v="Laptop Pro"/>
    <s v="Electronics"/>
    <n v="4"/>
    <n v="1171.8900000000001"/>
    <n v="4687.5600000000004"/>
    <n v="4687.5600000000004"/>
    <n v="0"/>
    <s v="Spain"/>
    <x v="0"/>
  </r>
  <r>
    <n v="2024001637"/>
    <x v="145"/>
    <n v="2024"/>
    <x v="257"/>
    <s v="PROD_008"/>
    <s v="Desk Lamp"/>
    <s v="Furniture"/>
    <n v="1"/>
    <n v="75.38"/>
    <n v="75.38"/>
    <n v="75.38"/>
    <n v="0"/>
    <s v="Austria"/>
    <x v="1"/>
  </r>
  <r>
    <n v="2024001638"/>
    <x v="264"/>
    <n v="2024"/>
    <x v="164"/>
    <s v="PROD_010"/>
    <s v="Webcam HD"/>
    <s v="Electronics"/>
    <n v="1"/>
    <n v="84.09"/>
    <n v="84.09"/>
    <n v="84.09"/>
    <n v="0"/>
    <s v="UK"/>
    <x v="1"/>
  </r>
  <r>
    <n v="2024001639"/>
    <x v="179"/>
    <n v="2024"/>
    <x v="0"/>
    <s v="PROD_005"/>
    <s v="Standing Desk"/>
    <s v="Furniture"/>
    <n v="1"/>
    <n v="625.61"/>
    <n v="625.61"/>
    <n v="625.61"/>
    <n v="0"/>
    <s v="France"/>
    <x v="1"/>
  </r>
  <r>
    <n v="2024001640"/>
    <x v="277"/>
    <n v="2024"/>
    <x v="44"/>
    <s v="PROD_005"/>
    <s v="Standing Desk"/>
    <s v="Furniture"/>
    <n v="1"/>
    <n v="621.80999999999995"/>
    <n v="621.80999999999995"/>
    <n v="621.80999999999995"/>
    <n v="0"/>
    <s v="Germany"/>
    <x v="3"/>
  </r>
  <r>
    <n v="2024001641"/>
    <x v="304"/>
    <n v="2024"/>
    <x v="151"/>
    <s v="PROD_007"/>
    <s v="Keyboard Mechanical"/>
    <s v="Electronics"/>
    <n v="1"/>
    <n v="122.66"/>
    <n v="122.66"/>
    <n v="122.66"/>
    <n v="0"/>
    <s v="France"/>
    <x v="0"/>
  </r>
  <r>
    <n v="2024001642"/>
    <x v="51"/>
    <n v="2024"/>
    <x v="258"/>
    <s v="PROD_003"/>
    <s v="USB-C Cable"/>
    <s v="Electronics"/>
    <n v="1"/>
    <n v="15.92"/>
    <n v="15.92"/>
    <n v="15.92"/>
    <n v="0"/>
    <s v="Netherlands"/>
    <x v="2"/>
  </r>
  <r>
    <n v="2024001643"/>
    <x v="113"/>
    <n v="2024"/>
    <x v="250"/>
    <s v="PROD_010"/>
    <s v="Webcam HD"/>
    <s v="Electronics"/>
    <n v="1"/>
    <n v="88.84"/>
    <n v="88.84"/>
    <n v="88.84"/>
    <n v="0"/>
    <s v="Spain"/>
    <x v="1"/>
  </r>
  <r>
    <n v="2024001644"/>
    <x v="191"/>
    <n v="2024"/>
    <x v="259"/>
    <s v="PROD_005"/>
    <s v="Standing Desk"/>
    <s v="Furniture"/>
    <n v="2"/>
    <n v="551.91999999999996"/>
    <n v="1103.8399999999999"/>
    <n v="1103.8399999999999"/>
    <n v="0"/>
    <s v="Belgium"/>
    <x v="3"/>
  </r>
  <r>
    <n v="2024001645"/>
    <x v="70"/>
    <n v="2024"/>
    <x v="0"/>
    <s v="PROD_002"/>
    <s v="Wireless Mouse"/>
    <s v="Electronics"/>
    <n v="1"/>
    <n v="42.26"/>
    <n v="42.26"/>
    <n v="42.26"/>
    <n v="0"/>
    <s v="UK"/>
    <x v="0"/>
  </r>
  <r>
    <n v="2024001646"/>
    <x v="28"/>
    <n v="2024"/>
    <x v="50"/>
    <s v="PROD_003"/>
    <s v="USB-C Cable"/>
    <s v="Electronics"/>
    <n v="1"/>
    <n v="15.5"/>
    <n v="15.5"/>
    <n v="15.5"/>
    <n v="0"/>
    <s v="Switzerland"/>
    <x v="1"/>
  </r>
  <r>
    <n v="2024001647"/>
    <x v="305"/>
    <n v="2024"/>
    <x v="260"/>
    <s v="PROD_005"/>
    <s v="Standing Desk"/>
    <s v="Furniture"/>
    <n v="1"/>
    <n v="602.73"/>
    <n v="602.73"/>
    <n v="602.73"/>
    <n v="0"/>
    <s v="Italy"/>
    <x v="1"/>
  </r>
  <r>
    <n v="2024001648"/>
    <x v="306"/>
    <n v="2024"/>
    <x v="204"/>
    <s v="PROD_006"/>
    <s v="Monitor 27&quot;"/>
    <s v="Electronics"/>
    <n v="1"/>
    <n v="402.98"/>
    <n v="402.98"/>
    <n v="402.98"/>
    <n v="0"/>
    <s v="France"/>
    <x v="3"/>
  </r>
  <r>
    <n v="2024001649"/>
    <x v="4"/>
    <n v="2024"/>
    <x v="0"/>
    <s v="PROD_003"/>
    <s v="USB-C Cable"/>
    <s v="Electronics"/>
    <n v="2"/>
    <n v="14.49"/>
    <n v="28.98"/>
    <n v="28.98"/>
    <n v="0"/>
    <s v="Belgium"/>
    <x v="0"/>
  </r>
  <r>
    <n v="2024001650"/>
    <x v="288"/>
    <n v="2024"/>
    <x v="185"/>
    <s v="PROD_010"/>
    <s v="Webcam HD"/>
    <s v="Electronics"/>
    <n v="3"/>
    <n v="87.41"/>
    <n v="262.23"/>
    <n v="262.23"/>
    <n v="0"/>
    <s v="Spain"/>
    <x v="2"/>
  </r>
  <r>
    <n v="2024001651"/>
    <x v="66"/>
    <n v="2024"/>
    <x v="253"/>
    <s v="PROD_008"/>
    <s v="Desk Lamp"/>
    <s v="Furniture"/>
    <n v="5"/>
    <n v="78.319999999999993"/>
    <n v="391.6"/>
    <n v="391.59999999999997"/>
    <n v="0"/>
    <s v="France"/>
    <x v="2"/>
  </r>
  <r>
    <n v="2024001652"/>
    <x v="93"/>
    <n v="2024"/>
    <x v="261"/>
    <s v="PROD_010"/>
    <s v="Webcam HD"/>
    <s v="Electronics"/>
    <n v="1"/>
    <n v="91.93"/>
    <n v="91.93"/>
    <n v="91.93"/>
    <n v="0"/>
    <s v="Netherlands"/>
    <x v="1"/>
  </r>
  <r>
    <n v="2024001653"/>
    <x v="206"/>
    <n v="2024"/>
    <x v="173"/>
    <s v="PROD_001"/>
    <s v="Laptop Pro"/>
    <s v="Electronics"/>
    <n v="1"/>
    <n v="1226"/>
    <n v="1226"/>
    <n v="1226"/>
    <n v="0"/>
    <s v="Sweden"/>
    <x v="2"/>
  </r>
  <r>
    <n v="2024001654"/>
    <x v="77"/>
    <n v="2024"/>
    <x v="99"/>
    <s v="PROD_001"/>
    <s v="Laptop Pro"/>
    <s v="Electronics"/>
    <n v="1"/>
    <n v="1207.98"/>
    <n v="1207.98"/>
    <n v="1207.98"/>
    <n v="0"/>
    <s v="Switzerland"/>
    <x v="2"/>
  </r>
  <r>
    <n v="2024001655"/>
    <x v="44"/>
    <n v="2024"/>
    <x v="0"/>
    <s v="PROD_006"/>
    <s v="Monitor 27&quot;"/>
    <s v="Electronics"/>
    <n v="3"/>
    <n v="416.71"/>
    <n v="1250.1300000000001"/>
    <n v="1250.1299999999999"/>
    <n v="0"/>
    <s v="France"/>
    <x v="1"/>
  </r>
  <r>
    <n v="2024001227"/>
    <x v="250"/>
    <n v="2024"/>
    <x v="262"/>
    <s v="PROD_006"/>
    <s v="Monitor 27&quot;"/>
    <s v="Electronics"/>
    <n v="2"/>
    <n v="397.16"/>
    <n v="794.32"/>
    <n v="794.32"/>
    <n v="0"/>
    <s v="Germany"/>
    <x v="0"/>
  </r>
  <r>
    <n v="2024001657"/>
    <x v="95"/>
    <n v="2024"/>
    <x v="74"/>
    <s v="PROD_010"/>
    <s v="Webcam HD"/>
    <s v="Electronics"/>
    <n v="1"/>
    <n v="86.59"/>
    <n v="86.59"/>
    <n v="86.59"/>
    <n v="0"/>
    <s v="Netherlands"/>
    <x v="1"/>
  </r>
  <r>
    <n v="2024001658"/>
    <x v="59"/>
    <n v="2024"/>
    <x v="81"/>
    <s v="PROD_004"/>
    <s v="Desk Chair"/>
    <s v="Furniture"/>
    <n v="2"/>
    <n v="344.01"/>
    <n v="688.02"/>
    <n v="688.02"/>
    <n v="0"/>
    <s v="Belgium"/>
    <x v="1"/>
  </r>
  <r>
    <n v="2024001659"/>
    <x v="225"/>
    <n v="2024"/>
    <x v="11"/>
    <s v="PROD_003"/>
    <s v="USB-C Cable"/>
    <s v="Electronics"/>
    <n v="1"/>
    <n v="15.13"/>
    <n v="15.13"/>
    <n v="15.13"/>
    <n v="0"/>
    <s v="UK"/>
    <x v="3"/>
  </r>
  <r>
    <n v="2024001660"/>
    <x v="255"/>
    <n v="2024"/>
    <x v="262"/>
    <s v="PROD_010"/>
    <s v="Webcam HD"/>
    <s v="Electronics"/>
    <n v="3"/>
    <n v="91.91"/>
    <n v="275.73"/>
    <n v="275.73"/>
    <n v="0"/>
    <s v="France"/>
    <x v="1"/>
  </r>
  <r>
    <n v="2024001661"/>
    <x v="160"/>
    <n v="2024"/>
    <x v="143"/>
    <s v="PROD_001"/>
    <s v="Laptop Pro"/>
    <s v="Electronics"/>
    <n v="1"/>
    <n v="1271.83"/>
    <n v="1271.83"/>
    <n v="1271.83"/>
    <n v="0"/>
    <s v="Spain"/>
    <x v="2"/>
  </r>
  <r>
    <n v="2024001662"/>
    <x v="3"/>
    <n v="2024"/>
    <x v="16"/>
    <s v="PROD_005"/>
    <s v="Standing Desk"/>
    <s v="Furniture"/>
    <n v="1"/>
    <n v="563.94000000000005"/>
    <n v="563.94000000000005"/>
    <n v="563.94000000000005"/>
    <n v="0"/>
    <s v="Spain"/>
    <x v="2"/>
  </r>
  <r>
    <n v="2024001663"/>
    <x v="307"/>
    <n v="2024"/>
    <x v="203"/>
    <s v="PROD_002"/>
    <s v="Wireless Mouse"/>
    <s v="Electronics"/>
    <n v="2"/>
    <n v="44.11"/>
    <n v="88.22"/>
    <n v="88.22"/>
    <n v="0"/>
    <s v="Netherlands"/>
    <x v="3"/>
  </r>
  <r>
    <n v="2024001664"/>
    <x v="57"/>
    <n v="2024"/>
    <x v="4"/>
    <s v="PROD_009"/>
    <s v="Phone Stand"/>
    <s v="Accessories"/>
    <n v="1"/>
    <n v="22.18"/>
    <n v="22.18"/>
    <n v="22.18"/>
    <n v="0"/>
    <s v="Austria"/>
    <x v="3"/>
  </r>
  <r>
    <n v="2024001665"/>
    <x v="35"/>
    <n v="2024"/>
    <x v="263"/>
    <s v="PROD_002"/>
    <s v="Wireless Mouse"/>
    <s v="Electronics"/>
    <n v="1"/>
    <n v="43.51"/>
    <n v="43.51"/>
    <n v="43.51"/>
    <n v="0"/>
    <s v="Italy"/>
    <x v="2"/>
  </r>
  <r>
    <n v="2024001666"/>
    <x v="47"/>
    <n v="2024"/>
    <x v="70"/>
    <s v="PROD_007"/>
    <s v="Keyboard Mechanical"/>
    <s v="Electronics"/>
    <n v="3"/>
    <n v="127.2"/>
    <n v="381.6"/>
    <n v="381.6"/>
    <n v="0"/>
    <s v="Spain"/>
    <x v="2"/>
  </r>
  <r>
    <n v="2024001667"/>
    <x v="308"/>
    <n v="2024"/>
    <x v="140"/>
    <s v="PROD_010"/>
    <s v="Webcam HD"/>
    <s v="Electronics"/>
    <n v="3"/>
    <n v="90.63"/>
    <n v="271.89"/>
    <n v="271.89"/>
    <n v="0"/>
    <s v="Switzerland"/>
    <x v="0"/>
  </r>
  <r>
    <n v="2024001668"/>
    <x v="21"/>
    <n v="2024"/>
    <x v="83"/>
    <s v="PROD_010"/>
    <s v="Webcam HD"/>
    <s v="Electronics"/>
    <n v="2"/>
    <n v="88.98"/>
    <n v="177.96"/>
    <n v="177.96"/>
    <n v="0"/>
    <s v="UK"/>
    <x v="0"/>
  </r>
  <r>
    <n v="2024001669"/>
    <x v="104"/>
    <n v="2024"/>
    <x v="256"/>
    <s v="PROD_001"/>
    <s v="Laptop Pro"/>
    <s v="Electronics"/>
    <n v="2"/>
    <n v="1194.8599999999999"/>
    <n v="2389.7199999999998"/>
    <n v="2389.7199999999998"/>
    <n v="0"/>
    <s v="Spain"/>
    <x v="2"/>
  </r>
  <r>
    <n v="2024001670"/>
    <x v="236"/>
    <n v="2024"/>
    <x v="135"/>
    <s v="PROD_008"/>
    <s v="Desk Lamp"/>
    <s v="Furniture"/>
    <n v="3"/>
    <n v="79.48"/>
    <n v="238.44"/>
    <n v="238.44"/>
    <n v="0"/>
    <s v="Belgium"/>
    <x v="1"/>
  </r>
  <r>
    <n v="2024001671"/>
    <x v="226"/>
    <n v="2024"/>
    <x v="264"/>
    <s v="PROD_009"/>
    <s v="Phone Stand"/>
    <s v="Accessories"/>
    <n v="2"/>
    <n v="25.72"/>
    <n v="51.44"/>
    <n v="51.44"/>
    <n v="0"/>
    <s v="Belgium"/>
    <x v="0"/>
  </r>
  <r>
    <n v="2024001672"/>
    <x v="181"/>
    <n v="2024"/>
    <x v="265"/>
    <s v="PROD_001"/>
    <s v="Laptop Pro"/>
    <s v="Electronics"/>
    <n v="1"/>
    <n v="1188.21"/>
    <n v="1188.21"/>
    <n v="1188.21"/>
    <n v="0"/>
    <s v="Spain"/>
    <x v="3"/>
  </r>
  <r>
    <n v="2024001673"/>
    <x v="1"/>
    <n v="2024"/>
    <x v="71"/>
    <s v="PROD_009"/>
    <s v="Phone Stand"/>
    <s v="Accessories"/>
    <n v="1"/>
    <n v="26.19"/>
    <n v="26.19"/>
    <n v="26.19"/>
    <n v="0"/>
    <s v="Switzerland"/>
    <x v="3"/>
  </r>
  <r>
    <n v="2024001674"/>
    <x v="142"/>
    <n v="2024"/>
    <x v="154"/>
    <s v="PROD_010"/>
    <s v="Webcam HD"/>
    <s v="Electronics"/>
    <n v="1"/>
    <n v="86.22"/>
    <n v="86.22"/>
    <n v="86.22"/>
    <n v="0"/>
    <s v="Austria"/>
    <x v="2"/>
  </r>
  <r>
    <n v="2024001675"/>
    <x v="187"/>
    <n v="2024"/>
    <x v="210"/>
    <s v="PROD_002"/>
    <s v="Wireless Mouse"/>
    <s v="Electronics"/>
    <n v="1"/>
    <n v="44.49"/>
    <n v="44.49"/>
    <n v="44.49"/>
    <n v="0"/>
    <s v="Italy"/>
    <x v="2"/>
  </r>
  <r>
    <n v="2024001676"/>
    <x v="260"/>
    <n v="2024"/>
    <x v="155"/>
    <s v="PROD_007"/>
    <s v="Keyboard Mechanical"/>
    <s v="Electronics"/>
    <n v="1"/>
    <n v="122.95"/>
    <n v="122.95"/>
    <n v="122.95"/>
    <n v="0"/>
    <s v="Austria"/>
    <x v="0"/>
  </r>
  <r>
    <n v="2024001677"/>
    <x v="268"/>
    <n v="2024"/>
    <x v="229"/>
    <s v="PROD_001"/>
    <s v="Laptop Pro"/>
    <s v="Electronics"/>
    <n v="1"/>
    <n v="1178.52"/>
    <n v="1178.52"/>
    <n v="1178.52"/>
    <n v="0"/>
    <s v="UK"/>
    <x v="2"/>
  </r>
  <r>
    <n v="2024001678"/>
    <x v="138"/>
    <n v="2024"/>
    <x v="266"/>
    <s v="PROD_006"/>
    <s v="Monitor 27&quot;"/>
    <s v="Electronics"/>
    <n v="3"/>
    <n v="378.02"/>
    <n v="1134.06"/>
    <n v="1134.06"/>
    <n v="0"/>
    <s v="Sweden"/>
    <x v="3"/>
  </r>
  <r>
    <n v="2024001679"/>
    <x v="4"/>
    <n v="2024"/>
    <x v="105"/>
    <s v="PROD_002"/>
    <s v="Wireless Mouse"/>
    <s v="Electronics"/>
    <n v="1"/>
    <n v="43.17"/>
    <n v="43.17"/>
    <n v="43.17"/>
    <n v="0"/>
    <s v="Switzerland"/>
    <x v="1"/>
  </r>
  <r>
    <n v="2024001680"/>
    <x v="242"/>
    <n v="2024"/>
    <x v="11"/>
    <s v="PROD_008"/>
    <s v="Desk Lamp"/>
    <s v="Furniture"/>
    <n v="1"/>
    <n v="75.349999999999994"/>
    <n v="75.349999999999994"/>
    <n v="75.349999999999994"/>
    <n v="0"/>
    <s v="France"/>
    <x v="3"/>
  </r>
  <r>
    <n v="2024001681"/>
    <x v="94"/>
    <n v="2024"/>
    <x v="173"/>
    <s v="PROD_005"/>
    <s v="Standing Desk"/>
    <s v="Furniture"/>
    <n v="1"/>
    <n v="590.73"/>
    <n v="590.73"/>
    <n v="590.73"/>
    <n v="0"/>
    <s v="Spain"/>
    <x v="3"/>
  </r>
  <r>
    <n v="2024001682"/>
    <x v="83"/>
    <n v="2024"/>
    <x v="98"/>
    <s v="PROD_005"/>
    <s v="Standing Desk"/>
    <s v="Furniture"/>
    <n v="1"/>
    <n v="620.32000000000005"/>
    <n v="620.32000000000005"/>
    <n v="620.32000000000005"/>
    <n v="0"/>
    <s v="Spain"/>
    <x v="3"/>
  </r>
  <r>
    <n v="2024001683"/>
    <x v="147"/>
    <n v="2024"/>
    <x v="207"/>
    <s v="PROD_003"/>
    <s v="USB-C Cable"/>
    <s v="Electronics"/>
    <n v="1"/>
    <n v="14.42"/>
    <n v="14.42"/>
    <n v="14.42"/>
    <n v="0"/>
    <s v="Spain"/>
    <x v="1"/>
  </r>
  <r>
    <n v="2024001684"/>
    <x v="228"/>
    <n v="2024"/>
    <x v="5"/>
    <s v="PROD_005"/>
    <s v="Standing Desk"/>
    <s v="Furniture"/>
    <n v="3"/>
    <n v="594.84"/>
    <n v="1784.52"/>
    <n v="1784.52"/>
    <n v="0"/>
    <s v="Netherlands"/>
    <x v="1"/>
  </r>
  <r>
    <n v="2024001685"/>
    <x v="309"/>
    <n v="2024"/>
    <x v="62"/>
    <s v="PROD_002"/>
    <s v="Wireless Mouse"/>
    <s v="Electronics"/>
    <n v="1"/>
    <n v="44.62"/>
    <n v="44.62"/>
    <n v="44.62"/>
    <n v="0"/>
    <s v="Spain"/>
    <x v="0"/>
  </r>
  <r>
    <n v="2024001686"/>
    <x v="17"/>
    <n v="2024"/>
    <x v="37"/>
    <s v="PROD_007"/>
    <s v="Keyboard Mechanical"/>
    <s v="Electronics"/>
    <n v="3"/>
    <n v="112.24"/>
    <n v="336.72"/>
    <n v="336.71999999999997"/>
    <n v="0"/>
    <s v="Spain"/>
    <x v="2"/>
  </r>
  <r>
    <n v="2024001687"/>
    <x v="13"/>
    <n v="2024"/>
    <x v="0"/>
    <s v="PROD_003"/>
    <s v="USB-C Cable"/>
    <s v="Electronics"/>
    <n v="1"/>
    <n v="14.07"/>
    <n v="14.07"/>
    <n v="14.07"/>
    <n v="0"/>
    <s v="Netherlands"/>
    <x v="3"/>
  </r>
  <r>
    <n v="2024001688"/>
    <x v="310"/>
    <n v="2024"/>
    <x v="215"/>
    <s v="PROD_009"/>
    <s v="Phone Stand"/>
    <s v="Accessories"/>
    <n v="2"/>
    <n v="25.58"/>
    <n v="51.16"/>
    <n v="51.16"/>
    <n v="0"/>
    <s v="Netherlands"/>
    <x v="0"/>
  </r>
  <r>
    <n v="2024001689"/>
    <x v="117"/>
    <n v="2024"/>
    <x v="80"/>
    <s v="PROD_002"/>
    <s v="Wireless Mouse"/>
    <s v="Electronics"/>
    <n v="1"/>
    <n v="49.68"/>
    <n v="49.68"/>
    <n v="49.68"/>
    <n v="0"/>
    <s v="Austria"/>
    <x v="0"/>
  </r>
  <r>
    <n v="2024001690"/>
    <x v="114"/>
    <n v="2024"/>
    <x v="267"/>
    <s v="PROD_004"/>
    <s v="Desk Chair"/>
    <s v="Furniture"/>
    <n v="5"/>
    <n v="360.59"/>
    <n v="1802.95"/>
    <n v="1802.9499999999998"/>
    <n v="0"/>
    <s v="Austria"/>
    <x v="2"/>
  </r>
  <r>
    <n v="2024001691"/>
    <x v="52"/>
    <n v="2024"/>
    <x v="29"/>
    <s v="PROD_005"/>
    <s v="Standing Desk"/>
    <s v="Furniture"/>
    <n v="3"/>
    <n v="633.46"/>
    <n v="1900.38"/>
    <n v="1900.38"/>
    <n v="0"/>
    <s v="Spain"/>
    <x v="0"/>
  </r>
  <r>
    <n v="2024001692"/>
    <x v="168"/>
    <n v="2024"/>
    <x v="26"/>
    <s v="PROD_008"/>
    <s v="Desk Lamp"/>
    <s v="Furniture"/>
    <n v="2"/>
    <n v="78.510000000000005"/>
    <n v="157.02000000000001"/>
    <n v="157.02000000000001"/>
    <n v="0"/>
    <s v="Italy"/>
    <x v="1"/>
  </r>
  <r>
    <n v="2024001693"/>
    <x v="229"/>
    <n v="2024"/>
    <x v="1"/>
    <s v="PROD_001"/>
    <s v="Laptop Pro"/>
    <s v="Electronics"/>
    <n v="1"/>
    <n v="1226.24"/>
    <n v="1226.24"/>
    <n v="1226.24"/>
    <n v="0"/>
    <s v="Italy"/>
    <x v="3"/>
  </r>
  <r>
    <n v="2024001694"/>
    <x v="69"/>
    <n v="2024"/>
    <x v="29"/>
    <s v="PROD_001"/>
    <s v="Laptop Pro"/>
    <s v="Electronics"/>
    <n v="3"/>
    <n v="1239.81"/>
    <n v="3719.43"/>
    <n v="3719.43"/>
    <n v="0"/>
    <s v="Germany"/>
    <x v="0"/>
  </r>
  <r>
    <n v="2024001695"/>
    <x v="57"/>
    <n v="2024"/>
    <x v="183"/>
    <s v="PROD_003"/>
    <s v="USB-C Cable"/>
    <s v="Electronics"/>
    <n v="1"/>
    <n v="14.46"/>
    <n v="14.46"/>
    <n v="14.46"/>
    <n v="0"/>
    <s v="Switzerland"/>
    <x v="0"/>
  </r>
  <r>
    <n v="2024001696"/>
    <x v="276"/>
    <n v="2024"/>
    <x v="27"/>
    <s v="PROD_003"/>
    <s v="USB-C Cable"/>
    <s v="Electronics"/>
    <n v="2"/>
    <n v="16.25"/>
    <n v="32.5"/>
    <n v="32.5"/>
    <n v="0"/>
    <s v="Germany"/>
    <x v="3"/>
  </r>
  <r>
    <n v="2024001697"/>
    <x v="119"/>
    <n v="2024"/>
    <x v="0"/>
    <s v="PROD_004"/>
    <s v="Desk Chair"/>
    <s v="Furniture"/>
    <n v="1"/>
    <n v="376.66"/>
    <n v="376.66"/>
    <n v="376.66"/>
    <n v="0"/>
    <s v="Austria"/>
    <x v="3"/>
  </r>
  <r>
    <n v="2024001698"/>
    <x v="254"/>
    <n v="2024"/>
    <x v="268"/>
    <s v="PROD_008"/>
    <s v="Desk Lamp"/>
    <s v="Furniture"/>
    <n v="1"/>
    <n v="84.95"/>
    <n v="84.95"/>
    <n v="84.95"/>
    <n v="0"/>
    <s v="Italy"/>
    <x v="0"/>
  </r>
  <r>
    <n v="2024001699"/>
    <x v="206"/>
    <n v="2024"/>
    <x v="15"/>
    <s v="PROD_006"/>
    <s v="Monitor 27&quot;"/>
    <s v="Electronics"/>
    <n v="1"/>
    <n v="426.22"/>
    <n v="426.22"/>
    <n v="426.22"/>
    <n v="0"/>
    <s v="Germany"/>
    <x v="1"/>
  </r>
  <r>
    <n v="2024001700"/>
    <x v="19"/>
    <n v="2024"/>
    <x v="12"/>
    <s v="PROD_002"/>
    <s v="Wireless Mouse"/>
    <s v="Electronics"/>
    <n v="1"/>
    <n v="41.41"/>
    <n v="41.41"/>
    <n v="41.41"/>
    <n v="0"/>
    <s v="Austria"/>
    <x v="3"/>
  </r>
  <r>
    <n v="2024001701"/>
    <x v="307"/>
    <n v="2024"/>
    <x v="60"/>
    <s v="PROD_010"/>
    <s v="Webcam HD"/>
    <s v="Electronics"/>
    <n v="1"/>
    <n v="97.62"/>
    <n v="97.62"/>
    <n v="97.62"/>
    <n v="0"/>
    <s v="Germany"/>
    <x v="3"/>
  </r>
  <r>
    <n v="2024001702"/>
    <x v="311"/>
    <n v="2024"/>
    <x v="0"/>
    <s v="PROD_007"/>
    <s v="Keyboard Mechanical"/>
    <s v="Electronics"/>
    <n v="2"/>
    <n v="128.66"/>
    <n v="257.32"/>
    <n v="257.32"/>
    <n v="0"/>
    <s v="Switzerland"/>
    <x v="0"/>
  </r>
  <r>
    <n v="2024001703"/>
    <x v="146"/>
    <n v="2024"/>
    <x v="111"/>
    <s v="PROD_002"/>
    <s v="Wireless Mouse"/>
    <s v="Electronics"/>
    <n v="1"/>
    <n v="40.04"/>
    <n v="40.04"/>
    <n v="40.04"/>
    <n v="0"/>
    <s v="Italy"/>
    <x v="3"/>
  </r>
  <r>
    <n v="2024001704"/>
    <x v="267"/>
    <n v="2024"/>
    <x v="144"/>
    <s v="PROD_007"/>
    <s v="Keyboard Mechanical"/>
    <s v="Electronics"/>
    <n v="2"/>
    <n v="109.99"/>
    <n v="219.98"/>
    <n v="219.98"/>
    <n v="0"/>
    <s v="Sweden"/>
    <x v="3"/>
  </r>
  <r>
    <n v="2024001705"/>
    <x v="205"/>
    <n v="2024"/>
    <x v="33"/>
    <s v="PROD_004"/>
    <s v="Desk Chair"/>
    <s v="Furniture"/>
    <n v="2"/>
    <n v="368.53"/>
    <n v="737.06"/>
    <n v="737.06"/>
    <n v="0"/>
    <s v="Spain"/>
    <x v="3"/>
  </r>
  <r>
    <n v="2024001706"/>
    <x v="63"/>
    <n v="2024"/>
    <x v="269"/>
    <s v="PROD_001"/>
    <s v="Laptop Pro"/>
    <s v="Electronics"/>
    <n v="3"/>
    <n v="1278.25"/>
    <n v="3834.75"/>
    <n v="3834.75"/>
    <n v="0"/>
    <s v="Belgium"/>
    <x v="3"/>
  </r>
  <r>
    <n v="2024001707"/>
    <x v="96"/>
    <n v="2024"/>
    <x v="123"/>
    <s v="PROD_005"/>
    <s v="Standing Desk"/>
    <s v="Furniture"/>
    <n v="2"/>
    <n v="655.16"/>
    <n v="1310.32"/>
    <n v="1310.32"/>
    <n v="0"/>
    <s v="Switzerland"/>
    <x v="1"/>
  </r>
  <r>
    <n v="2024001708"/>
    <x v="13"/>
    <n v="2024"/>
    <x v="7"/>
    <s v="PROD_006"/>
    <s v="Monitor 27&quot;"/>
    <s v="Electronics"/>
    <n v="2"/>
    <n v="398.33"/>
    <n v="796.66"/>
    <n v="796.66"/>
    <n v="0"/>
    <s v="Italy"/>
    <x v="2"/>
  </r>
  <r>
    <n v="2024001709"/>
    <x v="19"/>
    <n v="2024"/>
    <x v="0"/>
    <s v="PROD_004"/>
    <s v="Desk Chair"/>
    <s v="Furniture"/>
    <n v="2"/>
    <n v="294.20999999999998"/>
    <n v="588.41999999999996"/>
    <n v="588.41999999999996"/>
    <n v="0"/>
    <s v="France"/>
    <x v="2"/>
  </r>
  <r>
    <n v="2024001710"/>
    <x v="312"/>
    <n v="2024"/>
    <x v="0"/>
    <s v="PROD_003"/>
    <s v="USB-C Cable"/>
    <s v="Electronics"/>
    <n v="1"/>
    <n v="15.88"/>
    <n v="15.88"/>
    <n v="15.88"/>
    <n v="0"/>
    <s v="Spain"/>
    <x v="1"/>
  </r>
  <r>
    <n v="2024001711"/>
    <x v="297"/>
    <n v="2024"/>
    <x v="60"/>
    <s v="PROD_006"/>
    <s v="Monitor 27&quot;"/>
    <s v="Electronics"/>
    <n v="3"/>
    <n v="402.69"/>
    <n v="1208.07"/>
    <n v="1208.07"/>
    <n v="0"/>
    <s v="Netherlands"/>
    <x v="0"/>
  </r>
  <r>
    <n v="2024001712"/>
    <x v="188"/>
    <n v="2024"/>
    <x v="168"/>
    <s v="PROD_009"/>
    <s v="Phone Stand"/>
    <s v="Accessories"/>
    <n v="1"/>
    <n v="23.58"/>
    <n v="23.58"/>
    <n v="23.58"/>
    <n v="0"/>
    <s v="Belgium"/>
    <x v="1"/>
  </r>
  <r>
    <n v="2024001713"/>
    <x v="268"/>
    <n v="2024"/>
    <x v="8"/>
    <s v="PROD_010"/>
    <s v="Webcam HD"/>
    <s v="Electronics"/>
    <n v="1"/>
    <n v="89.72"/>
    <n v="89.72"/>
    <n v="89.72"/>
    <n v="0"/>
    <s v="Spain"/>
    <x v="0"/>
  </r>
  <r>
    <n v="2024001714"/>
    <x v="165"/>
    <n v="2024"/>
    <x v="129"/>
    <s v="PROD_005"/>
    <s v="Standing Desk"/>
    <s v="Furniture"/>
    <n v="1"/>
    <n v="650.29"/>
    <n v="650.29"/>
    <n v="650.29"/>
    <n v="0"/>
    <s v="Netherlands"/>
    <x v="3"/>
  </r>
  <r>
    <n v="2024001715"/>
    <x v="149"/>
    <n v="2024"/>
    <x v="270"/>
    <s v="PROD_003"/>
    <s v="USB-C Cable"/>
    <s v="Electronics"/>
    <n v="1"/>
    <n v="14.29"/>
    <n v="14.29"/>
    <n v="14.29"/>
    <n v="0"/>
    <s v="UK"/>
    <x v="2"/>
  </r>
  <r>
    <n v="2024001716"/>
    <x v="207"/>
    <n v="2024"/>
    <x v="249"/>
    <s v="PROD_004"/>
    <s v="Desk Chair"/>
    <s v="Furniture"/>
    <n v="2"/>
    <n v="359.31"/>
    <n v="718.62"/>
    <n v="718.62"/>
    <n v="0"/>
    <s v="Netherlands"/>
    <x v="1"/>
  </r>
  <r>
    <n v="2024001717"/>
    <x v="194"/>
    <n v="2024"/>
    <x v="155"/>
    <s v="PROD_009"/>
    <s v="Phone Stand"/>
    <s v="Accessories"/>
    <n v="1"/>
    <n v="25.45"/>
    <n v="25.45"/>
    <n v="25.45"/>
    <n v="0"/>
    <s v="Spain"/>
    <x v="1"/>
  </r>
  <r>
    <n v="2024001718"/>
    <x v="96"/>
    <n v="2024"/>
    <x v="231"/>
    <s v="PROD_003"/>
    <s v="USB-C Cable"/>
    <s v="Electronics"/>
    <n v="1"/>
    <n v="15.93"/>
    <n v="15.93"/>
    <n v="15.93"/>
    <n v="0"/>
    <s v="UK"/>
    <x v="0"/>
  </r>
  <r>
    <n v="2024001719"/>
    <x v="313"/>
    <n v="2024"/>
    <x v="159"/>
    <s v="PROD_009"/>
    <s v="Phone Stand"/>
    <s v="Accessories"/>
    <n v="1"/>
    <n v="28.36"/>
    <n v="28.36"/>
    <n v="28.36"/>
    <n v="0"/>
    <s v="UK"/>
    <x v="3"/>
  </r>
  <r>
    <n v="2024001720"/>
    <x v="42"/>
    <n v="2024"/>
    <x v="0"/>
    <s v="PROD_003"/>
    <s v="USB-C Cable"/>
    <s v="Electronics"/>
    <n v="2"/>
    <n v="13.84"/>
    <n v="27.68"/>
    <n v="27.68"/>
    <n v="0"/>
    <s v="Sweden"/>
    <x v="0"/>
  </r>
  <r>
    <n v="2024001721"/>
    <x v="172"/>
    <n v="2024"/>
    <x v="149"/>
    <s v="PROD_002"/>
    <s v="Wireless Mouse"/>
    <s v="Electronics"/>
    <n v="1"/>
    <n v="45.58"/>
    <n v="45.58"/>
    <n v="45.58"/>
    <n v="0"/>
    <s v="Netherlands"/>
    <x v="0"/>
  </r>
  <r>
    <n v="2024001722"/>
    <x v="67"/>
    <n v="2024"/>
    <x v="185"/>
    <s v="PROD_001"/>
    <s v="Laptop Pro"/>
    <s v="Electronics"/>
    <n v="5"/>
    <n v="1133.78"/>
    <n v="5668.9"/>
    <n v="5668.9"/>
    <n v="0"/>
    <s v="Switzerland"/>
    <x v="1"/>
  </r>
  <r>
    <n v="2024001723"/>
    <x v="173"/>
    <n v="2024"/>
    <x v="78"/>
    <s v="PROD_006"/>
    <s v="Monitor 27&quot;"/>
    <s v="Electronics"/>
    <n v="2"/>
    <n v="402.71"/>
    <n v="805.42"/>
    <n v="805.42"/>
    <n v="0"/>
    <s v="UK"/>
    <x v="2"/>
  </r>
  <r>
    <n v="2024001724"/>
    <x v="170"/>
    <n v="2024"/>
    <x v="1"/>
    <s v="PROD_009"/>
    <s v="Phone Stand"/>
    <s v="Accessories"/>
    <n v="5"/>
    <n v="24.36"/>
    <n v="121.8"/>
    <n v="121.8"/>
    <n v="0"/>
    <s v="Spain"/>
    <x v="0"/>
  </r>
  <r>
    <n v="2024001725"/>
    <x v="314"/>
    <n v="2024"/>
    <x v="0"/>
    <s v="PROD_001"/>
    <s v="Laptop Pro"/>
    <s v="Electronics"/>
    <n v="2"/>
    <n v="1252.26"/>
    <n v="2504.52"/>
    <n v="2504.52"/>
    <n v="0"/>
    <s v="Sweden"/>
    <x v="1"/>
  </r>
  <r>
    <n v="2024001726"/>
    <x v="72"/>
    <n v="2024"/>
    <x v="237"/>
    <s v="PROD_007"/>
    <s v="Keyboard Mechanical"/>
    <s v="Electronics"/>
    <n v="1"/>
    <n v="109.04"/>
    <n v="109.04"/>
    <n v="109.04"/>
    <n v="0"/>
    <s v="Austria"/>
    <x v="0"/>
  </r>
  <r>
    <n v="2024001727"/>
    <x v="149"/>
    <n v="2024"/>
    <x v="169"/>
    <s v="PROD_003"/>
    <s v="USB-C Cable"/>
    <s v="Electronics"/>
    <n v="2"/>
    <n v="15.71"/>
    <n v="31.42"/>
    <n v="31.42"/>
    <n v="0"/>
    <s v="France"/>
    <x v="1"/>
  </r>
  <r>
    <n v="2024001728"/>
    <x v="206"/>
    <n v="2024"/>
    <x v="0"/>
    <s v="PROD_004"/>
    <s v="Desk Chair"/>
    <s v="Furniture"/>
    <n v="1"/>
    <n v="318.61"/>
    <n v="318.61"/>
    <n v="318.61"/>
    <n v="0"/>
    <s v="Italy"/>
    <x v="3"/>
  </r>
  <r>
    <n v="2024001729"/>
    <x v="180"/>
    <n v="2024"/>
    <x v="271"/>
    <s v="PROD_010"/>
    <s v="Webcam HD"/>
    <s v="Electronics"/>
    <n v="1"/>
    <n v="83.9"/>
    <n v="83.9"/>
    <n v="83.9"/>
    <n v="0"/>
    <s v="Belgium"/>
    <x v="2"/>
  </r>
  <r>
    <n v="2024001730"/>
    <x v="129"/>
    <n v="2024"/>
    <x v="253"/>
    <s v="PROD_001"/>
    <s v="Laptop Pro"/>
    <s v="Electronics"/>
    <n v="4"/>
    <n v="1195.3499999999999"/>
    <n v="4781.3999999999996"/>
    <n v="4781.3999999999996"/>
    <n v="0"/>
    <s v="Belgium"/>
    <x v="3"/>
  </r>
  <r>
    <n v="2024001731"/>
    <x v="85"/>
    <n v="2024"/>
    <x v="263"/>
    <s v="PROD_004"/>
    <s v="Desk Chair"/>
    <s v="Furniture"/>
    <n v="1"/>
    <n v="329.08"/>
    <n v="329.08"/>
    <n v="329.08"/>
    <n v="0"/>
    <s v="Italy"/>
    <x v="3"/>
  </r>
  <r>
    <n v="2024001732"/>
    <x v="148"/>
    <n v="2024"/>
    <x v="151"/>
    <s v="PROD_006"/>
    <s v="Monitor 27&quot;"/>
    <s v="Electronics"/>
    <n v="1"/>
    <n v="443.3"/>
    <n v="443.3"/>
    <n v="443.3"/>
    <n v="0"/>
    <s v="Austria"/>
    <x v="2"/>
  </r>
  <r>
    <n v="2024001733"/>
    <x v="121"/>
    <n v="2024"/>
    <x v="173"/>
    <s v="PROD_008"/>
    <s v="Desk Lamp"/>
    <s v="Furniture"/>
    <n v="3"/>
    <n v="84.76"/>
    <n v="254.28"/>
    <n v="254.28000000000003"/>
    <n v="0"/>
    <s v="Germany"/>
    <x v="3"/>
  </r>
  <r>
    <n v="2024001734"/>
    <x v="287"/>
    <n v="2024"/>
    <x v="256"/>
    <s v="PROD_009"/>
    <s v="Phone Stand"/>
    <s v="Accessories"/>
    <n v="1"/>
    <n v="24.04"/>
    <n v="24.04"/>
    <n v="24.04"/>
    <n v="0"/>
    <s v="Spain"/>
    <x v="2"/>
  </r>
  <r>
    <n v="2024001735"/>
    <x v="144"/>
    <n v="2024"/>
    <x v="110"/>
    <s v="PROD_010"/>
    <s v="Webcam HD"/>
    <s v="Electronics"/>
    <n v="1"/>
    <n v="88.02"/>
    <n v="88.02"/>
    <n v="88.02"/>
    <n v="0"/>
    <s v="Austria"/>
    <x v="3"/>
  </r>
  <r>
    <n v="2024001736"/>
    <x v="315"/>
    <n v="2024"/>
    <x v="104"/>
    <s v="PROD_006"/>
    <s v="Monitor 27&quot;"/>
    <s v="Electronics"/>
    <n v="1"/>
    <n v="421.9"/>
    <n v="421.9"/>
    <n v="421.9"/>
    <n v="0"/>
    <s v="Germany"/>
    <x v="0"/>
  </r>
  <r>
    <n v="2024001737"/>
    <x v="38"/>
    <n v="2024"/>
    <x v="0"/>
    <s v="PROD_007"/>
    <s v="Keyboard Mechanical"/>
    <s v="Electronics"/>
    <n v="2"/>
    <n v="122.6"/>
    <n v="245.2"/>
    <n v="245.2"/>
    <n v="0"/>
    <s v="Sweden"/>
    <x v="0"/>
  </r>
  <r>
    <n v="2024001738"/>
    <x v="127"/>
    <n v="2024"/>
    <x v="137"/>
    <s v="PROD_006"/>
    <s v="Monitor 27&quot;"/>
    <s v="Electronics"/>
    <n v="2"/>
    <n v="397.97"/>
    <n v="795.94"/>
    <n v="795.94"/>
    <n v="0"/>
    <s v="Italy"/>
    <x v="0"/>
  </r>
  <r>
    <n v="2024001739"/>
    <x v="114"/>
    <n v="2024"/>
    <x v="25"/>
    <s v="PROD_005"/>
    <s v="Standing Desk"/>
    <s v="Furniture"/>
    <n v="1"/>
    <n v="585.22"/>
    <n v="585.22"/>
    <n v="585.22"/>
    <n v="0"/>
    <s v="Sweden"/>
    <x v="2"/>
  </r>
  <r>
    <n v="2024001740"/>
    <x v="183"/>
    <n v="2024"/>
    <x v="58"/>
    <s v="PROD_006"/>
    <s v="Monitor 27&quot;"/>
    <s v="Electronics"/>
    <n v="2"/>
    <n v="416.82"/>
    <n v="833.64"/>
    <n v="833.64"/>
    <n v="0"/>
    <s v="Belgium"/>
    <x v="2"/>
  </r>
  <r>
    <n v="2024001741"/>
    <x v="123"/>
    <n v="2024"/>
    <x v="73"/>
    <s v="PROD_005"/>
    <s v="Standing Desk"/>
    <s v="Furniture"/>
    <n v="1"/>
    <n v="589.33000000000004"/>
    <n v="589.33000000000004"/>
    <n v="589.33000000000004"/>
    <n v="0"/>
    <s v="Spain"/>
    <x v="1"/>
  </r>
  <r>
    <n v="2024001742"/>
    <x v="199"/>
    <n v="2024"/>
    <x v="131"/>
    <s v="PROD_003"/>
    <s v="USB-C Cable"/>
    <s v="Electronics"/>
    <n v="1"/>
    <n v="16.21"/>
    <n v="16.21"/>
    <n v="16.21"/>
    <n v="0"/>
    <s v="Sweden"/>
    <x v="2"/>
  </r>
  <r>
    <n v="2024001743"/>
    <x v="207"/>
    <n v="2024"/>
    <x v="29"/>
    <s v="PROD_010"/>
    <s v="Webcam HD"/>
    <s v="Electronics"/>
    <n v="1"/>
    <n v="88.83"/>
    <n v="88.83"/>
    <n v="88.83"/>
    <n v="0"/>
    <s v="Germany"/>
    <x v="3"/>
  </r>
  <r>
    <n v="2024001744"/>
    <x v="270"/>
    <n v="2024"/>
    <x v="142"/>
    <s v="PROD_008"/>
    <s v="Desk Lamp"/>
    <s v="Furniture"/>
    <n v="2"/>
    <n v="81.78"/>
    <n v="163.56"/>
    <n v="163.56"/>
    <n v="0"/>
    <s v="Austria"/>
    <x v="1"/>
  </r>
  <r>
    <n v="2024001745"/>
    <x v="281"/>
    <n v="2024"/>
    <x v="0"/>
    <s v="PROD_005"/>
    <s v="Standing Desk"/>
    <s v="Furniture"/>
    <n v="1"/>
    <n v="633.04"/>
    <n v="633.04"/>
    <n v="633.04"/>
    <n v="0"/>
    <s v="Belgium"/>
    <x v="3"/>
  </r>
  <r>
    <n v="2024001746"/>
    <x v="24"/>
    <n v="2024"/>
    <x v="185"/>
    <s v="PROD_003"/>
    <s v="USB-C Cable"/>
    <s v="Electronics"/>
    <n v="2"/>
    <n v="14.03"/>
    <n v="28.06"/>
    <n v="28.06"/>
    <n v="0"/>
    <s v="Italy"/>
    <x v="1"/>
  </r>
  <r>
    <n v="2024001747"/>
    <x v="316"/>
    <n v="2024"/>
    <x v="0"/>
    <s v="PROD_005"/>
    <s v="Standing Desk"/>
    <s v="Furniture"/>
    <n v="2"/>
    <n v="608.78"/>
    <n v="1217.56"/>
    <n v="1217.56"/>
    <n v="0"/>
    <s v="Sweden"/>
    <x v="1"/>
  </r>
  <r>
    <n v="2024001748"/>
    <x v="289"/>
    <n v="2024"/>
    <x v="4"/>
    <s v="PROD_007"/>
    <s v="Keyboard Mechanical"/>
    <s v="Electronics"/>
    <n v="1"/>
    <n v="117.67"/>
    <n v="117.67"/>
    <n v="117.67"/>
    <n v="0"/>
    <s v="UK"/>
    <x v="0"/>
  </r>
  <r>
    <n v="2024001749"/>
    <x v="110"/>
    <n v="2024"/>
    <x v="149"/>
    <s v="PROD_003"/>
    <s v="USB-C Cable"/>
    <s v="Electronics"/>
    <n v="3"/>
    <n v="14.69"/>
    <n v="44.07"/>
    <n v="44.07"/>
    <n v="0"/>
    <s v="Switzerland"/>
    <x v="1"/>
  </r>
  <r>
    <n v="2024001750"/>
    <x v="218"/>
    <n v="2024"/>
    <x v="0"/>
    <s v="PROD_004"/>
    <s v="Desk Chair"/>
    <s v="Furniture"/>
    <n v="1"/>
    <n v="368.47"/>
    <n v="368.47"/>
    <n v="368.47"/>
    <n v="0"/>
    <s v="UK"/>
    <x v="3"/>
  </r>
  <r>
    <n v="2024001751"/>
    <x v="171"/>
    <n v="2024"/>
    <x v="133"/>
    <s v="PROD_007"/>
    <s v="Keyboard Mechanical"/>
    <s v="Electronics"/>
    <n v="1"/>
    <n v="136.5"/>
    <n v="136.5"/>
    <n v="136.5"/>
    <n v="0"/>
    <s v="Austria"/>
    <x v="0"/>
  </r>
  <r>
    <n v="2024001752"/>
    <x v="23"/>
    <n v="2024"/>
    <x v="66"/>
    <s v="PROD_010"/>
    <s v="Webcam HD"/>
    <s v="Electronics"/>
    <n v="4"/>
    <n v="87.8"/>
    <n v="351.2"/>
    <n v="351.2"/>
    <n v="0"/>
    <s v="Austria"/>
    <x v="0"/>
  </r>
  <r>
    <n v="2024001753"/>
    <x v="143"/>
    <n v="2024"/>
    <x v="127"/>
    <s v="PROD_010"/>
    <s v="Webcam HD"/>
    <s v="Electronics"/>
    <n v="3"/>
    <n v="93.69"/>
    <n v="281.07"/>
    <n v="281.07"/>
    <n v="0"/>
    <s v="Austria"/>
    <x v="3"/>
  </r>
  <r>
    <n v="2024001754"/>
    <x v="317"/>
    <n v="2024"/>
    <x v="211"/>
    <s v="PROD_006"/>
    <s v="Monitor 27&quot;"/>
    <s v="Electronics"/>
    <n v="2"/>
    <n v="419.56"/>
    <n v="839.12"/>
    <n v="839.12"/>
    <n v="0"/>
    <s v="Germany"/>
    <x v="1"/>
  </r>
  <r>
    <n v="2024001755"/>
    <x v="49"/>
    <n v="2024"/>
    <x v="34"/>
    <s v="PROD_003"/>
    <s v="USB-C Cable"/>
    <s v="Electronics"/>
    <n v="1"/>
    <n v="13.42"/>
    <n v="13.42"/>
    <n v="13.42"/>
    <n v="0"/>
    <s v="Austria"/>
    <x v="3"/>
  </r>
  <r>
    <n v="2024001756"/>
    <x v="318"/>
    <n v="2024"/>
    <x v="220"/>
    <s v="PROD_009"/>
    <s v="Phone Stand"/>
    <s v="Accessories"/>
    <n v="1"/>
    <n v="25.14"/>
    <n v="25.14"/>
    <n v="25.14"/>
    <n v="0"/>
    <s v="Switzerland"/>
    <x v="3"/>
  </r>
  <r>
    <n v="2024001757"/>
    <x v="102"/>
    <n v="2024"/>
    <x v="248"/>
    <s v="PROD_005"/>
    <s v="Standing Desk"/>
    <s v="Furniture"/>
    <n v="1"/>
    <n v="615.22"/>
    <n v="615.22"/>
    <n v="615.22"/>
    <n v="0"/>
    <s v="Netherlands"/>
    <x v="0"/>
  </r>
  <r>
    <n v="2024001758"/>
    <x v="266"/>
    <n v="2024"/>
    <x v="258"/>
    <s v="PROD_010"/>
    <s v="Webcam HD"/>
    <s v="Electronics"/>
    <n v="2"/>
    <n v="93.67"/>
    <n v="187.34"/>
    <n v="187.34"/>
    <n v="0"/>
    <s v="Germany"/>
    <x v="1"/>
  </r>
  <r>
    <n v="2024001759"/>
    <x v="93"/>
    <n v="2024"/>
    <x v="57"/>
    <s v="PROD_003"/>
    <s v="USB-C Cable"/>
    <s v="Electronics"/>
    <n v="5"/>
    <n v="14.96"/>
    <n v="74.8"/>
    <n v="74.800000000000011"/>
    <n v="0"/>
    <s v="Italy"/>
    <x v="0"/>
  </r>
  <r>
    <n v="2024001464"/>
    <x v="97"/>
    <n v="2024"/>
    <x v="6"/>
    <s v="PROD_006"/>
    <s v="Monitor 27&quot;"/>
    <s v="Electronics"/>
    <n v="2"/>
    <n v="446.14"/>
    <n v="892.28"/>
    <n v="892.28"/>
    <n v="0"/>
    <s v="Belgium"/>
    <x v="0"/>
  </r>
  <r>
    <n v="2024001761"/>
    <x v="209"/>
    <n v="2024"/>
    <x v="0"/>
    <s v="PROD_008"/>
    <s v="Desk Lamp"/>
    <s v="Furniture"/>
    <n v="3"/>
    <n v="79.28"/>
    <n v="237.84"/>
    <n v="237.84"/>
    <n v="0"/>
    <s v="Germany"/>
    <x v="3"/>
  </r>
  <r>
    <n v="2024001762"/>
    <x v="318"/>
    <n v="2024"/>
    <x v="21"/>
    <s v="PROD_001"/>
    <s v="Laptop Pro"/>
    <s v="Electronics"/>
    <n v="3"/>
    <n v="1220.3800000000001"/>
    <n v="3661.14"/>
    <n v="3661.1400000000003"/>
    <n v="0"/>
    <s v="France"/>
    <x v="2"/>
  </r>
  <r>
    <n v="2024001763"/>
    <x v="37"/>
    <n v="2024"/>
    <x v="70"/>
    <s v="PROD_003"/>
    <s v="USB-C Cable"/>
    <s v="Electronics"/>
    <n v="1"/>
    <n v="15.21"/>
    <n v="15.21"/>
    <n v="15.21"/>
    <n v="0"/>
    <s v="Netherlands"/>
    <x v="2"/>
  </r>
  <r>
    <n v="2024001114"/>
    <x v="88"/>
    <n v="2024"/>
    <x v="141"/>
    <s v="PROD_003"/>
    <s v="USB-C Cable"/>
    <s v="Electronics"/>
    <n v="1"/>
    <n v="14.56"/>
    <n v="14.56"/>
    <n v="14.56"/>
    <n v="0"/>
    <s v="Belgium"/>
    <x v="1"/>
  </r>
  <r>
    <n v="2024001765"/>
    <x v="160"/>
    <n v="2024"/>
    <x v="104"/>
    <s v="PROD_002"/>
    <s v="Wireless Mouse"/>
    <s v="Electronics"/>
    <n v="2"/>
    <n v="42.36"/>
    <n v="84.72"/>
    <n v="84.72"/>
    <n v="0"/>
    <s v="France"/>
    <x v="2"/>
  </r>
  <r>
    <n v="2024001766"/>
    <x v="43"/>
    <n v="2024"/>
    <x v="201"/>
    <s v="PROD_007"/>
    <s v="Keyboard Mechanical"/>
    <s v="Electronics"/>
    <n v="1"/>
    <n v="116.78"/>
    <n v="116.78"/>
    <n v="116.78"/>
    <n v="0"/>
    <s v="Belgium"/>
    <x v="0"/>
  </r>
  <r>
    <n v="2024001767"/>
    <x v="267"/>
    <n v="2024"/>
    <x v="239"/>
    <s v="PROD_009"/>
    <s v="Phone Stand"/>
    <s v="Accessories"/>
    <n v="2"/>
    <n v="25.9"/>
    <n v="51.8"/>
    <n v="51.8"/>
    <n v="0"/>
    <s v="Austria"/>
    <x v="1"/>
  </r>
  <r>
    <n v="2024001768"/>
    <x v="238"/>
    <n v="2024"/>
    <x v="137"/>
    <s v="PROD_008"/>
    <s v="Desk Lamp"/>
    <s v="Furniture"/>
    <n v="2"/>
    <n v="75.55"/>
    <n v="151.1"/>
    <n v="151.1"/>
    <n v="0"/>
    <s v="Italy"/>
    <x v="0"/>
  </r>
  <r>
    <n v="2024001769"/>
    <x v="50"/>
    <n v="2024"/>
    <x v="34"/>
    <s v="PROD_001"/>
    <s v="Laptop Pro"/>
    <s v="Electronics"/>
    <n v="2"/>
    <n v="1197.8499999999999"/>
    <n v="2395.6999999999998"/>
    <n v="2395.6999999999998"/>
    <n v="0"/>
    <s v="Germany"/>
    <x v="2"/>
  </r>
  <r>
    <n v="2024001770"/>
    <x v="204"/>
    <n v="2024"/>
    <x v="272"/>
    <s v="PROD_006"/>
    <s v="Monitor 27&quot;"/>
    <s v="Electronics"/>
    <n v="4"/>
    <n v="393.71"/>
    <n v="1574.84"/>
    <n v="1574.84"/>
    <n v="0"/>
    <s v="Germany"/>
    <x v="3"/>
  </r>
  <r>
    <n v="2024001771"/>
    <x v="81"/>
    <n v="2024"/>
    <x v="273"/>
    <s v="PROD_008"/>
    <s v="Desk Lamp"/>
    <s v="Furniture"/>
    <n v="1"/>
    <n v="79.209999999999994"/>
    <n v="79.209999999999994"/>
    <n v="79.209999999999994"/>
    <n v="0"/>
    <s v="France"/>
    <x v="3"/>
  </r>
  <r>
    <n v="2024001772"/>
    <x v="251"/>
    <n v="2024"/>
    <x v="15"/>
    <s v="PROD_003"/>
    <s v="USB-C Cable"/>
    <s v="Electronics"/>
    <n v="3"/>
    <n v="15.17"/>
    <n v="45.51"/>
    <n v="45.51"/>
    <n v="0"/>
    <s v="Austria"/>
    <x v="3"/>
  </r>
  <r>
    <n v="2024001773"/>
    <x v="153"/>
    <n v="2024"/>
    <x v="274"/>
    <s v="PROD_003"/>
    <s v="USB-C Cable"/>
    <s v="Electronics"/>
    <n v="3"/>
    <n v="15.81"/>
    <n v="47.43"/>
    <n v="47.43"/>
    <n v="0"/>
    <s v="Austria"/>
    <x v="3"/>
  </r>
  <r>
    <n v="2024001774"/>
    <x v="119"/>
    <n v="2024"/>
    <x v="23"/>
    <s v="PROD_010"/>
    <s v="Webcam HD"/>
    <s v="Electronics"/>
    <n v="1"/>
    <n v="86.26"/>
    <n v="86.26"/>
    <n v="86.26"/>
    <n v="0"/>
    <s v="Belgium"/>
    <x v="0"/>
  </r>
  <r>
    <n v="2024001775"/>
    <x v="92"/>
    <n v="2024"/>
    <x v="125"/>
    <s v="PROD_006"/>
    <s v="Monitor 27&quot;"/>
    <s v="Electronics"/>
    <n v="2"/>
    <n v="387.23"/>
    <n v="774.46"/>
    <n v="774.46"/>
    <n v="0"/>
    <s v="Netherlands"/>
    <x v="3"/>
  </r>
  <r>
    <n v="2024001776"/>
    <x v="319"/>
    <n v="2024"/>
    <x v="246"/>
    <s v="PROD_007"/>
    <s v="Keyboard Mechanical"/>
    <s v="Electronics"/>
    <n v="2"/>
    <n v="124.49"/>
    <n v="248.98"/>
    <n v="248.98"/>
    <n v="0"/>
    <s v="Germany"/>
    <x v="3"/>
  </r>
  <r>
    <n v="2024001777"/>
    <x v="219"/>
    <n v="2024"/>
    <x v="271"/>
    <s v="PROD_009"/>
    <s v="Phone Stand"/>
    <s v="Accessories"/>
    <n v="2"/>
    <n v="26.19"/>
    <n v="52.38"/>
    <n v="52.38"/>
    <n v="0"/>
    <s v="Spain"/>
    <x v="1"/>
  </r>
  <r>
    <n v="2024001778"/>
    <x v="283"/>
    <n v="2024"/>
    <x v="51"/>
    <s v="PROD_009"/>
    <s v="Phone Stand"/>
    <s v="Accessories"/>
    <n v="1"/>
    <n v="23.92"/>
    <n v="23.92"/>
    <n v="23.92"/>
    <n v="0"/>
    <s v="Austria"/>
    <x v="3"/>
  </r>
  <r>
    <n v="2024001779"/>
    <x v="192"/>
    <n v="2024"/>
    <x v="20"/>
    <s v="PROD_005"/>
    <s v="Standing Desk"/>
    <s v="Furniture"/>
    <n v="2"/>
    <n v="563.70000000000005"/>
    <n v="1127.4000000000001"/>
    <n v="1127.4000000000001"/>
    <n v="0"/>
    <s v="Germany"/>
    <x v="1"/>
  </r>
  <r>
    <n v="2024001780"/>
    <x v="320"/>
    <n v="2024"/>
    <x v="142"/>
    <s v="PROD_004"/>
    <s v="Desk Chair"/>
    <s v="Furniture"/>
    <n v="5"/>
    <n v="332.97"/>
    <n v="1664.85"/>
    <n v="1664.8500000000001"/>
    <n v="0"/>
    <s v="Switzerland"/>
    <x v="1"/>
  </r>
  <r>
    <n v="2024001781"/>
    <x v="242"/>
    <n v="2024"/>
    <x v="0"/>
    <s v="PROD_009"/>
    <s v="Phone Stand"/>
    <s v="Accessories"/>
    <n v="1"/>
    <n v="26.26"/>
    <n v="26.26"/>
    <n v="26.26"/>
    <n v="0"/>
    <s v="UK"/>
    <x v="2"/>
  </r>
  <r>
    <n v="2024001782"/>
    <x v="29"/>
    <n v="2024"/>
    <x v="0"/>
    <s v="PROD_004"/>
    <s v="Desk Chair"/>
    <s v="Furniture"/>
    <n v="0"/>
    <n v="330.18"/>
    <n v="0"/>
    <n v="0"/>
    <n v="0"/>
    <s v="Switzerland"/>
    <x v="2"/>
  </r>
  <r>
    <n v="2024001783"/>
    <x v="300"/>
    <n v="2024"/>
    <x v="275"/>
    <s v="PROD_002"/>
    <s v="Wireless Mouse"/>
    <s v="Electronics"/>
    <n v="2"/>
    <n v="46.71"/>
    <n v="93.42"/>
    <n v="93.42"/>
    <n v="0"/>
    <s v="Belgium"/>
    <x v="1"/>
  </r>
  <r>
    <n v="2024001784"/>
    <x v="10"/>
    <n v="2024"/>
    <x v="50"/>
    <s v="PROD_010"/>
    <s v="Webcam HD"/>
    <s v="Electronics"/>
    <n v="3"/>
    <n v="93.42"/>
    <n v="280.26"/>
    <n v="280.26"/>
    <n v="0"/>
    <s v="Germany"/>
    <x v="3"/>
  </r>
  <r>
    <n v="2024001785"/>
    <x v="106"/>
    <n v="2024"/>
    <x v="0"/>
    <s v="PROD_007"/>
    <s v="Keyboard Mechanical"/>
    <s v="Electronics"/>
    <n v="1"/>
    <n v="126.33"/>
    <n v="126.33"/>
    <n v="126.33"/>
    <n v="0"/>
    <s v="Germany"/>
    <x v="2"/>
  </r>
  <r>
    <n v="2024001786"/>
    <x v="105"/>
    <n v="2024"/>
    <x v="107"/>
    <s v="PROD_007"/>
    <s v="Keyboard Mechanical"/>
    <s v="Electronics"/>
    <n v="2"/>
    <n v="115.11"/>
    <n v="230.22"/>
    <n v="230.22"/>
    <n v="0"/>
    <s v="UK"/>
    <x v="0"/>
  </r>
  <r>
    <n v="2024001787"/>
    <x v="61"/>
    <n v="2024"/>
    <x v="39"/>
    <s v="PROD_005"/>
    <s v="Standing Desk"/>
    <s v="Furniture"/>
    <n v="1"/>
    <n v="641.53"/>
    <n v="641.53"/>
    <n v="641.53"/>
    <n v="0"/>
    <s v="UK"/>
    <x v="0"/>
  </r>
  <r>
    <n v="2024001788"/>
    <x v="125"/>
    <n v="2024"/>
    <x v="266"/>
    <s v="PROD_008"/>
    <s v="Desk Lamp"/>
    <s v="Furniture"/>
    <n v="3"/>
    <n v="77.489999999999995"/>
    <n v="232.47"/>
    <n v="232.46999999999997"/>
    <n v="0"/>
    <s v="UK"/>
    <x v="1"/>
  </r>
  <r>
    <n v="2024001789"/>
    <x v="166"/>
    <n v="2024"/>
    <x v="218"/>
    <s v="PROD_007"/>
    <s v="Keyboard Mechanical"/>
    <s v="Electronics"/>
    <n v="1"/>
    <n v="126.31"/>
    <n v="126.31"/>
    <n v="126.31"/>
    <n v="0"/>
    <s v="France"/>
    <x v="2"/>
  </r>
  <r>
    <n v="2024001790"/>
    <x v="64"/>
    <n v="2024"/>
    <x v="109"/>
    <s v="PROD_006"/>
    <s v="Monitor 27&quot;"/>
    <s v="Electronics"/>
    <n v="1"/>
    <n v="383.78"/>
    <n v="383.78"/>
    <n v="383.78"/>
    <n v="0"/>
    <s v="Spain"/>
    <x v="1"/>
  </r>
  <r>
    <n v="2024001791"/>
    <x v="213"/>
    <n v="2024"/>
    <x v="217"/>
    <s v="PROD_007"/>
    <s v="Keyboard Mechanical"/>
    <s v="Electronics"/>
    <n v="3"/>
    <n v="113.32"/>
    <n v="339.96"/>
    <n v="339.96"/>
    <n v="0"/>
    <s v="Germany"/>
    <x v="3"/>
  </r>
  <r>
    <n v="2024001792"/>
    <x v="308"/>
    <n v="2024"/>
    <x v="237"/>
    <s v="PROD_006"/>
    <s v="Monitor 27&quot;"/>
    <s v="Electronics"/>
    <n v="2"/>
    <n v="400.14"/>
    <n v="800.28"/>
    <n v="800.28"/>
    <n v="0"/>
    <s v="Switzerland"/>
    <x v="1"/>
  </r>
  <r>
    <n v="2024001793"/>
    <x v="271"/>
    <n v="2024"/>
    <x v="93"/>
    <s v="PROD_002"/>
    <s v="Wireless Mouse"/>
    <s v="Electronics"/>
    <n v="1"/>
    <n v="40.31"/>
    <n v="40.31"/>
    <n v="40.31"/>
    <n v="0"/>
    <s v="Netherlands"/>
    <x v="2"/>
  </r>
  <r>
    <n v="2024001794"/>
    <x v="126"/>
    <n v="2024"/>
    <x v="137"/>
    <s v="PROD_005"/>
    <s v="Standing Desk"/>
    <s v="Furniture"/>
    <n v="2"/>
    <n v="588.22"/>
    <n v="1176.44"/>
    <n v="1176.44"/>
    <n v="0"/>
    <s v="Netherlands"/>
    <x v="1"/>
  </r>
  <r>
    <n v="2024001795"/>
    <x v="69"/>
    <n v="2024"/>
    <x v="0"/>
    <s v="PROD_009"/>
    <s v="Phone Stand"/>
    <s v="Accessories"/>
    <n v="5"/>
    <n v="25.87"/>
    <n v="129.35"/>
    <n v="129.35"/>
    <n v="0"/>
    <s v="Switzerland"/>
    <x v="3"/>
  </r>
  <r>
    <n v="2024001796"/>
    <x v="230"/>
    <n v="2024"/>
    <x v="43"/>
    <s v="PROD_003"/>
    <s v="USB-C Cable"/>
    <s v="Electronics"/>
    <n v="1"/>
    <n v="15.05"/>
    <n v="15.05"/>
    <n v="15.05"/>
    <n v="0"/>
    <s v="Netherlands"/>
    <x v="1"/>
  </r>
  <r>
    <n v="2024001797"/>
    <x v="199"/>
    <n v="2024"/>
    <x v="0"/>
    <s v="PROD_007"/>
    <s v="Keyboard Mechanical"/>
    <s v="Electronics"/>
    <n v="1"/>
    <n v="119.1"/>
    <n v="119.1"/>
    <n v="119.1"/>
    <n v="0"/>
    <s v="Sweden"/>
    <x v="2"/>
  </r>
  <r>
    <n v="2024001798"/>
    <x v="58"/>
    <n v="2024"/>
    <x v="11"/>
    <s v="PROD_004"/>
    <s v="Desk Chair"/>
    <s v="Furniture"/>
    <n v="2"/>
    <n v="345.98"/>
    <n v="691.96"/>
    <n v="691.96"/>
    <n v="0"/>
    <s v="Italy"/>
    <x v="3"/>
  </r>
  <r>
    <n v="2024001799"/>
    <x v="24"/>
    <n v="2024"/>
    <x v="0"/>
    <s v="PROD_003"/>
    <s v="USB-C Cable"/>
    <s v="Electronics"/>
    <n v="2"/>
    <n v="13.55"/>
    <n v="27.1"/>
    <n v="27.1"/>
    <n v="0"/>
    <s v="UK"/>
    <x v="3"/>
  </r>
  <r>
    <n v="2024001800"/>
    <x v="166"/>
    <n v="2024"/>
    <x v="250"/>
    <s v="PROD_001"/>
    <s v="Laptop Pro"/>
    <s v="Electronics"/>
    <n v="1"/>
    <n v="1218.8399999999999"/>
    <n v="1218.8399999999999"/>
    <n v="1218.8399999999999"/>
    <n v="0"/>
    <s v="Netherlands"/>
    <x v="0"/>
  </r>
  <r>
    <n v="2024001801"/>
    <x v="321"/>
    <n v="2024"/>
    <x v="166"/>
    <s v="PROD_006"/>
    <s v="Monitor 27&quot;"/>
    <s v="Electronics"/>
    <n v="1"/>
    <n v="379.77"/>
    <n v="379.77"/>
    <n v="379.77"/>
    <n v="0"/>
    <s v="Germany"/>
    <x v="3"/>
  </r>
  <r>
    <n v="2024001802"/>
    <x v="274"/>
    <n v="2024"/>
    <x v="138"/>
    <s v="PROD_003"/>
    <s v="USB-C Cable"/>
    <s v="Electronics"/>
    <n v="2"/>
    <n v="15.05"/>
    <n v="30.1"/>
    <n v="30.1"/>
    <n v="0"/>
    <s v="Spain"/>
    <x v="2"/>
  </r>
  <r>
    <n v="2024001803"/>
    <x v="155"/>
    <n v="2024"/>
    <x v="66"/>
    <s v="PROD_002"/>
    <s v="Wireless Mouse"/>
    <s v="Electronics"/>
    <n v="1"/>
    <n v="45.78"/>
    <n v="45.78"/>
    <n v="45.78"/>
    <n v="0"/>
    <s v="Austria"/>
    <x v="2"/>
  </r>
  <r>
    <n v="2024001804"/>
    <x v="270"/>
    <n v="2024"/>
    <x v="0"/>
    <s v="PROD_002"/>
    <s v="Wireless Mouse"/>
    <s v="Electronics"/>
    <n v="1"/>
    <n v="45.03"/>
    <n v="45.03"/>
    <n v="45.03"/>
    <n v="0"/>
    <s v="Austria"/>
    <x v="0"/>
  </r>
  <r>
    <n v="2024001805"/>
    <x v="322"/>
    <n v="2024"/>
    <x v="0"/>
    <s v="PROD_008"/>
    <s v="Desk Lamp"/>
    <s v="Furniture"/>
    <n v="1"/>
    <n v="84.19"/>
    <n v="84.19"/>
    <n v="84.19"/>
    <n v="0"/>
    <s v="Germany"/>
    <x v="2"/>
  </r>
  <r>
    <n v="2024001806"/>
    <x v="323"/>
    <n v="2024"/>
    <x v="0"/>
    <s v="PROD_009"/>
    <s v="Phone Stand"/>
    <s v="Accessories"/>
    <n v="2"/>
    <n v="22.95"/>
    <n v="45.9"/>
    <n v="45.9"/>
    <n v="0"/>
    <s v="Italy"/>
    <x v="0"/>
  </r>
  <r>
    <n v="2024001807"/>
    <x v="121"/>
    <n v="2024"/>
    <x v="229"/>
    <s v="PROD_002"/>
    <s v="Wireless Mouse"/>
    <s v="Electronics"/>
    <n v="2"/>
    <n v="40.98"/>
    <n v="81.96"/>
    <n v="81.96"/>
    <n v="0"/>
    <s v="France"/>
    <x v="1"/>
  </r>
  <r>
    <n v="2024001808"/>
    <x v="41"/>
    <n v="2024"/>
    <x v="0"/>
    <s v="PROD_010"/>
    <s v="Webcam HD"/>
    <s v="Electronics"/>
    <n v="1"/>
    <n v="90.91"/>
    <n v="90.91"/>
    <n v="90.91"/>
    <n v="0"/>
    <s v="Netherlands"/>
    <x v="2"/>
  </r>
  <r>
    <n v="2024001809"/>
    <x v="188"/>
    <n v="2024"/>
    <x v="49"/>
    <s v="PROD_004"/>
    <s v="Desk Chair"/>
    <s v="Furniture"/>
    <n v="1"/>
    <n v="359.49"/>
    <n v="359.49"/>
    <n v="359.49"/>
    <n v="0"/>
    <s v="UK"/>
    <x v="2"/>
  </r>
  <r>
    <n v="2024001810"/>
    <x v="68"/>
    <n v="2024"/>
    <x v="60"/>
    <s v="PROD_005"/>
    <s v="Standing Desk"/>
    <s v="Furniture"/>
    <n v="3"/>
    <n v="603.87"/>
    <n v="1811.61"/>
    <n v="1811.6100000000001"/>
    <n v="0"/>
    <s v="Netherlands"/>
    <x v="3"/>
  </r>
  <r>
    <n v="2024001811"/>
    <x v="260"/>
    <n v="2024"/>
    <x v="253"/>
    <s v="PROD_002"/>
    <s v="Wireless Mouse"/>
    <s v="Electronics"/>
    <n v="1"/>
    <n v="42.87"/>
    <n v="42.87"/>
    <n v="42.87"/>
    <n v="0"/>
    <s v="Netherlands"/>
    <x v="1"/>
  </r>
  <r>
    <n v="2024001812"/>
    <x v="2"/>
    <n v="2024"/>
    <x v="242"/>
    <s v="PROD_002"/>
    <s v="Wireless Mouse"/>
    <s v="Electronics"/>
    <n v="2"/>
    <n v="46.71"/>
    <n v="93.42"/>
    <n v="93.42"/>
    <n v="0"/>
    <s v="Spain"/>
    <x v="3"/>
  </r>
  <r>
    <n v="2024001813"/>
    <x v="298"/>
    <n v="2024"/>
    <x v="163"/>
    <s v="PROD_001"/>
    <s v="Laptop Pro"/>
    <s v="Electronics"/>
    <n v="2"/>
    <n v="1140.3800000000001"/>
    <n v="2280.7600000000002"/>
    <n v="2280.7600000000002"/>
    <n v="0"/>
    <s v="Austria"/>
    <x v="1"/>
  </r>
  <r>
    <n v="2024001438"/>
    <x v="324"/>
    <n v="2024"/>
    <x v="127"/>
    <s v="PROD_006"/>
    <s v="Monitor 27&quot;"/>
    <s v="Electronics"/>
    <n v="1"/>
    <n v="415.25"/>
    <n v="415.25"/>
    <n v="415.25"/>
    <n v="0"/>
    <s v="Switzerland"/>
    <x v="3"/>
  </r>
  <r>
    <n v="2024001815"/>
    <x v="23"/>
    <n v="2024"/>
    <x v="126"/>
    <s v="PROD_008"/>
    <s v="Desk Lamp"/>
    <s v="Furniture"/>
    <n v="3"/>
    <n v="76.739999999999995"/>
    <n v="230.22"/>
    <n v="230.21999999999997"/>
    <n v="0"/>
    <s v="France"/>
    <x v="2"/>
  </r>
  <r>
    <n v="2024001816"/>
    <x v="276"/>
    <n v="2024"/>
    <x v="213"/>
    <s v="PROD_010"/>
    <s v="Webcam HD"/>
    <s v="Electronics"/>
    <n v="3"/>
    <n v="93.17"/>
    <n v="279.51"/>
    <n v="279.51"/>
    <n v="0"/>
    <s v="Sweden"/>
    <x v="0"/>
  </r>
  <r>
    <n v="2024001817"/>
    <x v="3"/>
    <n v="2024"/>
    <x v="0"/>
    <s v="PROD_004"/>
    <s v="Desk Chair"/>
    <s v="Furniture"/>
    <n v="5"/>
    <n v="369.62"/>
    <n v="1848.1"/>
    <n v="1848.1"/>
    <n v="0"/>
    <s v="Switzerland"/>
    <x v="0"/>
  </r>
  <r>
    <n v="2024001818"/>
    <x v="228"/>
    <n v="2024"/>
    <x v="102"/>
    <s v="PROD_008"/>
    <s v="Desk Lamp"/>
    <s v="Furniture"/>
    <n v="1"/>
    <n v="81.349999999999994"/>
    <n v="81.349999999999994"/>
    <n v="81.349999999999994"/>
    <n v="0"/>
    <s v="France"/>
    <x v="3"/>
  </r>
  <r>
    <n v="2024001819"/>
    <x v="160"/>
    <n v="2024"/>
    <x v="207"/>
    <s v="PROD_005"/>
    <s v="Standing Desk"/>
    <s v="Furniture"/>
    <n v="2"/>
    <n v="607.38"/>
    <n v="1214.76"/>
    <n v="1214.76"/>
    <n v="0"/>
    <s v="Austria"/>
    <x v="1"/>
  </r>
  <r>
    <n v="2024001820"/>
    <x v="178"/>
    <n v="2024"/>
    <x v="268"/>
    <s v="PROD_003"/>
    <s v="USB-C Cable"/>
    <s v="Electronics"/>
    <n v="1"/>
    <n v="14"/>
    <n v="14"/>
    <n v="14"/>
    <n v="0"/>
    <s v="Netherlands"/>
    <x v="1"/>
  </r>
  <r>
    <n v="2024001821"/>
    <x v="281"/>
    <n v="2024"/>
    <x v="24"/>
    <s v="PROD_006"/>
    <s v="Monitor 27&quot;"/>
    <s v="Electronics"/>
    <n v="5"/>
    <n v="403.19"/>
    <n v="2015.95"/>
    <n v="2015.95"/>
    <n v="0"/>
    <s v="UK"/>
    <x v="2"/>
  </r>
  <r>
    <n v="2024001822"/>
    <x v="213"/>
    <n v="2024"/>
    <x v="0"/>
    <s v="PROD_002"/>
    <s v="Wireless Mouse"/>
    <s v="Electronics"/>
    <n v="3"/>
    <n v="47.85"/>
    <n v="143.55000000000001"/>
    <n v="143.55000000000001"/>
    <n v="0"/>
    <s v="Sweden"/>
    <x v="2"/>
  </r>
  <r>
    <n v="2024001823"/>
    <x v="113"/>
    <n v="2024"/>
    <x v="241"/>
    <s v="PROD_008"/>
    <s v="Desk Lamp"/>
    <s v="Furniture"/>
    <n v="1"/>
    <n v="76.099999999999994"/>
    <n v="76.099999999999994"/>
    <n v="76.099999999999994"/>
    <n v="0"/>
    <s v="Switzerland"/>
    <x v="1"/>
  </r>
  <r>
    <n v="2024001824"/>
    <x v="325"/>
    <n v="2024"/>
    <x v="238"/>
    <s v="PROD_002"/>
    <s v="Wireless Mouse"/>
    <s v="Electronics"/>
    <n v="1"/>
    <n v="45.41"/>
    <n v="45.41"/>
    <n v="45.41"/>
    <n v="0"/>
    <s v="Italy"/>
    <x v="2"/>
  </r>
  <r>
    <n v="2024001825"/>
    <x v="326"/>
    <n v="2024"/>
    <x v="168"/>
    <s v="PROD_005"/>
    <s v="Standing Desk"/>
    <s v="Furniture"/>
    <n v="3"/>
    <n v="639.1"/>
    <n v="1917.3"/>
    <n v="1917.3000000000002"/>
    <n v="0"/>
    <s v="Netherlands"/>
    <x v="3"/>
  </r>
  <r>
    <n v="2024001826"/>
    <x v="271"/>
    <n v="2024"/>
    <x v="10"/>
    <s v="PROD_004"/>
    <s v="Desk Chair"/>
    <s v="Furniture"/>
    <n v="4"/>
    <n v="347.12"/>
    <n v="1388.48"/>
    <n v="1388.48"/>
    <n v="0"/>
    <s v="Belgium"/>
    <x v="3"/>
  </r>
  <r>
    <n v="2024001827"/>
    <x v="321"/>
    <n v="2024"/>
    <x v="130"/>
    <s v="PROD_004"/>
    <s v="Desk Chair"/>
    <s v="Furniture"/>
    <n v="3"/>
    <n v="353.71"/>
    <n v="1061.1300000000001"/>
    <n v="1061.1299999999999"/>
    <n v="0"/>
    <s v="Belgium"/>
    <x v="3"/>
  </r>
  <r>
    <n v="2024001828"/>
    <x v="291"/>
    <n v="2024"/>
    <x v="234"/>
    <s v="PROD_010"/>
    <s v="Webcam HD"/>
    <s v="Electronics"/>
    <n v="1"/>
    <n v="95.64"/>
    <n v="95.64"/>
    <n v="95.64"/>
    <n v="0"/>
    <s v="Netherlands"/>
    <x v="3"/>
  </r>
  <r>
    <n v="2024001829"/>
    <x v="319"/>
    <n v="2024"/>
    <x v="23"/>
    <s v="PROD_006"/>
    <s v="Monitor 27&quot;"/>
    <s v="Electronics"/>
    <n v="1"/>
    <n v="395.98"/>
    <n v="395.98"/>
    <n v="395.98"/>
    <n v="0"/>
    <s v="Sweden"/>
    <x v="0"/>
  </r>
  <r>
    <n v="2024001830"/>
    <x v="177"/>
    <n v="2024"/>
    <x v="125"/>
    <s v="PROD_001"/>
    <s v="Laptop Pro"/>
    <s v="Electronics"/>
    <n v="1"/>
    <n v="1191.95"/>
    <n v="1191.95"/>
    <n v="1191.95"/>
    <n v="0"/>
    <s v="Spain"/>
    <x v="2"/>
  </r>
  <r>
    <n v="2024001831"/>
    <x v="139"/>
    <n v="2024"/>
    <x v="0"/>
    <s v="PROD_009"/>
    <s v="Phone Stand"/>
    <s v="Accessories"/>
    <n v="2"/>
    <n v="25.52"/>
    <n v="51.04"/>
    <n v="51.04"/>
    <n v="0"/>
    <s v="Germany"/>
    <x v="1"/>
  </r>
  <r>
    <n v="2024001832"/>
    <x v="128"/>
    <n v="2024"/>
    <x v="139"/>
    <s v="PROD_006"/>
    <s v="Monitor 27&quot;"/>
    <s v="Electronics"/>
    <n v="1"/>
    <n v="386.6"/>
    <n v="386.6"/>
    <n v="386.6"/>
    <n v="0"/>
    <s v="UK"/>
    <x v="1"/>
  </r>
  <r>
    <n v="2024001833"/>
    <x v="92"/>
    <n v="2024"/>
    <x v="0"/>
    <s v="PROD_001"/>
    <s v="Laptop Pro"/>
    <s v="Electronics"/>
    <n v="4"/>
    <n v="1270.3"/>
    <n v="5081.2"/>
    <n v="5081.2"/>
    <n v="0"/>
    <s v="Belgium"/>
    <x v="1"/>
  </r>
  <r>
    <n v="2024001834"/>
    <x v="175"/>
    <n v="2024"/>
    <x v="0"/>
    <s v="PROD_010"/>
    <s v="Webcam HD"/>
    <s v="Electronics"/>
    <n v="2"/>
    <n v="84.38"/>
    <n v="168.76"/>
    <n v="168.76"/>
    <n v="0"/>
    <s v="Netherlands"/>
    <x v="1"/>
  </r>
  <r>
    <n v="2024001835"/>
    <x v="220"/>
    <n v="2024"/>
    <x v="276"/>
    <s v="PROD_010"/>
    <s v="Webcam HD"/>
    <s v="Electronics"/>
    <n v="2"/>
    <n v="85.01"/>
    <n v="170.02"/>
    <n v="170.02"/>
    <n v="0"/>
    <s v="Spain"/>
    <x v="2"/>
  </r>
  <r>
    <n v="2024001836"/>
    <x v="88"/>
    <n v="2024"/>
    <x v="243"/>
    <s v="PROD_001"/>
    <s v="Laptop Pro"/>
    <s v="Electronics"/>
    <n v="1"/>
    <n v="1153.1199999999999"/>
    <n v="1153.1199999999999"/>
    <n v="1153.1199999999999"/>
    <n v="0"/>
    <s v="Switzerland"/>
    <x v="3"/>
  </r>
  <r>
    <n v="2024001837"/>
    <x v="252"/>
    <n v="2024"/>
    <x v="178"/>
    <s v="PROD_001"/>
    <s v="Laptop Pro"/>
    <s v="Electronics"/>
    <n v="1"/>
    <n v="1138.5"/>
    <n v="1138.5"/>
    <n v="1138.5"/>
    <n v="0"/>
    <s v="Germany"/>
    <x v="0"/>
  </r>
  <r>
    <n v="2024001838"/>
    <x v="2"/>
    <n v="2024"/>
    <x v="77"/>
    <s v="PROD_004"/>
    <s v="Desk Chair"/>
    <s v="Furniture"/>
    <n v="2"/>
    <n v="326.98"/>
    <n v="653.96"/>
    <n v="653.96"/>
    <n v="0"/>
    <s v="Netherlands"/>
    <x v="3"/>
  </r>
  <r>
    <n v="2024001839"/>
    <x v="305"/>
    <n v="2024"/>
    <x v="154"/>
    <s v="PROD_009"/>
    <s v="Phone Stand"/>
    <s v="Accessories"/>
    <n v="2"/>
    <n v="24.52"/>
    <n v="49.04"/>
    <n v="49.04"/>
    <n v="0"/>
    <s v="Italy"/>
    <x v="0"/>
  </r>
  <r>
    <n v="2024001840"/>
    <x v="252"/>
    <n v="2024"/>
    <x v="0"/>
    <s v="PROD_008"/>
    <s v="Desk Lamp"/>
    <s v="Furniture"/>
    <n v="1"/>
    <n v="77.86"/>
    <n v="77.86"/>
    <n v="77.86"/>
    <n v="0"/>
    <s v="Italy"/>
    <x v="2"/>
  </r>
  <r>
    <n v="2024001841"/>
    <x v="168"/>
    <n v="2024"/>
    <x v="0"/>
    <s v="PROD_009"/>
    <s v="Phone Stand"/>
    <s v="Accessories"/>
    <n v="1"/>
    <n v="24.67"/>
    <n v="24.67"/>
    <n v="24.67"/>
    <n v="0"/>
    <s v="Switzerland"/>
    <x v="2"/>
  </r>
  <r>
    <n v="2024001842"/>
    <x v="117"/>
    <n v="2024"/>
    <x v="0"/>
    <s v="PROD_001"/>
    <s v="Laptop Pro"/>
    <s v="Electronics"/>
    <n v="1"/>
    <n v="1312.53"/>
    <n v="1312.53"/>
    <n v="1312.53"/>
    <n v="0"/>
    <s v="Sweden"/>
    <x v="1"/>
  </r>
  <r>
    <n v="2024001843"/>
    <x v="327"/>
    <n v="2024"/>
    <x v="255"/>
    <s v="PROD_002"/>
    <s v="Wireless Mouse"/>
    <s v="Electronics"/>
    <n v="3"/>
    <n v="48.64"/>
    <n v="145.91999999999999"/>
    <n v="145.92000000000002"/>
    <n v="0"/>
    <s v="Switzerland"/>
    <x v="0"/>
  </r>
  <r>
    <n v="2024001844"/>
    <x v="96"/>
    <n v="2024"/>
    <x v="131"/>
    <s v="PROD_010"/>
    <s v="Webcam HD"/>
    <s v="Electronics"/>
    <n v="1"/>
    <n v="88.89"/>
    <n v="88.89"/>
    <n v="88.89"/>
    <n v="0"/>
    <s v="Austria"/>
    <x v="0"/>
  </r>
  <r>
    <n v="2024001845"/>
    <x v="111"/>
    <n v="2024"/>
    <x v="115"/>
    <s v="PROD_004"/>
    <s v="Desk Chair"/>
    <s v="Furniture"/>
    <n v="4"/>
    <n v="360.42"/>
    <n v="1441.68"/>
    <n v="1441.68"/>
    <n v="0"/>
    <s v="Spain"/>
    <x v="3"/>
  </r>
  <r>
    <n v="2024001846"/>
    <x v="75"/>
    <n v="2024"/>
    <x v="184"/>
    <s v="PROD_009"/>
    <s v="Phone Stand"/>
    <s v="Accessories"/>
    <n v="1"/>
    <n v="23.12"/>
    <n v="23.12"/>
    <n v="23.12"/>
    <n v="0"/>
    <s v="Belgium"/>
    <x v="1"/>
  </r>
  <r>
    <n v="2024001847"/>
    <x v="307"/>
    <n v="2024"/>
    <x v="113"/>
    <s v="PROD_009"/>
    <s v="Phone Stand"/>
    <s v="Accessories"/>
    <n v="2"/>
    <n v="24.99"/>
    <n v="49.98"/>
    <n v="49.98"/>
    <n v="0"/>
    <s v="France"/>
    <x v="0"/>
  </r>
  <r>
    <n v="2024001848"/>
    <x v="38"/>
    <n v="2024"/>
    <x v="277"/>
    <s v="PROD_002"/>
    <s v="Wireless Mouse"/>
    <s v="Electronics"/>
    <n v="4"/>
    <n v="40.93"/>
    <n v="163.72"/>
    <n v="163.72"/>
    <n v="0"/>
    <s v="France"/>
    <x v="3"/>
  </r>
  <r>
    <n v="2024001849"/>
    <x v="49"/>
    <n v="2024"/>
    <x v="277"/>
    <s v="PROD_001"/>
    <s v="Laptop Pro"/>
    <s v="Electronics"/>
    <n v="3"/>
    <n v="1228.98"/>
    <n v="3686.94"/>
    <n v="3686.94"/>
    <n v="0"/>
    <s v="UK"/>
    <x v="3"/>
  </r>
  <r>
    <n v="2024001850"/>
    <x v="300"/>
    <n v="2024"/>
    <x v="244"/>
    <s v="PROD_007"/>
    <s v="Keyboard Mechanical"/>
    <s v="Electronics"/>
    <n v="1"/>
    <n v="116.6"/>
    <n v="116.6"/>
    <n v="116.6"/>
    <n v="0"/>
    <s v="Netherlands"/>
    <x v="0"/>
  </r>
  <r>
    <n v="2024001851"/>
    <x v="141"/>
    <n v="2024"/>
    <x v="0"/>
    <s v="PROD_001"/>
    <s v="Laptop Pro"/>
    <s v="Electronics"/>
    <n v="1"/>
    <n v="875.01"/>
    <n v="875.01"/>
    <n v="875.01"/>
    <n v="0"/>
    <s v="Sweden"/>
    <x v="3"/>
  </r>
  <r>
    <n v="2024001852"/>
    <x v="111"/>
    <n v="2024"/>
    <x v="239"/>
    <s v="PROD_004"/>
    <s v="Desk Chair"/>
    <s v="Furniture"/>
    <n v="1"/>
    <n v="355.2"/>
    <n v="355.2"/>
    <n v="355.2"/>
    <n v="0"/>
    <s v="Sweden"/>
    <x v="0"/>
  </r>
  <r>
    <n v="2024001853"/>
    <x v="169"/>
    <n v="2024"/>
    <x v="136"/>
    <s v="PROD_010"/>
    <s v="Webcam HD"/>
    <s v="Electronics"/>
    <n v="1"/>
    <n v="97.3"/>
    <n v="97.3"/>
    <n v="97.3"/>
    <n v="0"/>
    <s v="Spain"/>
    <x v="1"/>
  </r>
  <r>
    <n v="2024001854"/>
    <x v="246"/>
    <n v="2024"/>
    <x v="250"/>
    <s v="PROD_010"/>
    <s v="Webcam HD"/>
    <s v="Electronics"/>
    <n v="4"/>
    <n v="86.02"/>
    <n v="344.08"/>
    <n v="344.08"/>
    <n v="0"/>
    <s v="Sweden"/>
    <x v="3"/>
  </r>
  <r>
    <n v="2024001855"/>
    <x v="155"/>
    <n v="2024"/>
    <x v="0"/>
    <s v="PROD_008"/>
    <s v="Desk Lamp"/>
    <s v="Furniture"/>
    <n v="2"/>
    <n v="69.650000000000006"/>
    <n v="139.30000000000001"/>
    <n v="139.30000000000001"/>
    <n v="0"/>
    <s v="Sweden"/>
    <x v="2"/>
  </r>
  <r>
    <n v="2024001856"/>
    <x v="30"/>
    <n v="2024"/>
    <x v="258"/>
    <s v="PROD_010"/>
    <s v="Webcam HD"/>
    <s v="Electronics"/>
    <n v="5"/>
    <n v="93.39"/>
    <n v="466.95"/>
    <n v="466.95"/>
    <n v="0"/>
    <s v="Germany"/>
    <x v="3"/>
  </r>
  <r>
    <n v="2024001857"/>
    <x v="311"/>
    <n v="2024"/>
    <x v="21"/>
    <s v="PROD_003"/>
    <s v="USB-C Cable"/>
    <s v="Electronics"/>
    <n v="1"/>
    <n v="14.11"/>
    <n v="14.11"/>
    <n v="14.11"/>
    <n v="0"/>
    <s v="Switzerland"/>
    <x v="0"/>
  </r>
  <r>
    <n v="2024001858"/>
    <x v="255"/>
    <n v="2024"/>
    <x v="75"/>
    <s v="PROD_003"/>
    <s v="USB-C Cable"/>
    <s v="Electronics"/>
    <n v="1"/>
    <n v="14.57"/>
    <n v="14.57"/>
    <n v="14.57"/>
    <n v="0"/>
    <s v="Spain"/>
    <x v="0"/>
  </r>
  <r>
    <n v="2024001530"/>
    <x v="328"/>
    <n v="2024"/>
    <x v="58"/>
    <s v="PROD_004"/>
    <s v="Desk Chair"/>
    <s v="Furniture"/>
    <n v="3"/>
    <n v="353.44"/>
    <n v="1060.32"/>
    <n v="1060.32"/>
    <n v="0"/>
    <s v="Italy"/>
    <x v="1"/>
  </r>
  <r>
    <n v="2024001860"/>
    <x v="329"/>
    <n v="2024"/>
    <x v="246"/>
    <s v="PROD_003"/>
    <s v="USB-C Cable"/>
    <s v="Electronics"/>
    <n v="1"/>
    <n v="15.4"/>
    <n v="15.4"/>
    <n v="15.4"/>
    <n v="0"/>
    <s v="UK"/>
    <x v="0"/>
  </r>
  <r>
    <n v="2024001861"/>
    <x v="192"/>
    <n v="2024"/>
    <x v="65"/>
    <s v="PROD_005"/>
    <s v="Standing Desk"/>
    <s v="Furniture"/>
    <n v="2"/>
    <n v="612.85"/>
    <n v="1225.7"/>
    <n v="1225.7"/>
    <n v="0"/>
    <s v="UK"/>
    <x v="2"/>
  </r>
  <r>
    <n v="2024001862"/>
    <x v="144"/>
    <n v="2024"/>
    <x v="78"/>
    <s v="PROD_005"/>
    <s v="Standing Desk"/>
    <s v="Furniture"/>
    <n v="2"/>
    <n v="615.22"/>
    <n v="1230.44"/>
    <n v="1230.44"/>
    <n v="0"/>
    <s v="Sweden"/>
    <x v="3"/>
  </r>
  <r>
    <n v="2024001863"/>
    <x v="7"/>
    <n v="2024"/>
    <x v="216"/>
    <s v="PROD_007"/>
    <s v="Keyboard Mechanical"/>
    <s v="Electronics"/>
    <n v="2"/>
    <n v="125.01"/>
    <n v="250.02"/>
    <n v="250.02"/>
    <n v="0"/>
    <s v="Netherlands"/>
    <x v="3"/>
  </r>
  <r>
    <n v="2024001864"/>
    <x v="130"/>
    <n v="2024"/>
    <x v="28"/>
    <s v="PROD_002"/>
    <s v="Wireless Mouse"/>
    <s v="Electronics"/>
    <n v="1"/>
    <n v="43.63"/>
    <n v="43.63"/>
    <n v="43.63"/>
    <n v="0"/>
    <s v="UK"/>
    <x v="2"/>
  </r>
  <r>
    <n v="2024001865"/>
    <x v="136"/>
    <n v="2024"/>
    <x v="278"/>
    <s v="PROD_010"/>
    <s v="Webcam HD"/>
    <s v="Electronics"/>
    <n v="1"/>
    <n v="91.63"/>
    <n v="91.63"/>
    <n v="91.63"/>
    <n v="0"/>
    <s v="Sweden"/>
    <x v="2"/>
  </r>
  <r>
    <n v="2024001866"/>
    <x v="260"/>
    <n v="2024"/>
    <x v="17"/>
    <s v="PROD_004"/>
    <s v="Desk Chair"/>
    <s v="Furniture"/>
    <n v="2"/>
    <n v="335.4"/>
    <n v="670.8"/>
    <n v="670.8"/>
    <n v="0"/>
    <s v="UK"/>
    <x v="1"/>
  </r>
  <r>
    <n v="2024001867"/>
    <x v="304"/>
    <n v="2024"/>
    <x v="234"/>
    <s v="PROD_008"/>
    <s v="Desk Lamp"/>
    <s v="Furniture"/>
    <n v="1"/>
    <n v="82.33"/>
    <n v="82.33"/>
    <n v="82.33"/>
    <n v="0"/>
    <s v="Italy"/>
    <x v="3"/>
  </r>
  <r>
    <n v="2024001868"/>
    <x v="220"/>
    <n v="2024"/>
    <x v="228"/>
    <s v="PROD_008"/>
    <s v="Desk Lamp"/>
    <s v="Furniture"/>
    <n v="3"/>
    <n v="80.569999999999993"/>
    <n v="241.71"/>
    <n v="241.70999999999998"/>
    <n v="0"/>
    <s v="Netherlands"/>
    <x v="0"/>
  </r>
  <r>
    <n v="2024001869"/>
    <x v="303"/>
    <n v="2024"/>
    <x v="255"/>
    <s v="PROD_002"/>
    <s v="Wireless Mouse"/>
    <s v="Electronics"/>
    <n v="1"/>
    <n v="39.549999999999997"/>
    <n v="39.549999999999997"/>
    <n v="39.549999999999997"/>
    <n v="0"/>
    <s v="Spain"/>
    <x v="3"/>
  </r>
  <r>
    <n v="2024001870"/>
    <x v="215"/>
    <n v="2024"/>
    <x v="0"/>
    <s v="PROD_007"/>
    <s v="Keyboard Mechanical"/>
    <s v="Electronics"/>
    <n v="1"/>
    <n v="124.59"/>
    <n v="124.59"/>
    <n v="124.59"/>
    <n v="0"/>
    <s v="Netherlands"/>
    <x v="3"/>
  </r>
  <r>
    <n v="2024001871"/>
    <x v="330"/>
    <n v="2024"/>
    <x v="121"/>
    <s v="PROD_003"/>
    <s v="USB-C Cable"/>
    <s v="Electronics"/>
    <n v="2"/>
    <n v="15.38"/>
    <n v="30.76"/>
    <n v="30.76"/>
    <n v="0"/>
    <s v="Switzerland"/>
    <x v="1"/>
  </r>
  <r>
    <n v="2024001872"/>
    <x v="254"/>
    <n v="2024"/>
    <x v="122"/>
    <s v="PROD_008"/>
    <s v="Desk Lamp"/>
    <s v="Furniture"/>
    <n v="1"/>
    <n v="77.73"/>
    <n v="77.73"/>
    <n v="77.73"/>
    <n v="0"/>
    <s v="Belgium"/>
    <x v="3"/>
  </r>
  <r>
    <n v="2024001873"/>
    <x v="290"/>
    <n v="2024"/>
    <x v="265"/>
    <s v="PROD_008"/>
    <s v="Desk Lamp"/>
    <s v="Furniture"/>
    <n v="3"/>
    <n v="76.67"/>
    <n v="230.01"/>
    <n v="230.01"/>
    <n v="0"/>
    <s v="Spain"/>
    <x v="3"/>
  </r>
  <r>
    <n v="2024001874"/>
    <x v="30"/>
    <n v="2024"/>
    <x v="268"/>
    <s v="PROD_010"/>
    <s v="Webcam HD"/>
    <s v="Electronics"/>
    <n v="2"/>
    <n v="85.57"/>
    <n v="171.14"/>
    <n v="171.14"/>
    <n v="0"/>
    <s v="Germany"/>
    <x v="2"/>
  </r>
  <r>
    <n v="2024001875"/>
    <x v="46"/>
    <n v="2024"/>
    <x v="279"/>
    <s v="PROD_007"/>
    <s v="Keyboard Mechanical"/>
    <s v="Electronics"/>
    <n v="1"/>
    <n v="121.19"/>
    <n v="121.19"/>
    <n v="121.19"/>
    <n v="0"/>
    <s v="Belgium"/>
    <x v="3"/>
  </r>
  <r>
    <n v="2024001876"/>
    <x v="290"/>
    <n v="2024"/>
    <x v="9"/>
    <s v="PROD_002"/>
    <s v="Wireless Mouse"/>
    <s v="Electronics"/>
    <n v="1"/>
    <n v="43.84"/>
    <n v="43.84"/>
    <n v="43.84"/>
    <n v="0"/>
    <s v="UK"/>
    <x v="1"/>
  </r>
  <r>
    <n v="2024001877"/>
    <x v="180"/>
    <n v="2024"/>
    <x v="152"/>
    <s v="PROD_008"/>
    <s v="Desk Lamp"/>
    <s v="Furniture"/>
    <n v="2"/>
    <n v="79.650000000000006"/>
    <n v="159.30000000000001"/>
    <n v="159.30000000000001"/>
    <n v="0"/>
    <s v="Italy"/>
    <x v="0"/>
  </r>
  <r>
    <n v="2024001878"/>
    <x v="215"/>
    <n v="2024"/>
    <x v="46"/>
    <s v="PROD_002"/>
    <s v="Wireless Mouse"/>
    <s v="Electronics"/>
    <n v="5"/>
    <n v="45.63"/>
    <n v="228.15"/>
    <n v="228.15"/>
    <n v="0"/>
    <s v="Switzerland"/>
    <x v="2"/>
  </r>
  <r>
    <n v="2024001879"/>
    <x v="117"/>
    <n v="2024"/>
    <x v="0"/>
    <s v="PROD_003"/>
    <s v="USB-C Cable"/>
    <s v="Electronics"/>
    <n v="2"/>
    <n v="15.76"/>
    <n v="31.52"/>
    <n v="31.52"/>
    <n v="0"/>
    <s v="UK"/>
    <x v="0"/>
  </r>
  <r>
    <n v="2024001880"/>
    <x v="317"/>
    <n v="2024"/>
    <x v="68"/>
    <s v="PROD_006"/>
    <s v="Monitor 27&quot;"/>
    <s v="Electronics"/>
    <n v="1"/>
    <n v="396.56"/>
    <n v="396.56"/>
    <n v="396.56"/>
    <n v="0"/>
    <s v="Austria"/>
    <x v="3"/>
  </r>
  <r>
    <n v="2024001881"/>
    <x v="328"/>
    <n v="2024"/>
    <x v="0"/>
    <s v="PROD_009"/>
    <s v="Phone Stand"/>
    <s v="Accessories"/>
    <n v="2"/>
    <n v="23.92"/>
    <n v="47.84"/>
    <n v="47.84"/>
    <n v="0"/>
    <s v="Sweden"/>
    <x v="0"/>
  </r>
  <r>
    <n v="2024001882"/>
    <x v="119"/>
    <n v="2024"/>
    <x v="126"/>
    <s v="PROD_003"/>
    <s v="USB-C Cable"/>
    <s v="Electronics"/>
    <n v="1"/>
    <n v="15.14"/>
    <n v="15.14"/>
    <n v="15.14"/>
    <n v="0"/>
    <s v="Sweden"/>
    <x v="1"/>
  </r>
  <r>
    <n v="2024001883"/>
    <x v="66"/>
    <n v="2024"/>
    <x v="195"/>
    <s v="PROD_002"/>
    <s v="Wireless Mouse"/>
    <s v="Electronics"/>
    <n v="1"/>
    <n v="47.58"/>
    <n v="47.58"/>
    <n v="47.58"/>
    <n v="0"/>
    <s v="Netherlands"/>
    <x v="3"/>
  </r>
  <r>
    <n v="2024001884"/>
    <x v="320"/>
    <n v="2024"/>
    <x v="0"/>
    <s v="PROD_005"/>
    <s v="Standing Desk"/>
    <s v="Furniture"/>
    <n v="1"/>
    <n v="587.55999999999995"/>
    <n v="587.55999999999995"/>
    <n v="587.55999999999995"/>
    <n v="0"/>
    <s v="Belgium"/>
    <x v="3"/>
  </r>
  <r>
    <n v="2024001885"/>
    <x v="115"/>
    <n v="2024"/>
    <x v="127"/>
    <s v="PROD_009"/>
    <s v="Phone Stand"/>
    <s v="Accessories"/>
    <n v="1"/>
    <n v="26.18"/>
    <n v="26.18"/>
    <n v="26.18"/>
    <n v="0"/>
    <s v="Italy"/>
    <x v="2"/>
  </r>
  <r>
    <n v="2024001886"/>
    <x v="16"/>
    <n v="2024"/>
    <x v="230"/>
    <s v="PROD_005"/>
    <s v="Standing Desk"/>
    <s v="Furniture"/>
    <n v="1"/>
    <n v="597.5"/>
    <n v="597.5"/>
    <n v="597.5"/>
    <n v="0"/>
    <s v="Belgium"/>
    <x v="3"/>
  </r>
  <r>
    <n v="2024001887"/>
    <x v="62"/>
    <n v="2024"/>
    <x v="175"/>
    <s v="PROD_004"/>
    <s v="Desk Chair"/>
    <s v="Furniture"/>
    <n v="3"/>
    <n v="371.21"/>
    <n v="1113.6300000000001"/>
    <n v="1113.6299999999999"/>
    <n v="0"/>
    <s v="France"/>
    <x v="3"/>
  </r>
  <r>
    <n v="2024001888"/>
    <x v="172"/>
    <n v="2024"/>
    <x v="195"/>
    <s v="PROD_010"/>
    <s v="Webcam HD"/>
    <s v="Electronics"/>
    <n v="4"/>
    <n v="89.94"/>
    <n v="359.76"/>
    <n v="359.76"/>
    <n v="0"/>
    <s v="France"/>
    <x v="1"/>
  </r>
  <r>
    <n v="2024001889"/>
    <x v="209"/>
    <n v="2024"/>
    <x v="123"/>
    <s v="PROD_004"/>
    <s v="Desk Chair"/>
    <s v="Furniture"/>
    <n v="3"/>
    <n v="352.21"/>
    <n v="1056.6300000000001"/>
    <n v="1056.6299999999999"/>
    <n v="0"/>
    <s v="Italy"/>
    <x v="0"/>
  </r>
  <r>
    <n v="2024001890"/>
    <x v="331"/>
    <n v="2024"/>
    <x v="137"/>
    <s v="PROD_005"/>
    <s v="Standing Desk"/>
    <s v="Furniture"/>
    <n v="1"/>
    <n v="600.19000000000005"/>
    <n v="600.19000000000005"/>
    <n v="600.19000000000005"/>
    <n v="0"/>
    <s v="Italy"/>
    <x v="0"/>
  </r>
  <r>
    <n v="2024001891"/>
    <x v="332"/>
    <n v="2024"/>
    <x v="186"/>
    <s v="PROD_008"/>
    <s v="Desk Lamp"/>
    <s v="Furniture"/>
    <n v="1"/>
    <n v="77.77"/>
    <n v="77.77"/>
    <n v="77.77"/>
    <n v="0"/>
    <s v="Germany"/>
    <x v="0"/>
  </r>
  <r>
    <n v="2024001892"/>
    <x v="153"/>
    <n v="2024"/>
    <x v="201"/>
    <s v="PROD_010"/>
    <s v="Webcam HD"/>
    <s v="Electronics"/>
    <n v="1"/>
    <n v="98.71"/>
    <n v="98.71"/>
    <n v="98.71"/>
    <n v="0"/>
    <s v="Belgium"/>
    <x v="3"/>
  </r>
  <r>
    <n v="2024001893"/>
    <x v="333"/>
    <n v="2024"/>
    <x v="112"/>
    <s v="PROD_005"/>
    <s v="Standing Desk"/>
    <s v="Furniture"/>
    <n v="4"/>
    <n v="567.77"/>
    <n v="2271.08"/>
    <n v="2271.08"/>
    <n v="0"/>
    <s v="Sweden"/>
    <x v="1"/>
  </r>
  <r>
    <n v="2024001894"/>
    <x v="44"/>
    <n v="2024"/>
    <x v="99"/>
    <s v="PROD_005"/>
    <s v="Standing Desk"/>
    <s v="Furniture"/>
    <n v="1"/>
    <n v="577.76"/>
    <n v="577.76"/>
    <n v="577.76"/>
    <n v="0"/>
    <s v="Netherlands"/>
    <x v="3"/>
  </r>
  <r>
    <n v="2024001895"/>
    <x v="9"/>
    <n v="2024"/>
    <x v="108"/>
    <s v="PROD_009"/>
    <s v="Phone Stand"/>
    <s v="Accessories"/>
    <n v="1"/>
    <n v="24.19"/>
    <n v="24.19"/>
    <n v="24.19"/>
    <n v="0"/>
    <s v="Germany"/>
    <x v="3"/>
  </r>
  <r>
    <n v="2024001896"/>
    <x v="216"/>
    <n v="2024"/>
    <x v="51"/>
    <s v="PROD_005"/>
    <s v="Standing Desk"/>
    <s v="Furniture"/>
    <n v="1"/>
    <n v="634.38"/>
    <n v="634.38"/>
    <n v="634.38"/>
    <n v="0"/>
    <s v="Spain"/>
    <x v="2"/>
  </r>
  <r>
    <n v="2024001897"/>
    <x v="25"/>
    <n v="2024"/>
    <x v="241"/>
    <s v="PROD_010"/>
    <s v="Webcam HD"/>
    <s v="Electronics"/>
    <n v="4"/>
    <n v="86.5"/>
    <n v="346"/>
    <n v="346"/>
    <n v="0"/>
    <s v="Spain"/>
    <x v="2"/>
  </r>
  <r>
    <n v="2024001898"/>
    <x v="163"/>
    <n v="2024"/>
    <x v="181"/>
    <s v="PROD_001"/>
    <s v="Laptop Pro"/>
    <s v="Electronics"/>
    <n v="1"/>
    <n v="1130.5"/>
    <n v="1130.5"/>
    <n v="1130.5"/>
    <n v="0"/>
    <s v="Switzerland"/>
    <x v="1"/>
  </r>
  <r>
    <n v="2024001899"/>
    <x v="253"/>
    <n v="2024"/>
    <x v="32"/>
    <s v="PROD_006"/>
    <s v="Monitor 27&quot;"/>
    <s v="Electronics"/>
    <n v="1"/>
    <n v="366.37"/>
    <n v="366.37"/>
    <n v="366.37"/>
    <n v="0"/>
    <s v="France"/>
    <x v="0"/>
  </r>
  <r>
    <n v="2024001900"/>
    <x v="113"/>
    <n v="2024"/>
    <x v="141"/>
    <s v="PROD_004"/>
    <s v="Desk Chair"/>
    <s v="Furniture"/>
    <n v="2"/>
    <n v="352.38"/>
    <n v="704.76"/>
    <n v="704.76"/>
    <n v="0"/>
    <s v="Germany"/>
    <x v="2"/>
  </r>
  <r>
    <n v="2024001901"/>
    <x v="214"/>
    <n v="2024"/>
    <x v="20"/>
    <s v="PROD_008"/>
    <s v="Desk Lamp"/>
    <s v="Furniture"/>
    <n v="1"/>
    <n v="69.52"/>
    <n v="69.52"/>
    <n v="69.52"/>
    <n v="0"/>
    <s v="Germany"/>
    <x v="1"/>
  </r>
  <r>
    <n v="2024001902"/>
    <x v="159"/>
    <n v="2024"/>
    <x v="46"/>
    <s v="PROD_010"/>
    <s v="Webcam HD"/>
    <s v="Electronics"/>
    <n v="2"/>
    <n v="91.72"/>
    <n v="183.44"/>
    <n v="183.44"/>
    <n v="0"/>
    <s v="Spain"/>
    <x v="3"/>
  </r>
  <r>
    <n v="2024001903"/>
    <x v="334"/>
    <n v="2024"/>
    <x v="135"/>
    <s v="PROD_001"/>
    <s v="Laptop Pro"/>
    <s v="Electronics"/>
    <n v="1"/>
    <n v="1218.7"/>
    <n v="1218.7"/>
    <n v="1218.7"/>
    <n v="0"/>
    <s v="Austria"/>
    <x v="0"/>
  </r>
  <r>
    <n v="2024001904"/>
    <x v="26"/>
    <n v="2024"/>
    <x v="0"/>
    <s v="PROD_001"/>
    <s v="Laptop Pro"/>
    <s v="Electronics"/>
    <n v="1"/>
    <n v="1181.18"/>
    <n v="1181.18"/>
    <n v="1181.18"/>
    <n v="0"/>
    <s v="Netherlands"/>
    <x v="2"/>
  </r>
  <r>
    <n v="2024001905"/>
    <x v="182"/>
    <n v="2024"/>
    <x v="241"/>
    <s v="PROD_007"/>
    <s v="Keyboard Mechanical"/>
    <s v="Electronics"/>
    <n v="5"/>
    <n v="122.52"/>
    <n v="612.6"/>
    <n v="612.6"/>
    <n v="0"/>
    <s v="Italy"/>
    <x v="2"/>
  </r>
  <r>
    <n v="2024001906"/>
    <x v="77"/>
    <n v="2024"/>
    <x v="0"/>
    <s v="PROD_002"/>
    <s v="Wireless Mouse"/>
    <s v="Electronics"/>
    <n v="3"/>
    <n v="47.69"/>
    <n v="143.07"/>
    <n v="143.07"/>
    <n v="0"/>
    <s v="Spain"/>
    <x v="3"/>
  </r>
  <r>
    <n v="2024001907"/>
    <x v="300"/>
    <n v="2024"/>
    <x v="0"/>
    <s v="PROD_003"/>
    <s v="USB-C Cable"/>
    <s v="Electronics"/>
    <n v="1"/>
    <n v="16.170000000000002"/>
    <n v="16.170000000000002"/>
    <n v="16.170000000000002"/>
    <n v="0"/>
    <s v="Belgium"/>
    <x v="2"/>
  </r>
  <r>
    <n v="2024001908"/>
    <x v="50"/>
    <n v="2024"/>
    <x v="220"/>
    <s v="PROD_002"/>
    <s v="Wireless Mouse"/>
    <s v="Electronics"/>
    <n v="3"/>
    <n v="44.96"/>
    <n v="134.88"/>
    <n v="134.88"/>
    <n v="0"/>
    <s v="Austria"/>
    <x v="2"/>
  </r>
  <r>
    <n v="2024001909"/>
    <x v="13"/>
    <n v="2024"/>
    <x v="41"/>
    <s v="PROD_006"/>
    <s v="Monitor 27&quot;"/>
    <s v="Electronics"/>
    <n v="1"/>
    <n v="395.91"/>
    <n v="395.91"/>
    <n v="395.91"/>
    <n v="0"/>
    <s v="UK"/>
    <x v="2"/>
  </r>
  <r>
    <n v="2024001910"/>
    <x v="165"/>
    <n v="2024"/>
    <x v="34"/>
    <s v="PROD_001"/>
    <s v="Laptop Pro"/>
    <s v="Electronics"/>
    <n v="1"/>
    <n v="1194.1300000000001"/>
    <n v="1194.1300000000001"/>
    <n v="1194.1300000000001"/>
    <n v="0"/>
    <s v="Switzerland"/>
    <x v="0"/>
  </r>
  <r>
    <n v="2024001911"/>
    <x v="276"/>
    <n v="2024"/>
    <x v="11"/>
    <s v="PROD_003"/>
    <s v="USB-C Cable"/>
    <s v="Electronics"/>
    <n v="3"/>
    <n v="14.17"/>
    <n v="42.51"/>
    <n v="42.51"/>
    <n v="0"/>
    <s v="France"/>
    <x v="2"/>
  </r>
  <r>
    <n v="2024001912"/>
    <x v="187"/>
    <n v="2024"/>
    <x v="0"/>
    <s v="PROD_008"/>
    <s v="Desk Lamp"/>
    <s v="Furniture"/>
    <n v="3"/>
    <n v="85.14"/>
    <n v="255.42"/>
    <n v="255.42000000000002"/>
    <n v="0"/>
    <s v="Sweden"/>
    <x v="3"/>
  </r>
  <r>
    <n v="2024001913"/>
    <x v="254"/>
    <n v="2024"/>
    <x v="29"/>
    <s v="PROD_006"/>
    <s v="Monitor 27&quot;"/>
    <s v="Electronics"/>
    <n v="4"/>
    <n v="351.47"/>
    <n v="1405.88"/>
    <n v="1405.88"/>
    <n v="0"/>
    <s v="Belgium"/>
    <x v="0"/>
  </r>
  <r>
    <n v="2024001914"/>
    <x v="285"/>
    <n v="2024"/>
    <x v="5"/>
    <s v="PROD_008"/>
    <s v="Desk Lamp"/>
    <s v="Furniture"/>
    <n v="4"/>
    <n v="80.27"/>
    <n v="321.08"/>
    <n v="321.08"/>
    <n v="0"/>
    <s v="Austria"/>
    <x v="3"/>
  </r>
  <r>
    <n v="2024001915"/>
    <x v="16"/>
    <n v="2024"/>
    <x v="122"/>
    <s v="PROD_005"/>
    <s v="Standing Desk"/>
    <s v="Furniture"/>
    <n v="2"/>
    <n v="581.04"/>
    <n v="1162.08"/>
    <n v="1162.08"/>
    <n v="0"/>
    <s v="Netherlands"/>
    <x v="2"/>
  </r>
  <r>
    <n v="2024001402"/>
    <x v="249"/>
    <n v="2024"/>
    <x v="245"/>
    <s v="PROD_001"/>
    <s v="Laptop Pro"/>
    <s v="Electronics"/>
    <n v="5"/>
    <n v="1206.6300000000001"/>
    <n v="6033.15"/>
    <n v="6033.1500000000005"/>
    <n v="0"/>
    <s v="Austria"/>
    <x v="3"/>
  </r>
  <r>
    <n v="2024001917"/>
    <x v="40"/>
    <n v="2024"/>
    <x v="176"/>
    <s v="PROD_006"/>
    <s v="Monitor 27&quot;"/>
    <s v="Electronics"/>
    <n v="1"/>
    <n v="387.47"/>
    <n v="387.47"/>
    <n v="387.47"/>
    <n v="0"/>
    <s v="Spain"/>
    <x v="3"/>
  </r>
  <r>
    <n v="2024001918"/>
    <x v="199"/>
    <n v="2024"/>
    <x v="0"/>
    <s v="PROD_002"/>
    <s v="Wireless Mouse"/>
    <s v="Electronics"/>
    <n v="1"/>
    <n v="46.8"/>
    <n v="46.8"/>
    <n v="46.8"/>
    <n v="0"/>
    <s v="Belgium"/>
    <x v="2"/>
  </r>
  <r>
    <n v="2024001919"/>
    <x v="335"/>
    <n v="2024"/>
    <x v="37"/>
    <s v="PROD_003"/>
    <s v="USB-C Cable"/>
    <s v="Electronics"/>
    <n v="2"/>
    <n v="13.61"/>
    <n v="27.22"/>
    <n v="27.22"/>
    <n v="0"/>
    <s v="Netherlands"/>
    <x v="1"/>
  </r>
  <r>
    <n v="2024001920"/>
    <x v="213"/>
    <n v="2024"/>
    <x v="0"/>
    <s v="PROD_004"/>
    <s v="Desk Chair"/>
    <s v="Furniture"/>
    <n v="3"/>
    <n v="350.54"/>
    <n v="1051.6199999999999"/>
    <n v="1051.6200000000001"/>
    <n v="0"/>
    <s v="Spain"/>
    <x v="1"/>
  </r>
  <r>
    <n v="2024001921"/>
    <x v="144"/>
    <n v="2024"/>
    <x v="105"/>
    <s v="PROD_007"/>
    <s v="Keyboard Mechanical"/>
    <s v="Electronics"/>
    <n v="2"/>
    <n v="117.41"/>
    <n v="234.82"/>
    <n v="234.82"/>
    <n v="0"/>
    <s v="Spain"/>
    <x v="3"/>
  </r>
  <r>
    <n v="2024001922"/>
    <x v="316"/>
    <n v="2024"/>
    <x v="104"/>
    <s v="PROD_004"/>
    <s v="Desk Chair"/>
    <s v="Furniture"/>
    <n v="2"/>
    <n v="354.27"/>
    <n v="708.54"/>
    <n v="708.54"/>
    <n v="0"/>
    <s v="Italy"/>
    <x v="0"/>
  </r>
  <r>
    <n v="2024001923"/>
    <x v="325"/>
    <n v="2024"/>
    <x v="194"/>
    <s v="PROD_002"/>
    <s v="Wireless Mouse"/>
    <s v="Electronics"/>
    <n v="1"/>
    <n v="41.58"/>
    <n v="41.58"/>
    <n v="41.58"/>
    <n v="0"/>
    <s v="Switzerland"/>
    <x v="1"/>
  </r>
  <r>
    <n v="2024001924"/>
    <x v="37"/>
    <n v="2024"/>
    <x v="0"/>
    <s v="PROD_007"/>
    <s v="Keyboard Mechanical"/>
    <s v="Electronics"/>
    <n v="1"/>
    <n v="114.89"/>
    <n v="114.89"/>
    <n v="114.89"/>
    <n v="0"/>
    <s v="Switzerland"/>
    <x v="3"/>
  </r>
  <r>
    <n v="2024001925"/>
    <x v="260"/>
    <n v="2024"/>
    <x v="0"/>
    <s v="PROD_003"/>
    <s v="USB-C Cable"/>
    <s v="Electronics"/>
    <n v="1"/>
    <n v="13.57"/>
    <n v="13.57"/>
    <n v="13.57"/>
    <n v="0"/>
    <s v="Spain"/>
    <x v="2"/>
  </r>
  <r>
    <n v="2024001926"/>
    <x v="74"/>
    <n v="2024"/>
    <x v="200"/>
    <s v="PROD_001"/>
    <s v="Laptop Pro"/>
    <s v="Electronics"/>
    <n v="1"/>
    <n v="1182.17"/>
    <n v="1182.17"/>
    <n v="1182.17"/>
    <n v="0"/>
    <s v="Belgium"/>
    <x v="3"/>
  </r>
  <r>
    <n v="2024001927"/>
    <x v="303"/>
    <n v="2024"/>
    <x v="81"/>
    <s v="PROD_002"/>
    <s v="Wireless Mouse"/>
    <s v="Electronics"/>
    <n v="2"/>
    <n v="44.24"/>
    <n v="88.48"/>
    <n v="88.48"/>
    <n v="0"/>
    <s v="France"/>
    <x v="2"/>
  </r>
  <r>
    <n v="2024001928"/>
    <x v="78"/>
    <n v="2024"/>
    <x v="134"/>
    <s v="PROD_006"/>
    <s v="Monitor 27&quot;"/>
    <s v="Electronics"/>
    <n v="4"/>
    <n v="377.84"/>
    <n v="1511.36"/>
    <n v="1511.36"/>
    <n v="0"/>
    <s v="Netherlands"/>
    <x v="1"/>
  </r>
  <r>
    <n v="2024001929"/>
    <x v="133"/>
    <n v="2024"/>
    <x v="112"/>
    <s v="PROD_003"/>
    <s v="USB-C Cable"/>
    <s v="Electronics"/>
    <n v="4"/>
    <n v="16.2"/>
    <n v="64.8"/>
    <n v="64.8"/>
    <n v="0"/>
    <s v="Italy"/>
    <x v="0"/>
  </r>
  <r>
    <n v="2024001930"/>
    <x v="318"/>
    <n v="2024"/>
    <x v="104"/>
    <s v="PROD_004"/>
    <s v="Desk Chair"/>
    <s v="Furniture"/>
    <n v="3"/>
    <n v="362.62"/>
    <n v="1087.8599999999999"/>
    <n v="1087.8600000000001"/>
    <n v="0"/>
    <s v="Germany"/>
    <x v="1"/>
  </r>
  <r>
    <n v="2024001931"/>
    <x v="299"/>
    <n v="2024"/>
    <x v="141"/>
    <s v="PROD_007"/>
    <s v="Keyboard Mechanical"/>
    <s v="Electronics"/>
    <n v="1"/>
    <n v="118.03"/>
    <n v="118.03"/>
    <n v="118.03"/>
    <n v="0"/>
    <s v="Netherlands"/>
    <x v="1"/>
  </r>
  <r>
    <n v="2024001932"/>
    <x v="246"/>
    <n v="2024"/>
    <x v="1"/>
    <s v="PROD_009"/>
    <s v="Phone Stand"/>
    <s v="Accessories"/>
    <n v="1"/>
    <n v="24.88"/>
    <n v="24.88"/>
    <n v="24.88"/>
    <n v="0"/>
    <s v="Italy"/>
    <x v="3"/>
  </r>
  <r>
    <n v="2024001933"/>
    <x v="58"/>
    <n v="2024"/>
    <x v="268"/>
    <s v="PROD_006"/>
    <s v="Monitor 27&quot;"/>
    <s v="Electronics"/>
    <n v="3"/>
    <n v="360.12"/>
    <n v="1080.3599999999999"/>
    <n v="1080.3600000000001"/>
    <n v="0"/>
    <s v="Belgium"/>
    <x v="0"/>
  </r>
  <r>
    <n v="2024001934"/>
    <x v="275"/>
    <n v="2024"/>
    <x v="0"/>
    <s v="PROD_010"/>
    <s v="Webcam HD"/>
    <s v="Electronics"/>
    <n v="3"/>
    <n v="88.41"/>
    <n v="265.23"/>
    <n v="265.23"/>
    <n v="0"/>
    <s v="Belgium"/>
    <x v="1"/>
  </r>
  <r>
    <n v="2024001935"/>
    <x v="248"/>
    <n v="2024"/>
    <x v="0"/>
    <s v="PROD_006"/>
    <s v="Monitor 27&quot;"/>
    <s v="Electronics"/>
    <n v="1"/>
    <n v="420.81"/>
    <n v="420.81"/>
    <n v="420.81"/>
    <n v="0"/>
    <s v="Sweden"/>
    <x v="1"/>
  </r>
  <r>
    <n v="2024001936"/>
    <x v="186"/>
    <n v="2024"/>
    <x v="4"/>
    <s v="PROD_006"/>
    <s v="Monitor 27&quot;"/>
    <s v="Electronics"/>
    <n v="3"/>
    <n v="370.32"/>
    <n v="1110.96"/>
    <n v="1110.96"/>
    <n v="0"/>
    <s v="Netherlands"/>
    <x v="0"/>
  </r>
  <r>
    <n v="2024001937"/>
    <x v="275"/>
    <n v="2024"/>
    <x v="251"/>
    <s v="PROD_003"/>
    <s v="USB-C Cable"/>
    <s v="Electronics"/>
    <n v="1"/>
    <n v="14.84"/>
    <n v="14.84"/>
    <n v="14.84"/>
    <n v="0"/>
    <s v="France"/>
    <x v="1"/>
  </r>
  <r>
    <n v="2024001938"/>
    <x v="155"/>
    <n v="2024"/>
    <x v="278"/>
    <s v="PROD_010"/>
    <s v="Webcam HD"/>
    <s v="Electronics"/>
    <n v="1"/>
    <n v="86.65"/>
    <n v="86.65"/>
    <n v="86.65"/>
    <n v="0"/>
    <s v="Italy"/>
    <x v="3"/>
  </r>
  <r>
    <n v="2024001939"/>
    <x v="285"/>
    <n v="2024"/>
    <x v="280"/>
    <s v="PROD_003"/>
    <s v="USB-C Cable"/>
    <s v="Electronics"/>
    <n v="1"/>
    <n v="14.49"/>
    <n v="14.49"/>
    <n v="14.49"/>
    <n v="0"/>
    <s v="Netherlands"/>
    <x v="3"/>
  </r>
  <r>
    <n v="2024001940"/>
    <x v="179"/>
    <n v="2024"/>
    <x v="67"/>
    <s v="PROD_004"/>
    <s v="Desk Chair"/>
    <s v="Furniture"/>
    <n v="1"/>
    <n v="346.55"/>
    <n v="346.55"/>
    <n v="346.55"/>
    <n v="0"/>
    <s v="Switzerland"/>
    <x v="3"/>
  </r>
  <r>
    <n v="2024001941"/>
    <x v="10"/>
    <n v="2024"/>
    <x v="165"/>
    <s v="PROD_006"/>
    <s v="Monitor 27&quot;"/>
    <s v="Electronics"/>
    <n v="2"/>
    <n v="390.71"/>
    <n v="781.42"/>
    <n v="781.42"/>
    <n v="0"/>
    <s v="Switzerland"/>
    <x v="2"/>
  </r>
  <r>
    <n v="2024001942"/>
    <x v="62"/>
    <n v="2024"/>
    <x v="2"/>
    <s v="PROD_009"/>
    <s v="Phone Stand"/>
    <s v="Accessories"/>
    <n v="3"/>
    <n v="24.23"/>
    <n v="72.69"/>
    <n v="72.69"/>
    <n v="0"/>
    <s v="Sweden"/>
    <x v="0"/>
  </r>
  <r>
    <n v="2024001943"/>
    <x v="229"/>
    <n v="2024"/>
    <x v="117"/>
    <s v="PROD_010"/>
    <s v="Webcam HD"/>
    <s v="Electronics"/>
    <n v="5"/>
    <n v="87.65"/>
    <n v="438.25"/>
    <n v="438.25"/>
    <n v="0"/>
    <s v="Italy"/>
    <x v="3"/>
  </r>
  <r>
    <n v="2024001944"/>
    <x v="0"/>
    <n v="2024"/>
    <x v="0"/>
    <s v="PROD_007"/>
    <s v="Keyboard Mechanical"/>
    <s v="Electronics"/>
    <n v="1"/>
    <n v="120.97"/>
    <n v="120.97"/>
    <n v="120.97"/>
    <n v="0"/>
    <s v="Switzerland"/>
    <x v="0"/>
  </r>
  <r>
    <n v="2024001945"/>
    <x v="108"/>
    <n v="2024"/>
    <x v="0"/>
    <s v="PROD_009"/>
    <s v="Phone Stand"/>
    <s v="Accessories"/>
    <n v="3"/>
    <n v="23.85"/>
    <n v="71.55"/>
    <n v="71.550000000000011"/>
    <n v="0"/>
    <s v="UK"/>
    <x v="1"/>
  </r>
  <r>
    <n v="2024001946"/>
    <x v="16"/>
    <n v="2024"/>
    <x v="14"/>
    <s v="PROD_007"/>
    <s v="Keyboard Mechanical"/>
    <s v="Electronics"/>
    <n v="1"/>
    <n v="130.63999999999999"/>
    <n v="130.63999999999999"/>
    <n v="130.63999999999999"/>
    <n v="0"/>
    <s v="UK"/>
    <x v="3"/>
  </r>
  <r>
    <n v="2024001947"/>
    <x v="336"/>
    <n v="2024"/>
    <x v="69"/>
    <s v="PROD_007"/>
    <s v="Keyboard Mechanical"/>
    <s v="Electronics"/>
    <n v="1"/>
    <n v="122.33"/>
    <n v="122.33"/>
    <n v="122.33"/>
    <n v="0"/>
    <s v="Netherlands"/>
    <x v="2"/>
  </r>
  <r>
    <n v="2024001948"/>
    <x v="223"/>
    <n v="2024"/>
    <x v="281"/>
    <s v="PROD_002"/>
    <s v="Wireless Mouse"/>
    <s v="Electronics"/>
    <n v="1"/>
    <n v="40.94"/>
    <n v="40.94"/>
    <n v="40.94"/>
    <n v="0"/>
    <s v="Netherlands"/>
    <x v="2"/>
  </r>
  <r>
    <n v="2024001949"/>
    <x v="70"/>
    <n v="2024"/>
    <x v="28"/>
    <s v="PROD_006"/>
    <s v="Monitor 27&quot;"/>
    <s v="Electronics"/>
    <n v="1"/>
    <n v="409.64"/>
    <n v="409.64"/>
    <n v="409.64"/>
    <n v="0"/>
    <s v="Netherlands"/>
    <x v="3"/>
  </r>
  <r>
    <n v="2024001950"/>
    <x v="51"/>
    <n v="2024"/>
    <x v="282"/>
    <s v="PROD_001"/>
    <s v="Laptop Pro"/>
    <s v="Electronics"/>
    <n v="3"/>
    <n v="1311.54"/>
    <n v="3934.62"/>
    <n v="3934.62"/>
    <n v="0"/>
    <s v="Netherlands"/>
    <x v="0"/>
  </r>
  <r>
    <n v="2024001951"/>
    <x v="310"/>
    <n v="2024"/>
    <x v="94"/>
    <s v="PROD_007"/>
    <s v="Keyboard Mechanical"/>
    <s v="Electronics"/>
    <n v="3"/>
    <n v="125.89"/>
    <n v="377.67"/>
    <n v="377.67"/>
    <n v="0"/>
    <s v="Netherlands"/>
    <x v="2"/>
  </r>
  <r>
    <n v="2024001952"/>
    <x v="147"/>
    <n v="2024"/>
    <x v="283"/>
    <s v="PROD_010"/>
    <s v="Webcam HD"/>
    <s v="Electronics"/>
    <n v="1"/>
    <n v="88.74"/>
    <n v="88.74"/>
    <n v="88.74"/>
    <n v="0"/>
    <s v="Netherlands"/>
    <x v="1"/>
  </r>
  <r>
    <n v="2024001953"/>
    <x v="270"/>
    <n v="2024"/>
    <x v="0"/>
    <s v="PROD_002"/>
    <s v="Wireless Mouse"/>
    <s v="Electronics"/>
    <n v="2"/>
    <n v="44.55"/>
    <n v="89.1"/>
    <n v="89.1"/>
    <n v="0"/>
    <s v="Austria"/>
    <x v="3"/>
  </r>
  <r>
    <n v="2024001954"/>
    <x v="101"/>
    <n v="2024"/>
    <x v="34"/>
    <s v="PROD_005"/>
    <s v="Standing Desk"/>
    <s v="Furniture"/>
    <n v="1"/>
    <n v="623.13"/>
    <n v="623.13"/>
    <n v="623.13"/>
    <n v="0"/>
    <s v="Sweden"/>
    <x v="2"/>
  </r>
  <r>
    <n v="2024001955"/>
    <x v="337"/>
    <n v="2024"/>
    <x v="52"/>
    <s v="PROD_010"/>
    <s v="Webcam HD"/>
    <s v="Electronics"/>
    <n v="3"/>
    <n v="95.88"/>
    <n v="287.64"/>
    <n v="287.64"/>
    <n v="0"/>
    <s v="Netherlands"/>
    <x v="2"/>
  </r>
  <r>
    <n v="2024001956"/>
    <x v="153"/>
    <n v="2024"/>
    <x v="214"/>
    <s v="PROD_010"/>
    <s v="Webcam HD"/>
    <s v="Electronics"/>
    <n v="2"/>
    <n v="93.22"/>
    <n v="186.44"/>
    <n v="186.44"/>
    <n v="0"/>
    <s v="Netherlands"/>
    <x v="2"/>
  </r>
  <r>
    <n v="2024001957"/>
    <x v="326"/>
    <n v="2024"/>
    <x v="110"/>
    <s v="PROD_004"/>
    <s v="Desk Chair"/>
    <s v="Furniture"/>
    <n v="1"/>
    <n v="352.09"/>
    <n v="352.09"/>
    <n v="352.09"/>
    <n v="0"/>
    <s v="Switzerland"/>
    <x v="3"/>
  </r>
  <r>
    <n v="2024001958"/>
    <x v="149"/>
    <n v="2024"/>
    <x v="119"/>
    <s v="PROD_001"/>
    <s v="Laptop Pro"/>
    <s v="Electronics"/>
    <n v="5"/>
    <n v="1095.6400000000001"/>
    <n v="5478.2"/>
    <n v="5478.2000000000007"/>
    <n v="0"/>
    <s v="Germany"/>
    <x v="1"/>
  </r>
  <r>
    <n v="2024001959"/>
    <x v="309"/>
    <n v="2024"/>
    <x v="109"/>
    <s v="PROD_002"/>
    <s v="Wireless Mouse"/>
    <s v="Electronics"/>
    <n v="3"/>
    <n v="42.63"/>
    <n v="127.89"/>
    <n v="127.89000000000001"/>
    <n v="0"/>
    <s v="UK"/>
    <x v="1"/>
  </r>
  <r>
    <n v="2024001960"/>
    <x v="146"/>
    <n v="2024"/>
    <x v="201"/>
    <s v="PROD_001"/>
    <s v="Laptop Pro"/>
    <s v="Electronics"/>
    <n v="4"/>
    <n v="1167.51"/>
    <n v="4670.04"/>
    <n v="4670.04"/>
    <n v="0"/>
    <s v="UK"/>
    <x v="0"/>
  </r>
  <r>
    <n v="2024001671"/>
    <x v="122"/>
    <n v="2024"/>
    <x v="219"/>
    <s v="PROD_010"/>
    <s v="Webcam HD"/>
    <s v="Electronics"/>
    <n v="1"/>
    <n v="89.68"/>
    <n v="89.68"/>
    <n v="89.68"/>
    <n v="0"/>
    <s v="Germany"/>
    <x v="0"/>
  </r>
  <r>
    <n v="2024001962"/>
    <x v="4"/>
    <n v="2024"/>
    <x v="263"/>
    <s v="PROD_010"/>
    <s v="Webcam HD"/>
    <s v="Electronics"/>
    <n v="1"/>
    <n v="93.04"/>
    <n v="93.04"/>
    <n v="93.04"/>
    <n v="0"/>
    <s v="Netherlands"/>
    <x v="3"/>
  </r>
  <r>
    <n v="2024001963"/>
    <x v="232"/>
    <n v="2024"/>
    <x v="0"/>
    <s v="PROD_003"/>
    <s v="USB-C Cable"/>
    <s v="Electronics"/>
    <n v="1"/>
    <n v="14.88"/>
    <n v="14.88"/>
    <n v="14.88"/>
    <n v="0"/>
    <s v="Sweden"/>
    <x v="2"/>
  </r>
  <r>
    <n v="2024001964"/>
    <x v="307"/>
    <n v="2024"/>
    <x v="263"/>
    <s v="PROD_010"/>
    <s v="Webcam HD"/>
    <s v="Electronics"/>
    <n v="1"/>
    <n v="91.58"/>
    <n v="91.58"/>
    <n v="91.58"/>
    <n v="0"/>
    <s v="France"/>
    <x v="3"/>
  </r>
  <r>
    <n v="2024001965"/>
    <x v="81"/>
    <n v="2024"/>
    <x v="36"/>
    <s v="PROD_008"/>
    <s v="Desk Lamp"/>
    <s v="Furniture"/>
    <n v="5"/>
    <n v="76.62"/>
    <n v="383.1"/>
    <n v="383.1"/>
    <n v="0"/>
    <s v="Italy"/>
    <x v="0"/>
  </r>
  <r>
    <n v="2024001966"/>
    <x v="212"/>
    <n v="2024"/>
    <x v="99"/>
    <s v="PROD_010"/>
    <s v="Webcam HD"/>
    <s v="Electronics"/>
    <n v="1"/>
    <n v="95.28"/>
    <n v="95.28"/>
    <n v="95.28"/>
    <n v="0"/>
    <s v="Switzerland"/>
    <x v="3"/>
  </r>
  <r>
    <n v="2024001645"/>
    <x v="128"/>
    <n v="2024"/>
    <x v="56"/>
    <s v="PROD_007"/>
    <s v="Keyboard Mechanical"/>
    <s v="Electronics"/>
    <n v="1"/>
    <n v="118.36"/>
    <n v="118.36"/>
    <n v="118.36"/>
    <n v="0"/>
    <s v="Italy"/>
    <x v="3"/>
  </r>
  <r>
    <n v="2024001968"/>
    <x v="327"/>
    <n v="2024"/>
    <x v="0"/>
    <s v="PROD_008"/>
    <s v="Desk Lamp"/>
    <s v="Furniture"/>
    <n v="1"/>
    <n v="79.150000000000006"/>
    <n v="79.150000000000006"/>
    <n v="79.150000000000006"/>
    <n v="0"/>
    <s v="Austria"/>
    <x v="2"/>
  </r>
  <r>
    <n v="2024001969"/>
    <x v="338"/>
    <n v="2024"/>
    <x v="4"/>
    <s v="PROD_010"/>
    <s v="Webcam HD"/>
    <s v="Electronics"/>
    <n v="3"/>
    <n v="95.31"/>
    <n v="285.93"/>
    <n v="285.93"/>
    <n v="0"/>
    <s v="Netherlands"/>
    <x v="3"/>
  </r>
  <r>
    <n v="2024001970"/>
    <x v="94"/>
    <n v="2024"/>
    <x v="97"/>
    <s v="PROD_006"/>
    <s v="Monitor 27&quot;"/>
    <s v="Electronics"/>
    <n v="1"/>
    <n v="397.39"/>
    <n v="397.39"/>
    <n v="397.39"/>
    <n v="0"/>
    <s v="Netherlands"/>
    <x v="3"/>
  </r>
  <r>
    <n v="2024001971"/>
    <x v="86"/>
    <n v="2024"/>
    <x v="92"/>
    <s v="PROD_005"/>
    <s v="Standing Desk"/>
    <s v="Furniture"/>
    <n v="1"/>
    <n v="616.97"/>
    <n v="616.97"/>
    <n v="616.97"/>
    <n v="0"/>
    <s v="Austria"/>
    <x v="2"/>
  </r>
  <r>
    <n v="2024001972"/>
    <x v="70"/>
    <n v="2024"/>
    <x v="223"/>
    <s v="PROD_010"/>
    <s v="Webcam HD"/>
    <s v="Electronics"/>
    <n v="1"/>
    <n v="93.18"/>
    <n v="93.18"/>
    <n v="93.18"/>
    <n v="0"/>
    <s v="Switzerland"/>
    <x v="1"/>
  </r>
  <r>
    <n v="2024001973"/>
    <x v="302"/>
    <n v="2024"/>
    <x v="0"/>
    <s v="PROD_007"/>
    <s v="Keyboard Mechanical"/>
    <s v="Electronics"/>
    <n v="2"/>
    <n v="117"/>
    <n v="234"/>
    <n v="234"/>
    <n v="0"/>
    <s v="Austria"/>
    <x v="1"/>
  </r>
  <r>
    <n v="2024001974"/>
    <x v="204"/>
    <n v="2024"/>
    <x v="259"/>
    <s v="PROD_009"/>
    <s v="Phone Stand"/>
    <s v="Accessories"/>
    <n v="3"/>
    <n v="25.13"/>
    <n v="75.39"/>
    <n v="75.39"/>
    <n v="0"/>
    <s v="Spain"/>
    <x v="2"/>
  </r>
  <r>
    <n v="2024001975"/>
    <x v="119"/>
    <n v="2024"/>
    <x v="144"/>
    <s v="PROD_003"/>
    <s v="USB-C Cable"/>
    <s v="Electronics"/>
    <n v="2"/>
    <n v="15.29"/>
    <n v="30.58"/>
    <n v="30.58"/>
    <n v="0"/>
    <s v="Sweden"/>
    <x v="0"/>
  </r>
  <r>
    <n v="2024001976"/>
    <x v="65"/>
    <n v="2024"/>
    <x v="258"/>
    <s v="PROD_010"/>
    <s v="Webcam HD"/>
    <s v="Electronics"/>
    <n v="2"/>
    <n v="92.87"/>
    <n v="185.74"/>
    <n v="185.74"/>
    <n v="0"/>
    <s v="Spain"/>
    <x v="2"/>
  </r>
  <r>
    <n v="2024001977"/>
    <x v="132"/>
    <n v="2024"/>
    <x v="68"/>
    <s v="PROD_001"/>
    <s v="Laptop Pro"/>
    <s v="Electronics"/>
    <n v="1"/>
    <n v="1226.99"/>
    <n v="1226.99"/>
    <n v="1226.99"/>
    <n v="0"/>
    <s v="Austria"/>
    <x v="1"/>
  </r>
  <r>
    <n v="2024001978"/>
    <x v="81"/>
    <n v="2024"/>
    <x v="225"/>
    <s v="PROD_007"/>
    <s v="Keyboard Mechanical"/>
    <s v="Electronics"/>
    <n v="1"/>
    <n v="119.8"/>
    <n v="119.8"/>
    <n v="119.8"/>
    <n v="0"/>
    <s v="Sweden"/>
    <x v="2"/>
  </r>
  <r>
    <n v="2024001979"/>
    <x v="224"/>
    <n v="2024"/>
    <x v="43"/>
    <s v="PROD_008"/>
    <s v="Desk Lamp"/>
    <s v="Furniture"/>
    <n v="2"/>
    <n v="73.62"/>
    <n v="147.24"/>
    <n v="147.24"/>
    <n v="0"/>
    <s v="Switzerland"/>
    <x v="3"/>
  </r>
  <r>
    <n v="2024001980"/>
    <x v="152"/>
    <n v="2024"/>
    <x v="283"/>
    <s v="PROD_006"/>
    <s v="Monitor 27&quot;"/>
    <s v="Electronics"/>
    <n v="3"/>
    <n v="362.42"/>
    <n v="1087.26"/>
    <n v="1087.26"/>
    <n v="0"/>
    <s v="France"/>
    <x v="1"/>
  </r>
  <r>
    <n v="2024001981"/>
    <x v="202"/>
    <n v="2024"/>
    <x v="93"/>
    <s v="PROD_004"/>
    <s v="Desk Chair"/>
    <s v="Furniture"/>
    <n v="1"/>
    <n v="366.29"/>
    <n v="366.29"/>
    <n v="366.29"/>
    <n v="0"/>
    <s v="UK"/>
    <x v="2"/>
  </r>
  <r>
    <n v="2024001982"/>
    <x v="61"/>
    <n v="2024"/>
    <x v="201"/>
    <s v="PROD_009"/>
    <s v="Phone Stand"/>
    <s v="Accessories"/>
    <n v="1"/>
    <n v="23.02"/>
    <n v="23.02"/>
    <n v="23.02"/>
    <n v="0"/>
    <s v="UK"/>
    <x v="3"/>
  </r>
  <r>
    <n v="2024001854"/>
    <x v="129"/>
    <n v="2024"/>
    <x v="284"/>
    <s v="PROD_010"/>
    <s v="Webcam HD"/>
    <s v="Electronics"/>
    <n v="1"/>
    <n v="91.86"/>
    <n v="91.86"/>
    <n v="91.86"/>
    <n v="0"/>
    <s v="Germany"/>
    <x v="2"/>
  </r>
  <r>
    <n v="2024001984"/>
    <x v="107"/>
    <n v="2024"/>
    <x v="199"/>
    <s v="PROD_002"/>
    <s v="Wireless Mouse"/>
    <s v="Electronics"/>
    <n v="2"/>
    <n v="45.21"/>
    <n v="90.42"/>
    <n v="90.42"/>
    <n v="0"/>
    <s v="Switzerland"/>
    <x v="1"/>
  </r>
  <r>
    <n v="2024001985"/>
    <x v="339"/>
    <n v="2024"/>
    <x v="48"/>
    <s v="PROD_006"/>
    <s v="Monitor 27&quot;"/>
    <s v="Electronics"/>
    <n v="1"/>
    <n v="372.45"/>
    <n v="372.45"/>
    <n v="372.45"/>
    <n v="0"/>
    <s v="Belgium"/>
    <x v="2"/>
  </r>
  <r>
    <n v="2024001986"/>
    <x v="340"/>
    <n v="2024"/>
    <x v="0"/>
    <s v="PROD_010"/>
    <s v="Webcam HD"/>
    <s v="Electronics"/>
    <n v="2"/>
    <n v="89.19"/>
    <n v="178.38"/>
    <n v="178.38"/>
    <n v="0"/>
    <s v="Switzerland"/>
    <x v="1"/>
  </r>
  <r>
    <n v="2024001987"/>
    <x v="99"/>
    <n v="2024"/>
    <x v="0"/>
    <s v="PROD_004"/>
    <s v="Desk Chair"/>
    <s v="Furniture"/>
    <n v="3"/>
    <n v="333.79"/>
    <n v="1001.37"/>
    <n v="1001.3700000000001"/>
    <n v="0"/>
    <s v="Spain"/>
    <x v="3"/>
  </r>
  <r>
    <n v="2024001988"/>
    <x v="246"/>
    <n v="2024"/>
    <x v="108"/>
    <s v="PROD_004"/>
    <s v="Desk Chair"/>
    <s v="Furniture"/>
    <n v="3"/>
    <n v="373.57"/>
    <n v="1120.71"/>
    <n v="1120.71"/>
    <n v="0"/>
    <s v="Netherlands"/>
    <x v="0"/>
  </r>
  <r>
    <n v="2024001989"/>
    <x v="238"/>
    <n v="2024"/>
    <x v="218"/>
    <s v="PROD_007"/>
    <s v="Keyboard Mechanical"/>
    <s v="Electronics"/>
    <n v="1"/>
    <n v="112.43"/>
    <n v="112.43"/>
    <n v="112.43"/>
    <n v="0"/>
    <s v="Netherlands"/>
    <x v="0"/>
  </r>
  <r>
    <n v="2024001990"/>
    <x v="196"/>
    <n v="2024"/>
    <x v="217"/>
    <s v="PROD_003"/>
    <s v="USB-C Cable"/>
    <s v="Electronics"/>
    <n v="3"/>
    <n v="15.82"/>
    <n v="47.46"/>
    <n v="47.46"/>
    <n v="0"/>
    <s v="France"/>
    <x v="1"/>
  </r>
  <r>
    <n v="2024001991"/>
    <x v="150"/>
    <n v="2024"/>
    <x v="234"/>
    <s v="PROD_003"/>
    <s v="USB-C Cable"/>
    <s v="Electronics"/>
    <n v="1"/>
    <n v="15.9"/>
    <n v="15.9"/>
    <n v="15.9"/>
    <n v="0"/>
    <s v="Italy"/>
    <x v="0"/>
  </r>
  <r>
    <n v="2024001992"/>
    <x v="64"/>
    <n v="2024"/>
    <x v="85"/>
    <s v="PROD_007"/>
    <s v="Keyboard Mechanical"/>
    <s v="Electronics"/>
    <n v="1"/>
    <n v="120.81"/>
    <n v="120.81"/>
    <n v="120.81"/>
    <n v="0"/>
    <s v="Sweden"/>
    <x v="0"/>
  </r>
  <r>
    <n v="2024001993"/>
    <x v="341"/>
    <n v="2024"/>
    <x v="154"/>
    <s v="PROD_001"/>
    <s v="Laptop Pro"/>
    <s v="Electronics"/>
    <n v="4"/>
    <n v="1153.4000000000001"/>
    <n v="4613.6000000000004"/>
    <n v="4613.6000000000004"/>
    <n v="0"/>
    <s v="Sweden"/>
    <x v="2"/>
  </r>
  <r>
    <n v="2024001994"/>
    <x v="255"/>
    <n v="2024"/>
    <x v="81"/>
    <s v="PROD_009"/>
    <s v="Phone Stand"/>
    <s v="Accessories"/>
    <n v="1"/>
    <n v="23.33"/>
    <n v="23.33"/>
    <n v="23.33"/>
    <n v="0"/>
    <s v="Sweden"/>
    <x v="2"/>
  </r>
  <r>
    <n v="2024001995"/>
    <x v="321"/>
    <n v="2024"/>
    <x v="183"/>
    <s v="PROD_002"/>
    <s v="Wireless Mouse"/>
    <s v="Electronics"/>
    <n v="1"/>
    <n v="42.55"/>
    <n v="42.55"/>
    <n v="42.55"/>
    <n v="0"/>
    <s v="France"/>
    <x v="3"/>
  </r>
  <r>
    <n v="2024001996"/>
    <x v="13"/>
    <n v="2024"/>
    <x v="156"/>
    <s v="PROD_003"/>
    <s v="USB-C Cable"/>
    <s v="Electronics"/>
    <n v="1"/>
    <n v="14.33"/>
    <n v="14.33"/>
    <n v="14.33"/>
    <n v="0"/>
    <s v="Sweden"/>
    <x v="0"/>
  </r>
  <r>
    <n v="2024001997"/>
    <x v="25"/>
    <n v="2024"/>
    <x v="285"/>
    <s v="PROD_010"/>
    <s v="Webcam HD"/>
    <s v="Electronics"/>
    <n v="1"/>
    <n v="90.99"/>
    <n v="90.99"/>
    <n v="90.99"/>
    <n v="0"/>
    <s v="Austria"/>
    <x v="0"/>
  </r>
  <r>
    <n v="2024001998"/>
    <x v="230"/>
    <n v="2024"/>
    <x v="34"/>
    <s v="PROD_004"/>
    <s v="Desk Chair"/>
    <s v="Furniture"/>
    <n v="4"/>
    <n v="375.41"/>
    <n v="1501.64"/>
    <n v="1501.64"/>
    <n v="0"/>
    <s v="Netherlands"/>
    <x v="2"/>
  </r>
  <r>
    <n v="2024001999"/>
    <x v="17"/>
    <n v="2024"/>
    <x v="18"/>
    <s v="PROD_010"/>
    <s v="Webcam HD"/>
    <s v="Electronics"/>
    <n v="1"/>
    <n v="90.06"/>
    <n v="90.06"/>
    <n v="90.06"/>
    <n v="0"/>
    <s v="UK"/>
    <x v="0"/>
  </r>
  <r>
    <n v="2024002000"/>
    <x v="190"/>
    <n v="2024"/>
    <x v="249"/>
    <s v="PROD_003"/>
    <s v="USB-C Cable"/>
    <s v="Electronics"/>
    <n v="1"/>
    <n v="14.69"/>
    <n v="14.69"/>
    <n v="14.69"/>
    <n v="0"/>
    <s v="Germany"/>
    <x v="0"/>
  </r>
  <r>
    <n v="2024002001"/>
    <x v="175"/>
    <n v="2024"/>
    <x v="220"/>
    <s v="PROD_009"/>
    <s v="Phone Stand"/>
    <s v="Accessories"/>
    <n v="2"/>
    <n v="24.7"/>
    <n v="49.4"/>
    <n v="49.4"/>
    <n v="0"/>
    <s v="Belgium"/>
    <x v="3"/>
  </r>
  <r>
    <n v="2024002002"/>
    <x v="277"/>
    <n v="2024"/>
    <x v="0"/>
    <s v="PROD_007"/>
    <s v="Keyboard Mechanical"/>
    <s v="Electronics"/>
    <n v="1"/>
    <n v="127.58"/>
    <n v="127.58"/>
    <n v="127.58"/>
    <n v="0"/>
    <s v="Germany"/>
    <x v="3"/>
  </r>
  <r>
    <n v="2024002003"/>
    <x v="293"/>
    <n v="2024"/>
    <x v="152"/>
    <s v="PROD_005"/>
    <s v="Standing Desk"/>
    <s v="Furniture"/>
    <n v="1"/>
    <n v="626.29999999999995"/>
    <n v="626.29999999999995"/>
    <n v="626.29999999999995"/>
    <n v="0"/>
    <s v="Sweden"/>
    <x v="3"/>
  </r>
  <r>
    <n v="2024002004"/>
    <x v="73"/>
    <n v="2024"/>
    <x v="0"/>
    <s v="PROD_009"/>
    <s v="Phone Stand"/>
    <s v="Accessories"/>
    <n v="3"/>
    <n v="23.64"/>
    <n v="70.92"/>
    <n v="70.92"/>
    <n v="0"/>
    <s v="Netherlands"/>
    <x v="1"/>
  </r>
  <r>
    <n v="2024002005"/>
    <x v="40"/>
    <n v="2024"/>
    <x v="264"/>
    <s v="PROD_010"/>
    <s v="Webcam HD"/>
    <s v="Electronics"/>
    <n v="2"/>
    <n v="90"/>
    <n v="180"/>
    <n v="180"/>
    <n v="0"/>
    <s v="Switzerland"/>
    <x v="2"/>
  </r>
  <r>
    <n v="2024002006"/>
    <x v="20"/>
    <n v="2024"/>
    <x v="256"/>
    <s v="PROD_010"/>
    <s v="Webcam HD"/>
    <s v="Electronics"/>
    <n v="3"/>
    <n v="92.66"/>
    <n v="277.98"/>
    <n v="277.98"/>
    <n v="0"/>
    <s v="Belgium"/>
    <x v="0"/>
  </r>
  <r>
    <n v="2024002007"/>
    <x v="79"/>
    <n v="2024"/>
    <x v="286"/>
    <s v="PROD_004"/>
    <s v="Desk Chair"/>
    <s v="Furniture"/>
    <n v="1"/>
    <n v="365.11"/>
    <n v="365.11"/>
    <n v="365.11"/>
    <n v="0"/>
    <s v="Netherlands"/>
    <x v="2"/>
  </r>
  <r>
    <n v="2024002008"/>
    <x v="138"/>
    <n v="2024"/>
    <x v="124"/>
    <s v="PROD_008"/>
    <s v="Desk Lamp"/>
    <s v="Furniture"/>
    <n v="3"/>
    <n v="83.76"/>
    <n v="251.28"/>
    <n v="251.28000000000003"/>
    <n v="0"/>
    <s v="Switzerland"/>
    <x v="1"/>
  </r>
  <r>
    <n v="2024002009"/>
    <x v="1"/>
    <n v="2024"/>
    <x v="247"/>
    <s v="PROD_010"/>
    <s v="Webcam HD"/>
    <s v="Electronics"/>
    <n v="1"/>
    <n v="95.59"/>
    <n v="95.59"/>
    <n v="95.59"/>
    <n v="0"/>
    <s v="UK"/>
    <x v="3"/>
  </r>
  <r>
    <n v="2024002010"/>
    <x v="156"/>
    <n v="2024"/>
    <x v="157"/>
    <s v="PROD_009"/>
    <s v="Phone Stand"/>
    <s v="Accessories"/>
    <n v="1"/>
    <n v="24.55"/>
    <n v="24.55"/>
    <n v="24.55"/>
    <n v="0"/>
    <s v="Belgium"/>
    <x v="1"/>
  </r>
  <r>
    <n v="2024002011"/>
    <x v="271"/>
    <n v="2024"/>
    <x v="58"/>
    <s v="PROD_008"/>
    <s v="Desk Lamp"/>
    <s v="Furniture"/>
    <n v="1"/>
    <n v="82.38"/>
    <n v="82.38"/>
    <n v="82.38"/>
    <n v="0"/>
    <s v="Italy"/>
    <x v="2"/>
  </r>
  <r>
    <n v="2024002012"/>
    <x v="232"/>
    <n v="2024"/>
    <x v="0"/>
    <s v="PROD_010"/>
    <s v="Webcam HD"/>
    <s v="Electronics"/>
    <n v="2"/>
    <n v="87.06"/>
    <n v="174.12"/>
    <n v="174.12"/>
    <n v="0"/>
    <s v="Germany"/>
    <x v="0"/>
  </r>
  <r>
    <n v="2024002013"/>
    <x v="50"/>
    <n v="2024"/>
    <x v="48"/>
    <s v="PROD_010"/>
    <s v="Webcam HD"/>
    <s v="Electronics"/>
    <n v="1"/>
    <n v="90.27"/>
    <n v="90.27"/>
    <n v="90.27"/>
    <n v="0"/>
    <s v="Belgium"/>
    <x v="2"/>
  </r>
  <r>
    <n v="2024002014"/>
    <x v="239"/>
    <n v="2024"/>
    <x v="114"/>
    <s v="PROD_001"/>
    <s v="Laptop Pro"/>
    <s v="Electronics"/>
    <n v="1"/>
    <n v="1242.3800000000001"/>
    <n v="1242.3800000000001"/>
    <n v="1242.3800000000001"/>
    <n v="0"/>
    <s v="Germany"/>
    <x v="0"/>
  </r>
  <r>
    <n v="2024002015"/>
    <x v="228"/>
    <n v="2024"/>
    <x v="223"/>
    <s v="PROD_002"/>
    <s v="Wireless Mouse"/>
    <s v="Electronics"/>
    <n v="2"/>
    <n v="44.1"/>
    <n v="88.2"/>
    <n v="88.2"/>
    <n v="0"/>
    <s v="Switzerland"/>
    <x v="3"/>
  </r>
  <r>
    <n v="2024002016"/>
    <x v="330"/>
    <n v="2024"/>
    <x v="0"/>
    <s v="PROD_001"/>
    <s v="Laptop Pro"/>
    <s v="Electronics"/>
    <n v="1"/>
    <n v="1216.92"/>
    <n v="1216.92"/>
    <n v="1216.92"/>
    <n v="0"/>
    <s v="Netherlands"/>
    <x v="0"/>
  </r>
  <r>
    <n v="2024002017"/>
    <x v="210"/>
    <n v="2024"/>
    <x v="113"/>
    <s v="PROD_007"/>
    <s v="Keyboard Mechanical"/>
    <s v="Electronics"/>
    <n v="4"/>
    <n v="118.96"/>
    <n v="475.84"/>
    <n v="475.84"/>
    <n v="0"/>
    <s v="Netherlands"/>
    <x v="1"/>
  </r>
  <r>
    <n v="2024002018"/>
    <x v="209"/>
    <n v="2024"/>
    <x v="31"/>
    <s v="PROD_002"/>
    <s v="Wireless Mouse"/>
    <s v="Electronics"/>
    <n v="4"/>
    <n v="42.03"/>
    <n v="168.12"/>
    <n v="168.12"/>
    <n v="0"/>
    <s v="Belgium"/>
    <x v="1"/>
  </r>
  <r>
    <n v="2024002019"/>
    <x v="171"/>
    <n v="2024"/>
    <x v="166"/>
    <s v="PROD_004"/>
    <s v="Desk Chair"/>
    <s v="Furniture"/>
    <n v="1"/>
    <n v="347"/>
    <n v="347"/>
    <n v="347"/>
    <n v="0"/>
    <s v="Germany"/>
    <x v="1"/>
  </r>
  <r>
    <n v="2024002020"/>
    <x v="222"/>
    <n v="2024"/>
    <x v="287"/>
    <s v="PROD_003"/>
    <s v="USB-C Cable"/>
    <s v="Electronics"/>
    <n v="2"/>
    <n v="14.07"/>
    <n v="28.14"/>
    <n v="28.14"/>
    <n v="0"/>
    <s v="France"/>
    <x v="1"/>
  </r>
  <r>
    <n v="2024002021"/>
    <x v="40"/>
    <n v="2024"/>
    <x v="116"/>
    <s v="PROD_007"/>
    <s v="Keyboard Mechanical"/>
    <s v="Electronics"/>
    <n v="1"/>
    <n v="125.75"/>
    <n v="125.75"/>
    <n v="125.75"/>
    <n v="0"/>
    <s v="Italy"/>
    <x v="1"/>
  </r>
  <r>
    <n v="2024002022"/>
    <x v="104"/>
    <n v="2024"/>
    <x v="17"/>
    <s v="PROD_004"/>
    <s v="Desk Chair"/>
    <s v="Furniture"/>
    <n v="3"/>
    <n v="368.07"/>
    <n v="1104.21"/>
    <n v="1104.21"/>
    <n v="0"/>
    <s v="Germany"/>
    <x v="3"/>
  </r>
  <r>
    <n v="2024002023"/>
    <x v="293"/>
    <n v="2024"/>
    <x v="272"/>
    <s v="PROD_002"/>
    <s v="Wireless Mouse"/>
    <s v="Electronics"/>
    <n v="1"/>
    <n v="48.52"/>
    <n v="48.52"/>
    <n v="48.52"/>
    <n v="0"/>
    <s v="Switzerland"/>
    <x v="1"/>
  </r>
  <r>
    <n v="2024001955"/>
    <x v="134"/>
    <n v="2024"/>
    <x v="208"/>
    <s v="PROD_007"/>
    <s v="Keyboard Mechanical"/>
    <s v="Electronics"/>
    <n v="3"/>
    <n v="122.39"/>
    <n v="367.17"/>
    <n v="367.17"/>
    <n v="0"/>
    <s v="Sweden"/>
    <x v="2"/>
  </r>
  <r>
    <n v="2024002025"/>
    <x v="313"/>
    <n v="2024"/>
    <x v="156"/>
    <s v="PROD_010"/>
    <s v="Webcam HD"/>
    <s v="Electronics"/>
    <n v="1"/>
    <n v="94.57"/>
    <n v="94.57"/>
    <n v="94.57"/>
    <n v="0"/>
    <s v="UK"/>
    <x v="0"/>
  </r>
  <r>
    <n v="2024002026"/>
    <x v="179"/>
    <n v="2024"/>
    <x v="237"/>
    <s v="PROD_002"/>
    <s v="Wireless Mouse"/>
    <s v="Electronics"/>
    <n v="2"/>
    <n v="44.34"/>
    <n v="88.68"/>
    <n v="88.68"/>
    <n v="0"/>
    <s v="UK"/>
    <x v="0"/>
  </r>
  <r>
    <n v="2024002027"/>
    <x v="187"/>
    <n v="2024"/>
    <x v="61"/>
    <s v="PROD_009"/>
    <s v="Phone Stand"/>
    <s v="Accessories"/>
    <n v="1"/>
    <n v="25.34"/>
    <n v="25.34"/>
    <n v="25.34"/>
    <n v="0"/>
    <s v="Italy"/>
    <x v="1"/>
  </r>
  <r>
    <n v="2024002028"/>
    <x v="307"/>
    <n v="2024"/>
    <x v="149"/>
    <s v="PROD_007"/>
    <s v="Keyboard Mechanical"/>
    <s v="Electronics"/>
    <n v="1"/>
    <n v="120.38"/>
    <n v="120.38"/>
    <n v="120.38"/>
    <n v="0"/>
    <s v="Spain"/>
    <x v="3"/>
  </r>
  <r>
    <n v="2024002029"/>
    <x v="144"/>
    <n v="2024"/>
    <x v="77"/>
    <s v="PROD_008"/>
    <s v="Desk Lamp"/>
    <s v="Furniture"/>
    <n v="1"/>
    <n v="75.45"/>
    <n v="75.45"/>
    <n v="75.45"/>
    <n v="0"/>
    <s v="UK"/>
    <x v="3"/>
  </r>
  <r>
    <n v="2024002030"/>
    <x v="13"/>
    <n v="2024"/>
    <x v="249"/>
    <s v="PROD_002"/>
    <s v="Wireless Mouse"/>
    <s v="Electronics"/>
    <n v="1"/>
    <n v="45.92"/>
    <n v="45.92"/>
    <n v="45.92"/>
    <n v="0"/>
    <s v="Austria"/>
    <x v="2"/>
  </r>
  <r>
    <n v="2024002031"/>
    <x v="173"/>
    <n v="2024"/>
    <x v="49"/>
    <s v="PROD_003"/>
    <s v="USB-C Cable"/>
    <s v="Electronics"/>
    <n v="2"/>
    <n v="15.27"/>
    <n v="30.54"/>
    <n v="30.54"/>
    <n v="0"/>
    <s v="Germany"/>
    <x v="3"/>
  </r>
  <r>
    <n v="2024002032"/>
    <x v="123"/>
    <n v="2024"/>
    <x v="222"/>
    <s v="PROD_005"/>
    <s v="Standing Desk"/>
    <s v="Furniture"/>
    <n v="5"/>
    <n v="606.98"/>
    <n v="3034.9"/>
    <n v="3034.9"/>
    <n v="0"/>
    <s v="Austria"/>
    <x v="0"/>
  </r>
  <r>
    <n v="2024002033"/>
    <x v="333"/>
    <n v="2024"/>
    <x v="106"/>
    <s v="PROD_003"/>
    <s v="USB-C Cable"/>
    <s v="Electronics"/>
    <n v="1"/>
    <n v="17.420000000000002"/>
    <n v="17.420000000000002"/>
    <n v="17.420000000000002"/>
    <n v="0"/>
    <s v="Italy"/>
    <x v="2"/>
  </r>
  <r>
    <n v="2024002034"/>
    <x v="204"/>
    <n v="2024"/>
    <x v="162"/>
    <s v="PROD_005"/>
    <s v="Standing Desk"/>
    <s v="Furniture"/>
    <n v="1"/>
    <n v="576.29999999999995"/>
    <n v="576.29999999999995"/>
    <n v="576.29999999999995"/>
    <n v="0"/>
    <s v="Germany"/>
    <x v="2"/>
  </r>
  <r>
    <n v="2024002035"/>
    <x v="342"/>
    <n v="2024"/>
    <x v="0"/>
    <s v="PROD_010"/>
    <s v="Webcam HD"/>
    <s v="Electronics"/>
    <n v="1"/>
    <n v="89.99"/>
    <n v="89.99"/>
    <n v="89.99"/>
    <n v="0"/>
    <s v="Austria"/>
    <x v="1"/>
  </r>
  <r>
    <n v="2024002036"/>
    <x v="181"/>
    <n v="2024"/>
    <x v="66"/>
    <s v="PROD_003"/>
    <s v="USB-C Cable"/>
    <s v="Electronics"/>
    <n v="3"/>
    <n v="15.37"/>
    <n v="46.11"/>
    <n v="46.11"/>
    <n v="0"/>
    <s v="Austria"/>
    <x v="1"/>
  </r>
  <r>
    <n v="2024002037"/>
    <x v="121"/>
    <n v="2024"/>
    <x v="0"/>
    <s v="PROD_005"/>
    <s v="Standing Desk"/>
    <s v="Furniture"/>
    <n v="2"/>
    <n v="560.71"/>
    <n v="1121.42"/>
    <n v="1121.42"/>
    <n v="0"/>
    <s v="Belgium"/>
    <x v="2"/>
  </r>
  <r>
    <n v="2024002038"/>
    <x v="281"/>
    <n v="2024"/>
    <x v="0"/>
    <s v="PROD_006"/>
    <s v="Monitor 27&quot;"/>
    <s v="Electronics"/>
    <n v="3"/>
    <n v="400.03"/>
    <n v="1200.0899999999999"/>
    <n v="1200.0899999999999"/>
    <n v="0"/>
    <s v="Switzerland"/>
    <x v="3"/>
  </r>
  <r>
    <n v="2024001437"/>
    <x v="180"/>
    <n v="2024"/>
    <x v="136"/>
    <s v="PROD_008"/>
    <s v="Desk Lamp"/>
    <s v="Furniture"/>
    <n v="2"/>
    <n v="81.66"/>
    <n v="163.32"/>
    <n v="163.32"/>
    <n v="0"/>
    <s v="Spain"/>
    <x v="3"/>
  </r>
  <r>
    <n v="2024002040"/>
    <x v="343"/>
    <n v="2024"/>
    <x v="280"/>
    <s v="PROD_010"/>
    <s v="Webcam HD"/>
    <s v="Electronics"/>
    <n v="3"/>
    <n v="92.63"/>
    <n v="277.89"/>
    <n v="277.89"/>
    <n v="0"/>
    <s v="Austria"/>
    <x v="3"/>
  </r>
  <r>
    <n v="2024002041"/>
    <x v="58"/>
    <n v="2024"/>
    <x v="159"/>
    <s v="PROD_002"/>
    <s v="Wireless Mouse"/>
    <s v="Electronics"/>
    <n v="2"/>
    <n v="44.17"/>
    <n v="88.34"/>
    <n v="88.34"/>
    <n v="0"/>
    <s v="France"/>
    <x v="1"/>
  </r>
  <r>
    <n v="2024002042"/>
    <x v="188"/>
    <n v="2024"/>
    <x v="135"/>
    <s v="PROD_009"/>
    <s v="Phone Stand"/>
    <s v="Accessories"/>
    <n v="3"/>
    <n v="24.41"/>
    <n v="73.23"/>
    <n v="73.23"/>
    <n v="0"/>
    <s v="Spain"/>
    <x v="0"/>
  </r>
  <r>
    <n v="2024002043"/>
    <x v="47"/>
    <n v="2024"/>
    <x v="288"/>
    <s v="PROD_003"/>
    <s v="USB-C Cable"/>
    <s v="Electronics"/>
    <n v="1"/>
    <n v="15.93"/>
    <n v="15.93"/>
    <n v="15.93"/>
    <n v="0"/>
    <s v="Germany"/>
    <x v="2"/>
  </r>
  <r>
    <n v="2024002044"/>
    <x v="209"/>
    <n v="2024"/>
    <x v="118"/>
    <s v="PROD_001"/>
    <s v="Laptop Pro"/>
    <s v="Electronics"/>
    <n v="1"/>
    <n v="1193.1600000000001"/>
    <n v="1193.1600000000001"/>
    <n v="1193.1600000000001"/>
    <n v="0"/>
    <s v="France"/>
    <x v="0"/>
  </r>
  <r>
    <n v="2024002045"/>
    <x v="249"/>
    <n v="2024"/>
    <x v="199"/>
    <s v="PROD_003"/>
    <s v="USB-C Cable"/>
    <s v="Electronics"/>
    <n v="3"/>
    <n v="13.96"/>
    <n v="41.88"/>
    <n v="41.88"/>
    <n v="0"/>
    <s v="Switzerland"/>
    <x v="2"/>
  </r>
  <r>
    <n v="2024002046"/>
    <x v="209"/>
    <n v="2024"/>
    <x v="0"/>
    <s v="PROD_001"/>
    <s v="Laptop Pro"/>
    <s v="Electronics"/>
    <n v="3"/>
    <n v="1098.56"/>
    <n v="3295.68"/>
    <n v="3295.68"/>
    <n v="0"/>
    <s v="Netherlands"/>
    <x v="2"/>
  </r>
  <r>
    <n v="2024002047"/>
    <x v="225"/>
    <n v="2024"/>
    <x v="168"/>
    <s v="PROD_006"/>
    <s v="Monitor 27&quot;"/>
    <s v="Electronics"/>
    <n v="3"/>
    <n v="380.43"/>
    <n v="1141.29"/>
    <n v="1141.29"/>
    <n v="0"/>
    <s v="Italy"/>
    <x v="0"/>
  </r>
  <r>
    <n v="2024002048"/>
    <x v="182"/>
    <n v="2024"/>
    <x v="128"/>
    <s v="PROD_010"/>
    <s v="Webcam HD"/>
    <s v="Electronics"/>
    <n v="1"/>
    <n v="89.48"/>
    <n v="89.48"/>
    <n v="89.48"/>
    <n v="0"/>
    <s v="Sweden"/>
    <x v="2"/>
  </r>
  <r>
    <n v="2024001393"/>
    <x v="344"/>
    <n v="2024"/>
    <x v="221"/>
    <s v="PROD_001"/>
    <s v="Laptop Pro"/>
    <s v="Electronics"/>
    <n v="1"/>
    <n v="1215.8599999999999"/>
    <n v="1215.8599999999999"/>
    <n v="1215.8599999999999"/>
    <n v="0"/>
    <s v="UK"/>
    <x v="0"/>
  </r>
  <r>
    <n v="2024002050"/>
    <x v="343"/>
    <n v="2024"/>
    <x v="58"/>
    <s v="PROD_003"/>
    <s v="USB-C Cable"/>
    <s v="Electronics"/>
    <n v="1"/>
    <n v="14.93"/>
    <n v="14.93"/>
    <n v="14.93"/>
    <n v="0"/>
    <s v="France"/>
    <x v="3"/>
  </r>
  <r>
    <n v="2024002051"/>
    <x v="236"/>
    <n v="2024"/>
    <x v="239"/>
    <s v="PROD_008"/>
    <s v="Desk Lamp"/>
    <s v="Furniture"/>
    <n v="1"/>
    <n v="81.510000000000005"/>
    <n v="81.510000000000005"/>
    <n v="81.510000000000005"/>
    <n v="0"/>
    <s v="Austria"/>
    <x v="0"/>
  </r>
  <r>
    <n v="2024002052"/>
    <x v="145"/>
    <n v="2024"/>
    <x v="0"/>
    <s v="PROD_005"/>
    <s v="Standing Desk"/>
    <s v="Furniture"/>
    <n v="1"/>
    <n v="642.82000000000005"/>
    <n v="642.82000000000005"/>
    <n v="642.82000000000005"/>
    <n v="0"/>
    <s v="France"/>
    <x v="1"/>
  </r>
  <r>
    <n v="2024002053"/>
    <x v="261"/>
    <n v="2024"/>
    <x v="193"/>
    <s v="PROD_006"/>
    <s v="Monitor 27&quot;"/>
    <s v="Electronics"/>
    <n v="4"/>
    <n v="391.61"/>
    <n v="1566.44"/>
    <n v="1566.44"/>
    <n v="0"/>
    <s v="Sweden"/>
    <x v="2"/>
  </r>
  <r>
    <n v="2024002054"/>
    <x v="119"/>
    <n v="2024"/>
    <x v="275"/>
    <s v="PROD_010"/>
    <s v="Webcam HD"/>
    <s v="Electronics"/>
    <n v="1"/>
    <n v="87.29"/>
    <n v="87.29"/>
    <n v="87.29"/>
    <n v="0"/>
    <s v="France"/>
    <x v="0"/>
  </r>
  <r>
    <n v="2024002055"/>
    <x v="214"/>
    <n v="2024"/>
    <x v="61"/>
    <s v="PROD_010"/>
    <s v="Webcam HD"/>
    <s v="Electronics"/>
    <n v="1"/>
    <n v="86.14"/>
    <n v="86.14"/>
    <n v="86.14"/>
    <n v="0"/>
    <s v="Netherlands"/>
    <x v="1"/>
  </r>
  <r>
    <n v="2024002056"/>
    <x v="142"/>
    <n v="2024"/>
    <x v="21"/>
    <s v="PROD_004"/>
    <s v="Desk Chair"/>
    <s v="Furniture"/>
    <n v="2"/>
    <n v="366.16"/>
    <n v="732.32"/>
    <n v="732.32"/>
    <n v="0"/>
    <s v="UK"/>
    <x v="3"/>
  </r>
  <r>
    <n v="2024002057"/>
    <x v="284"/>
    <n v="2024"/>
    <x v="186"/>
    <s v="PROD_010"/>
    <s v="Webcam HD"/>
    <s v="Electronics"/>
    <n v="2"/>
    <n v="85.27"/>
    <n v="170.54"/>
    <n v="170.54"/>
    <n v="0"/>
    <s v="Italy"/>
    <x v="3"/>
  </r>
  <r>
    <n v="2024002058"/>
    <x v="62"/>
    <n v="2024"/>
    <x v="73"/>
    <s v="PROD_001"/>
    <s v="Laptop Pro"/>
    <s v="Electronics"/>
    <n v="3"/>
    <n v="1085.32"/>
    <n v="3255.96"/>
    <n v="3255.96"/>
    <n v="0"/>
    <s v="Italy"/>
    <x v="2"/>
  </r>
  <r>
    <n v="2024002059"/>
    <x v="149"/>
    <n v="2024"/>
    <x v="124"/>
    <s v="PROD_010"/>
    <s v="Webcam HD"/>
    <s v="Electronics"/>
    <n v="1"/>
    <n v="90.42"/>
    <n v="90.42"/>
    <n v="90.42"/>
    <n v="0"/>
    <s v="Spain"/>
    <x v="1"/>
  </r>
  <r>
    <n v="2024002060"/>
    <x v="332"/>
    <n v="2024"/>
    <x v="0"/>
    <s v="PROD_004"/>
    <s v="Desk Chair"/>
    <s v="Furniture"/>
    <n v="2"/>
    <n v="314.05"/>
    <n v="628.1"/>
    <n v="628.1"/>
    <n v="0"/>
    <s v="Germany"/>
    <x v="1"/>
  </r>
  <r>
    <n v="2024002061"/>
    <x v="12"/>
    <n v="2024"/>
    <x v="208"/>
    <s v="PROD_005"/>
    <s v="Standing Desk"/>
    <s v="Furniture"/>
    <n v="3"/>
    <n v="670.59"/>
    <n v="2011.77"/>
    <n v="2011.77"/>
    <n v="0"/>
    <s v="Germany"/>
    <x v="0"/>
  </r>
  <r>
    <n v="2024002062"/>
    <x v="83"/>
    <n v="2024"/>
    <x v="54"/>
    <s v="PROD_003"/>
    <s v="USB-C Cable"/>
    <s v="Electronics"/>
    <n v="5"/>
    <n v="15.39"/>
    <n v="76.95"/>
    <n v="76.95"/>
    <n v="0"/>
    <s v="UK"/>
    <x v="2"/>
  </r>
  <r>
    <n v="2024002063"/>
    <x v="126"/>
    <n v="2024"/>
    <x v="69"/>
    <s v="PROD_007"/>
    <s v="Keyboard Mechanical"/>
    <s v="Electronics"/>
    <n v="1"/>
    <n v="114.14"/>
    <n v="114.14"/>
    <n v="114.14"/>
    <n v="0"/>
    <s v="Sweden"/>
    <x v="1"/>
  </r>
  <r>
    <n v="2024002064"/>
    <x v="11"/>
    <n v="2024"/>
    <x v="194"/>
    <s v="PROD_006"/>
    <s v="Monitor 27&quot;"/>
    <s v="Electronics"/>
    <n v="1"/>
    <n v="410.98"/>
    <n v="410.98"/>
    <n v="410.98"/>
    <n v="0"/>
    <s v="Switzerland"/>
    <x v="2"/>
  </r>
  <r>
    <n v="2024002065"/>
    <x v="342"/>
    <n v="2024"/>
    <x v="193"/>
    <s v="PROD_005"/>
    <s v="Standing Desk"/>
    <s v="Furniture"/>
    <n v="1"/>
    <n v="609.74"/>
    <n v="609.74"/>
    <n v="609.74"/>
    <n v="0"/>
    <s v="France"/>
    <x v="3"/>
  </r>
  <r>
    <n v="2024002066"/>
    <x v="221"/>
    <n v="2024"/>
    <x v="160"/>
    <s v="PROD_001"/>
    <s v="Laptop Pro"/>
    <s v="Electronics"/>
    <n v="3"/>
    <n v="1384.61"/>
    <n v="4153.83"/>
    <n v="4153.83"/>
    <n v="0"/>
    <s v="UK"/>
    <x v="3"/>
  </r>
  <r>
    <n v="2024002067"/>
    <x v="255"/>
    <n v="2024"/>
    <x v="58"/>
    <s v="PROD_002"/>
    <s v="Wireless Mouse"/>
    <s v="Electronics"/>
    <n v="1"/>
    <n v="48.06"/>
    <n v="48.06"/>
    <n v="48.06"/>
    <n v="0"/>
    <s v="Belgium"/>
    <x v="2"/>
  </r>
  <r>
    <n v="2024002068"/>
    <x v="335"/>
    <n v="2024"/>
    <x v="267"/>
    <s v="PROD_001"/>
    <s v="Laptop Pro"/>
    <s v="Electronics"/>
    <n v="1"/>
    <n v="1157.05"/>
    <n v="1157.05"/>
    <n v="1157.05"/>
    <n v="0"/>
    <s v="Germany"/>
    <x v="3"/>
  </r>
  <r>
    <n v="2024002069"/>
    <x v="183"/>
    <n v="2024"/>
    <x v="289"/>
    <s v="PROD_006"/>
    <s v="Monitor 27&quot;"/>
    <s v="Electronics"/>
    <n v="3"/>
    <n v="395.12"/>
    <n v="1185.3599999999999"/>
    <n v="1185.3600000000001"/>
    <n v="0"/>
    <s v="Netherlands"/>
    <x v="0"/>
  </r>
  <r>
    <n v="2024002070"/>
    <x v="224"/>
    <n v="2024"/>
    <x v="131"/>
    <s v="PROD_009"/>
    <s v="Phone Stand"/>
    <s v="Accessories"/>
    <n v="4"/>
    <n v="25.07"/>
    <n v="100.28"/>
    <n v="100.28"/>
    <n v="0"/>
    <s v="Sweden"/>
    <x v="1"/>
  </r>
  <r>
    <n v="2024002071"/>
    <x v="279"/>
    <n v="2024"/>
    <x v="142"/>
    <s v="PROD_010"/>
    <s v="Webcam HD"/>
    <s v="Electronics"/>
    <n v="1"/>
    <n v="94.37"/>
    <n v="94.37"/>
    <n v="94.37"/>
    <n v="0"/>
    <s v="Germany"/>
    <x v="0"/>
  </r>
  <r>
    <n v="2024002072"/>
    <x v="318"/>
    <n v="2024"/>
    <x v="0"/>
    <s v="PROD_008"/>
    <s v="Desk Lamp"/>
    <s v="Furniture"/>
    <n v="2"/>
    <n v="81.34"/>
    <n v="162.68"/>
    <n v="162.68"/>
    <n v="0"/>
    <s v="Spain"/>
    <x v="1"/>
  </r>
  <r>
    <n v="2024002073"/>
    <x v="255"/>
    <n v="2024"/>
    <x v="147"/>
    <s v="PROD_001"/>
    <s v="Laptop Pro"/>
    <s v="Electronics"/>
    <n v="3"/>
    <n v="1240.52"/>
    <n v="3721.56"/>
    <n v="3721.56"/>
    <n v="0"/>
    <s v="Switzerland"/>
    <x v="1"/>
  </r>
  <r>
    <n v="2024002074"/>
    <x v="45"/>
    <n v="2024"/>
    <x v="98"/>
    <s v="PROD_010"/>
    <s v="Webcam HD"/>
    <s v="Electronics"/>
    <n v="1"/>
    <n v="92.9"/>
    <n v="92.9"/>
    <n v="92.9"/>
    <n v="0"/>
    <s v="Belgium"/>
    <x v="0"/>
  </r>
  <r>
    <n v="2024002075"/>
    <x v="150"/>
    <n v="2024"/>
    <x v="0"/>
    <s v="PROD_005"/>
    <s v="Standing Desk"/>
    <s v="Furniture"/>
    <n v="1"/>
    <n v="627.85"/>
    <n v="627.85"/>
    <n v="627.85"/>
    <n v="0"/>
    <s v="Spain"/>
    <x v="0"/>
  </r>
  <r>
    <n v="2024002076"/>
    <x v="207"/>
    <n v="2024"/>
    <x v="270"/>
    <s v="PROD_009"/>
    <s v="Phone Stand"/>
    <s v="Accessories"/>
    <n v="2"/>
    <n v="25.14"/>
    <n v="50.28"/>
    <n v="50.28"/>
    <n v="0"/>
    <s v="Sweden"/>
    <x v="0"/>
  </r>
  <r>
    <n v="2024002077"/>
    <x v="244"/>
    <n v="2024"/>
    <x v="0"/>
    <s v="PROD_008"/>
    <s v="Desk Lamp"/>
    <s v="Furniture"/>
    <n v="3"/>
    <n v="83.43"/>
    <n v="250.29"/>
    <n v="250.29000000000002"/>
    <n v="0"/>
    <s v="Belgium"/>
    <x v="1"/>
  </r>
  <r>
    <n v="2024002078"/>
    <x v="52"/>
    <n v="2024"/>
    <x v="290"/>
    <s v="PROD_010"/>
    <s v="Webcam HD"/>
    <s v="Electronics"/>
    <n v="2"/>
    <n v="78.010000000000005"/>
    <n v="156.02000000000001"/>
    <n v="156.02000000000001"/>
    <n v="0"/>
    <s v="Austria"/>
    <x v="3"/>
  </r>
  <r>
    <n v="2024002079"/>
    <x v="103"/>
    <n v="2024"/>
    <x v="181"/>
    <s v="PROD_009"/>
    <s v="Phone Stand"/>
    <s v="Accessories"/>
    <n v="2"/>
    <n v="25.01"/>
    <n v="50.02"/>
    <n v="50.02"/>
    <n v="0"/>
    <s v="Austria"/>
    <x v="1"/>
  </r>
  <r>
    <n v="2024002080"/>
    <x v="42"/>
    <n v="2024"/>
    <x v="216"/>
    <s v="PROD_008"/>
    <s v="Desk Lamp"/>
    <s v="Furniture"/>
    <n v="1"/>
    <n v="78.27"/>
    <n v="78.27"/>
    <n v="78.27"/>
    <n v="0"/>
    <s v="Italy"/>
    <x v="1"/>
  </r>
  <r>
    <n v="2024002081"/>
    <x v="299"/>
    <n v="2024"/>
    <x v="291"/>
    <s v="PROD_010"/>
    <s v="Webcam HD"/>
    <s v="Electronics"/>
    <n v="1"/>
    <n v="89.53"/>
    <n v="89.53"/>
    <n v="89.53"/>
    <n v="0"/>
    <s v="Netherlands"/>
    <x v="1"/>
  </r>
  <r>
    <n v="2024002082"/>
    <x v="323"/>
    <n v="2024"/>
    <x v="44"/>
    <s v="PROD_002"/>
    <s v="Wireless Mouse"/>
    <s v="Electronics"/>
    <n v="3"/>
    <n v="45.88"/>
    <n v="137.63999999999999"/>
    <n v="137.64000000000001"/>
    <n v="0"/>
    <s v="Switzerland"/>
    <x v="3"/>
  </r>
  <r>
    <n v="2024002083"/>
    <x v="302"/>
    <n v="2024"/>
    <x v="221"/>
    <s v="PROD_002"/>
    <s v="Wireless Mouse"/>
    <s v="Electronics"/>
    <n v="4"/>
    <n v="45"/>
    <n v="180"/>
    <n v="180"/>
    <n v="0"/>
    <s v="Germany"/>
    <x v="2"/>
  </r>
  <r>
    <n v="2024002084"/>
    <x v="181"/>
    <n v="2024"/>
    <x v="0"/>
    <s v="PROD_010"/>
    <s v="Webcam HD"/>
    <s v="Electronics"/>
    <n v="2"/>
    <n v="84.33"/>
    <n v="168.66"/>
    <n v="168.66"/>
    <n v="0"/>
    <s v="France"/>
    <x v="1"/>
  </r>
  <r>
    <n v="2024002085"/>
    <x v="308"/>
    <n v="2024"/>
    <x v="82"/>
    <s v="PROD_008"/>
    <s v="Desk Lamp"/>
    <s v="Furniture"/>
    <n v="3"/>
    <n v="83.15"/>
    <n v="249.45"/>
    <n v="249.45000000000002"/>
    <n v="0"/>
    <s v="France"/>
    <x v="1"/>
  </r>
  <r>
    <n v="2024002086"/>
    <x v="290"/>
    <n v="2024"/>
    <x v="247"/>
    <s v="PROD_005"/>
    <s v="Standing Desk"/>
    <s v="Furniture"/>
    <n v="1"/>
    <n v="574.41999999999996"/>
    <n v="574.41999999999996"/>
    <n v="574.41999999999996"/>
    <n v="0"/>
    <s v="Austria"/>
    <x v="3"/>
  </r>
  <r>
    <n v="2024002087"/>
    <x v="127"/>
    <n v="2024"/>
    <x v="55"/>
    <s v="PROD_007"/>
    <s v="Keyboard Mechanical"/>
    <s v="Electronics"/>
    <n v="2"/>
    <n v="120.44"/>
    <n v="240.88"/>
    <n v="240.88"/>
    <n v="0"/>
    <s v="Netherlands"/>
    <x v="3"/>
  </r>
  <r>
    <n v="2024002088"/>
    <x v="59"/>
    <n v="2024"/>
    <x v="292"/>
    <s v="PROD_003"/>
    <s v="USB-C Cable"/>
    <s v="Electronics"/>
    <n v="1"/>
    <n v="15.17"/>
    <n v="15.17"/>
    <n v="15.17"/>
    <n v="0"/>
    <s v="Netherlands"/>
    <x v="1"/>
  </r>
  <r>
    <n v="2024002089"/>
    <x v="345"/>
    <n v="2024"/>
    <x v="173"/>
    <s v="PROD_007"/>
    <s v="Keyboard Mechanical"/>
    <s v="Electronics"/>
    <n v="1"/>
    <n v="117.53"/>
    <n v="117.53"/>
    <n v="117.53"/>
    <n v="0"/>
    <s v="France"/>
    <x v="0"/>
  </r>
  <r>
    <n v="2024002090"/>
    <x v="247"/>
    <n v="2024"/>
    <x v="53"/>
    <s v="PROD_006"/>
    <s v="Monitor 27&quot;"/>
    <s v="Electronics"/>
    <n v="2"/>
    <n v="421.74"/>
    <n v="843.48"/>
    <n v="843.48"/>
    <n v="0"/>
    <s v="France"/>
    <x v="1"/>
  </r>
  <r>
    <n v="2024002091"/>
    <x v="2"/>
    <n v="2024"/>
    <x v="274"/>
    <s v="PROD_009"/>
    <s v="Phone Stand"/>
    <s v="Accessories"/>
    <n v="1"/>
    <n v="25.39"/>
    <n v="25.39"/>
    <n v="25.39"/>
    <n v="0"/>
    <s v="France"/>
    <x v="2"/>
  </r>
  <r>
    <n v="2024002092"/>
    <x v="288"/>
    <n v="2024"/>
    <x v="182"/>
    <s v="PROD_005"/>
    <s v="Standing Desk"/>
    <s v="Furniture"/>
    <n v="1"/>
    <n v="634.30999999999995"/>
    <n v="634.30999999999995"/>
    <n v="634.30999999999995"/>
    <n v="0"/>
    <s v="France"/>
    <x v="3"/>
  </r>
  <r>
    <n v="2024002093"/>
    <x v="43"/>
    <n v="2024"/>
    <x v="0"/>
    <s v="PROD_008"/>
    <s v="Desk Lamp"/>
    <s v="Furniture"/>
    <n v="1"/>
    <n v="84.07"/>
    <n v="84.07"/>
    <n v="84.07"/>
    <n v="0"/>
    <s v="France"/>
    <x v="2"/>
  </r>
  <r>
    <n v="2024002094"/>
    <x v="334"/>
    <n v="2024"/>
    <x v="58"/>
    <s v="PROD_010"/>
    <s v="Webcam HD"/>
    <s v="Electronics"/>
    <n v="1"/>
    <n v="93.2"/>
    <n v="93.2"/>
    <n v="93.2"/>
    <n v="0"/>
    <s v="Sweden"/>
    <x v="0"/>
  </r>
  <r>
    <n v="2024002095"/>
    <x v="73"/>
    <n v="2024"/>
    <x v="204"/>
    <s v="PROD_006"/>
    <s v="Monitor 27&quot;"/>
    <s v="Electronics"/>
    <n v="1"/>
    <n v="462.26"/>
    <n v="462.26"/>
    <n v="462.26"/>
    <n v="0"/>
    <s v="Switzerland"/>
    <x v="1"/>
  </r>
  <r>
    <n v="2024002096"/>
    <x v="293"/>
    <n v="2024"/>
    <x v="162"/>
    <s v="PROD_006"/>
    <s v="Monitor 27&quot;"/>
    <s v="Electronics"/>
    <n v="3"/>
    <n v="385.32"/>
    <n v="1155.96"/>
    <n v="1155.96"/>
    <n v="0"/>
    <s v="Netherlands"/>
    <x v="2"/>
  </r>
  <r>
    <n v="2024002097"/>
    <x v="18"/>
    <n v="2024"/>
    <x v="273"/>
    <s v="PROD_010"/>
    <s v="Webcam HD"/>
    <s v="Electronics"/>
    <n v="2"/>
    <n v="89.36"/>
    <n v="178.72"/>
    <n v="178.72"/>
    <n v="0"/>
    <s v="Belgium"/>
    <x v="3"/>
  </r>
  <r>
    <n v="2024002098"/>
    <x v="129"/>
    <n v="2024"/>
    <x v="16"/>
    <s v="PROD_007"/>
    <s v="Keyboard Mechanical"/>
    <s v="Electronics"/>
    <n v="3"/>
    <n v="108.38"/>
    <n v="325.14"/>
    <n v="325.14"/>
    <n v="0"/>
    <s v="Austria"/>
    <x v="2"/>
  </r>
  <r>
    <n v="2024002099"/>
    <x v="163"/>
    <n v="2024"/>
    <x v="108"/>
    <s v="PROD_009"/>
    <s v="Phone Stand"/>
    <s v="Accessories"/>
    <n v="1"/>
    <n v="22.55"/>
    <n v="22.55"/>
    <n v="22.55"/>
    <n v="0"/>
    <s v="France"/>
    <x v="0"/>
  </r>
  <r>
    <n v="2024002100"/>
    <x v="71"/>
    <n v="2024"/>
    <x v="142"/>
    <s v="PROD_002"/>
    <s v="Wireless Mouse"/>
    <s v="Electronics"/>
    <n v="2"/>
    <n v="42.68"/>
    <n v="85.36"/>
    <n v="85.36"/>
    <n v="0"/>
    <s v="France"/>
    <x v="3"/>
  </r>
  <r>
    <n v="2024002101"/>
    <x v="156"/>
    <n v="2024"/>
    <x v="85"/>
    <s v="PROD_005"/>
    <s v="Standing Desk"/>
    <s v="Furniture"/>
    <n v="1"/>
    <n v="586.79"/>
    <n v="586.79"/>
    <n v="586.79"/>
    <n v="0"/>
    <s v="Switzerland"/>
    <x v="3"/>
  </r>
  <r>
    <n v="2024002102"/>
    <x v="166"/>
    <n v="2024"/>
    <x v="176"/>
    <s v="PROD_007"/>
    <s v="Keyboard Mechanical"/>
    <s v="Electronics"/>
    <n v="2"/>
    <n v="121.39"/>
    <n v="242.78"/>
    <n v="242.78"/>
    <n v="0"/>
    <s v="Austria"/>
    <x v="1"/>
  </r>
  <r>
    <n v="2024002103"/>
    <x v="37"/>
    <n v="2024"/>
    <x v="36"/>
    <s v="PROD_007"/>
    <s v="Keyboard Mechanical"/>
    <s v="Electronics"/>
    <n v="2"/>
    <n v="125.41"/>
    <n v="250.82"/>
    <n v="250.82"/>
    <n v="0"/>
    <s v="UK"/>
    <x v="0"/>
  </r>
  <r>
    <n v="2024002104"/>
    <x v="99"/>
    <n v="2024"/>
    <x v="157"/>
    <s v="PROD_005"/>
    <s v="Standing Desk"/>
    <s v="Furniture"/>
    <n v="3"/>
    <n v="656.56"/>
    <n v="1969.68"/>
    <n v="1969.6799999999998"/>
    <n v="0"/>
    <s v="Spain"/>
    <x v="1"/>
  </r>
  <r>
    <n v="2024002105"/>
    <x v="290"/>
    <n v="2024"/>
    <x v="268"/>
    <s v="PROD_008"/>
    <s v="Desk Lamp"/>
    <s v="Furniture"/>
    <n v="1"/>
    <n v="76.290000000000006"/>
    <n v="76.290000000000006"/>
    <n v="76.290000000000006"/>
    <n v="0"/>
    <s v="Sweden"/>
    <x v="2"/>
  </r>
  <r>
    <n v="2024002106"/>
    <x v="185"/>
    <n v="2024"/>
    <x v="0"/>
    <s v="PROD_002"/>
    <s v="Wireless Mouse"/>
    <s v="Electronics"/>
    <n v="3"/>
    <n v="42.26"/>
    <n v="126.78"/>
    <n v="126.78"/>
    <n v="0"/>
    <s v="Italy"/>
    <x v="2"/>
  </r>
  <r>
    <n v="2024002107"/>
    <x v="333"/>
    <n v="2024"/>
    <x v="0"/>
    <s v="PROD_004"/>
    <s v="Desk Chair"/>
    <s v="Furniture"/>
    <n v="1"/>
    <n v="330.37"/>
    <n v="330.37"/>
    <n v="330.37"/>
    <n v="0"/>
    <s v="Belgium"/>
    <x v="2"/>
  </r>
  <r>
    <n v="2024002108"/>
    <x v="167"/>
    <n v="2024"/>
    <x v="197"/>
    <s v="PROD_007"/>
    <s v="Keyboard Mechanical"/>
    <s v="Electronics"/>
    <n v="1"/>
    <n v="124.46"/>
    <n v="124.46"/>
    <n v="124.46"/>
    <n v="0"/>
    <s v="Germany"/>
    <x v="1"/>
  </r>
  <r>
    <n v="2024002109"/>
    <x v="24"/>
    <n v="2024"/>
    <x v="0"/>
    <s v="PROD_006"/>
    <s v="Monitor 27&quot;"/>
    <s v="Electronics"/>
    <n v="5"/>
    <n v="395.9"/>
    <n v="1979.5"/>
    <n v="1979.5"/>
    <n v="0"/>
    <s v="Spain"/>
    <x v="1"/>
  </r>
  <r>
    <n v="2024002110"/>
    <x v="153"/>
    <n v="2024"/>
    <x v="263"/>
    <s v="PROD_008"/>
    <s v="Desk Lamp"/>
    <s v="Furniture"/>
    <n v="1"/>
    <n v="76.91"/>
    <n v="76.91"/>
    <n v="76.91"/>
    <n v="0"/>
    <s v="Sweden"/>
    <x v="3"/>
  </r>
  <r>
    <n v="2024002111"/>
    <x v="53"/>
    <n v="2024"/>
    <x v="257"/>
    <s v="PROD_009"/>
    <s v="Phone Stand"/>
    <s v="Accessories"/>
    <n v="2"/>
    <n v="26.11"/>
    <n v="52.22"/>
    <n v="52.22"/>
    <n v="0"/>
    <s v="Netherlands"/>
    <x v="1"/>
  </r>
  <r>
    <n v="2024002112"/>
    <x v="297"/>
    <n v="2024"/>
    <x v="0"/>
    <s v="PROD_007"/>
    <s v="Keyboard Mechanical"/>
    <s v="Electronics"/>
    <n v="1"/>
    <n v="120.51"/>
    <n v="120.51"/>
    <n v="120.51"/>
    <n v="0"/>
    <s v="Netherlands"/>
    <x v="3"/>
  </r>
  <r>
    <n v="2024002113"/>
    <x v="237"/>
    <n v="2024"/>
    <x v="199"/>
    <s v="PROD_003"/>
    <s v="USB-C Cable"/>
    <s v="Electronics"/>
    <n v="1"/>
    <n v="14.2"/>
    <n v="14.2"/>
    <n v="14.2"/>
    <n v="0"/>
    <s v="Italy"/>
    <x v="0"/>
  </r>
  <r>
    <n v="2024002114"/>
    <x v="248"/>
    <n v="2024"/>
    <x v="31"/>
    <s v="PROD_001"/>
    <s v="Laptop Pro"/>
    <s v="Electronics"/>
    <n v="1"/>
    <n v="1272.28"/>
    <n v="1272.28"/>
    <n v="1272.28"/>
    <n v="0"/>
    <s v="Belgium"/>
    <x v="0"/>
  </r>
  <r>
    <n v="2024001043"/>
    <x v="23"/>
    <n v="2024"/>
    <x v="65"/>
    <s v="PROD_008"/>
    <s v="Desk Lamp"/>
    <s v="Furniture"/>
    <n v="1"/>
    <n v="80.73"/>
    <n v="80.73"/>
    <n v="80.73"/>
    <n v="0"/>
    <s v="Austria"/>
    <x v="2"/>
  </r>
  <r>
    <n v="2024002116"/>
    <x v="346"/>
    <n v="2024"/>
    <x v="228"/>
    <s v="PROD_002"/>
    <s v="Wireless Mouse"/>
    <s v="Electronics"/>
    <n v="5"/>
    <n v="46.59"/>
    <n v="232.95"/>
    <n v="232.95000000000002"/>
    <n v="0"/>
    <s v="Sweden"/>
    <x v="1"/>
  </r>
  <r>
    <n v="2024002117"/>
    <x v="267"/>
    <n v="2024"/>
    <x v="125"/>
    <s v="PROD_001"/>
    <s v="Laptop Pro"/>
    <s v="Electronics"/>
    <n v="3"/>
    <n v="1221.0899999999999"/>
    <n v="3663.27"/>
    <n v="3663.2699999999995"/>
    <n v="0"/>
    <s v="Belgium"/>
    <x v="3"/>
  </r>
  <r>
    <n v="2024002118"/>
    <x v="173"/>
    <n v="2024"/>
    <x v="35"/>
    <s v="PROD_002"/>
    <s v="Wireless Mouse"/>
    <s v="Electronics"/>
    <n v="3"/>
    <n v="46.64"/>
    <n v="139.91999999999999"/>
    <n v="139.92000000000002"/>
    <n v="0"/>
    <s v="Italy"/>
    <x v="3"/>
  </r>
  <r>
    <n v="2024002119"/>
    <x v="347"/>
    <n v="2024"/>
    <x v="163"/>
    <s v="PROD_005"/>
    <s v="Standing Desk"/>
    <s v="Furniture"/>
    <n v="2"/>
    <n v="666.46"/>
    <n v="1332.92"/>
    <n v="1332.92"/>
    <n v="0"/>
    <s v="UK"/>
    <x v="1"/>
  </r>
  <r>
    <n v="2024002120"/>
    <x v="210"/>
    <n v="2024"/>
    <x v="229"/>
    <s v="PROD_008"/>
    <s v="Desk Lamp"/>
    <s v="Furniture"/>
    <n v="1"/>
    <n v="85.03"/>
    <n v="85.03"/>
    <n v="85.03"/>
    <n v="0"/>
    <s v="France"/>
    <x v="2"/>
  </r>
  <r>
    <n v="2024002121"/>
    <x v="286"/>
    <n v="2024"/>
    <x v="72"/>
    <s v="PROD_007"/>
    <s v="Keyboard Mechanical"/>
    <s v="Electronics"/>
    <n v="1"/>
    <n v="119.83"/>
    <n v="119.83"/>
    <n v="119.83"/>
    <n v="0"/>
    <s v="France"/>
    <x v="2"/>
  </r>
  <r>
    <n v="2024002122"/>
    <x v="309"/>
    <n v="2024"/>
    <x v="153"/>
    <s v="PROD_005"/>
    <s v="Standing Desk"/>
    <s v="Furniture"/>
    <n v="3"/>
    <n v="567.44000000000005"/>
    <n v="1702.32"/>
    <n v="1702.3200000000002"/>
    <n v="0"/>
    <s v="Sweden"/>
    <x v="2"/>
  </r>
  <r>
    <n v="2024002123"/>
    <x v="249"/>
    <n v="2024"/>
    <x v="222"/>
    <s v="PROD_007"/>
    <s v="Keyboard Mechanical"/>
    <s v="Electronics"/>
    <n v="1"/>
    <n v="118.37"/>
    <n v="118.37"/>
    <n v="118.37"/>
    <n v="0"/>
    <s v="Sweden"/>
    <x v="3"/>
  </r>
  <r>
    <n v="2024002124"/>
    <x v="172"/>
    <n v="2024"/>
    <x v="58"/>
    <s v="PROD_003"/>
    <s v="USB-C Cable"/>
    <s v="Electronics"/>
    <n v="3"/>
    <n v="15.11"/>
    <n v="45.33"/>
    <n v="45.33"/>
    <n v="0"/>
    <s v="Belgium"/>
    <x v="1"/>
  </r>
  <r>
    <n v="2024002125"/>
    <x v="183"/>
    <n v="2024"/>
    <x v="233"/>
    <s v="PROD_001"/>
    <s v="Laptop Pro"/>
    <s v="Electronics"/>
    <n v="3"/>
    <n v="1205.8699999999999"/>
    <n v="3617.61"/>
    <n v="3617.6099999999997"/>
    <n v="0"/>
    <s v="Belgium"/>
    <x v="1"/>
  </r>
  <r>
    <n v="2024002126"/>
    <x v="146"/>
    <n v="2024"/>
    <x v="16"/>
    <s v="PROD_002"/>
    <s v="Wireless Mouse"/>
    <s v="Electronics"/>
    <n v="1"/>
    <n v="48.81"/>
    <n v="48.81"/>
    <n v="48.81"/>
    <n v="0"/>
    <s v="Spain"/>
    <x v="1"/>
  </r>
  <r>
    <n v="2024002127"/>
    <x v="149"/>
    <n v="2024"/>
    <x v="26"/>
    <s v="PROD_007"/>
    <s v="Keyboard Mechanical"/>
    <s v="Electronics"/>
    <n v="1"/>
    <n v="121.59"/>
    <n v="121.59"/>
    <n v="121.59"/>
    <n v="0"/>
    <s v="France"/>
    <x v="2"/>
  </r>
  <r>
    <n v="2024002025"/>
    <x v="26"/>
    <n v="2024"/>
    <x v="245"/>
    <s v="PROD_007"/>
    <s v="Keyboard Mechanical"/>
    <s v="Electronics"/>
    <n v="1"/>
    <n v="121.15"/>
    <n v="121.15"/>
    <n v="121.15"/>
    <n v="0"/>
    <s v="Switzerland"/>
    <x v="0"/>
  </r>
  <r>
    <n v="2024002129"/>
    <x v="263"/>
    <n v="2024"/>
    <x v="113"/>
    <s v="PROD_007"/>
    <s v="Keyboard Mechanical"/>
    <s v="Electronics"/>
    <n v="4"/>
    <n v="127.19"/>
    <n v="508.76"/>
    <n v="508.76"/>
    <n v="0"/>
    <s v="UK"/>
    <x v="0"/>
  </r>
  <r>
    <n v="2024002130"/>
    <x v="160"/>
    <n v="2024"/>
    <x v="90"/>
    <s v="PROD_007"/>
    <s v="Keyboard Mechanical"/>
    <s v="Electronics"/>
    <n v="2"/>
    <n v="121.92"/>
    <n v="243.84"/>
    <n v="243.84"/>
    <n v="0"/>
    <s v="Austria"/>
    <x v="2"/>
  </r>
  <r>
    <n v="2024002131"/>
    <x v="263"/>
    <n v="2024"/>
    <x v="34"/>
    <s v="PROD_007"/>
    <s v="Keyboard Mechanical"/>
    <s v="Electronics"/>
    <n v="5"/>
    <n v="120.5"/>
    <n v="602.5"/>
    <n v="602.5"/>
    <n v="0"/>
    <s v="France"/>
    <x v="1"/>
  </r>
  <r>
    <n v="2024002132"/>
    <x v="165"/>
    <n v="2024"/>
    <x v="93"/>
    <s v="PROD_006"/>
    <s v="Monitor 27&quot;"/>
    <s v="Electronics"/>
    <n v="1"/>
    <n v="361.38"/>
    <n v="361.38"/>
    <n v="361.38"/>
    <n v="0"/>
    <s v="Italy"/>
    <x v="3"/>
  </r>
  <r>
    <n v="2024002133"/>
    <x v="22"/>
    <n v="2024"/>
    <x v="27"/>
    <s v="PROD_002"/>
    <s v="Wireless Mouse"/>
    <s v="Electronics"/>
    <n v="1"/>
    <n v="43.48"/>
    <n v="43.48"/>
    <n v="43.48"/>
    <n v="0"/>
    <s v="France"/>
    <x v="1"/>
  </r>
  <r>
    <n v="2024002134"/>
    <x v="2"/>
    <n v="2024"/>
    <x v="0"/>
    <s v="PROD_004"/>
    <s v="Desk Chair"/>
    <s v="Furniture"/>
    <n v="4"/>
    <n v="336.59"/>
    <n v="1346.36"/>
    <n v="1346.36"/>
    <n v="0"/>
    <s v="Austria"/>
    <x v="0"/>
  </r>
  <r>
    <n v="2024002135"/>
    <x v="303"/>
    <n v="2024"/>
    <x v="183"/>
    <s v="PROD_004"/>
    <s v="Desk Chair"/>
    <s v="Furniture"/>
    <n v="3"/>
    <n v="330.26"/>
    <n v="990.78"/>
    <n v="990.78"/>
    <n v="0"/>
    <s v="Italy"/>
    <x v="2"/>
  </r>
  <r>
    <n v="2024002136"/>
    <x v="83"/>
    <n v="2024"/>
    <x v="89"/>
    <s v="PROD_010"/>
    <s v="Webcam HD"/>
    <s v="Electronics"/>
    <n v="2"/>
    <n v="92.07"/>
    <n v="184.14"/>
    <n v="184.14"/>
    <n v="0"/>
    <s v="Spain"/>
    <x v="2"/>
  </r>
  <r>
    <n v="2024002137"/>
    <x v="318"/>
    <n v="2024"/>
    <x v="173"/>
    <s v="PROD_008"/>
    <s v="Desk Lamp"/>
    <s v="Furniture"/>
    <n v="2"/>
    <n v="80.91"/>
    <n v="161.82"/>
    <n v="161.82"/>
    <n v="0"/>
    <s v="UK"/>
    <x v="2"/>
  </r>
  <r>
    <n v="2024001344"/>
    <x v="234"/>
    <n v="2024"/>
    <x v="166"/>
    <s v="PROD_006"/>
    <s v="Monitor 27&quot;"/>
    <s v="Electronics"/>
    <n v="1"/>
    <n v="381.64"/>
    <n v="381.64"/>
    <n v="381.64"/>
    <n v="0"/>
    <s v="France"/>
    <x v="2"/>
  </r>
  <r>
    <n v="2024002139"/>
    <x v="202"/>
    <n v="2024"/>
    <x v="159"/>
    <s v="PROD_009"/>
    <s v="Phone Stand"/>
    <s v="Accessories"/>
    <n v="1"/>
    <n v="27.16"/>
    <n v="27.16"/>
    <n v="27.16"/>
    <n v="0"/>
    <s v="Switzerland"/>
    <x v="1"/>
  </r>
  <r>
    <n v="2024002140"/>
    <x v="310"/>
    <n v="2024"/>
    <x v="93"/>
    <s v="PROD_001"/>
    <s v="Laptop Pro"/>
    <s v="Electronics"/>
    <n v="2"/>
    <n v="1164.8499999999999"/>
    <n v="2329.6999999999998"/>
    <n v="2329.6999999999998"/>
    <n v="0"/>
    <s v="France"/>
    <x v="3"/>
  </r>
  <r>
    <n v="2024002141"/>
    <x v="232"/>
    <n v="2024"/>
    <x v="111"/>
    <s v="PROD_007"/>
    <s v="Keyboard Mechanical"/>
    <s v="Electronics"/>
    <n v="1"/>
    <n v="117.91"/>
    <n v="117.91"/>
    <n v="117.91"/>
    <n v="0"/>
    <s v="Austria"/>
    <x v="2"/>
  </r>
  <r>
    <n v="2024002142"/>
    <x v="153"/>
    <n v="2024"/>
    <x v="54"/>
    <s v="PROD_010"/>
    <s v="Webcam HD"/>
    <s v="Electronics"/>
    <n v="1"/>
    <n v="93.26"/>
    <n v="93.26"/>
    <n v="93.26"/>
    <n v="0"/>
    <s v="Belgium"/>
    <x v="1"/>
  </r>
  <r>
    <n v="2024002143"/>
    <x v="212"/>
    <n v="2024"/>
    <x v="182"/>
    <s v="PROD_009"/>
    <s v="Phone Stand"/>
    <s v="Accessories"/>
    <n v="1"/>
    <n v="25.08"/>
    <n v="25.08"/>
    <n v="25.08"/>
    <n v="0"/>
    <s v="Netherlands"/>
    <x v="2"/>
  </r>
  <r>
    <n v="2024002065"/>
    <x v="34"/>
    <n v="2024"/>
    <x v="1"/>
    <s v="PROD_009"/>
    <s v="Phone Stand"/>
    <s v="Accessories"/>
    <n v="1"/>
    <n v="27.23"/>
    <n v="27.23"/>
    <n v="27.23"/>
    <n v="0"/>
    <s v="Netherlands"/>
    <x v="2"/>
  </r>
  <r>
    <n v="2024002145"/>
    <x v="180"/>
    <n v="2024"/>
    <x v="117"/>
    <s v="PROD_010"/>
    <s v="Webcam HD"/>
    <s v="Electronics"/>
    <n v="3"/>
    <n v="90.06"/>
    <n v="270.18"/>
    <n v="270.18"/>
    <n v="0"/>
    <s v="Spain"/>
    <x v="0"/>
  </r>
  <r>
    <n v="2024002146"/>
    <x v="54"/>
    <n v="2024"/>
    <x v="191"/>
    <s v="PROD_010"/>
    <s v="Webcam HD"/>
    <s v="Electronics"/>
    <n v="2"/>
    <n v="95.82"/>
    <n v="191.64"/>
    <n v="191.64"/>
    <n v="0"/>
    <s v="France"/>
    <x v="2"/>
  </r>
  <r>
    <n v="2024002147"/>
    <x v="79"/>
    <n v="2024"/>
    <x v="0"/>
    <s v="PROD_009"/>
    <s v="Phone Stand"/>
    <s v="Accessories"/>
    <n v="2"/>
    <n v="24.68"/>
    <n v="49.36"/>
    <n v="49.36"/>
    <n v="0"/>
    <s v="Switzerland"/>
    <x v="2"/>
  </r>
  <r>
    <n v="2024002148"/>
    <x v="337"/>
    <n v="2024"/>
    <x v="95"/>
    <s v="PROD_007"/>
    <s v="Keyboard Mechanical"/>
    <s v="Electronics"/>
    <n v="1"/>
    <n v="130.16"/>
    <n v="130.16"/>
    <n v="130.16"/>
    <n v="0"/>
    <s v="UK"/>
    <x v="1"/>
  </r>
  <r>
    <n v="2024002149"/>
    <x v="20"/>
    <n v="2024"/>
    <x v="204"/>
    <s v="PROD_004"/>
    <s v="Desk Chair"/>
    <s v="Furniture"/>
    <n v="2"/>
    <n v="334.5"/>
    <n v="669"/>
    <n v="669"/>
    <n v="0"/>
    <s v="Netherlands"/>
    <x v="1"/>
  </r>
  <r>
    <n v="2024002150"/>
    <x v="325"/>
    <n v="2024"/>
    <x v="143"/>
    <s v="PROD_002"/>
    <s v="Wireless Mouse"/>
    <s v="Electronics"/>
    <n v="1"/>
    <n v="44.1"/>
    <n v="44.1"/>
    <n v="44.1"/>
    <n v="0"/>
    <s v="Switzerland"/>
    <x v="0"/>
  </r>
  <r>
    <n v="2024002151"/>
    <x v="28"/>
    <n v="2024"/>
    <x v="97"/>
    <s v="PROD_002"/>
    <s v="Wireless Mouse"/>
    <s v="Electronics"/>
    <n v="2"/>
    <n v="46.84"/>
    <n v="93.68"/>
    <n v="93.68"/>
    <n v="0"/>
    <s v="Belgium"/>
    <x v="0"/>
  </r>
  <r>
    <n v="2024002152"/>
    <x v="102"/>
    <n v="2024"/>
    <x v="268"/>
    <s v="PROD_005"/>
    <s v="Standing Desk"/>
    <s v="Furniture"/>
    <n v="1"/>
    <n v="551.19000000000005"/>
    <n v="551.19000000000005"/>
    <n v="551.19000000000005"/>
    <n v="0"/>
    <s v="Germany"/>
    <x v="2"/>
  </r>
  <r>
    <n v="2024002153"/>
    <x v="140"/>
    <n v="2024"/>
    <x v="260"/>
    <s v="PROD_007"/>
    <s v="Keyboard Mechanical"/>
    <s v="Electronics"/>
    <n v="1"/>
    <n v="132.13999999999999"/>
    <n v="132.13999999999999"/>
    <n v="132.13999999999999"/>
    <n v="0"/>
    <s v="Spain"/>
    <x v="1"/>
  </r>
  <r>
    <n v="2024002154"/>
    <x v="164"/>
    <n v="2024"/>
    <x v="163"/>
    <s v="PROD_001"/>
    <s v="Laptop Pro"/>
    <s v="Electronics"/>
    <n v="1"/>
    <n v="1265.53"/>
    <n v="1265.53"/>
    <n v="1265.53"/>
    <n v="0"/>
    <s v="Italy"/>
    <x v="1"/>
  </r>
  <r>
    <n v="2024002155"/>
    <x v="224"/>
    <n v="2024"/>
    <x v="156"/>
    <s v="PROD_008"/>
    <s v="Desk Lamp"/>
    <s v="Furniture"/>
    <n v="2"/>
    <n v="77.81"/>
    <n v="155.62"/>
    <n v="155.62"/>
    <n v="0"/>
    <s v="Netherlands"/>
    <x v="0"/>
  </r>
  <r>
    <n v="2024002156"/>
    <x v="348"/>
    <n v="2024"/>
    <x v="28"/>
    <s v="PROD_001"/>
    <s v="Laptop Pro"/>
    <s v="Electronics"/>
    <n v="1"/>
    <n v="1175.4100000000001"/>
    <n v="1175.4100000000001"/>
    <n v="1175.4100000000001"/>
    <n v="0"/>
    <s v="Italy"/>
    <x v="2"/>
  </r>
  <r>
    <n v="2024002157"/>
    <x v="222"/>
    <n v="2024"/>
    <x v="8"/>
    <s v="PROD_007"/>
    <s v="Keyboard Mechanical"/>
    <s v="Electronics"/>
    <n v="1"/>
    <n v="124.7"/>
    <n v="124.7"/>
    <n v="124.7"/>
    <n v="0"/>
    <s v="UK"/>
    <x v="3"/>
  </r>
  <r>
    <n v="2024002158"/>
    <x v="349"/>
    <n v="2024"/>
    <x v="21"/>
    <s v="PROD_010"/>
    <s v="Webcam HD"/>
    <s v="Electronics"/>
    <n v="1"/>
    <n v="94.62"/>
    <n v="94.62"/>
    <n v="94.62"/>
    <n v="0"/>
    <s v="Sweden"/>
    <x v="3"/>
  </r>
  <r>
    <n v="2024002159"/>
    <x v="271"/>
    <n v="2024"/>
    <x v="0"/>
    <s v="PROD_003"/>
    <s v="USB-C Cable"/>
    <s v="Electronics"/>
    <n v="1"/>
    <n v="15.45"/>
    <n v="15.45"/>
    <n v="15.45"/>
    <n v="0"/>
    <s v="Sweden"/>
    <x v="0"/>
  </r>
  <r>
    <n v="2024002160"/>
    <x v="2"/>
    <n v="2024"/>
    <x v="104"/>
    <s v="PROD_008"/>
    <s v="Desk Lamp"/>
    <s v="Furniture"/>
    <n v="2"/>
    <n v="74.02"/>
    <n v="148.04"/>
    <n v="148.04"/>
    <n v="0"/>
    <s v="Germany"/>
    <x v="0"/>
  </r>
  <r>
    <n v="2024002161"/>
    <x v="124"/>
    <n v="2024"/>
    <x v="23"/>
    <s v="PROD_009"/>
    <s v="Phone Stand"/>
    <s v="Accessories"/>
    <n v="1"/>
    <n v="23.85"/>
    <n v="23.85"/>
    <n v="23.85"/>
    <n v="0"/>
    <s v="UK"/>
    <x v="3"/>
  </r>
  <r>
    <n v="2024002162"/>
    <x v="283"/>
    <n v="2024"/>
    <x v="125"/>
    <s v="PROD_004"/>
    <s v="Desk Chair"/>
    <s v="Furniture"/>
    <n v="1"/>
    <n v="324.63"/>
    <n v="324.63"/>
    <n v="324.63"/>
    <n v="0"/>
    <s v="Sweden"/>
    <x v="1"/>
  </r>
  <r>
    <n v="2024002163"/>
    <x v="201"/>
    <n v="2024"/>
    <x v="60"/>
    <s v="PROD_006"/>
    <s v="Monitor 27&quot;"/>
    <s v="Electronics"/>
    <n v="1"/>
    <n v="393.69"/>
    <n v="393.69"/>
    <n v="393.69"/>
    <n v="0"/>
    <s v="Belgium"/>
    <x v="3"/>
  </r>
  <r>
    <n v="2024002164"/>
    <x v="208"/>
    <n v="2024"/>
    <x v="293"/>
    <s v="PROD_007"/>
    <s v="Keyboard Mechanical"/>
    <s v="Electronics"/>
    <n v="3"/>
    <n v="131.44"/>
    <n v="394.32"/>
    <n v="394.32"/>
    <n v="0"/>
    <s v="Sweden"/>
    <x v="0"/>
  </r>
  <r>
    <n v="2024002165"/>
    <x v="154"/>
    <n v="2024"/>
    <x v="136"/>
    <s v="PROD_002"/>
    <s v="Wireless Mouse"/>
    <s v="Electronics"/>
    <n v="3"/>
    <n v="41.77"/>
    <n v="125.31"/>
    <n v="125.31"/>
    <n v="0"/>
    <s v="Spain"/>
    <x v="3"/>
  </r>
  <r>
    <n v="2024002166"/>
    <x v="78"/>
    <n v="2024"/>
    <x v="54"/>
    <s v="PROD_008"/>
    <s v="Desk Lamp"/>
    <s v="Furniture"/>
    <n v="1"/>
    <n v="85"/>
    <n v="85"/>
    <n v="85"/>
    <n v="0"/>
    <s v="Germany"/>
    <x v="2"/>
  </r>
  <r>
    <n v="2024002167"/>
    <x v="251"/>
    <n v="2024"/>
    <x v="26"/>
    <s v="PROD_001"/>
    <s v="Laptop Pro"/>
    <s v="Electronics"/>
    <n v="3"/>
    <n v="1259.02"/>
    <n v="3777.06"/>
    <n v="3777.06"/>
    <n v="0"/>
    <s v="Austria"/>
    <x v="3"/>
  </r>
  <r>
    <n v="2024002168"/>
    <x v="7"/>
    <n v="2024"/>
    <x v="144"/>
    <s v="PROD_010"/>
    <s v="Webcam HD"/>
    <s v="Electronics"/>
    <n v="5"/>
    <n v="87.67"/>
    <n v="438.35"/>
    <n v="438.35"/>
    <n v="0"/>
    <s v="UK"/>
    <x v="2"/>
  </r>
  <r>
    <n v="2024002169"/>
    <x v="188"/>
    <n v="2024"/>
    <x v="44"/>
    <s v="PROD_010"/>
    <s v="Webcam HD"/>
    <s v="Electronics"/>
    <n v="2"/>
    <n v="90.98"/>
    <n v="181.96"/>
    <n v="181.96"/>
    <n v="0"/>
    <s v="Austria"/>
    <x v="1"/>
  </r>
  <r>
    <n v="2024002170"/>
    <x v="329"/>
    <n v="2024"/>
    <x v="204"/>
    <s v="PROD_007"/>
    <s v="Keyboard Mechanical"/>
    <s v="Electronics"/>
    <n v="4"/>
    <n v="117.48"/>
    <n v="469.92"/>
    <n v="469.92"/>
    <n v="0"/>
    <s v="Germany"/>
    <x v="1"/>
  </r>
  <r>
    <n v="2024002171"/>
    <x v="171"/>
    <n v="2024"/>
    <x v="88"/>
    <s v="PROD_001"/>
    <s v="Laptop Pro"/>
    <s v="Electronics"/>
    <n v="2"/>
    <n v="1174.5999999999999"/>
    <n v="2349.1999999999998"/>
    <n v="2349.1999999999998"/>
    <n v="0"/>
    <s v="Netherlands"/>
    <x v="2"/>
  </r>
  <r>
    <n v="2024001208"/>
    <x v="312"/>
    <n v="2024"/>
    <x v="230"/>
    <s v="PROD_010"/>
    <s v="Webcam HD"/>
    <s v="Electronics"/>
    <n v="5"/>
    <n v="91.96"/>
    <n v="459.8"/>
    <n v="459.79999999999995"/>
    <n v="0"/>
    <s v="Sweden"/>
    <x v="3"/>
  </r>
  <r>
    <n v="2024002173"/>
    <x v="14"/>
    <n v="2024"/>
    <x v="0"/>
    <s v="PROD_005"/>
    <s v="Standing Desk"/>
    <s v="Furniture"/>
    <n v="3"/>
    <n v="590.84"/>
    <n v="1772.52"/>
    <n v="1772.52"/>
    <n v="0"/>
    <s v="Netherlands"/>
    <x v="3"/>
  </r>
  <r>
    <n v="2024002174"/>
    <x v="235"/>
    <n v="2024"/>
    <x v="31"/>
    <s v="PROD_006"/>
    <s v="Monitor 27&quot;"/>
    <s v="Electronics"/>
    <n v="2"/>
    <n v="405.22"/>
    <n v="810.44"/>
    <n v="810.44"/>
    <n v="0"/>
    <s v="Sweden"/>
    <x v="1"/>
  </r>
  <r>
    <n v="2024002175"/>
    <x v="261"/>
    <n v="2024"/>
    <x v="213"/>
    <s v="PROD_005"/>
    <s v="Standing Desk"/>
    <s v="Furniture"/>
    <n v="2"/>
    <n v="599.26"/>
    <n v="1198.52"/>
    <n v="1198.52"/>
    <n v="0"/>
    <s v="Spain"/>
    <x v="3"/>
  </r>
  <r>
    <n v="2024002176"/>
    <x v="36"/>
    <n v="2024"/>
    <x v="72"/>
    <s v="PROD_007"/>
    <s v="Keyboard Mechanical"/>
    <s v="Electronics"/>
    <n v="4"/>
    <n v="122.45"/>
    <n v="489.8"/>
    <n v="489.8"/>
    <n v="0"/>
    <s v="Germany"/>
    <x v="1"/>
  </r>
  <r>
    <n v="2024002177"/>
    <x v="36"/>
    <n v="2024"/>
    <x v="100"/>
    <s v="PROD_006"/>
    <s v="Monitor 27&quot;"/>
    <s v="Electronics"/>
    <n v="1"/>
    <n v="407.1"/>
    <n v="407.1"/>
    <n v="407.1"/>
    <n v="0"/>
    <s v="France"/>
    <x v="2"/>
  </r>
  <r>
    <n v="2024002178"/>
    <x v="340"/>
    <n v="2024"/>
    <x v="4"/>
    <s v="PROD_001"/>
    <s v="Laptop Pro"/>
    <s v="Electronics"/>
    <n v="1"/>
    <n v="1311.48"/>
    <n v="1311.48"/>
    <n v="1311.48"/>
    <n v="0"/>
    <s v="UK"/>
    <x v="2"/>
  </r>
  <r>
    <n v="2024002179"/>
    <x v="287"/>
    <n v="2024"/>
    <x v="0"/>
    <s v="PROD_001"/>
    <s v="Laptop Pro"/>
    <s v="Electronics"/>
    <n v="2"/>
    <n v="1269.58"/>
    <n v="2539.16"/>
    <n v="2539.16"/>
    <n v="0"/>
    <s v="Sweden"/>
    <x v="3"/>
  </r>
  <r>
    <n v="2024002180"/>
    <x v="288"/>
    <n v="2024"/>
    <x v="103"/>
    <s v="PROD_006"/>
    <s v="Monitor 27&quot;"/>
    <s v="Electronics"/>
    <n v="1"/>
    <n v="378.08"/>
    <n v="378.08"/>
    <n v="378.08"/>
    <n v="0"/>
    <s v="Spain"/>
    <x v="3"/>
  </r>
  <r>
    <n v="2024002181"/>
    <x v="268"/>
    <n v="2024"/>
    <x v="292"/>
    <s v="PROD_003"/>
    <s v="USB-C Cable"/>
    <s v="Electronics"/>
    <n v="2"/>
    <n v="14.95"/>
    <n v="29.9"/>
    <n v="29.9"/>
    <n v="0"/>
    <s v="Belgium"/>
    <x v="3"/>
  </r>
  <r>
    <n v="2024002182"/>
    <x v="264"/>
    <n v="2024"/>
    <x v="231"/>
    <s v="PROD_010"/>
    <s v="Webcam HD"/>
    <s v="Electronics"/>
    <n v="4"/>
    <n v="92.74"/>
    <n v="370.96"/>
    <n v="370.96"/>
    <n v="0"/>
    <s v="Germany"/>
    <x v="3"/>
  </r>
  <r>
    <n v="2024002183"/>
    <x v="228"/>
    <n v="2024"/>
    <x v="249"/>
    <s v="PROD_001"/>
    <s v="Laptop Pro"/>
    <s v="Electronics"/>
    <n v="1"/>
    <n v="1166.57"/>
    <n v="1166.57"/>
    <n v="1166.57"/>
    <n v="0"/>
    <s v="Germany"/>
    <x v="2"/>
  </r>
  <r>
    <n v="2024002184"/>
    <x v="11"/>
    <n v="2024"/>
    <x v="214"/>
    <s v="PROD_008"/>
    <s v="Desk Lamp"/>
    <s v="Furniture"/>
    <n v="4"/>
    <n v="74.87"/>
    <n v="299.48"/>
    <n v="299.48"/>
    <n v="0"/>
    <s v="Netherlands"/>
    <x v="1"/>
  </r>
  <r>
    <n v="2024002185"/>
    <x v="104"/>
    <n v="2024"/>
    <x v="56"/>
    <s v="PROD_004"/>
    <s v="Desk Chair"/>
    <s v="Furniture"/>
    <n v="2"/>
    <n v="322.05"/>
    <n v="644.1"/>
    <n v="644.1"/>
    <n v="0"/>
    <s v="Germany"/>
    <x v="2"/>
  </r>
  <r>
    <n v="2024002186"/>
    <x v="58"/>
    <n v="2024"/>
    <x v="78"/>
    <s v="PROD_009"/>
    <s v="Phone Stand"/>
    <s v="Accessories"/>
    <n v="1"/>
    <n v="24.38"/>
    <n v="24.38"/>
    <n v="24.38"/>
    <n v="0"/>
    <s v="Netherlands"/>
    <x v="0"/>
  </r>
  <r>
    <n v="2024002187"/>
    <x v="230"/>
    <n v="2024"/>
    <x v="137"/>
    <s v="PROD_007"/>
    <s v="Keyboard Mechanical"/>
    <s v="Electronics"/>
    <n v="4"/>
    <n v="125.28"/>
    <n v="501.12"/>
    <n v="501.12"/>
    <n v="0"/>
    <s v="UK"/>
    <x v="2"/>
  </r>
  <r>
    <n v="2024002188"/>
    <x v="350"/>
    <n v="2024"/>
    <x v="0"/>
    <s v="PROD_009"/>
    <s v="Phone Stand"/>
    <s v="Accessories"/>
    <n v="4"/>
    <n v="24.21"/>
    <n v="96.84"/>
    <n v="96.84"/>
    <n v="0"/>
    <s v="Netherlands"/>
    <x v="2"/>
  </r>
  <r>
    <n v="2024002189"/>
    <x v="225"/>
    <n v="2024"/>
    <x v="92"/>
    <s v="PROD_010"/>
    <s v="Webcam HD"/>
    <s v="Electronics"/>
    <n v="1"/>
    <n v="90.89"/>
    <n v="90.89"/>
    <n v="90.89"/>
    <n v="0"/>
    <s v="Spain"/>
    <x v="1"/>
  </r>
  <r>
    <n v="2024002190"/>
    <x v="75"/>
    <n v="2024"/>
    <x v="126"/>
    <s v="PROD_009"/>
    <s v="Phone Stand"/>
    <s v="Accessories"/>
    <n v="1"/>
    <n v="25.67"/>
    <n v="25.67"/>
    <n v="25.67"/>
    <n v="0"/>
    <s v="UK"/>
    <x v="2"/>
  </r>
  <r>
    <n v="2024002191"/>
    <x v="312"/>
    <n v="2024"/>
    <x v="286"/>
    <s v="PROD_006"/>
    <s v="Monitor 27&quot;"/>
    <s v="Electronics"/>
    <n v="1"/>
    <n v="401.82"/>
    <n v="401.82"/>
    <n v="401.82"/>
    <n v="0"/>
    <s v="Austria"/>
    <x v="3"/>
  </r>
  <r>
    <n v="2024002192"/>
    <x v="67"/>
    <n v="2024"/>
    <x v="269"/>
    <s v="PROD_006"/>
    <s v="Monitor 27&quot;"/>
    <s v="Electronics"/>
    <n v="3"/>
    <n v="417.56"/>
    <n v="1252.68"/>
    <n v="1252.68"/>
    <n v="0"/>
    <s v="Austria"/>
    <x v="0"/>
  </r>
  <r>
    <n v="2024002193"/>
    <x v="107"/>
    <n v="2024"/>
    <x v="72"/>
    <s v="PROD_006"/>
    <s v="Monitor 27&quot;"/>
    <s v="Electronics"/>
    <n v="1"/>
    <n v="384.59"/>
    <n v="384.59"/>
    <n v="384.59"/>
    <n v="0"/>
    <s v="France"/>
    <x v="3"/>
  </r>
  <r>
    <n v="2024002194"/>
    <x v="277"/>
    <n v="2024"/>
    <x v="250"/>
    <s v="PROD_009"/>
    <s v="Phone Stand"/>
    <s v="Accessories"/>
    <n v="4"/>
    <n v="24.78"/>
    <n v="99.12"/>
    <n v="99.12"/>
    <n v="0"/>
    <s v="Germany"/>
    <x v="2"/>
  </r>
  <r>
    <n v="2024002195"/>
    <x v="195"/>
    <n v="2024"/>
    <x v="206"/>
    <s v="PROD_010"/>
    <s v="Webcam HD"/>
    <s v="Electronics"/>
    <n v="1"/>
    <n v="92.95"/>
    <n v="92.95"/>
    <n v="92.95"/>
    <n v="0"/>
    <s v="Sweden"/>
    <x v="3"/>
  </r>
  <r>
    <n v="2024002196"/>
    <x v="122"/>
    <n v="2024"/>
    <x v="292"/>
    <s v="PROD_003"/>
    <s v="USB-C Cable"/>
    <s v="Electronics"/>
    <n v="3"/>
    <n v="15.99"/>
    <n v="47.97"/>
    <n v="47.97"/>
    <n v="0"/>
    <s v="Netherlands"/>
    <x v="2"/>
  </r>
  <r>
    <n v="2024002197"/>
    <x v="324"/>
    <n v="2024"/>
    <x v="0"/>
    <s v="PROD_001"/>
    <s v="Laptop Pro"/>
    <s v="Electronics"/>
    <n v="3"/>
    <n v="1252.6099999999999"/>
    <n v="3757.83"/>
    <n v="3757.83"/>
    <n v="0"/>
    <s v="Italy"/>
    <x v="3"/>
  </r>
  <r>
    <n v="2024002198"/>
    <x v="68"/>
    <n v="2024"/>
    <x v="0"/>
    <s v="PROD_004"/>
    <s v="Desk Chair"/>
    <s v="Furniture"/>
    <n v="1"/>
    <n v="335.11"/>
    <n v="335.11"/>
    <n v="335.11"/>
    <n v="0"/>
    <s v="Switzerland"/>
    <x v="3"/>
  </r>
  <r>
    <n v="2024002199"/>
    <x v="212"/>
    <n v="2024"/>
    <x v="177"/>
    <s v="PROD_008"/>
    <s v="Desk Lamp"/>
    <s v="Furniture"/>
    <n v="1"/>
    <n v="77.84"/>
    <n v="77.84"/>
    <n v="77.84"/>
    <n v="0"/>
    <s v="Italy"/>
    <x v="3"/>
  </r>
  <r>
    <n v="2024002200"/>
    <x v="267"/>
    <n v="2024"/>
    <x v="208"/>
    <s v="PROD_009"/>
    <s v="Phone Stand"/>
    <s v="Accessories"/>
    <n v="1"/>
    <n v="26.23"/>
    <n v="26.23"/>
    <n v="26.23"/>
    <n v="0"/>
    <s v="Sweden"/>
    <x v="0"/>
  </r>
  <r>
    <n v="2024002201"/>
    <x v="228"/>
    <n v="2024"/>
    <x v="0"/>
    <s v="PROD_007"/>
    <s v="Keyboard Mechanical"/>
    <s v="Electronics"/>
    <n v="1"/>
    <n v="114.21"/>
    <n v="114.21"/>
    <n v="114.21"/>
    <n v="0"/>
    <s v="UK"/>
    <x v="3"/>
  </r>
  <r>
    <n v="2024002202"/>
    <x v="177"/>
    <n v="2024"/>
    <x v="159"/>
    <s v="PROD_010"/>
    <s v="Webcam HD"/>
    <s v="Electronics"/>
    <n v="2"/>
    <n v="96.18"/>
    <n v="192.36"/>
    <n v="192.36"/>
    <n v="0"/>
    <s v="Sweden"/>
    <x v="2"/>
  </r>
  <r>
    <n v="2024002203"/>
    <x v="181"/>
    <n v="2024"/>
    <x v="294"/>
    <s v="PROD_004"/>
    <s v="Desk Chair"/>
    <s v="Furniture"/>
    <n v="1"/>
    <n v="339.03"/>
    <n v="339.03"/>
    <n v="339.03"/>
    <n v="0"/>
    <s v="France"/>
    <x v="2"/>
  </r>
  <r>
    <n v="2024002204"/>
    <x v="179"/>
    <n v="2024"/>
    <x v="104"/>
    <s v="PROD_002"/>
    <s v="Wireless Mouse"/>
    <s v="Electronics"/>
    <n v="1"/>
    <n v="47.25"/>
    <n v="47.25"/>
    <n v="47.25"/>
    <n v="0"/>
    <s v="Italy"/>
    <x v="2"/>
  </r>
  <r>
    <n v="2024002205"/>
    <x v="45"/>
    <n v="2024"/>
    <x v="284"/>
    <s v="PROD_003"/>
    <s v="USB-C Cable"/>
    <s v="Electronics"/>
    <n v="1"/>
    <n v="14.94"/>
    <n v="14.94"/>
    <n v="14.94"/>
    <n v="0"/>
    <s v="Germany"/>
    <x v="1"/>
  </r>
  <r>
    <n v="2024002206"/>
    <x v="118"/>
    <n v="2024"/>
    <x v="38"/>
    <s v="PROD_001"/>
    <s v="Laptop Pro"/>
    <s v="Electronics"/>
    <n v="3"/>
    <n v="1143.71"/>
    <n v="3431.13"/>
    <n v="3431.13"/>
    <n v="0"/>
    <s v="Sweden"/>
    <x v="0"/>
  </r>
  <r>
    <n v="2024002207"/>
    <x v="185"/>
    <n v="2024"/>
    <x v="263"/>
    <s v="PROD_008"/>
    <s v="Desk Lamp"/>
    <s v="Furniture"/>
    <n v="3"/>
    <n v="79.17"/>
    <n v="237.51"/>
    <n v="237.51"/>
    <n v="0"/>
    <s v="Austria"/>
    <x v="3"/>
  </r>
  <r>
    <n v="2024002208"/>
    <x v="219"/>
    <n v="2024"/>
    <x v="258"/>
    <s v="PROD_006"/>
    <s v="Monitor 27&quot;"/>
    <s v="Electronics"/>
    <n v="2"/>
    <n v="390.33"/>
    <n v="780.66"/>
    <n v="780.66"/>
    <n v="0"/>
    <s v="Belgium"/>
    <x v="2"/>
  </r>
  <r>
    <n v="2024002209"/>
    <x v="351"/>
    <n v="2024"/>
    <x v="173"/>
    <s v="PROD_006"/>
    <s v="Monitor 27&quot;"/>
    <s v="Electronics"/>
    <n v="1"/>
    <n v="416.84"/>
    <n v="416.84"/>
    <n v="416.84"/>
    <n v="0"/>
    <s v="Spain"/>
    <x v="2"/>
  </r>
  <r>
    <n v="2024002210"/>
    <x v="200"/>
    <n v="2024"/>
    <x v="232"/>
    <s v="PROD_006"/>
    <s v="Monitor 27&quot;"/>
    <s v="Electronics"/>
    <n v="2"/>
    <n v="378.96"/>
    <n v="757.92"/>
    <n v="757.92"/>
    <n v="0"/>
    <s v="Sweden"/>
    <x v="2"/>
  </r>
  <r>
    <n v="2024002211"/>
    <x v="110"/>
    <n v="2024"/>
    <x v="0"/>
    <s v="PROD_001"/>
    <s v="Laptop Pro"/>
    <s v="Electronics"/>
    <n v="1"/>
    <n v="1064.18"/>
    <n v="1064.18"/>
    <n v="1064.18"/>
    <n v="0"/>
    <s v="France"/>
    <x v="2"/>
  </r>
  <r>
    <n v="2024002212"/>
    <x v="329"/>
    <n v="2024"/>
    <x v="212"/>
    <s v="PROD_009"/>
    <s v="Phone Stand"/>
    <s v="Accessories"/>
    <n v="1"/>
    <n v="26.25"/>
    <n v="26.25"/>
    <n v="26.25"/>
    <n v="0"/>
    <s v="Belgium"/>
    <x v="3"/>
  </r>
  <r>
    <n v="2024002213"/>
    <x v="352"/>
    <n v="2024"/>
    <x v="285"/>
    <s v="PROD_005"/>
    <s v="Standing Desk"/>
    <s v="Furniture"/>
    <n v="1"/>
    <n v="586.25"/>
    <n v="586.25"/>
    <n v="586.25"/>
    <n v="0"/>
    <s v="Sweden"/>
    <x v="2"/>
  </r>
  <r>
    <n v="2024002214"/>
    <x v="201"/>
    <n v="2024"/>
    <x v="146"/>
    <s v="PROD_007"/>
    <s v="Keyboard Mechanical"/>
    <s v="Electronics"/>
    <n v="2"/>
    <n v="117.7"/>
    <n v="235.4"/>
    <n v="235.4"/>
    <n v="0"/>
    <s v="UK"/>
    <x v="3"/>
  </r>
  <r>
    <n v="2024002215"/>
    <x v="22"/>
    <n v="2024"/>
    <x v="243"/>
    <s v="PROD_006"/>
    <s v="Monitor 27&quot;"/>
    <s v="Electronics"/>
    <n v="2"/>
    <n v="410.83"/>
    <n v="821.66"/>
    <n v="821.66"/>
    <n v="0"/>
    <s v="Germany"/>
    <x v="1"/>
  </r>
  <r>
    <n v="2024002216"/>
    <x v="353"/>
    <n v="2024"/>
    <x v="165"/>
    <s v="PROD_008"/>
    <s v="Desk Lamp"/>
    <s v="Furniture"/>
    <n v="1"/>
    <n v="80.709999999999994"/>
    <n v="80.709999999999994"/>
    <n v="80.709999999999994"/>
    <n v="0"/>
    <s v="Spain"/>
    <x v="2"/>
  </r>
  <r>
    <n v="2024002217"/>
    <x v="179"/>
    <n v="2024"/>
    <x v="283"/>
    <s v="PROD_009"/>
    <s v="Phone Stand"/>
    <s v="Accessories"/>
    <n v="1"/>
    <n v="24.6"/>
    <n v="24.6"/>
    <n v="24.6"/>
    <n v="0"/>
    <s v="Spain"/>
    <x v="0"/>
  </r>
  <r>
    <n v="2024002218"/>
    <x v="96"/>
    <n v="2024"/>
    <x v="0"/>
    <s v="PROD_002"/>
    <s v="Wireless Mouse"/>
    <s v="Electronics"/>
    <n v="5"/>
    <n v="46.35"/>
    <n v="231.75"/>
    <n v="231.75"/>
    <n v="0"/>
    <s v="Austria"/>
    <x v="0"/>
  </r>
  <r>
    <n v="2024002219"/>
    <x v="85"/>
    <n v="2024"/>
    <x v="35"/>
    <s v="PROD_009"/>
    <s v="Phone Stand"/>
    <s v="Accessories"/>
    <n v="2"/>
    <n v="23.07"/>
    <n v="46.14"/>
    <n v="46.14"/>
    <n v="0"/>
    <s v="France"/>
    <x v="0"/>
  </r>
  <r>
    <n v="2024002220"/>
    <x v="261"/>
    <n v="2024"/>
    <x v="243"/>
    <s v="PROD_009"/>
    <s v="Phone Stand"/>
    <s v="Accessories"/>
    <n v="1"/>
    <n v="24.34"/>
    <n v="24.34"/>
    <n v="24.34"/>
    <n v="0"/>
    <s v="UK"/>
    <x v="1"/>
  </r>
  <r>
    <n v="2024002221"/>
    <x v="171"/>
    <n v="2024"/>
    <x v="244"/>
    <s v="PROD_002"/>
    <s v="Wireless Mouse"/>
    <s v="Electronics"/>
    <n v="3"/>
    <n v="46.98"/>
    <n v="140.94"/>
    <n v="140.94"/>
    <n v="0"/>
    <s v="Germany"/>
    <x v="0"/>
  </r>
  <r>
    <n v="2024002222"/>
    <x v="261"/>
    <n v="2024"/>
    <x v="182"/>
    <s v="PROD_009"/>
    <s v="Phone Stand"/>
    <s v="Accessories"/>
    <n v="4"/>
    <n v="27.52"/>
    <n v="110.08"/>
    <n v="110.08"/>
    <n v="0"/>
    <s v="Switzerland"/>
    <x v="1"/>
  </r>
  <r>
    <n v="2024002223"/>
    <x v="176"/>
    <n v="2024"/>
    <x v="0"/>
    <s v="PROD_003"/>
    <s v="USB-C Cable"/>
    <s v="Electronics"/>
    <n v="1"/>
    <n v="15.17"/>
    <n v="15.17"/>
    <n v="15.17"/>
    <n v="0"/>
    <s v="Germany"/>
    <x v="1"/>
  </r>
  <r>
    <n v="2024002224"/>
    <x v="275"/>
    <n v="2024"/>
    <x v="237"/>
    <s v="PROD_001"/>
    <s v="Laptop Pro"/>
    <s v="Electronics"/>
    <n v="1"/>
    <n v="1238.6500000000001"/>
    <n v="1238.6500000000001"/>
    <n v="1238.6500000000001"/>
    <n v="0"/>
    <s v="Spain"/>
    <x v="3"/>
  </r>
  <r>
    <n v="2024002225"/>
    <x v="45"/>
    <n v="2024"/>
    <x v="62"/>
    <s v="PROD_001"/>
    <s v="Laptop Pro"/>
    <s v="Electronics"/>
    <n v="2"/>
    <n v="1164.77"/>
    <n v="2329.54"/>
    <n v="2329.54"/>
    <n v="0"/>
    <s v="France"/>
    <x v="1"/>
  </r>
  <r>
    <n v="2024002226"/>
    <x v="1"/>
    <n v="2024"/>
    <x v="0"/>
    <s v="PROD_004"/>
    <s v="Desk Chair"/>
    <s v="Furniture"/>
    <n v="1"/>
    <n v="388.3"/>
    <n v="388.3"/>
    <n v="388.3"/>
    <n v="0"/>
    <s v="Switzerland"/>
    <x v="2"/>
  </r>
  <r>
    <n v="2024002227"/>
    <x v="219"/>
    <n v="2024"/>
    <x v="0"/>
    <s v="PROD_006"/>
    <s v="Monitor 27&quot;"/>
    <s v="Electronics"/>
    <n v="1"/>
    <n v="395.33"/>
    <n v="395.33"/>
    <n v="395.33"/>
    <n v="0"/>
    <s v="Austria"/>
    <x v="1"/>
  </r>
  <r>
    <n v="2024002130"/>
    <x v="151"/>
    <n v="2024"/>
    <x v="252"/>
    <s v="PROD_001"/>
    <s v="Laptop Pro"/>
    <s v="Electronics"/>
    <n v="1"/>
    <n v="1267.5"/>
    <n v="1267.5"/>
    <n v="1267.5"/>
    <n v="0"/>
    <s v="Germany"/>
    <x v="1"/>
  </r>
  <r>
    <n v="2024002229"/>
    <x v="113"/>
    <n v="2024"/>
    <x v="180"/>
    <s v="PROD_001"/>
    <s v="Laptop Pro"/>
    <s v="Electronics"/>
    <n v="4"/>
    <n v="1095.43"/>
    <n v="4381.72"/>
    <n v="4381.72"/>
    <n v="0"/>
    <s v="Italy"/>
    <x v="0"/>
  </r>
  <r>
    <n v="2024002230"/>
    <x v="330"/>
    <n v="2024"/>
    <x v="0"/>
    <s v="PROD_006"/>
    <s v="Monitor 27&quot;"/>
    <s v="Electronics"/>
    <n v="1"/>
    <n v="409.72"/>
    <n v="409.72"/>
    <n v="409.72"/>
    <n v="0"/>
    <s v="Belgium"/>
    <x v="3"/>
  </r>
  <r>
    <n v="2024002231"/>
    <x v="352"/>
    <n v="2024"/>
    <x v="293"/>
    <s v="PROD_007"/>
    <s v="Keyboard Mechanical"/>
    <s v="Electronics"/>
    <n v="1"/>
    <n v="118.05"/>
    <n v="118.05"/>
    <n v="118.05"/>
    <n v="0"/>
    <s v="Italy"/>
    <x v="3"/>
  </r>
  <r>
    <n v="2024002232"/>
    <x v="216"/>
    <n v="2024"/>
    <x v="0"/>
    <s v="PROD_008"/>
    <s v="Desk Lamp"/>
    <s v="Furniture"/>
    <n v="1"/>
    <n v="77.37"/>
    <n v="77.37"/>
    <n v="77.37"/>
    <n v="0"/>
    <s v="Switzerland"/>
    <x v="3"/>
  </r>
  <r>
    <n v="2024002233"/>
    <x v="202"/>
    <n v="2024"/>
    <x v="221"/>
    <s v="PROD_001"/>
    <s v="Laptop Pro"/>
    <s v="Electronics"/>
    <n v="1"/>
    <n v="1220.51"/>
    <n v="1220.51"/>
    <n v="1220.51"/>
    <n v="0"/>
    <s v="France"/>
    <x v="2"/>
  </r>
  <r>
    <n v="2024002234"/>
    <x v="154"/>
    <n v="2024"/>
    <x v="55"/>
    <s v="PROD_010"/>
    <s v="Webcam HD"/>
    <s v="Electronics"/>
    <n v="2"/>
    <n v="97.13"/>
    <n v="194.26"/>
    <n v="194.26"/>
    <n v="0"/>
    <s v="Netherlands"/>
    <x v="0"/>
  </r>
  <r>
    <n v="2024002235"/>
    <x v="161"/>
    <n v="2024"/>
    <x v="0"/>
    <s v="PROD_009"/>
    <s v="Phone Stand"/>
    <s v="Accessories"/>
    <n v="1"/>
    <n v="25.2"/>
    <n v="25.2"/>
    <n v="25.2"/>
    <n v="0"/>
    <s v="Belgium"/>
    <x v="2"/>
  </r>
  <r>
    <n v="2024002236"/>
    <x v="155"/>
    <n v="2024"/>
    <x v="0"/>
    <s v="PROD_010"/>
    <s v="Webcam HD"/>
    <s v="Electronics"/>
    <n v="4"/>
    <n v="91.58"/>
    <n v="366.32"/>
    <n v="366.32"/>
    <n v="0"/>
    <s v="Spain"/>
    <x v="0"/>
  </r>
  <r>
    <n v="2024002237"/>
    <x v="277"/>
    <n v="2024"/>
    <x v="0"/>
    <s v="PROD_008"/>
    <s v="Desk Lamp"/>
    <s v="Furniture"/>
    <n v="3"/>
    <n v="78.12"/>
    <n v="234.36"/>
    <n v="234.36"/>
    <n v="0"/>
    <s v="Italy"/>
    <x v="2"/>
  </r>
  <r>
    <n v="2024002238"/>
    <x v="82"/>
    <n v="2024"/>
    <x v="212"/>
    <s v="PROD_001"/>
    <s v="Laptop Pro"/>
    <s v="Electronics"/>
    <n v="1"/>
    <n v="1249.75"/>
    <n v="1249.75"/>
    <n v="1249.75"/>
    <n v="0"/>
    <s v="UK"/>
    <x v="1"/>
  </r>
  <r>
    <n v="2024002239"/>
    <x v="200"/>
    <n v="2024"/>
    <x v="271"/>
    <s v="PROD_009"/>
    <s v="Phone Stand"/>
    <s v="Accessories"/>
    <n v="2"/>
    <n v="24.29"/>
    <n v="48.58"/>
    <n v="48.58"/>
    <n v="0"/>
    <s v="Germany"/>
    <x v="0"/>
  </r>
  <r>
    <n v="2024002240"/>
    <x v="271"/>
    <n v="2024"/>
    <x v="0"/>
    <s v="PROD_002"/>
    <s v="Wireless Mouse"/>
    <s v="Electronics"/>
    <n v="2"/>
    <n v="47.41"/>
    <n v="94.82"/>
    <n v="94.82"/>
    <n v="0"/>
    <s v="Italy"/>
    <x v="3"/>
  </r>
  <r>
    <n v="2024002241"/>
    <x v="138"/>
    <n v="2024"/>
    <x v="295"/>
    <s v="PROD_010"/>
    <s v="Webcam HD"/>
    <s v="Electronics"/>
    <n v="1"/>
    <n v="94.56"/>
    <n v="94.56"/>
    <n v="94.56"/>
    <n v="0"/>
    <s v="UK"/>
    <x v="1"/>
  </r>
  <r>
    <n v="2024002242"/>
    <x v="120"/>
    <n v="2024"/>
    <x v="168"/>
    <s v="PROD_010"/>
    <s v="Webcam HD"/>
    <s v="Electronics"/>
    <n v="1"/>
    <n v="91.12"/>
    <n v="91.12"/>
    <n v="91.12"/>
    <n v="0"/>
    <s v="Switzerland"/>
    <x v="0"/>
  </r>
  <r>
    <n v="2024002243"/>
    <x v="134"/>
    <n v="2024"/>
    <x v="217"/>
    <s v="PROD_004"/>
    <s v="Desk Chair"/>
    <s v="Furniture"/>
    <n v="1"/>
    <n v="349.79"/>
    <n v="349.79"/>
    <n v="349.79"/>
    <n v="0"/>
    <s v="Spain"/>
    <x v="0"/>
  </r>
  <r>
    <n v="2024002244"/>
    <x v="40"/>
    <n v="2024"/>
    <x v="109"/>
    <s v="PROD_002"/>
    <s v="Wireless Mouse"/>
    <s v="Electronics"/>
    <n v="1"/>
    <n v="50.62"/>
    <n v="50.62"/>
    <n v="50.62"/>
    <n v="0"/>
    <s v="UK"/>
    <x v="1"/>
  </r>
  <r>
    <n v="2024002245"/>
    <x v="51"/>
    <n v="2024"/>
    <x v="81"/>
    <s v="PROD_006"/>
    <s v="Monitor 27&quot;"/>
    <s v="Electronics"/>
    <n v="3"/>
    <n v="400.92"/>
    <n v="1202.76"/>
    <n v="1202.76"/>
    <n v="0"/>
    <s v="Belgium"/>
    <x v="1"/>
  </r>
  <r>
    <n v="2024002246"/>
    <x v="230"/>
    <n v="2024"/>
    <x v="272"/>
    <s v="PROD_005"/>
    <s v="Standing Desk"/>
    <s v="Furniture"/>
    <n v="3"/>
    <n v="571.46"/>
    <n v="1714.38"/>
    <n v="1714.38"/>
    <n v="0"/>
    <s v="Sweden"/>
    <x v="0"/>
  </r>
  <r>
    <n v="2024002247"/>
    <x v="187"/>
    <n v="2024"/>
    <x v="46"/>
    <s v="PROD_009"/>
    <s v="Phone Stand"/>
    <s v="Accessories"/>
    <n v="1"/>
    <n v="24.57"/>
    <n v="24.57"/>
    <n v="24.57"/>
    <n v="0"/>
    <s v="Italy"/>
    <x v="1"/>
  </r>
  <r>
    <n v="2024002248"/>
    <x v="56"/>
    <n v="2024"/>
    <x v="275"/>
    <s v="PROD_003"/>
    <s v="USB-C Cable"/>
    <s v="Electronics"/>
    <n v="1"/>
    <n v="14.84"/>
    <n v="14.84"/>
    <n v="14.84"/>
    <n v="0"/>
    <s v="Austria"/>
    <x v="1"/>
  </r>
  <r>
    <n v="2024002249"/>
    <x v="14"/>
    <n v="2024"/>
    <x v="200"/>
    <s v="PROD_008"/>
    <s v="Desk Lamp"/>
    <s v="Furniture"/>
    <n v="3"/>
    <n v="85.7"/>
    <n v="257.10000000000002"/>
    <n v="257.10000000000002"/>
    <n v="0"/>
    <s v="Austria"/>
    <x v="3"/>
  </r>
  <r>
    <n v="2024002250"/>
    <x v="19"/>
    <n v="2024"/>
    <x v="0"/>
    <s v="PROD_005"/>
    <s v="Standing Desk"/>
    <s v="Furniture"/>
    <n v="2"/>
    <n v="588"/>
    <n v="1176"/>
    <n v="1176"/>
    <n v="0"/>
    <s v="Netherlands"/>
    <x v="3"/>
  </r>
  <r>
    <n v="2024002251"/>
    <x v="57"/>
    <n v="2024"/>
    <x v="274"/>
    <s v="PROD_009"/>
    <s v="Phone Stand"/>
    <s v="Accessories"/>
    <n v="2"/>
    <n v="24.07"/>
    <n v="48.14"/>
    <n v="48.14"/>
    <n v="0"/>
    <s v="France"/>
    <x v="0"/>
  </r>
  <r>
    <n v="2024002252"/>
    <x v="273"/>
    <n v="2024"/>
    <x v="0"/>
    <s v="PROD_001"/>
    <s v="Laptop Pro"/>
    <s v="Electronics"/>
    <n v="1"/>
    <n v="1203.5"/>
    <n v="1203.5"/>
    <n v="1203.5"/>
    <n v="0"/>
    <s v="Austria"/>
    <x v="1"/>
  </r>
  <r>
    <n v="2024002253"/>
    <x v="166"/>
    <n v="2024"/>
    <x v="45"/>
    <s v="PROD_002"/>
    <s v="Wireless Mouse"/>
    <s v="Electronics"/>
    <n v="3"/>
    <n v="43.64"/>
    <n v="130.91999999999999"/>
    <n v="130.92000000000002"/>
    <n v="0"/>
    <s v="Belgium"/>
    <x v="3"/>
  </r>
  <r>
    <n v="2024002254"/>
    <x v="190"/>
    <n v="2024"/>
    <x v="0"/>
    <s v="PROD_008"/>
    <s v="Desk Lamp"/>
    <s v="Furniture"/>
    <n v="0"/>
    <n v="80.510000000000005"/>
    <n v="0"/>
    <n v="0"/>
    <n v="0"/>
    <s v="Sweden"/>
    <x v="2"/>
  </r>
  <r>
    <n v="2024002255"/>
    <x v="148"/>
    <n v="2024"/>
    <x v="90"/>
    <s v="PROD_009"/>
    <s v="Phone Stand"/>
    <s v="Accessories"/>
    <n v="4"/>
    <n v="24.57"/>
    <n v="98.28"/>
    <n v="98.28"/>
    <n v="0"/>
    <s v="Germany"/>
    <x v="0"/>
  </r>
  <r>
    <n v="2024002256"/>
    <x v="275"/>
    <n v="2024"/>
    <x v="21"/>
    <s v="PROD_001"/>
    <s v="Laptop Pro"/>
    <s v="Electronics"/>
    <n v="1"/>
    <n v="1102.58"/>
    <n v="1102.58"/>
    <n v="1102.58"/>
    <n v="0"/>
    <s v="Netherlands"/>
    <x v="2"/>
  </r>
  <r>
    <n v="2024002257"/>
    <x v="83"/>
    <n v="2024"/>
    <x v="295"/>
    <s v="PROD_006"/>
    <s v="Monitor 27&quot;"/>
    <s v="Electronics"/>
    <n v="3"/>
    <n v="392.6"/>
    <n v="1177.8"/>
    <n v="1177.8000000000002"/>
    <n v="0"/>
    <s v="Netherlands"/>
    <x v="2"/>
  </r>
  <r>
    <n v="2024002258"/>
    <x v="258"/>
    <n v="2024"/>
    <x v="16"/>
    <s v="PROD_010"/>
    <s v="Webcam HD"/>
    <s v="Electronics"/>
    <n v="1"/>
    <n v="90.46"/>
    <n v="90.46"/>
    <n v="90.46"/>
    <n v="0"/>
    <s v="Belgium"/>
    <x v="0"/>
  </r>
  <r>
    <n v="2024002259"/>
    <x v="14"/>
    <n v="2024"/>
    <x v="54"/>
    <s v="PROD_002"/>
    <s v="Wireless Mouse"/>
    <s v="Electronics"/>
    <n v="2"/>
    <n v="45.75"/>
    <n v="91.5"/>
    <n v="91.5"/>
    <n v="0"/>
    <s v="Italy"/>
    <x v="3"/>
  </r>
  <r>
    <n v="2024002260"/>
    <x v="261"/>
    <n v="2024"/>
    <x v="10"/>
    <s v="PROD_001"/>
    <s v="Laptop Pro"/>
    <s v="Electronics"/>
    <n v="2"/>
    <n v="1125.26"/>
    <n v="2250.52"/>
    <n v="2250.52"/>
    <n v="0"/>
    <s v="Austria"/>
    <x v="2"/>
  </r>
  <r>
    <n v="2024002261"/>
    <x v="14"/>
    <n v="2024"/>
    <x v="204"/>
    <s v="PROD_001"/>
    <s v="Laptop Pro"/>
    <s v="Electronics"/>
    <n v="1"/>
    <n v="1231.3499999999999"/>
    <n v="1231.3499999999999"/>
    <n v="1231.3499999999999"/>
    <n v="0"/>
    <s v="Switzerland"/>
    <x v="3"/>
  </r>
  <r>
    <n v="2024002262"/>
    <x v="51"/>
    <n v="2024"/>
    <x v="0"/>
    <s v="PROD_001"/>
    <s v="Laptop Pro"/>
    <s v="Electronics"/>
    <n v="1"/>
    <n v="1197.28"/>
    <n v="1197.28"/>
    <n v="1197.28"/>
    <n v="0"/>
    <s v="Germany"/>
    <x v="0"/>
  </r>
  <r>
    <n v="2024002263"/>
    <x v="259"/>
    <n v="2024"/>
    <x v="121"/>
    <s v="PROD_004"/>
    <s v="Desk Chair"/>
    <s v="Furniture"/>
    <n v="1"/>
    <n v="328.42"/>
    <n v="328.42"/>
    <n v="328.42"/>
    <n v="0"/>
    <s v="France"/>
    <x v="3"/>
  </r>
  <r>
    <n v="2024002264"/>
    <x v="346"/>
    <n v="2024"/>
    <x v="231"/>
    <s v="PROD_009"/>
    <s v="Phone Stand"/>
    <s v="Accessories"/>
    <n v="1"/>
    <n v="23.63"/>
    <n v="23.63"/>
    <n v="23.63"/>
    <n v="0"/>
    <s v="Sweden"/>
    <x v="1"/>
  </r>
  <r>
    <n v="2024002265"/>
    <x v="89"/>
    <n v="2024"/>
    <x v="208"/>
    <s v="PROD_007"/>
    <s v="Keyboard Mechanical"/>
    <s v="Electronics"/>
    <n v="1"/>
    <n v="118.16"/>
    <n v="118.16"/>
    <n v="118.16"/>
    <n v="0"/>
    <s v="Switzerland"/>
    <x v="2"/>
  </r>
  <r>
    <n v="2024002266"/>
    <x v="227"/>
    <n v="2024"/>
    <x v="233"/>
    <s v="PROD_002"/>
    <s v="Wireless Mouse"/>
    <s v="Electronics"/>
    <n v="1"/>
    <n v="41.49"/>
    <n v="41.49"/>
    <n v="41.49"/>
    <n v="0"/>
    <s v="UK"/>
    <x v="1"/>
  </r>
  <r>
    <n v="2024002267"/>
    <x v="260"/>
    <n v="2024"/>
    <x v="0"/>
    <s v="PROD_010"/>
    <s v="Webcam HD"/>
    <s v="Electronics"/>
    <n v="2"/>
    <n v="102.75"/>
    <n v="205.5"/>
    <n v="205.5"/>
    <n v="0"/>
    <s v="Austria"/>
    <x v="1"/>
  </r>
  <r>
    <n v="2024002268"/>
    <x v="286"/>
    <n v="2024"/>
    <x v="117"/>
    <s v="PROD_005"/>
    <s v="Standing Desk"/>
    <s v="Furniture"/>
    <n v="1"/>
    <n v="638.69000000000005"/>
    <n v="638.69000000000005"/>
    <n v="638.69000000000005"/>
    <n v="0"/>
    <s v="Belgium"/>
    <x v="1"/>
  </r>
  <r>
    <n v="2024002269"/>
    <x v="144"/>
    <n v="2024"/>
    <x v="117"/>
    <s v="PROD_009"/>
    <s v="Phone Stand"/>
    <s v="Accessories"/>
    <n v="2"/>
    <n v="25.04"/>
    <n v="50.08"/>
    <n v="50.08"/>
    <n v="0"/>
    <s v="Italy"/>
    <x v="1"/>
  </r>
  <r>
    <n v="2024002270"/>
    <x v="60"/>
    <n v="2024"/>
    <x v="0"/>
    <s v="PROD_005"/>
    <s v="Standing Desk"/>
    <s v="Furniture"/>
    <n v="2"/>
    <n v="571.16999999999996"/>
    <n v="1142.3399999999999"/>
    <n v="1142.3399999999999"/>
    <n v="0"/>
    <s v="Sweden"/>
    <x v="0"/>
  </r>
  <r>
    <n v="2024002271"/>
    <x v="204"/>
    <n v="2024"/>
    <x v="11"/>
    <s v="PROD_008"/>
    <s v="Desk Lamp"/>
    <s v="Furniture"/>
    <n v="1"/>
    <n v="82.12"/>
    <n v="82.12"/>
    <n v="82.12"/>
    <n v="0"/>
    <s v="Spain"/>
    <x v="1"/>
  </r>
  <r>
    <n v="2024002272"/>
    <x v="112"/>
    <n v="2024"/>
    <x v="86"/>
    <s v="PROD_006"/>
    <s v="Monitor 27&quot;"/>
    <s v="Electronics"/>
    <n v="1"/>
    <n v="400.96"/>
    <n v="400.96"/>
    <n v="400.96"/>
    <n v="0"/>
    <s v="Germany"/>
    <x v="0"/>
  </r>
  <r>
    <n v="2024002273"/>
    <x v="207"/>
    <n v="2024"/>
    <x v="134"/>
    <s v="PROD_010"/>
    <s v="Webcam HD"/>
    <s v="Electronics"/>
    <n v="1"/>
    <n v="95.24"/>
    <n v="95.24"/>
    <n v="95.24"/>
    <n v="0"/>
    <s v="France"/>
    <x v="1"/>
  </r>
  <r>
    <n v="2024002274"/>
    <x v="334"/>
    <n v="2024"/>
    <x v="104"/>
    <s v="PROD_004"/>
    <s v="Desk Chair"/>
    <s v="Furniture"/>
    <n v="1"/>
    <n v="370.05"/>
    <n v="370.05"/>
    <n v="370.05"/>
    <n v="0"/>
    <s v="Netherlands"/>
    <x v="3"/>
  </r>
  <r>
    <n v="2024002275"/>
    <x v="303"/>
    <n v="2024"/>
    <x v="260"/>
    <s v="PROD_007"/>
    <s v="Keyboard Mechanical"/>
    <s v="Electronics"/>
    <n v="2"/>
    <n v="126.86"/>
    <n v="253.72"/>
    <n v="253.72"/>
    <n v="0"/>
    <s v="Germany"/>
    <x v="1"/>
  </r>
  <r>
    <n v="2024002276"/>
    <x v="336"/>
    <n v="2024"/>
    <x v="150"/>
    <s v="PROD_001"/>
    <s v="Laptop Pro"/>
    <s v="Electronics"/>
    <n v="1"/>
    <n v="1175.9100000000001"/>
    <n v="1175.9100000000001"/>
    <n v="1175.9100000000001"/>
    <n v="0"/>
    <s v="Italy"/>
    <x v="1"/>
  </r>
  <r>
    <n v="2024002277"/>
    <x v="347"/>
    <n v="2024"/>
    <x v="0"/>
    <s v="PROD_001"/>
    <s v="Laptop Pro"/>
    <s v="Electronics"/>
    <n v="3"/>
    <n v="1212.72"/>
    <n v="3638.16"/>
    <n v="3638.16"/>
    <n v="0"/>
    <s v="Netherlands"/>
    <x v="1"/>
  </r>
  <r>
    <n v="2024002278"/>
    <x v="174"/>
    <n v="2024"/>
    <x v="143"/>
    <s v="PROD_001"/>
    <s v="Laptop Pro"/>
    <s v="Electronics"/>
    <n v="2"/>
    <n v="1085.72"/>
    <n v="2171.44"/>
    <n v="2171.44"/>
    <n v="0"/>
    <s v="Italy"/>
    <x v="1"/>
  </r>
  <r>
    <n v="2024002279"/>
    <x v="152"/>
    <n v="2024"/>
    <x v="169"/>
    <s v="PROD_003"/>
    <s v="USB-C Cable"/>
    <s v="Electronics"/>
    <n v="5"/>
    <n v="16.079999999999998"/>
    <n v="80.400000000000006"/>
    <n v="80.399999999999991"/>
    <n v="0"/>
    <s v="Belgium"/>
    <x v="2"/>
  </r>
  <r>
    <n v="2024002280"/>
    <x v="77"/>
    <n v="2024"/>
    <x v="137"/>
    <s v="PROD_004"/>
    <s v="Desk Chair"/>
    <s v="Furniture"/>
    <n v="1"/>
    <n v="362.62"/>
    <n v="362.62"/>
    <n v="362.62"/>
    <n v="0"/>
    <s v="Italy"/>
    <x v="3"/>
  </r>
  <r>
    <n v="2024002281"/>
    <x v="266"/>
    <n v="2024"/>
    <x v="211"/>
    <s v="PROD_004"/>
    <s v="Desk Chair"/>
    <s v="Furniture"/>
    <n v="1"/>
    <n v="340.46"/>
    <n v="340.46"/>
    <n v="340.46"/>
    <n v="0"/>
    <s v="France"/>
    <x v="3"/>
  </r>
  <r>
    <n v="2024002282"/>
    <x v="162"/>
    <n v="2024"/>
    <x v="100"/>
    <s v="PROD_008"/>
    <s v="Desk Lamp"/>
    <s v="Furniture"/>
    <n v="1"/>
    <n v="82.13"/>
    <n v="82.13"/>
    <n v="82.13"/>
    <n v="0"/>
    <s v="Spain"/>
    <x v="1"/>
  </r>
  <r>
    <n v="2024002283"/>
    <x v="38"/>
    <n v="2024"/>
    <x v="183"/>
    <s v="PROD_001"/>
    <s v="Laptop Pro"/>
    <s v="Electronics"/>
    <n v="2"/>
    <n v="1135.03"/>
    <n v="2270.06"/>
    <n v="2270.06"/>
    <n v="0"/>
    <s v="Sweden"/>
    <x v="1"/>
  </r>
  <r>
    <n v="2024002284"/>
    <x v="354"/>
    <n v="2024"/>
    <x v="65"/>
    <s v="PROD_002"/>
    <s v="Wireless Mouse"/>
    <s v="Electronics"/>
    <n v="1"/>
    <n v="44.37"/>
    <n v="44.37"/>
    <n v="44.37"/>
    <n v="0"/>
    <s v="France"/>
    <x v="1"/>
  </r>
  <r>
    <n v="2024002285"/>
    <x v="355"/>
    <n v="2024"/>
    <x v="296"/>
    <s v="PROD_003"/>
    <s v="USB-C Cable"/>
    <s v="Electronics"/>
    <n v="1"/>
    <n v="14.03"/>
    <n v="14.03"/>
    <n v="14.03"/>
    <n v="0"/>
    <s v="France"/>
    <x v="3"/>
  </r>
  <r>
    <n v="2024002286"/>
    <x v="52"/>
    <n v="2024"/>
    <x v="160"/>
    <s v="PROD_002"/>
    <s v="Wireless Mouse"/>
    <s v="Electronics"/>
    <n v="2"/>
    <n v="47.86"/>
    <n v="95.72"/>
    <n v="95.72"/>
    <n v="0"/>
    <s v="Italy"/>
    <x v="2"/>
  </r>
  <r>
    <n v="2024002287"/>
    <x v="209"/>
    <n v="2024"/>
    <x v="153"/>
    <s v="PROD_005"/>
    <s v="Standing Desk"/>
    <s v="Furniture"/>
    <n v="1"/>
    <n v="570.6"/>
    <n v="570.6"/>
    <n v="570.6"/>
    <n v="0"/>
    <s v="Italy"/>
    <x v="0"/>
  </r>
  <r>
    <n v="2024001633"/>
    <x v="252"/>
    <n v="2024"/>
    <x v="107"/>
    <s v="PROD_003"/>
    <s v="USB-C Cable"/>
    <s v="Electronics"/>
    <n v="2"/>
    <n v="14.32"/>
    <n v="28.64"/>
    <n v="28.64"/>
    <n v="0"/>
    <s v="Belgium"/>
    <x v="3"/>
  </r>
  <r>
    <n v="2024002289"/>
    <x v="332"/>
    <n v="2024"/>
    <x v="260"/>
    <s v="PROD_006"/>
    <s v="Monitor 27&quot;"/>
    <s v="Electronics"/>
    <n v="1"/>
    <n v="399.88"/>
    <n v="399.88"/>
    <n v="399.88"/>
    <n v="0"/>
    <s v="France"/>
    <x v="0"/>
  </r>
  <r>
    <n v="2024002290"/>
    <x v="187"/>
    <n v="2024"/>
    <x v="294"/>
    <s v="PROD_001"/>
    <s v="Laptop Pro"/>
    <s v="Electronics"/>
    <n v="1"/>
    <n v="1227.06"/>
    <n v="1227.06"/>
    <n v="1227.06"/>
    <n v="0"/>
    <s v="Netherlands"/>
    <x v="1"/>
  </r>
  <r>
    <n v="2024002291"/>
    <x v="123"/>
    <n v="2024"/>
    <x v="0"/>
    <s v="PROD_005"/>
    <s v="Standing Desk"/>
    <s v="Furniture"/>
    <n v="1"/>
    <n v="630.20000000000005"/>
    <n v="630.20000000000005"/>
    <n v="630.20000000000005"/>
    <n v="0"/>
    <s v="Austria"/>
    <x v="3"/>
  </r>
  <r>
    <n v="2024002292"/>
    <x v="170"/>
    <n v="2024"/>
    <x v="280"/>
    <s v="PROD_004"/>
    <s v="Desk Chair"/>
    <s v="Furniture"/>
    <n v="2"/>
    <n v="315.18"/>
    <n v="630.36"/>
    <n v="630.36"/>
    <n v="0"/>
    <s v="Germany"/>
    <x v="2"/>
  </r>
  <r>
    <n v="2024002293"/>
    <x v="127"/>
    <n v="2024"/>
    <x v="200"/>
    <s v="PROD_001"/>
    <s v="Laptop Pro"/>
    <s v="Electronics"/>
    <n v="3"/>
    <n v="1159.51"/>
    <n v="3478.53"/>
    <n v="3478.5299999999997"/>
    <n v="0"/>
    <s v="Switzerland"/>
    <x v="2"/>
  </r>
  <r>
    <n v="2024001215"/>
    <x v="245"/>
    <n v="2024"/>
    <x v="164"/>
    <s v="PROD_007"/>
    <s v="Keyboard Mechanical"/>
    <s v="Electronics"/>
    <n v="1"/>
    <n v="110.09"/>
    <n v="110.09"/>
    <n v="110.09"/>
    <n v="0"/>
    <s v="Germany"/>
    <x v="3"/>
  </r>
  <r>
    <n v="2024002295"/>
    <x v="73"/>
    <n v="2024"/>
    <x v="102"/>
    <s v="PROD_001"/>
    <s v="Laptop Pro"/>
    <s v="Electronics"/>
    <n v="3"/>
    <n v="1137.5899999999999"/>
    <n v="3412.77"/>
    <n v="3412.7699999999995"/>
    <n v="0"/>
    <s v="Switzerland"/>
    <x v="1"/>
  </r>
  <r>
    <n v="2024002296"/>
    <x v="107"/>
    <n v="2024"/>
    <x v="17"/>
    <s v="PROD_005"/>
    <s v="Standing Desk"/>
    <s v="Furniture"/>
    <n v="3"/>
    <n v="621.37"/>
    <n v="1864.11"/>
    <n v="1864.1100000000001"/>
    <n v="0"/>
    <s v="Belgium"/>
    <x v="0"/>
  </r>
  <r>
    <n v="2024002297"/>
    <x v="123"/>
    <n v="2024"/>
    <x v="150"/>
    <s v="PROD_008"/>
    <s v="Desk Lamp"/>
    <s v="Furniture"/>
    <n v="3"/>
    <n v="75.69"/>
    <n v="227.07"/>
    <n v="227.07"/>
    <n v="0"/>
    <s v="Italy"/>
    <x v="2"/>
  </r>
  <r>
    <n v="2024002298"/>
    <x v="240"/>
    <n v="2024"/>
    <x v="14"/>
    <s v="PROD_007"/>
    <s v="Keyboard Mechanical"/>
    <s v="Electronics"/>
    <n v="1"/>
    <n v="123.62"/>
    <n v="123.62"/>
    <n v="123.62"/>
    <n v="0"/>
    <s v="France"/>
    <x v="0"/>
  </r>
  <r>
    <n v="2024002299"/>
    <x v="259"/>
    <n v="2024"/>
    <x v="277"/>
    <s v="PROD_003"/>
    <s v="USB-C Cable"/>
    <s v="Electronics"/>
    <n v="2"/>
    <n v="13.51"/>
    <n v="27.02"/>
    <n v="27.02"/>
    <n v="0"/>
    <s v="Sweden"/>
    <x v="1"/>
  </r>
  <r>
    <n v="2024002300"/>
    <x v="343"/>
    <n v="2024"/>
    <x v="0"/>
    <s v="PROD_008"/>
    <s v="Desk Lamp"/>
    <s v="Furniture"/>
    <n v="4"/>
    <n v="82.74"/>
    <n v="330.96"/>
    <n v="330.96"/>
    <n v="0"/>
    <s v="Germany"/>
    <x v="3"/>
  </r>
  <r>
    <n v="2024002301"/>
    <x v="71"/>
    <n v="2024"/>
    <x v="275"/>
    <s v="PROD_005"/>
    <s v="Standing Desk"/>
    <s v="Furniture"/>
    <n v="1"/>
    <n v="626.58000000000004"/>
    <n v="626.58000000000004"/>
    <n v="626.58000000000004"/>
    <n v="0"/>
    <s v="Netherlands"/>
    <x v="1"/>
  </r>
  <r>
    <n v="2024002302"/>
    <x v="196"/>
    <n v="2024"/>
    <x v="157"/>
    <s v="PROD_004"/>
    <s v="Desk Chair"/>
    <s v="Furniture"/>
    <n v="3"/>
    <n v="340.75"/>
    <n v="1022.25"/>
    <n v="1022.25"/>
    <n v="0"/>
    <s v="France"/>
    <x v="0"/>
  </r>
  <r>
    <n v="2024002303"/>
    <x v="347"/>
    <n v="2024"/>
    <x v="28"/>
    <s v="PROD_004"/>
    <s v="Desk Chair"/>
    <s v="Furniture"/>
    <n v="5"/>
    <n v="364.74"/>
    <n v="1823.7"/>
    <n v="1823.7"/>
    <n v="0"/>
    <s v="Sweden"/>
    <x v="2"/>
  </r>
  <r>
    <n v="2024002304"/>
    <x v="350"/>
    <n v="2024"/>
    <x v="96"/>
    <s v="PROD_009"/>
    <s v="Phone Stand"/>
    <s v="Accessories"/>
    <n v="1"/>
    <n v="25.66"/>
    <n v="25.66"/>
    <n v="25.66"/>
    <n v="0"/>
    <s v="UK"/>
    <x v="0"/>
  </r>
  <r>
    <n v="2024002305"/>
    <x v="239"/>
    <n v="2024"/>
    <x v="174"/>
    <s v="PROD_008"/>
    <s v="Desk Lamp"/>
    <s v="Furniture"/>
    <n v="2"/>
    <n v="83.43"/>
    <n v="166.86"/>
    <n v="166.86"/>
    <n v="0"/>
    <s v="Italy"/>
    <x v="2"/>
  </r>
  <r>
    <n v="2024002306"/>
    <x v="342"/>
    <n v="2024"/>
    <x v="155"/>
    <s v="PROD_004"/>
    <s v="Desk Chair"/>
    <s v="Furniture"/>
    <n v="2"/>
    <n v="360.55"/>
    <n v="721.1"/>
    <n v="721.1"/>
    <n v="0"/>
    <s v="UK"/>
    <x v="2"/>
  </r>
  <r>
    <n v="2024002307"/>
    <x v="329"/>
    <n v="2024"/>
    <x v="150"/>
    <s v="PROD_007"/>
    <s v="Keyboard Mechanical"/>
    <s v="Electronics"/>
    <n v="1"/>
    <n v="124.77"/>
    <n v="124.77"/>
    <n v="124.77"/>
    <n v="0"/>
    <s v="Switzerland"/>
    <x v="3"/>
  </r>
  <r>
    <n v="2024002308"/>
    <x v="341"/>
    <n v="2024"/>
    <x v="111"/>
    <s v="PROD_006"/>
    <s v="Monitor 27&quot;"/>
    <s v="Electronics"/>
    <n v="2"/>
    <n v="429.48"/>
    <n v="858.96"/>
    <n v="858.96"/>
    <n v="0"/>
    <s v="Spain"/>
    <x v="1"/>
  </r>
  <r>
    <n v="2024002309"/>
    <x v="72"/>
    <n v="2024"/>
    <x v="0"/>
    <s v="PROD_004"/>
    <s v="Desk Chair"/>
    <s v="Furniture"/>
    <n v="2"/>
    <n v="365.26"/>
    <n v="730.52"/>
    <n v="730.52"/>
    <n v="0"/>
    <s v="UK"/>
    <x v="2"/>
  </r>
  <r>
    <n v="2024002310"/>
    <x v="164"/>
    <n v="2024"/>
    <x v="87"/>
    <s v="PROD_009"/>
    <s v="Phone Stand"/>
    <s v="Accessories"/>
    <n v="1"/>
    <n v="27.49"/>
    <n v="27.49"/>
    <n v="27.49"/>
    <n v="0"/>
    <s v="Switzerland"/>
    <x v="3"/>
  </r>
  <r>
    <n v="2024002311"/>
    <x v="298"/>
    <n v="2024"/>
    <x v="123"/>
    <s v="PROD_001"/>
    <s v="Laptop Pro"/>
    <s v="Electronics"/>
    <n v="1"/>
    <n v="1223.57"/>
    <n v="1223.57"/>
    <n v="1223.57"/>
    <n v="0"/>
    <s v="Netherlands"/>
    <x v="2"/>
  </r>
  <r>
    <n v="2024002312"/>
    <x v="16"/>
    <n v="2024"/>
    <x v="233"/>
    <s v="PROD_002"/>
    <s v="Wireless Mouse"/>
    <s v="Electronics"/>
    <n v="5"/>
    <n v="45.25"/>
    <n v="226.25"/>
    <n v="226.25"/>
    <n v="0"/>
    <s v="Switzerland"/>
    <x v="1"/>
  </r>
  <r>
    <n v="2024002313"/>
    <x v="142"/>
    <n v="2024"/>
    <x v="0"/>
    <s v="PROD_010"/>
    <s v="Webcam HD"/>
    <s v="Electronics"/>
    <n v="1"/>
    <n v="90.62"/>
    <n v="90.62"/>
    <n v="90.62"/>
    <n v="0"/>
    <s v="Switzerland"/>
    <x v="1"/>
  </r>
  <r>
    <n v="2024002314"/>
    <x v="266"/>
    <n v="2024"/>
    <x v="0"/>
    <s v="PROD_002"/>
    <s v="Wireless Mouse"/>
    <s v="Electronics"/>
    <n v="2"/>
    <n v="44.36"/>
    <n v="88.72"/>
    <n v="88.72"/>
    <n v="0"/>
    <s v="Austria"/>
    <x v="1"/>
  </r>
  <r>
    <n v="2024002315"/>
    <x v="208"/>
    <n v="2024"/>
    <x v="91"/>
    <s v="PROD_009"/>
    <s v="Phone Stand"/>
    <s v="Accessories"/>
    <n v="1"/>
    <n v="25.8"/>
    <n v="25.8"/>
    <n v="25.8"/>
    <n v="0"/>
    <s v="Italy"/>
    <x v="1"/>
  </r>
  <r>
    <n v="2024002316"/>
    <x v="2"/>
    <n v="2024"/>
    <x v="167"/>
    <s v="PROD_006"/>
    <s v="Monitor 27&quot;"/>
    <s v="Electronics"/>
    <n v="1"/>
    <n v="402.25"/>
    <n v="402.25"/>
    <n v="402.25"/>
    <n v="0"/>
    <s v="France"/>
    <x v="2"/>
  </r>
  <r>
    <n v="2024002317"/>
    <x v="185"/>
    <n v="2024"/>
    <x v="248"/>
    <s v="PROD_008"/>
    <s v="Desk Lamp"/>
    <s v="Furniture"/>
    <n v="2"/>
    <n v="78.5"/>
    <n v="157"/>
    <n v="157"/>
    <n v="0"/>
    <s v="Austria"/>
    <x v="1"/>
  </r>
  <r>
    <n v="2024002318"/>
    <x v="15"/>
    <n v="2024"/>
    <x v="236"/>
    <s v="PROD_009"/>
    <s v="Phone Stand"/>
    <s v="Accessories"/>
    <n v="2"/>
    <n v="23.75"/>
    <n v="47.5"/>
    <n v="47.5"/>
    <n v="0"/>
    <s v="Germany"/>
    <x v="0"/>
  </r>
  <r>
    <n v="2024002319"/>
    <x v="149"/>
    <n v="2024"/>
    <x v="110"/>
    <s v="PROD_004"/>
    <s v="Desk Chair"/>
    <s v="Furniture"/>
    <n v="1"/>
    <n v="343.71"/>
    <n v="343.71"/>
    <n v="343.71"/>
    <n v="0"/>
    <s v="Switzerland"/>
    <x v="0"/>
  </r>
  <r>
    <n v="2024002320"/>
    <x v="170"/>
    <n v="2024"/>
    <x v="164"/>
    <s v="PROD_005"/>
    <s v="Standing Desk"/>
    <s v="Furniture"/>
    <n v="2"/>
    <n v="596.67999999999995"/>
    <n v="1193.3599999999999"/>
    <n v="1193.3599999999999"/>
    <n v="0"/>
    <s v="Belgium"/>
    <x v="1"/>
  </r>
  <r>
    <n v="2024002321"/>
    <x v="268"/>
    <n v="2024"/>
    <x v="72"/>
    <s v="PROD_009"/>
    <s v="Phone Stand"/>
    <s v="Accessories"/>
    <n v="5"/>
    <n v="24.64"/>
    <n v="123.2"/>
    <n v="123.2"/>
    <n v="0"/>
    <s v="Austria"/>
    <x v="0"/>
  </r>
  <r>
    <n v="2024002322"/>
    <x v="176"/>
    <n v="2024"/>
    <x v="16"/>
    <s v="PROD_005"/>
    <s v="Standing Desk"/>
    <s v="Furniture"/>
    <n v="1"/>
    <n v="604.54"/>
    <n v="604.54"/>
    <n v="604.54"/>
    <n v="0"/>
    <s v="Spain"/>
    <x v="2"/>
  </r>
  <r>
    <n v="2024002323"/>
    <x v="133"/>
    <n v="2024"/>
    <x v="2"/>
    <s v="PROD_008"/>
    <s v="Desk Lamp"/>
    <s v="Furniture"/>
    <n v="1"/>
    <n v="87.85"/>
    <n v="87.85"/>
    <n v="87.85"/>
    <n v="0"/>
    <s v="Netherlands"/>
    <x v="1"/>
  </r>
  <r>
    <n v="2024002324"/>
    <x v="293"/>
    <n v="2024"/>
    <x v="53"/>
    <s v="PROD_001"/>
    <s v="Laptop Pro"/>
    <s v="Electronics"/>
    <n v="3"/>
    <n v="1257.25"/>
    <n v="3771.75"/>
    <n v="3771.75"/>
    <n v="0"/>
    <s v="Austria"/>
    <x v="1"/>
  </r>
  <r>
    <n v="2024002325"/>
    <x v="115"/>
    <n v="2024"/>
    <x v="52"/>
    <s v="PROD_007"/>
    <s v="Keyboard Mechanical"/>
    <s v="Electronics"/>
    <n v="2"/>
    <n v="127.31"/>
    <n v="254.62"/>
    <n v="254.62"/>
    <n v="0"/>
    <s v="Italy"/>
    <x v="2"/>
  </r>
  <r>
    <n v="2024002326"/>
    <x v="158"/>
    <n v="2024"/>
    <x v="71"/>
    <s v="PROD_009"/>
    <s v="Phone Stand"/>
    <s v="Accessories"/>
    <n v="2"/>
    <n v="24.63"/>
    <n v="49.26"/>
    <n v="49.26"/>
    <n v="0"/>
    <s v="Switzerland"/>
    <x v="1"/>
  </r>
  <r>
    <n v="2024002327"/>
    <x v="122"/>
    <n v="2024"/>
    <x v="78"/>
    <s v="PROD_010"/>
    <s v="Webcam HD"/>
    <s v="Electronics"/>
    <n v="2"/>
    <n v="95.29"/>
    <n v="190.58"/>
    <n v="190.58"/>
    <n v="0"/>
    <s v="Italy"/>
    <x v="2"/>
  </r>
  <r>
    <n v="2024002328"/>
    <x v="261"/>
    <n v="2024"/>
    <x v="0"/>
    <s v="PROD_007"/>
    <s v="Keyboard Mechanical"/>
    <s v="Electronics"/>
    <n v="4"/>
    <n v="121.78"/>
    <n v="487.12"/>
    <n v="487.12"/>
    <n v="0"/>
    <s v="Switzerland"/>
    <x v="1"/>
  </r>
  <r>
    <n v="2024002329"/>
    <x v="356"/>
    <n v="2024"/>
    <x v="0"/>
    <s v="PROD_007"/>
    <s v="Keyboard Mechanical"/>
    <s v="Electronics"/>
    <n v="1"/>
    <n v="112.68"/>
    <n v="112.68"/>
    <n v="112.68"/>
    <n v="0"/>
    <s v="France"/>
    <x v="3"/>
  </r>
  <r>
    <n v="2024002330"/>
    <x v="10"/>
    <n v="2024"/>
    <x v="185"/>
    <s v="PROD_009"/>
    <s v="Phone Stand"/>
    <s v="Accessories"/>
    <n v="1"/>
    <n v="25.26"/>
    <n v="25.26"/>
    <n v="25.26"/>
    <n v="0"/>
    <s v="France"/>
    <x v="2"/>
  </r>
  <r>
    <n v="2024002331"/>
    <x v="161"/>
    <n v="2024"/>
    <x v="93"/>
    <s v="PROD_010"/>
    <s v="Webcam HD"/>
    <s v="Electronics"/>
    <n v="3"/>
    <n v="94.36"/>
    <n v="283.08"/>
    <n v="283.08"/>
    <n v="0"/>
    <s v="France"/>
    <x v="3"/>
  </r>
  <r>
    <n v="2024002332"/>
    <x v="193"/>
    <n v="2024"/>
    <x v="136"/>
    <s v="PROD_005"/>
    <s v="Standing Desk"/>
    <s v="Furniture"/>
    <n v="3"/>
    <n v="559.9"/>
    <n v="1679.7"/>
    <n v="1679.6999999999998"/>
    <n v="0"/>
    <s v="Spain"/>
    <x v="1"/>
  </r>
  <r>
    <n v="2024002333"/>
    <x v="282"/>
    <n v="2024"/>
    <x v="0"/>
    <s v="PROD_006"/>
    <s v="Monitor 27&quot;"/>
    <s v="Electronics"/>
    <n v="3"/>
    <n v="426.73"/>
    <n v="1280.19"/>
    <n v="1280.19"/>
    <n v="0"/>
    <s v="UK"/>
    <x v="1"/>
  </r>
  <r>
    <n v="2024002334"/>
    <x v="56"/>
    <n v="2024"/>
    <x v="51"/>
    <s v="PROD_005"/>
    <s v="Standing Desk"/>
    <s v="Furniture"/>
    <n v="1"/>
    <n v="549.04999999999995"/>
    <n v="549.04999999999995"/>
    <n v="549.04999999999995"/>
    <n v="0"/>
    <s v="Sweden"/>
    <x v="3"/>
  </r>
  <r>
    <n v="2024002335"/>
    <x v="9"/>
    <n v="2024"/>
    <x v="188"/>
    <s v="PROD_007"/>
    <s v="Keyboard Mechanical"/>
    <s v="Electronics"/>
    <n v="1"/>
    <n v="117.1"/>
    <n v="117.1"/>
    <n v="117.1"/>
    <n v="0"/>
    <s v="Sweden"/>
    <x v="0"/>
  </r>
  <r>
    <n v="2024002336"/>
    <x v="96"/>
    <n v="2024"/>
    <x v="297"/>
    <s v="PROD_003"/>
    <s v="USB-C Cable"/>
    <s v="Electronics"/>
    <n v="2"/>
    <n v="15.3"/>
    <n v="30.6"/>
    <n v="30.6"/>
    <n v="0"/>
    <s v="Switzerland"/>
    <x v="0"/>
  </r>
  <r>
    <n v="2024002337"/>
    <x v="14"/>
    <n v="2024"/>
    <x v="170"/>
    <s v="PROD_001"/>
    <s v="Laptop Pro"/>
    <s v="Electronics"/>
    <n v="4"/>
    <n v="1214.72"/>
    <n v="4858.88"/>
    <n v="4858.88"/>
    <n v="0"/>
    <s v="Switzerland"/>
    <x v="0"/>
  </r>
  <r>
    <n v="2024002338"/>
    <x v="117"/>
    <n v="2024"/>
    <x v="18"/>
    <s v="PROD_010"/>
    <s v="Webcam HD"/>
    <s v="Electronics"/>
    <n v="1"/>
    <n v="90.79"/>
    <n v="90.79"/>
    <n v="90.79"/>
    <n v="0"/>
    <s v="Sweden"/>
    <x v="1"/>
  </r>
  <r>
    <n v="2024002339"/>
    <x v="98"/>
    <n v="2024"/>
    <x v="134"/>
    <s v="PROD_008"/>
    <s v="Desk Lamp"/>
    <s v="Furniture"/>
    <n v="2"/>
    <n v="84.13"/>
    <n v="168.26"/>
    <n v="168.26"/>
    <n v="0"/>
    <s v="Italy"/>
    <x v="3"/>
  </r>
  <r>
    <n v="2024002340"/>
    <x v="56"/>
    <n v="2024"/>
    <x v="122"/>
    <s v="PROD_003"/>
    <s v="USB-C Cable"/>
    <s v="Electronics"/>
    <n v="1"/>
    <n v="14.12"/>
    <n v="14.12"/>
    <n v="14.12"/>
    <n v="0"/>
    <s v="Germany"/>
    <x v="0"/>
  </r>
  <r>
    <n v="2024002341"/>
    <x v="93"/>
    <n v="2024"/>
    <x v="198"/>
    <s v="PROD_009"/>
    <s v="Phone Stand"/>
    <s v="Accessories"/>
    <n v="3"/>
    <n v="25.44"/>
    <n v="76.319999999999993"/>
    <n v="76.320000000000007"/>
    <n v="0"/>
    <s v="Netherlands"/>
    <x v="2"/>
  </r>
  <r>
    <n v="2024002342"/>
    <x v="156"/>
    <n v="2024"/>
    <x v="30"/>
    <s v="PROD_006"/>
    <s v="Monitor 27&quot;"/>
    <s v="Electronics"/>
    <n v="4"/>
    <n v="424.05"/>
    <n v="1696.2"/>
    <n v="1696.2"/>
    <n v="0"/>
    <s v="Switzerland"/>
    <x v="2"/>
  </r>
  <r>
    <n v="2024002343"/>
    <x v="130"/>
    <n v="2024"/>
    <x v="256"/>
    <s v="PROD_009"/>
    <s v="Phone Stand"/>
    <s v="Accessories"/>
    <n v="5"/>
    <n v="27.59"/>
    <n v="137.94999999999999"/>
    <n v="137.94999999999999"/>
    <n v="0"/>
    <s v="Germany"/>
    <x v="3"/>
  </r>
  <r>
    <n v="2024002344"/>
    <x v="139"/>
    <n v="2024"/>
    <x v="248"/>
    <s v="PROD_007"/>
    <s v="Keyboard Mechanical"/>
    <s v="Electronics"/>
    <n v="2"/>
    <n v="113.98"/>
    <n v="227.96"/>
    <n v="227.96"/>
    <n v="0"/>
    <s v="Italy"/>
    <x v="0"/>
  </r>
  <r>
    <n v="2024002345"/>
    <x v="277"/>
    <n v="2024"/>
    <x v="0"/>
    <s v="PROD_007"/>
    <s v="Keyboard Mechanical"/>
    <s v="Electronics"/>
    <n v="2"/>
    <n v="125.01"/>
    <n v="250.02"/>
    <n v="250.02"/>
    <n v="0"/>
    <s v="Italy"/>
    <x v="1"/>
  </r>
  <r>
    <n v="2024002346"/>
    <x v="277"/>
    <n v="2024"/>
    <x v="155"/>
    <s v="PROD_010"/>
    <s v="Webcam HD"/>
    <s v="Electronics"/>
    <n v="1"/>
    <n v="80.37"/>
    <n v="80.37"/>
    <n v="80.37"/>
    <n v="0"/>
    <s v="Netherlands"/>
    <x v="2"/>
  </r>
  <r>
    <n v="2024002347"/>
    <x v="344"/>
    <n v="2024"/>
    <x v="5"/>
    <s v="PROD_001"/>
    <s v="Laptop Pro"/>
    <s v="Electronics"/>
    <n v="1"/>
    <n v="1191.24"/>
    <n v="1191.24"/>
    <n v="1191.24"/>
    <n v="0"/>
    <s v="France"/>
    <x v="3"/>
  </r>
  <r>
    <n v="2024002348"/>
    <x v="189"/>
    <n v="2024"/>
    <x v="264"/>
    <s v="PROD_004"/>
    <s v="Desk Chair"/>
    <s v="Furniture"/>
    <n v="1"/>
    <n v="332.77"/>
    <n v="332.77"/>
    <n v="332.77"/>
    <n v="0"/>
    <s v="France"/>
    <x v="3"/>
  </r>
  <r>
    <n v="2024002349"/>
    <x v="224"/>
    <n v="2024"/>
    <x v="181"/>
    <s v="PROD_005"/>
    <s v="Standing Desk"/>
    <s v="Furniture"/>
    <n v="1"/>
    <n v="617.04999999999995"/>
    <n v="617.04999999999995"/>
    <n v="617.04999999999995"/>
    <n v="0"/>
    <s v="Germany"/>
    <x v="3"/>
  </r>
  <r>
    <n v="2024002350"/>
    <x v="212"/>
    <n v="2024"/>
    <x v="0"/>
    <s v="PROD_003"/>
    <s v="USB-C Cable"/>
    <s v="Electronics"/>
    <n v="1"/>
    <n v="16.350000000000001"/>
    <n v="16.350000000000001"/>
    <n v="16.350000000000001"/>
    <n v="0"/>
    <s v="Germany"/>
    <x v="2"/>
  </r>
  <r>
    <n v="2024002351"/>
    <x v="63"/>
    <n v="2024"/>
    <x v="204"/>
    <s v="PROD_005"/>
    <s v="Standing Desk"/>
    <s v="Furniture"/>
    <n v="2"/>
    <n v="560.17999999999995"/>
    <n v="1120.3599999999999"/>
    <n v="1120.3599999999999"/>
    <n v="0"/>
    <s v="Germany"/>
    <x v="2"/>
  </r>
  <r>
    <n v="2024002352"/>
    <x v="161"/>
    <n v="2024"/>
    <x v="184"/>
    <s v="PROD_002"/>
    <s v="Wireless Mouse"/>
    <s v="Electronics"/>
    <n v="1"/>
    <n v="48.55"/>
    <n v="48.55"/>
    <n v="48.55"/>
    <n v="0"/>
    <s v="Italy"/>
    <x v="1"/>
  </r>
  <r>
    <n v="2024002353"/>
    <x v="48"/>
    <n v="2024"/>
    <x v="198"/>
    <s v="PROD_003"/>
    <s v="USB-C Cable"/>
    <s v="Electronics"/>
    <n v="1"/>
    <n v="14.54"/>
    <n v="14.54"/>
    <n v="14.54"/>
    <n v="0"/>
    <s v="Austria"/>
    <x v="3"/>
  </r>
  <r>
    <n v="2024002354"/>
    <x v="142"/>
    <n v="2024"/>
    <x v="167"/>
    <s v="PROD_004"/>
    <s v="Desk Chair"/>
    <s v="Furniture"/>
    <n v="1"/>
    <n v="355.91"/>
    <n v="355.91"/>
    <n v="355.91"/>
    <n v="0"/>
    <s v="France"/>
    <x v="1"/>
  </r>
  <r>
    <n v="2024002355"/>
    <x v="183"/>
    <n v="2024"/>
    <x v="189"/>
    <s v="PROD_001"/>
    <s v="Laptop Pro"/>
    <s v="Electronics"/>
    <n v="1"/>
    <n v="1184.2"/>
    <n v="1184.2"/>
    <n v="1184.2"/>
    <n v="0"/>
    <s v="Austria"/>
    <x v="0"/>
  </r>
  <r>
    <n v="2024002356"/>
    <x v="121"/>
    <n v="2024"/>
    <x v="42"/>
    <s v="PROD_003"/>
    <s v="USB-C Cable"/>
    <s v="Electronics"/>
    <n v="1"/>
    <n v="15.67"/>
    <n v="15.67"/>
    <n v="15.67"/>
    <n v="0"/>
    <s v="UK"/>
    <x v="0"/>
  </r>
  <r>
    <n v="2024002357"/>
    <x v="64"/>
    <n v="2024"/>
    <x v="81"/>
    <s v="PROD_007"/>
    <s v="Keyboard Mechanical"/>
    <s v="Electronics"/>
    <n v="4"/>
    <n v="122.83"/>
    <n v="491.32"/>
    <n v="491.32"/>
    <n v="0"/>
    <s v="Austria"/>
    <x v="0"/>
  </r>
  <r>
    <n v="2024002358"/>
    <x v="29"/>
    <n v="2024"/>
    <x v="19"/>
    <s v="PROD_007"/>
    <s v="Keyboard Mechanical"/>
    <s v="Electronics"/>
    <n v="3"/>
    <n v="119.76"/>
    <n v="359.28"/>
    <n v="359.28000000000003"/>
    <n v="0"/>
    <s v="Germany"/>
    <x v="0"/>
  </r>
  <r>
    <n v="2024002359"/>
    <x v="176"/>
    <n v="2024"/>
    <x v="279"/>
    <s v="PROD_009"/>
    <s v="Phone Stand"/>
    <s v="Accessories"/>
    <n v="3"/>
    <n v="22.64"/>
    <n v="67.92"/>
    <n v="67.92"/>
    <n v="0"/>
    <s v="Belgium"/>
    <x v="0"/>
  </r>
  <r>
    <n v="2024002360"/>
    <x v="56"/>
    <n v="2024"/>
    <x v="233"/>
    <s v="PROD_010"/>
    <s v="Webcam HD"/>
    <s v="Electronics"/>
    <n v="1"/>
    <n v="83.36"/>
    <n v="83.36"/>
    <n v="83.36"/>
    <n v="0"/>
    <s v="Sweden"/>
    <x v="0"/>
  </r>
  <r>
    <n v="2024002361"/>
    <x v="79"/>
    <n v="2024"/>
    <x v="77"/>
    <s v="PROD_009"/>
    <s v="Phone Stand"/>
    <s v="Accessories"/>
    <n v="1"/>
    <n v="26.28"/>
    <n v="26.28"/>
    <n v="26.28"/>
    <n v="0"/>
    <s v="Switzerland"/>
    <x v="3"/>
  </r>
  <r>
    <n v="2024002362"/>
    <x v="5"/>
    <n v="2024"/>
    <x v="12"/>
    <s v="PROD_008"/>
    <s v="Desk Lamp"/>
    <s v="Furniture"/>
    <n v="3"/>
    <n v="89.17"/>
    <n v="267.51"/>
    <n v="267.51"/>
    <n v="0"/>
    <s v="Germany"/>
    <x v="3"/>
  </r>
  <r>
    <n v="2024002363"/>
    <x v="148"/>
    <n v="2024"/>
    <x v="0"/>
    <s v="PROD_009"/>
    <s v="Phone Stand"/>
    <s v="Accessories"/>
    <n v="1"/>
    <n v="27.33"/>
    <n v="27.33"/>
    <n v="27.33"/>
    <n v="0"/>
    <s v="Netherlands"/>
    <x v="0"/>
  </r>
  <r>
    <n v="2024002364"/>
    <x v="144"/>
    <n v="2024"/>
    <x v="0"/>
    <s v="PROD_008"/>
    <s v="Desk Lamp"/>
    <s v="Furniture"/>
    <n v="3"/>
    <n v="78.09"/>
    <n v="234.27"/>
    <n v="234.27"/>
    <n v="0"/>
    <s v="Italy"/>
    <x v="3"/>
  </r>
  <r>
    <n v="2024002365"/>
    <x v="125"/>
    <n v="2024"/>
    <x v="160"/>
    <s v="PROD_009"/>
    <s v="Phone Stand"/>
    <s v="Accessories"/>
    <n v="1"/>
    <n v="23.37"/>
    <n v="23.37"/>
    <n v="23.37"/>
    <n v="0"/>
    <s v="UK"/>
    <x v="3"/>
  </r>
  <r>
    <n v="2024002366"/>
    <x v="103"/>
    <n v="2024"/>
    <x v="0"/>
    <s v="PROD_006"/>
    <s v="Monitor 27&quot;"/>
    <s v="Electronics"/>
    <n v="1"/>
    <n v="370.32"/>
    <n v="370.32"/>
    <n v="370.32"/>
    <n v="0"/>
    <s v="UK"/>
    <x v="0"/>
  </r>
  <r>
    <n v="2024002367"/>
    <x v="128"/>
    <n v="2024"/>
    <x v="101"/>
    <s v="PROD_007"/>
    <s v="Keyboard Mechanical"/>
    <s v="Electronics"/>
    <n v="3"/>
    <n v="109.38"/>
    <n v="328.14"/>
    <n v="328.14"/>
    <n v="0"/>
    <s v="France"/>
    <x v="1"/>
  </r>
  <r>
    <n v="2024002368"/>
    <x v="356"/>
    <n v="2024"/>
    <x v="1"/>
    <s v="PROD_009"/>
    <s v="Phone Stand"/>
    <s v="Accessories"/>
    <n v="3"/>
    <n v="26.5"/>
    <n v="79.5"/>
    <n v="79.5"/>
    <n v="0"/>
    <s v="France"/>
    <x v="1"/>
  </r>
  <r>
    <n v="2024002369"/>
    <x v="241"/>
    <n v="2024"/>
    <x v="284"/>
    <s v="PROD_009"/>
    <s v="Phone Stand"/>
    <s v="Accessories"/>
    <n v="2"/>
    <n v="26.09"/>
    <n v="52.18"/>
    <n v="52.18"/>
    <n v="0"/>
    <s v="Belgium"/>
    <x v="2"/>
  </r>
  <r>
    <n v="2024002370"/>
    <x v="161"/>
    <n v="2024"/>
    <x v="271"/>
    <s v="PROD_006"/>
    <s v="Monitor 27&quot;"/>
    <s v="Electronics"/>
    <n v="2"/>
    <n v="382.94"/>
    <n v="765.88"/>
    <n v="765.88"/>
    <n v="0"/>
    <s v="Spain"/>
    <x v="1"/>
  </r>
  <r>
    <n v="2024002371"/>
    <x v="353"/>
    <n v="2024"/>
    <x v="298"/>
    <s v="PROD_004"/>
    <s v="Desk Chair"/>
    <s v="Furniture"/>
    <n v="2"/>
    <n v="359.84"/>
    <n v="719.68"/>
    <n v="719.68"/>
    <n v="0"/>
    <s v="Germany"/>
    <x v="1"/>
  </r>
  <r>
    <n v="2024002372"/>
    <x v="250"/>
    <n v="2024"/>
    <x v="109"/>
    <s v="PROD_008"/>
    <s v="Desk Lamp"/>
    <s v="Furniture"/>
    <n v="1"/>
    <n v="82.15"/>
    <n v="82.15"/>
    <n v="82.15"/>
    <n v="0"/>
    <s v="Switzerland"/>
    <x v="1"/>
  </r>
  <r>
    <n v="2024002373"/>
    <x v="123"/>
    <n v="2024"/>
    <x v="245"/>
    <s v="PROD_006"/>
    <s v="Monitor 27&quot;"/>
    <s v="Electronics"/>
    <n v="3"/>
    <n v="412.85"/>
    <n v="1238.55"/>
    <n v="1238.5500000000002"/>
    <n v="0"/>
    <s v="Switzerland"/>
    <x v="1"/>
  </r>
  <r>
    <n v="2024002374"/>
    <x v="272"/>
    <n v="2024"/>
    <x v="100"/>
    <s v="PROD_006"/>
    <s v="Monitor 27&quot;"/>
    <s v="Electronics"/>
    <n v="4"/>
    <n v="392.26"/>
    <n v="1569.04"/>
    <n v="1569.04"/>
    <n v="0"/>
    <s v="Sweden"/>
    <x v="1"/>
  </r>
  <r>
    <n v="2024002375"/>
    <x v="111"/>
    <n v="2024"/>
    <x v="2"/>
    <s v="PROD_004"/>
    <s v="Desk Chair"/>
    <s v="Furniture"/>
    <n v="1"/>
    <n v="330.79"/>
    <n v="330.79"/>
    <n v="330.79"/>
    <n v="0"/>
    <s v="Sweden"/>
    <x v="1"/>
  </r>
  <r>
    <n v="2024002376"/>
    <x v="247"/>
    <n v="2024"/>
    <x v="277"/>
    <s v="PROD_006"/>
    <s v="Monitor 27&quot;"/>
    <s v="Electronics"/>
    <n v="2"/>
    <n v="419.34"/>
    <n v="838.68"/>
    <n v="838.68"/>
    <n v="0"/>
    <s v="Sweden"/>
    <x v="0"/>
  </r>
  <r>
    <n v="2024002377"/>
    <x v="169"/>
    <n v="2024"/>
    <x v="274"/>
    <s v="PROD_008"/>
    <s v="Desk Lamp"/>
    <s v="Furniture"/>
    <n v="1"/>
    <n v="81.98"/>
    <n v="81.98"/>
    <n v="81.98"/>
    <n v="0"/>
    <s v="Spain"/>
    <x v="3"/>
  </r>
  <r>
    <n v="2024002378"/>
    <x v="249"/>
    <n v="2024"/>
    <x v="80"/>
    <s v="PROD_005"/>
    <s v="Standing Desk"/>
    <s v="Furniture"/>
    <n v="1"/>
    <n v="626.66"/>
    <n v="626.66"/>
    <n v="626.66"/>
    <n v="0"/>
    <s v="UK"/>
    <x v="0"/>
  </r>
  <r>
    <n v="2024002379"/>
    <x v="147"/>
    <n v="2024"/>
    <x v="221"/>
    <s v="PROD_003"/>
    <s v="USB-C Cable"/>
    <s v="Electronics"/>
    <n v="1"/>
    <n v="16.21"/>
    <n v="16.21"/>
    <n v="16.21"/>
    <n v="0"/>
    <s v="UK"/>
    <x v="1"/>
  </r>
  <r>
    <n v="2024002380"/>
    <x v="218"/>
    <n v="2024"/>
    <x v="256"/>
    <s v="PROD_007"/>
    <s v="Keyboard Mechanical"/>
    <s v="Electronics"/>
    <n v="1"/>
    <n v="120.68"/>
    <n v="120.68"/>
    <n v="120.68"/>
    <n v="0"/>
    <s v="Sweden"/>
    <x v="2"/>
  </r>
  <r>
    <n v="2024002381"/>
    <x v="357"/>
    <n v="2024"/>
    <x v="103"/>
    <s v="PROD_003"/>
    <s v="USB-C Cable"/>
    <s v="Electronics"/>
    <n v="2"/>
    <n v="15.14"/>
    <n v="30.28"/>
    <n v="30.28"/>
    <n v="0"/>
    <s v="Switzerland"/>
    <x v="3"/>
  </r>
  <r>
    <n v="2024002382"/>
    <x v="292"/>
    <n v="2024"/>
    <x v="248"/>
    <s v="PROD_003"/>
    <s v="USB-C Cable"/>
    <s v="Electronics"/>
    <n v="1"/>
    <n v="14.34"/>
    <n v="14.34"/>
    <n v="14.34"/>
    <n v="0"/>
    <s v="Netherlands"/>
    <x v="2"/>
  </r>
  <r>
    <n v="2024002383"/>
    <x v="54"/>
    <n v="2024"/>
    <x v="191"/>
    <s v="PROD_002"/>
    <s v="Wireless Mouse"/>
    <s v="Electronics"/>
    <n v="2"/>
    <n v="45.87"/>
    <n v="91.74"/>
    <n v="91.74"/>
    <n v="0"/>
    <s v="Germany"/>
    <x v="0"/>
  </r>
  <r>
    <n v="2024002384"/>
    <x v="89"/>
    <n v="2024"/>
    <x v="128"/>
    <s v="PROD_007"/>
    <s v="Keyboard Mechanical"/>
    <s v="Electronics"/>
    <n v="4"/>
    <n v="121.84"/>
    <n v="487.36"/>
    <n v="487.36"/>
    <n v="0"/>
    <s v="Sweden"/>
    <x v="1"/>
  </r>
  <r>
    <n v="2024002385"/>
    <x v="302"/>
    <n v="2024"/>
    <x v="217"/>
    <s v="PROD_010"/>
    <s v="Webcam HD"/>
    <s v="Electronics"/>
    <n v="1"/>
    <n v="87.52"/>
    <n v="87.52"/>
    <n v="87.52"/>
    <n v="0"/>
    <s v="Belgium"/>
    <x v="3"/>
  </r>
  <r>
    <n v="2024002386"/>
    <x v="30"/>
    <n v="2024"/>
    <x v="199"/>
    <s v="PROD_002"/>
    <s v="Wireless Mouse"/>
    <s v="Electronics"/>
    <n v="2"/>
    <n v="49.67"/>
    <n v="99.34"/>
    <n v="99.34"/>
    <n v="0"/>
    <s v="UK"/>
    <x v="3"/>
  </r>
  <r>
    <n v="2024002387"/>
    <x v="337"/>
    <n v="2024"/>
    <x v="112"/>
    <s v="PROD_002"/>
    <s v="Wireless Mouse"/>
    <s v="Electronics"/>
    <n v="3"/>
    <n v="43.23"/>
    <n v="129.69"/>
    <n v="129.69"/>
    <n v="0"/>
    <s v="Netherlands"/>
    <x v="0"/>
  </r>
  <r>
    <n v="2024002388"/>
    <x v="238"/>
    <n v="2024"/>
    <x v="181"/>
    <s v="PROD_010"/>
    <s v="Webcam HD"/>
    <s v="Electronics"/>
    <n v="1"/>
    <n v="94.28"/>
    <n v="94.28"/>
    <n v="94.28"/>
    <n v="0"/>
    <s v="Austria"/>
    <x v="3"/>
  </r>
  <r>
    <n v="2024002389"/>
    <x v="248"/>
    <n v="2024"/>
    <x v="260"/>
    <s v="PROD_008"/>
    <s v="Desk Lamp"/>
    <s v="Furniture"/>
    <n v="3"/>
    <n v="73.02"/>
    <n v="219.06"/>
    <n v="219.06"/>
    <n v="0"/>
    <s v="Germany"/>
    <x v="1"/>
  </r>
  <r>
    <n v="2024002390"/>
    <x v="93"/>
    <n v="2024"/>
    <x v="274"/>
    <s v="PROD_009"/>
    <s v="Phone Stand"/>
    <s v="Accessories"/>
    <n v="3"/>
    <n v="24.65"/>
    <n v="73.95"/>
    <n v="73.949999999999989"/>
    <n v="0"/>
    <s v="Netherlands"/>
    <x v="0"/>
  </r>
  <r>
    <n v="2024002391"/>
    <x v="143"/>
    <n v="2024"/>
    <x v="102"/>
    <s v="PROD_001"/>
    <s v="Laptop Pro"/>
    <s v="Electronics"/>
    <n v="1"/>
    <n v="1170.54"/>
    <n v="1170.54"/>
    <n v="1170.54"/>
    <n v="0"/>
    <s v="Sweden"/>
    <x v="0"/>
  </r>
  <r>
    <n v="2024002392"/>
    <x v="271"/>
    <n v="2024"/>
    <x v="4"/>
    <s v="PROD_003"/>
    <s v="USB-C Cable"/>
    <s v="Electronics"/>
    <n v="1"/>
    <n v="15.22"/>
    <n v="15.22"/>
    <n v="15.22"/>
    <n v="0"/>
    <s v="UK"/>
    <x v="2"/>
  </r>
  <r>
    <n v="2024002393"/>
    <x v="66"/>
    <n v="2024"/>
    <x v="227"/>
    <s v="PROD_003"/>
    <s v="USB-C Cable"/>
    <s v="Electronics"/>
    <n v="1"/>
    <n v="14.57"/>
    <n v="14.57"/>
    <n v="14.57"/>
    <n v="0"/>
    <s v="France"/>
    <x v="1"/>
  </r>
  <r>
    <n v="2024002394"/>
    <x v="350"/>
    <n v="2024"/>
    <x v="53"/>
    <s v="PROD_004"/>
    <s v="Desk Chair"/>
    <s v="Furniture"/>
    <n v="2"/>
    <n v="364.99"/>
    <n v="729.98"/>
    <n v="729.98"/>
    <n v="0"/>
    <s v="Spain"/>
    <x v="3"/>
  </r>
  <r>
    <n v="2024002395"/>
    <x v="148"/>
    <n v="2024"/>
    <x v="0"/>
    <s v="PROD_005"/>
    <s v="Standing Desk"/>
    <s v="Furniture"/>
    <n v="4"/>
    <n v="587.71"/>
    <n v="2350.84"/>
    <n v="2350.84"/>
    <n v="0"/>
    <s v="Austria"/>
    <x v="0"/>
  </r>
  <r>
    <n v="2024002396"/>
    <x v="358"/>
    <n v="2024"/>
    <x v="284"/>
    <s v="PROD_001"/>
    <s v="Laptop Pro"/>
    <s v="Electronics"/>
    <n v="1"/>
    <n v="1168.7"/>
    <n v="1168.7"/>
    <n v="1168.7"/>
    <n v="0"/>
    <s v="France"/>
    <x v="0"/>
  </r>
  <r>
    <n v="2024002397"/>
    <x v="234"/>
    <n v="2024"/>
    <x v="144"/>
    <s v="PROD_007"/>
    <s v="Keyboard Mechanical"/>
    <s v="Electronics"/>
    <n v="1"/>
    <n v="117.81"/>
    <n v="117.81"/>
    <n v="117.81"/>
    <n v="0"/>
    <s v="Sweden"/>
    <x v="0"/>
  </r>
  <r>
    <n v="2024002398"/>
    <x v="321"/>
    <n v="2024"/>
    <x v="100"/>
    <s v="PROD_010"/>
    <s v="Webcam HD"/>
    <s v="Electronics"/>
    <n v="1"/>
    <n v="86.31"/>
    <n v="86.31"/>
    <n v="86.31"/>
    <n v="0"/>
    <s v="Austria"/>
    <x v="0"/>
  </r>
  <r>
    <n v="2024002399"/>
    <x v="94"/>
    <n v="2024"/>
    <x v="108"/>
    <s v="PROD_003"/>
    <s v="USB-C Cable"/>
    <s v="Electronics"/>
    <n v="4"/>
    <n v="14.68"/>
    <n v="58.72"/>
    <n v="58.72"/>
    <n v="0"/>
    <s v="Netherlands"/>
    <x v="0"/>
  </r>
  <r>
    <n v="2024002400"/>
    <x v="89"/>
    <n v="2024"/>
    <x v="220"/>
    <s v="PROD_006"/>
    <s v="Monitor 27&quot;"/>
    <s v="Electronics"/>
    <n v="3"/>
    <n v="441.97"/>
    <n v="1325.91"/>
    <n v="1325.91"/>
    <n v="0"/>
    <s v="Netherlands"/>
    <x v="0"/>
  </r>
  <r>
    <n v="2024002401"/>
    <x v="18"/>
    <n v="2024"/>
    <x v="67"/>
    <s v="PROD_004"/>
    <s v="Desk Chair"/>
    <s v="Furniture"/>
    <n v="1"/>
    <n v="325.76"/>
    <n v="325.76"/>
    <n v="325.76"/>
    <n v="0"/>
    <s v="France"/>
    <x v="3"/>
  </r>
  <r>
    <n v="2024002402"/>
    <x v="161"/>
    <n v="2024"/>
    <x v="42"/>
    <s v="PROD_009"/>
    <s v="Phone Stand"/>
    <s v="Accessories"/>
    <n v="1"/>
    <n v="25.55"/>
    <n v="25.55"/>
    <n v="25.55"/>
    <n v="0"/>
    <s v="UK"/>
    <x v="2"/>
  </r>
  <r>
    <n v="2024002403"/>
    <x v="324"/>
    <n v="2024"/>
    <x v="118"/>
    <s v="PROD_002"/>
    <s v="Wireless Mouse"/>
    <s v="Electronics"/>
    <n v="1"/>
    <n v="47.85"/>
    <n v="47.85"/>
    <n v="47.85"/>
    <n v="0"/>
    <s v="Netherlands"/>
    <x v="1"/>
  </r>
  <r>
    <n v="2024002404"/>
    <x v="213"/>
    <n v="2024"/>
    <x v="152"/>
    <s v="PROD_006"/>
    <s v="Monitor 27&quot;"/>
    <s v="Electronics"/>
    <n v="1"/>
    <n v="382.69"/>
    <n v="382.69"/>
    <n v="382.69"/>
    <n v="0"/>
    <s v="UK"/>
    <x v="3"/>
  </r>
  <r>
    <n v="2024002405"/>
    <x v="195"/>
    <n v="2024"/>
    <x v="270"/>
    <s v="PROD_002"/>
    <s v="Wireless Mouse"/>
    <s v="Electronics"/>
    <n v="5"/>
    <n v="47.5"/>
    <n v="237.5"/>
    <n v="237.5"/>
    <n v="0"/>
    <s v="Italy"/>
    <x v="1"/>
  </r>
  <r>
    <n v="2024002406"/>
    <x v="42"/>
    <n v="2024"/>
    <x v="44"/>
    <s v="PROD_004"/>
    <s v="Desk Chair"/>
    <s v="Furniture"/>
    <n v="1"/>
    <n v="362.91"/>
    <n v="362.91"/>
    <n v="362.91"/>
    <n v="0"/>
    <s v="Germany"/>
    <x v="0"/>
  </r>
  <r>
    <n v="2024002407"/>
    <x v="16"/>
    <n v="2024"/>
    <x v="103"/>
    <s v="PROD_004"/>
    <s v="Desk Chair"/>
    <s v="Furniture"/>
    <n v="2"/>
    <n v="337.65"/>
    <n v="675.3"/>
    <n v="675.3"/>
    <n v="0"/>
    <s v="Italy"/>
    <x v="1"/>
  </r>
  <r>
    <n v="2024002408"/>
    <x v="117"/>
    <n v="2024"/>
    <x v="250"/>
    <s v="PROD_009"/>
    <s v="Phone Stand"/>
    <s v="Accessories"/>
    <n v="2"/>
    <n v="26.22"/>
    <n v="52.44"/>
    <n v="52.44"/>
    <n v="0"/>
    <s v="Sweden"/>
    <x v="2"/>
  </r>
  <r>
    <n v="2024002409"/>
    <x v="235"/>
    <n v="2024"/>
    <x v="100"/>
    <s v="PROD_006"/>
    <s v="Monitor 27&quot;"/>
    <s v="Electronics"/>
    <n v="2"/>
    <n v="395"/>
    <n v="790"/>
    <n v="790"/>
    <n v="0"/>
    <s v="Italy"/>
    <x v="0"/>
  </r>
  <r>
    <n v="2024002410"/>
    <x v="242"/>
    <n v="2024"/>
    <x v="21"/>
    <s v="PROD_009"/>
    <s v="Phone Stand"/>
    <s v="Accessories"/>
    <n v="1"/>
    <n v="23.7"/>
    <n v="23.7"/>
    <n v="23.7"/>
    <n v="0"/>
    <s v="Switzerland"/>
    <x v="1"/>
  </r>
  <r>
    <n v="2024002411"/>
    <x v="46"/>
    <n v="2024"/>
    <x v="0"/>
    <s v="PROD_003"/>
    <s v="USB-C Cable"/>
    <s v="Electronics"/>
    <n v="2"/>
    <n v="15.44"/>
    <n v="30.88"/>
    <n v="30.88"/>
    <n v="0"/>
    <s v="Spain"/>
    <x v="0"/>
  </r>
  <r>
    <n v="2024002412"/>
    <x v="276"/>
    <n v="2024"/>
    <x v="229"/>
    <s v="PROD_005"/>
    <s v="Standing Desk"/>
    <s v="Furniture"/>
    <n v="1"/>
    <n v="654"/>
    <n v="654"/>
    <n v="654"/>
    <n v="0"/>
    <s v="France"/>
    <x v="1"/>
  </r>
  <r>
    <n v="2024002413"/>
    <x v="84"/>
    <n v="2024"/>
    <x v="201"/>
    <s v="PROD_006"/>
    <s v="Monitor 27&quot;"/>
    <s v="Electronics"/>
    <n v="1"/>
    <n v="398.61"/>
    <n v="398.61"/>
    <n v="398.61"/>
    <n v="0"/>
    <s v="UK"/>
    <x v="0"/>
  </r>
  <r>
    <n v="2024002414"/>
    <x v="62"/>
    <n v="2024"/>
    <x v="220"/>
    <s v="PROD_002"/>
    <s v="Wireless Mouse"/>
    <s v="Electronics"/>
    <n v="1"/>
    <n v="46.66"/>
    <n v="46.66"/>
    <n v="46.66"/>
    <n v="0"/>
    <s v="Austria"/>
    <x v="0"/>
  </r>
  <r>
    <n v="2024002415"/>
    <x v="141"/>
    <n v="2024"/>
    <x v="173"/>
    <s v="PROD_001"/>
    <s v="Laptop Pro"/>
    <s v="Electronics"/>
    <n v="2"/>
    <n v="1128.02"/>
    <n v="2256.04"/>
    <n v="2256.04"/>
    <n v="0"/>
    <s v="Italy"/>
    <x v="3"/>
  </r>
  <r>
    <n v="2024002416"/>
    <x v="243"/>
    <n v="2024"/>
    <x v="98"/>
    <s v="PROD_007"/>
    <s v="Keyboard Mechanical"/>
    <s v="Electronics"/>
    <n v="1"/>
    <n v="111.35"/>
    <n v="111.35"/>
    <n v="111.35"/>
    <n v="0"/>
    <s v="Sweden"/>
    <x v="3"/>
  </r>
  <r>
    <n v="2024002417"/>
    <x v="220"/>
    <n v="2024"/>
    <x v="95"/>
    <s v="PROD_006"/>
    <s v="Monitor 27&quot;"/>
    <s v="Electronics"/>
    <n v="1"/>
    <n v="402.3"/>
    <n v="402.3"/>
    <n v="402.3"/>
    <n v="0"/>
    <s v="Italy"/>
    <x v="0"/>
  </r>
  <r>
    <n v="2024002418"/>
    <x v="202"/>
    <n v="2024"/>
    <x v="160"/>
    <s v="PROD_006"/>
    <s v="Monitor 27&quot;"/>
    <s v="Electronics"/>
    <n v="1"/>
    <n v="376.36"/>
    <n v="376.36"/>
    <n v="376.36"/>
    <n v="0"/>
    <s v="Switzerland"/>
    <x v="3"/>
  </r>
  <r>
    <n v="2024002419"/>
    <x v="173"/>
    <n v="2024"/>
    <x v="43"/>
    <s v="PROD_001"/>
    <s v="Laptop Pro"/>
    <s v="Electronics"/>
    <n v="4"/>
    <n v="1259.76"/>
    <n v="5039.04"/>
    <n v="5039.04"/>
    <n v="0"/>
    <s v="Sweden"/>
    <x v="2"/>
  </r>
  <r>
    <n v="2024002420"/>
    <x v="307"/>
    <n v="2024"/>
    <x v="66"/>
    <s v="PROD_009"/>
    <s v="Phone Stand"/>
    <s v="Accessories"/>
    <n v="1"/>
    <n v="24.59"/>
    <n v="24.59"/>
    <n v="24.59"/>
    <n v="0"/>
    <s v="Switzerland"/>
    <x v="3"/>
  </r>
  <r>
    <n v="2024002421"/>
    <x v="68"/>
    <n v="2024"/>
    <x v="282"/>
    <s v="PROD_001"/>
    <s v="Laptop Pro"/>
    <s v="Electronics"/>
    <n v="1"/>
    <n v="1179.42"/>
    <n v="1179.42"/>
    <n v="1179.42"/>
    <n v="0"/>
    <s v="Sweden"/>
    <x v="3"/>
  </r>
  <r>
    <n v="2024002422"/>
    <x v="177"/>
    <n v="2024"/>
    <x v="0"/>
    <s v="PROD_010"/>
    <s v="Webcam HD"/>
    <s v="Electronics"/>
    <n v="5"/>
    <n v="91.39"/>
    <n v="456.95"/>
    <n v="456.95"/>
    <n v="0"/>
    <s v="Netherlands"/>
    <x v="0"/>
  </r>
  <r>
    <n v="2024002423"/>
    <x v="358"/>
    <n v="2024"/>
    <x v="43"/>
    <s v="PROD_001"/>
    <s v="Laptop Pro"/>
    <s v="Electronics"/>
    <n v="1"/>
    <n v="1209.81"/>
    <n v="1209.81"/>
    <n v="1209.81"/>
    <n v="0"/>
    <s v="Austria"/>
    <x v="0"/>
  </r>
  <r>
    <n v="2024002424"/>
    <x v="152"/>
    <n v="2024"/>
    <x v="68"/>
    <s v="PROD_006"/>
    <s v="Monitor 27&quot;"/>
    <s v="Electronics"/>
    <n v="1"/>
    <n v="359.79"/>
    <n v="359.79"/>
    <n v="359.79"/>
    <n v="0"/>
    <s v="Italy"/>
    <x v="1"/>
  </r>
  <r>
    <n v="2024002425"/>
    <x v="192"/>
    <n v="2024"/>
    <x v="189"/>
    <s v="PROD_002"/>
    <s v="Wireless Mouse"/>
    <s v="Electronics"/>
    <n v="1"/>
    <n v="45.69"/>
    <n v="45.69"/>
    <n v="45.69"/>
    <n v="0"/>
    <s v="Germany"/>
    <x v="0"/>
  </r>
  <r>
    <n v="2024002426"/>
    <x v="354"/>
    <n v="2024"/>
    <x v="289"/>
    <s v="PROD_002"/>
    <s v="Wireless Mouse"/>
    <s v="Electronics"/>
    <n v="1"/>
    <n v="47.76"/>
    <n v="47.76"/>
    <n v="47.76"/>
    <n v="0"/>
    <s v="Italy"/>
    <x v="2"/>
  </r>
  <r>
    <n v="2024002427"/>
    <x v="121"/>
    <n v="2024"/>
    <x v="162"/>
    <s v="PROD_007"/>
    <s v="Keyboard Mechanical"/>
    <s v="Electronics"/>
    <n v="4"/>
    <n v="112.74"/>
    <n v="450.96"/>
    <n v="450.96"/>
    <n v="0"/>
    <s v="Germany"/>
    <x v="0"/>
  </r>
  <r>
    <n v="2024002428"/>
    <x v="332"/>
    <n v="2024"/>
    <x v="78"/>
    <s v="PROD_008"/>
    <s v="Desk Lamp"/>
    <s v="Furniture"/>
    <n v="1"/>
    <n v="78.48"/>
    <n v="78.48"/>
    <n v="78.48"/>
    <n v="0"/>
    <s v="Italy"/>
    <x v="3"/>
  </r>
  <r>
    <n v="2024002429"/>
    <x v="88"/>
    <n v="2024"/>
    <x v="92"/>
    <s v="PROD_010"/>
    <s v="Webcam HD"/>
    <s v="Electronics"/>
    <n v="4"/>
    <n v="86.32"/>
    <n v="345.28"/>
    <n v="345.28"/>
    <n v="0"/>
    <s v="UK"/>
    <x v="1"/>
  </r>
  <r>
    <n v="2024002430"/>
    <x v="275"/>
    <n v="2024"/>
    <x v="157"/>
    <s v="PROD_004"/>
    <s v="Desk Chair"/>
    <s v="Furniture"/>
    <n v="1"/>
    <n v="349.61"/>
    <n v="349.61"/>
    <n v="349.61"/>
    <n v="0"/>
    <s v="Sweden"/>
    <x v="2"/>
  </r>
  <r>
    <n v="2024002431"/>
    <x v="259"/>
    <n v="2024"/>
    <x v="114"/>
    <s v="PROD_010"/>
    <s v="Webcam HD"/>
    <s v="Electronics"/>
    <n v="2"/>
    <n v="96.11"/>
    <n v="192.22"/>
    <n v="192.22"/>
    <n v="0"/>
    <s v="France"/>
    <x v="2"/>
  </r>
  <r>
    <n v="2024002432"/>
    <x v="286"/>
    <n v="2024"/>
    <x v="87"/>
    <s v="PROD_007"/>
    <s v="Keyboard Mechanical"/>
    <s v="Electronics"/>
    <n v="3"/>
    <n v="125.37"/>
    <n v="376.11"/>
    <n v="376.11"/>
    <n v="0"/>
    <s v="Sweden"/>
    <x v="0"/>
  </r>
  <r>
    <n v="2024001511"/>
    <x v="105"/>
    <n v="2024"/>
    <x v="175"/>
    <s v="PROD_005"/>
    <s v="Standing Desk"/>
    <s v="Furniture"/>
    <n v="4"/>
    <n v="547.79"/>
    <n v="2191.16"/>
    <n v="2191.16"/>
    <n v="0"/>
    <s v="Germany"/>
    <x v="3"/>
  </r>
  <r>
    <n v="2024002434"/>
    <x v="118"/>
    <n v="2024"/>
    <x v="1"/>
    <s v="PROD_005"/>
    <s v="Standing Desk"/>
    <s v="Furniture"/>
    <n v="2"/>
    <n v="610.21"/>
    <n v="1220.42"/>
    <n v="1220.42"/>
    <n v="0"/>
    <s v="Switzerland"/>
    <x v="0"/>
  </r>
  <r>
    <n v="2024002435"/>
    <x v="58"/>
    <n v="2024"/>
    <x v="272"/>
    <s v="PROD_007"/>
    <s v="Keyboard Mechanical"/>
    <s v="Electronics"/>
    <n v="1"/>
    <n v="122.08"/>
    <n v="122.08"/>
    <n v="122.08"/>
    <n v="0"/>
    <s v="Netherlands"/>
    <x v="1"/>
  </r>
  <r>
    <n v="2024002436"/>
    <x v="16"/>
    <n v="2024"/>
    <x v="76"/>
    <s v="PROD_006"/>
    <s v="Monitor 27&quot;"/>
    <s v="Electronics"/>
    <n v="1"/>
    <n v="381.92"/>
    <n v="381.92"/>
    <n v="381.92"/>
    <n v="0"/>
    <s v="UK"/>
    <x v="1"/>
  </r>
  <r>
    <n v="2024002437"/>
    <x v="156"/>
    <n v="2024"/>
    <x v="163"/>
    <s v="PROD_010"/>
    <s v="Webcam HD"/>
    <s v="Electronics"/>
    <n v="1"/>
    <n v="81.91"/>
    <n v="81.91"/>
    <n v="81.91"/>
    <n v="0"/>
    <s v="Germany"/>
    <x v="1"/>
  </r>
  <r>
    <n v="2024002438"/>
    <x v="218"/>
    <n v="2024"/>
    <x v="0"/>
    <s v="PROD_007"/>
    <s v="Keyboard Mechanical"/>
    <s v="Electronics"/>
    <n v="1"/>
    <n v="116.82"/>
    <n v="116.82"/>
    <n v="116.82"/>
    <n v="0"/>
    <s v="Austria"/>
    <x v="0"/>
  </r>
  <r>
    <n v="2024002439"/>
    <x v="102"/>
    <n v="2024"/>
    <x v="0"/>
    <s v="PROD_005"/>
    <s v="Standing Desk"/>
    <s v="Furniture"/>
    <n v="3"/>
    <n v="568.4"/>
    <n v="1705.2"/>
    <n v="1705.1999999999998"/>
    <n v="0"/>
    <s v="Switzerland"/>
    <x v="3"/>
  </r>
  <r>
    <n v="2024002440"/>
    <x v="134"/>
    <n v="2024"/>
    <x v="0"/>
    <s v="PROD_008"/>
    <s v="Desk Lamp"/>
    <s v="Furniture"/>
    <n v="1"/>
    <n v="82.74"/>
    <n v="82.74"/>
    <n v="82.74"/>
    <n v="0"/>
    <s v="Italy"/>
    <x v="2"/>
  </r>
  <r>
    <n v="2024002441"/>
    <x v="156"/>
    <n v="2024"/>
    <x v="187"/>
    <s v="PROD_004"/>
    <s v="Desk Chair"/>
    <s v="Furniture"/>
    <n v="4"/>
    <n v="374.54"/>
    <n v="1498.16"/>
    <n v="1498.16"/>
    <n v="0"/>
    <s v="France"/>
    <x v="0"/>
  </r>
  <r>
    <n v="2024002442"/>
    <x v="327"/>
    <n v="2024"/>
    <x v="0"/>
    <s v="PROD_009"/>
    <s v="Phone Stand"/>
    <s v="Accessories"/>
    <n v="2"/>
    <n v="25.77"/>
    <n v="51.54"/>
    <n v="51.54"/>
    <n v="0"/>
    <s v="Germany"/>
    <x v="3"/>
  </r>
  <r>
    <n v="2024002443"/>
    <x v="109"/>
    <n v="2024"/>
    <x v="229"/>
    <s v="PROD_004"/>
    <s v="Desk Chair"/>
    <s v="Furniture"/>
    <n v="3"/>
    <n v="356.72"/>
    <n v="1070.1600000000001"/>
    <n v="1070.1600000000001"/>
    <n v="0"/>
    <s v="France"/>
    <x v="3"/>
  </r>
  <r>
    <n v="2024002444"/>
    <x v="337"/>
    <n v="2024"/>
    <x v="73"/>
    <s v="PROD_009"/>
    <s v="Phone Stand"/>
    <s v="Accessories"/>
    <n v="2"/>
    <n v="24.64"/>
    <n v="49.28"/>
    <n v="49.28"/>
    <n v="0"/>
    <s v="Spain"/>
    <x v="3"/>
  </r>
  <r>
    <n v="2024002445"/>
    <x v="211"/>
    <n v="2024"/>
    <x v="9"/>
    <s v="PROD_004"/>
    <s v="Desk Chair"/>
    <s v="Furniture"/>
    <n v="3"/>
    <n v="354.29"/>
    <n v="1062.8699999999999"/>
    <n v="1062.8700000000001"/>
    <n v="0"/>
    <s v="Netherlands"/>
    <x v="2"/>
  </r>
  <r>
    <n v="2024002446"/>
    <x v="72"/>
    <n v="2024"/>
    <x v="276"/>
    <s v="PROD_006"/>
    <s v="Monitor 27&quot;"/>
    <s v="Electronics"/>
    <n v="1"/>
    <n v="438.96"/>
    <n v="438.96"/>
    <n v="438.96"/>
    <n v="0"/>
    <s v="Austria"/>
    <x v="1"/>
  </r>
  <r>
    <n v="2024002447"/>
    <x v="37"/>
    <n v="2024"/>
    <x v="55"/>
    <s v="PROD_002"/>
    <s v="Wireless Mouse"/>
    <s v="Electronics"/>
    <n v="1"/>
    <n v="44.45"/>
    <n v="44.45"/>
    <n v="44.45"/>
    <n v="0"/>
    <s v="Switzerland"/>
    <x v="1"/>
  </r>
  <r>
    <n v="2024002448"/>
    <x v="301"/>
    <n v="2024"/>
    <x v="283"/>
    <s v="PROD_002"/>
    <s v="Wireless Mouse"/>
    <s v="Electronics"/>
    <n v="1"/>
    <n v="43.45"/>
    <n v="43.45"/>
    <n v="43.45"/>
    <n v="0"/>
    <s v="France"/>
    <x v="0"/>
  </r>
  <r>
    <n v="2024002449"/>
    <x v="118"/>
    <n v="2024"/>
    <x v="3"/>
    <s v="PROD_009"/>
    <s v="Phone Stand"/>
    <s v="Accessories"/>
    <n v="1"/>
    <n v="25.17"/>
    <n v="25.17"/>
    <n v="25.17"/>
    <n v="0"/>
    <s v="Belgium"/>
    <x v="2"/>
  </r>
  <r>
    <n v="2024002450"/>
    <x v="57"/>
    <n v="2024"/>
    <x v="245"/>
    <s v="PROD_003"/>
    <s v="USB-C Cable"/>
    <s v="Electronics"/>
    <n v="2"/>
    <n v="15.51"/>
    <n v="31.02"/>
    <n v="31.02"/>
    <n v="0"/>
    <s v="Netherlands"/>
    <x v="3"/>
  </r>
  <r>
    <n v="2024002451"/>
    <x v="302"/>
    <n v="2024"/>
    <x v="261"/>
    <s v="PROD_005"/>
    <s v="Standing Desk"/>
    <s v="Furniture"/>
    <n v="1"/>
    <n v="628.88"/>
    <n v="628.88"/>
    <n v="628.88"/>
    <n v="0"/>
    <s v="Sweden"/>
    <x v="1"/>
  </r>
  <r>
    <n v="2024002452"/>
    <x v="17"/>
    <n v="2024"/>
    <x v="0"/>
    <s v="PROD_010"/>
    <s v="Webcam HD"/>
    <s v="Electronics"/>
    <n v="1"/>
    <n v="91.2"/>
    <n v="91.2"/>
    <n v="91.2"/>
    <n v="0"/>
    <s v="Italy"/>
    <x v="2"/>
  </r>
  <r>
    <n v="2024002453"/>
    <x v="328"/>
    <n v="2024"/>
    <x v="91"/>
    <s v="PROD_001"/>
    <s v="Laptop Pro"/>
    <s v="Electronics"/>
    <n v="1"/>
    <n v="1215.2"/>
    <n v="1215.2"/>
    <n v="1215.2"/>
    <n v="0"/>
    <s v="UK"/>
    <x v="1"/>
  </r>
  <r>
    <n v="2024002454"/>
    <x v="285"/>
    <n v="2024"/>
    <x v="137"/>
    <s v="PROD_004"/>
    <s v="Desk Chair"/>
    <s v="Furniture"/>
    <n v="3"/>
    <n v="333.92"/>
    <n v="1001.76"/>
    <n v="1001.76"/>
    <n v="0"/>
    <s v="Austria"/>
    <x v="1"/>
  </r>
  <r>
    <n v="2024002455"/>
    <x v="24"/>
    <n v="2024"/>
    <x v="103"/>
    <s v="PROD_004"/>
    <s v="Desk Chair"/>
    <s v="Furniture"/>
    <n v="1"/>
    <n v="341.25"/>
    <n v="341.25"/>
    <n v="341.25"/>
    <n v="0"/>
    <s v="Sweden"/>
    <x v="1"/>
  </r>
  <r>
    <n v="2024002456"/>
    <x v="287"/>
    <n v="2024"/>
    <x v="182"/>
    <s v="PROD_004"/>
    <s v="Desk Chair"/>
    <s v="Furniture"/>
    <n v="1"/>
    <n v="349.63"/>
    <n v="349.63"/>
    <n v="349.63"/>
    <n v="0"/>
    <s v="UK"/>
    <x v="3"/>
  </r>
  <r>
    <n v="2024002457"/>
    <x v="337"/>
    <n v="2024"/>
    <x v="175"/>
    <s v="PROD_004"/>
    <s v="Desk Chair"/>
    <s v="Furniture"/>
    <n v="1"/>
    <n v="319.48"/>
    <n v="319.48"/>
    <n v="319.48"/>
    <n v="0"/>
    <s v="Italy"/>
    <x v="2"/>
  </r>
  <r>
    <n v="2024002458"/>
    <x v="333"/>
    <n v="2024"/>
    <x v="0"/>
    <s v="PROD_009"/>
    <s v="Phone Stand"/>
    <s v="Accessories"/>
    <n v="1"/>
    <n v="23.07"/>
    <n v="23.07"/>
    <n v="23.07"/>
    <n v="0"/>
    <s v="Switzerland"/>
    <x v="3"/>
  </r>
  <r>
    <n v="2024002459"/>
    <x v="231"/>
    <n v="2024"/>
    <x v="233"/>
    <s v="PROD_002"/>
    <s v="Wireless Mouse"/>
    <s v="Electronics"/>
    <n v="2"/>
    <n v="46.28"/>
    <n v="92.56"/>
    <n v="92.56"/>
    <n v="0"/>
    <s v="Switzerland"/>
    <x v="2"/>
  </r>
  <r>
    <n v="2024002460"/>
    <x v="221"/>
    <n v="2024"/>
    <x v="101"/>
    <s v="PROD_009"/>
    <s v="Phone Stand"/>
    <s v="Accessories"/>
    <n v="4"/>
    <n v="24"/>
    <n v="96"/>
    <n v="96"/>
    <n v="0"/>
    <s v="Switzerland"/>
    <x v="2"/>
  </r>
  <r>
    <n v="2024002461"/>
    <x v="64"/>
    <n v="2024"/>
    <x v="173"/>
    <s v="PROD_007"/>
    <s v="Keyboard Mechanical"/>
    <s v="Electronics"/>
    <n v="2"/>
    <n v="123.8"/>
    <n v="247.6"/>
    <n v="247.6"/>
    <n v="0"/>
    <s v="Switzerland"/>
    <x v="2"/>
  </r>
  <r>
    <n v="2024002462"/>
    <x v="119"/>
    <n v="2024"/>
    <x v="0"/>
    <s v="PROD_007"/>
    <s v="Keyboard Mechanical"/>
    <s v="Electronics"/>
    <n v="2"/>
    <n v="125.45"/>
    <n v="250.9"/>
    <n v="250.9"/>
    <n v="0"/>
    <s v="UK"/>
    <x v="0"/>
  </r>
  <r>
    <n v="2024002463"/>
    <x v="80"/>
    <n v="2024"/>
    <x v="80"/>
    <s v="PROD_002"/>
    <s v="Wireless Mouse"/>
    <s v="Electronics"/>
    <n v="1"/>
    <n v="41.49"/>
    <n v="41.49"/>
    <n v="41.49"/>
    <n v="0"/>
    <s v="Spain"/>
    <x v="2"/>
  </r>
  <r>
    <n v="2024002464"/>
    <x v="227"/>
    <n v="2024"/>
    <x v="279"/>
    <s v="PROD_010"/>
    <s v="Webcam HD"/>
    <s v="Electronics"/>
    <n v="2"/>
    <n v="87.62"/>
    <n v="175.24"/>
    <n v="175.24"/>
    <n v="0"/>
    <s v="Netherlands"/>
    <x v="2"/>
  </r>
  <r>
    <n v="2024002465"/>
    <x v="193"/>
    <n v="2024"/>
    <x v="51"/>
    <s v="PROD_008"/>
    <s v="Desk Lamp"/>
    <s v="Furniture"/>
    <n v="4"/>
    <n v="81.73"/>
    <n v="326.92"/>
    <n v="326.92"/>
    <n v="0"/>
    <s v="Italy"/>
    <x v="1"/>
  </r>
  <r>
    <n v="2024002466"/>
    <x v="359"/>
    <n v="2024"/>
    <x v="198"/>
    <s v="PROD_004"/>
    <s v="Desk Chair"/>
    <s v="Furniture"/>
    <n v="3"/>
    <n v="348.33"/>
    <n v="1044.99"/>
    <n v="1044.99"/>
    <n v="0"/>
    <s v="France"/>
    <x v="3"/>
  </r>
  <r>
    <n v="2024002467"/>
    <x v="248"/>
    <n v="2024"/>
    <x v="220"/>
    <s v="PROD_008"/>
    <s v="Desk Lamp"/>
    <s v="Furniture"/>
    <n v="2"/>
    <n v="75.55"/>
    <n v="151.1"/>
    <n v="151.1"/>
    <n v="0"/>
    <s v="Belgium"/>
    <x v="2"/>
  </r>
  <r>
    <n v="2024002468"/>
    <x v="81"/>
    <n v="2024"/>
    <x v="29"/>
    <s v="PROD_006"/>
    <s v="Monitor 27&quot;"/>
    <s v="Electronics"/>
    <n v="4"/>
    <n v="425.01"/>
    <n v="1700.04"/>
    <n v="1700.04"/>
    <n v="0"/>
    <s v="Netherlands"/>
    <x v="2"/>
  </r>
  <r>
    <n v="2024002469"/>
    <x v="41"/>
    <n v="2024"/>
    <x v="88"/>
    <s v="PROD_006"/>
    <s v="Monitor 27&quot;"/>
    <s v="Electronics"/>
    <n v="4"/>
    <n v="421.64"/>
    <n v="1686.56"/>
    <n v="1686.56"/>
    <n v="0"/>
    <s v="France"/>
    <x v="2"/>
  </r>
  <r>
    <n v="2024002470"/>
    <x v="353"/>
    <n v="2024"/>
    <x v="187"/>
    <s v="PROD_008"/>
    <s v="Desk Lamp"/>
    <s v="Furniture"/>
    <n v="3"/>
    <n v="78"/>
    <n v="234"/>
    <n v="234"/>
    <n v="0"/>
    <s v="UK"/>
    <x v="3"/>
  </r>
  <r>
    <n v="2024002471"/>
    <x v="11"/>
    <n v="2024"/>
    <x v="0"/>
    <s v="PROD_005"/>
    <s v="Standing Desk"/>
    <s v="Furniture"/>
    <n v="1"/>
    <n v="522.25"/>
    <n v="522.25"/>
    <n v="522.25"/>
    <n v="0"/>
    <s v="Belgium"/>
    <x v="2"/>
  </r>
  <r>
    <n v="2024002472"/>
    <x v="306"/>
    <n v="2024"/>
    <x v="239"/>
    <s v="PROD_007"/>
    <s v="Keyboard Mechanical"/>
    <s v="Electronics"/>
    <n v="2"/>
    <n v="119.72"/>
    <n v="239.44"/>
    <n v="239.44"/>
    <n v="0"/>
    <s v="Spain"/>
    <x v="2"/>
  </r>
  <r>
    <n v="2024002473"/>
    <x v="120"/>
    <n v="2024"/>
    <x v="259"/>
    <s v="PROD_007"/>
    <s v="Keyboard Mechanical"/>
    <s v="Electronics"/>
    <n v="1"/>
    <n v="117.64"/>
    <n v="117.64"/>
    <n v="117.64"/>
    <n v="0"/>
    <s v="UK"/>
    <x v="2"/>
  </r>
  <r>
    <n v="2024002474"/>
    <x v="197"/>
    <n v="2024"/>
    <x v="296"/>
    <s v="PROD_009"/>
    <s v="Phone Stand"/>
    <s v="Accessories"/>
    <n v="1"/>
    <n v="24.3"/>
    <n v="24.3"/>
    <n v="24.3"/>
    <n v="0"/>
    <s v="Italy"/>
    <x v="3"/>
  </r>
  <r>
    <n v="2024002475"/>
    <x v="92"/>
    <n v="2024"/>
    <x v="198"/>
    <s v="PROD_001"/>
    <s v="Laptop Pro"/>
    <s v="Electronics"/>
    <n v="2"/>
    <n v="1149.68"/>
    <n v="2299.36"/>
    <n v="2299.36"/>
    <n v="0"/>
    <s v="Italy"/>
    <x v="0"/>
  </r>
  <r>
    <n v="2024002476"/>
    <x v="35"/>
    <n v="2024"/>
    <x v="1"/>
    <s v="PROD_008"/>
    <s v="Desk Lamp"/>
    <s v="Furniture"/>
    <n v="1"/>
    <n v="85.65"/>
    <n v="85.65"/>
    <n v="85.65"/>
    <n v="0"/>
    <s v="Belgium"/>
    <x v="3"/>
  </r>
  <r>
    <n v="2024002477"/>
    <x v="302"/>
    <n v="2024"/>
    <x v="291"/>
    <s v="PROD_001"/>
    <s v="Laptop Pro"/>
    <s v="Electronics"/>
    <n v="1"/>
    <n v="1203.81"/>
    <n v="1203.81"/>
    <n v="1203.81"/>
    <n v="0"/>
    <s v="Sweden"/>
    <x v="3"/>
  </r>
  <r>
    <n v="2024002478"/>
    <x v="11"/>
    <n v="2024"/>
    <x v="0"/>
    <s v="PROD_010"/>
    <s v="Webcam HD"/>
    <s v="Electronics"/>
    <n v="2"/>
    <n v="92.77"/>
    <n v="185.54"/>
    <n v="185.54"/>
    <n v="0"/>
    <s v="Italy"/>
    <x v="3"/>
  </r>
  <r>
    <n v="2024002479"/>
    <x v="49"/>
    <n v="2024"/>
    <x v="132"/>
    <s v="PROD_009"/>
    <s v="Phone Stand"/>
    <s v="Accessories"/>
    <n v="3"/>
    <n v="25.64"/>
    <n v="76.92"/>
    <n v="76.92"/>
    <n v="0"/>
    <s v="Belgium"/>
    <x v="2"/>
  </r>
  <r>
    <n v="2024002480"/>
    <x v="314"/>
    <n v="2024"/>
    <x v="103"/>
    <s v="PROD_005"/>
    <s v="Standing Desk"/>
    <s v="Furniture"/>
    <n v="1"/>
    <n v="578.6"/>
    <n v="578.6"/>
    <n v="578.6"/>
    <n v="0"/>
    <s v="Netherlands"/>
    <x v="0"/>
  </r>
  <r>
    <n v="2024002481"/>
    <x v="25"/>
    <n v="2024"/>
    <x v="0"/>
    <s v="PROD_002"/>
    <s v="Wireless Mouse"/>
    <s v="Electronics"/>
    <n v="1"/>
    <n v="41.61"/>
    <n v="41.61"/>
    <n v="41.61"/>
    <n v="0"/>
    <s v="Germany"/>
    <x v="2"/>
  </r>
  <r>
    <n v="2024002482"/>
    <x v="20"/>
    <n v="2024"/>
    <x v="256"/>
    <s v="PROD_005"/>
    <s v="Standing Desk"/>
    <s v="Furniture"/>
    <n v="1"/>
    <n v="584.80999999999995"/>
    <n v="584.80999999999995"/>
    <n v="584.80999999999995"/>
    <n v="0"/>
    <s v="Sweden"/>
    <x v="0"/>
  </r>
  <r>
    <n v="2024002483"/>
    <x v="244"/>
    <n v="2024"/>
    <x v="277"/>
    <s v="PROD_009"/>
    <s v="Phone Stand"/>
    <s v="Accessories"/>
    <n v="1"/>
    <n v="24.78"/>
    <n v="24.78"/>
    <n v="24.78"/>
    <n v="0"/>
    <s v="France"/>
    <x v="2"/>
  </r>
  <r>
    <n v="2024002484"/>
    <x v="45"/>
    <n v="2024"/>
    <x v="0"/>
    <s v="PROD_007"/>
    <s v="Keyboard Mechanical"/>
    <s v="Electronics"/>
    <n v="3"/>
    <n v="120.48"/>
    <n v="361.44"/>
    <n v="361.44"/>
    <n v="0"/>
    <s v="UK"/>
    <x v="1"/>
  </r>
  <r>
    <n v="2024002485"/>
    <x v="81"/>
    <n v="2024"/>
    <x v="254"/>
    <s v="PROD_004"/>
    <s v="Desk Chair"/>
    <s v="Furniture"/>
    <n v="2"/>
    <n v="378.01"/>
    <n v="756.02"/>
    <n v="756.02"/>
    <n v="0"/>
    <s v="Italy"/>
    <x v="2"/>
  </r>
  <r>
    <n v="2024002486"/>
    <x v="171"/>
    <n v="2024"/>
    <x v="10"/>
    <s v="PROD_003"/>
    <s v="USB-C Cable"/>
    <s v="Electronics"/>
    <n v="1"/>
    <n v="16.239999999999998"/>
    <n v="16.239999999999998"/>
    <n v="16.239999999999998"/>
    <n v="0"/>
    <s v="Sweden"/>
    <x v="3"/>
  </r>
  <r>
    <n v="2024002487"/>
    <x v="63"/>
    <n v="2024"/>
    <x v="0"/>
    <s v="PROD_006"/>
    <s v="Monitor 27&quot;"/>
    <s v="Electronics"/>
    <n v="2"/>
    <n v="399.62"/>
    <n v="799.24"/>
    <n v="799.24"/>
    <n v="0"/>
    <s v="Austria"/>
    <x v="3"/>
  </r>
  <r>
    <n v="2024002488"/>
    <x v="330"/>
    <n v="2024"/>
    <x v="215"/>
    <s v="PROD_009"/>
    <s v="Phone Stand"/>
    <s v="Accessories"/>
    <n v="1"/>
    <n v="24.69"/>
    <n v="24.69"/>
    <n v="24.69"/>
    <n v="0"/>
    <s v="Switzerland"/>
    <x v="0"/>
  </r>
  <r>
    <n v="2024002489"/>
    <x v="304"/>
    <n v="2024"/>
    <x v="106"/>
    <s v="PROD_005"/>
    <s v="Standing Desk"/>
    <s v="Furniture"/>
    <n v="1"/>
    <n v="588.95000000000005"/>
    <n v="588.95000000000005"/>
    <n v="588.95000000000005"/>
    <n v="0"/>
    <s v="Austria"/>
    <x v="1"/>
  </r>
  <r>
    <n v="2024002490"/>
    <x v="79"/>
    <n v="2024"/>
    <x v="252"/>
    <s v="PROD_002"/>
    <s v="Wireless Mouse"/>
    <s v="Electronics"/>
    <n v="3"/>
    <n v="42.17"/>
    <n v="126.51"/>
    <n v="126.51"/>
    <n v="0"/>
    <s v="Switzerland"/>
    <x v="1"/>
  </r>
  <r>
    <n v="2024002491"/>
    <x v="180"/>
    <n v="2024"/>
    <x v="109"/>
    <s v="PROD_010"/>
    <s v="Webcam HD"/>
    <s v="Electronics"/>
    <n v="1"/>
    <n v="86.36"/>
    <n v="86.36"/>
    <n v="86.36"/>
    <n v="0"/>
    <s v="France"/>
    <x v="0"/>
  </r>
  <r>
    <n v="2024002492"/>
    <x v="337"/>
    <n v="2024"/>
    <x v="15"/>
    <s v="PROD_003"/>
    <s v="USB-C Cable"/>
    <s v="Electronics"/>
    <n v="3"/>
    <n v="14.85"/>
    <n v="44.55"/>
    <n v="44.55"/>
    <n v="0"/>
    <s v="Sweden"/>
    <x v="1"/>
  </r>
  <r>
    <n v="2024002493"/>
    <x v="57"/>
    <n v="2024"/>
    <x v="62"/>
    <s v="PROD_005"/>
    <s v="Standing Desk"/>
    <s v="Furniture"/>
    <n v="2"/>
    <n v="641.98"/>
    <n v="1283.96"/>
    <n v="1283.96"/>
    <n v="0"/>
    <s v="Austria"/>
    <x v="2"/>
  </r>
  <r>
    <n v="2024002494"/>
    <x v="270"/>
    <n v="2024"/>
    <x v="122"/>
    <s v="PROD_005"/>
    <s v="Standing Desk"/>
    <s v="Furniture"/>
    <n v="4"/>
    <n v="549.47"/>
    <n v="2197.88"/>
    <n v="2197.88"/>
    <n v="0"/>
    <s v="Italy"/>
    <x v="1"/>
  </r>
  <r>
    <n v="2024002495"/>
    <x v="186"/>
    <n v="2024"/>
    <x v="182"/>
    <s v="PROD_002"/>
    <s v="Wireless Mouse"/>
    <s v="Electronics"/>
    <n v="1"/>
    <n v="48.64"/>
    <n v="48.64"/>
    <n v="48.64"/>
    <n v="0"/>
    <s v="Spain"/>
    <x v="3"/>
  </r>
  <r>
    <n v="2024002496"/>
    <x v="64"/>
    <n v="2024"/>
    <x v="100"/>
    <s v="PROD_002"/>
    <s v="Wireless Mouse"/>
    <s v="Electronics"/>
    <n v="1"/>
    <n v="43.95"/>
    <n v="43.95"/>
    <n v="43.95"/>
    <n v="0"/>
    <s v="Spain"/>
    <x v="1"/>
  </r>
  <r>
    <n v="2024002497"/>
    <x v="100"/>
    <n v="2024"/>
    <x v="41"/>
    <s v="PROD_003"/>
    <s v="USB-C Cable"/>
    <s v="Electronics"/>
    <n v="2"/>
    <n v="14.93"/>
    <n v="29.86"/>
    <n v="29.86"/>
    <n v="0"/>
    <s v="Belgium"/>
    <x v="1"/>
  </r>
  <r>
    <n v="2024002498"/>
    <x v="122"/>
    <n v="2024"/>
    <x v="225"/>
    <s v="PROD_003"/>
    <s v="USB-C Cable"/>
    <s v="Electronics"/>
    <n v="4"/>
    <n v="14.99"/>
    <n v="59.96"/>
    <n v="59.96"/>
    <n v="0"/>
    <s v="Germany"/>
    <x v="1"/>
  </r>
  <r>
    <n v="2024002499"/>
    <x v="5"/>
    <n v="2024"/>
    <x v="101"/>
    <s v="PROD_010"/>
    <s v="Webcam HD"/>
    <s v="Electronics"/>
    <n v="2"/>
    <n v="84.93"/>
    <n v="169.86"/>
    <n v="169.86"/>
    <n v="0"/>
    <s v="France"/>
    <x v="3"/>
  </r>
  <r>
    <n v="2024002500"/>
    <x v="291"/>
    <n v="2024"/>
    <x v="139"/>
    <s v="PROD_004"/>
    <s v="Desk Chair"/>
    <s v="Furniture"/>
    <n v="5"/>
    <n v="378.06"/>
    <n v="1890.3"/>
    <n v="1890.3"/>
    <n v="0"/>
    <s v="UK"/>
    <x v="3"/>
  </r>
  <r>
    <n v="2024002501"/>
    <x v="34"/>
    <n v="2024"/>
    <x v="193"/>
    <s v="PROD_007"/>
    <s v="Keyboard Mechanical"/>
    <s v="Electronics"/>
    <n v="1"/>
    <n v="114.57"/>
    <n v="114.57"/>
    <n v="114.57"/>
    <n v="0"/>
    <s v="Sweden"/>
    <x v="3"/>
  </r>
  <r>
    <n v="2024002502"/>
    <x v="108"/>
    <n v="2024"/>
    <x v="0"/>
    <s v="PROD_002"/>
    <s v="Wireless Mouse"/>
    <s v="Electronics"/>
    <n v="1"/>
    <n v="50.49"/>
    <n v="50.49"/>
    <n v="50.49"/>
    <n v="0"/>
    <s v="UK"/>
    <x v="1"/>
  </r>
  <r>
    <n v="2024002503"/>
    <x v="106"/>
    <n v="2024"/>
    <x v="112"/>
    <s v="PROD_004"/>
    <s v="Desk Chair"/>
    <s v="Furniture"/>
    <n v="1"/>
    <n v="357.65"/>
    <n v="357.65"/>
    <n v="357.65"/>
    <n v="0"/>
    <s v="France"/>
    <x v="3"/>
  </r>
  <r>
    <n v="2024002504"/>
    <x v="31"/>
    <n v="2024"/>
    <x v="0"/>
    <s v="PROD_010"/>
    <s v="Webcam HD"/>
    <s v="Electronics"/>
    <n v="2"/>
    <n v="92.77"/>
    <n v="185.54"/>
    <n v="185.54"/>
    <n v="0"/>
    <s v="Italy"/>
    <x v="2"/>
  </r>
  <r>
    <n v="2024002505"/>
    <x v="70"/>
    <n v="2024"/>
    <x v="39"/>
    <s v="PROD_006"/>
    <s v="Monitor 27&quot;"/>
    <s v="Electronics"/>
    <n v="1"/>
    <n v="423.64"/>
    <n v="423.64"/>
    <n v="423.64"/>
    <n v="0"/>
    <s v="Switzerland"/>
    <x v="2"/>
  </r>
  <r>
    <n v="2024002506"/>
    <x v="153"/>
    <n v="2024"/>
    <x v="88"/>
    <s v="PROD_002"/>
    <s v="Wireless Mouse"/>
    <s v="Electronics"/>
    <n v="2"/>
    <n v="47.14"/>
    <n v="94.28"/>
    <n v="94.28"/>
    <n v="0"/>
    <s v="Switzerland"/>
    <x v="1"/>
  </r>
  <r>
    <n v="2024002507"/>
    <x v="360"/>
    <n v="2024"/>
    <x v="179"/>
    <s v="PROD_005"/>
    <s v="Standing Desk"/>
    <s v="Furniture"/>
    <n v="4"/>
    <n v="594.63"/>
    <n v="2378.52"/>
    <n v="2378.52"/>
    <n v="0"/>
    <s v="Spain"/>
    <x v="2"/>
  </r>
  <r>
    <n v="2024002508"/>
    <x v="251"/>
    <n v="2024"/>
    <x v="95"/>
    <s v="PROD_001"/>
    <s v="Laptop Pro"/>
    <s v="Electronics"/>
    <n v="4"/>
    <n v="1224.52"/>
    <n v="4898.08"/>
    <n v="4898.08"/>
    <n v="0"/>
    <s v="France"/>
    <x v="3"/>
  </r>
  <r>
    <n v="2024002509"/>
    <x v="179"/>
    <n v="2024"/>
    <x v="47"/>
    <s v="PROD_010"/>
    <s v="Webcam HD"/>
    <s v="Electronics"/>
    <n v="1"/>
    <n v="94.95"/>
    <n v="94.95"/>
    <n v="94.95"/>
    <n v="0"/>
    <s v="Switzerland"/>
    <x v="0"/>
  </r>
  <r>
    <n v="2024002510"/>
    <x v="39"/>
    <n v="2024"/>
    <x v="199"/>
    <s v="PROD_008"/>
    <s v="Desk Lamp"/>
    <s v="Furniture"/>
    <n v="1"/>
    <n v="68.88"/>
    <n v="68.88"/>
    <n v="68.88"/>
    <n v="0"/>
    <s v="Switzerland"/>
    <x v="2"/>
  </r>
  <r>
    <n v="2024002511"/>
    <x v="74"/>
    <n v="2024"/>
    <x v="0"/>
    <s v="PROD_003"/>
    <s v="USB-C Cable"/>
    <s v="Electronics"/>
    <n v="1"/>
    <n v="14.23"/>
    <n v="14.23"/>
    <n v="14.23"/>
    <n v="0"/>
    <s v="Germany"/>
    <x v="2"/>
  </r>
  <r>
    <n v="2024002512"/>
    <x v="60"/>
    <n v="2024"/>
    <x v="164"/>
    <s v="PROD_009"/>
    <s v="Phone Stand"/>
    <s v="Accessories"/>
    <n v="1"/>
    <n v="23.44"/>
    <n v="23.44"/>
    <n v="23.44"/>
    <n v="0"/>
    <s v="Netherlands"/>
    <x v="2"/>
  </r>
  <r>
    <n v="2024002513"/>
    <x v="187"/>
    <n v="2024"/>
    <x v="203"/>
    <s v="PROD_006"/>
    <s v="Monitor 27&quot;"/>
    <s v="Electronics"/>
    <n v="3"/>
    <n v="409"/>
    <n v="1227"/>
    <n v="1227"/>
    <n v="0"/>
    <s v="Spain"/>
    <x v="0"/>
  </r>
  <r>
    <n v="2024002514"/>
    <x v="245"/>
    <n v="2024"/>
    <x v="261"/>
    <s v="PROD_009"/>
    <s v="Phone Stand"/>
    <s v="Accessories"/>
    <n v="1"/>
    <n v="24.33"/>
    <n v="24.33"/>
    <n v="24.33"/>
    <n v="0"/>
    <s v="Austria"/>
    <x v="3"/>
  </r>
  <r>
    <n v="2024002515"/>
    <x v="161"/>
    <n v="2024"/>
    <x v="141"/>
    <s v="PROD_005"/>
    <s v="Standing Desk"/>
    <s v="Furniture"/>
    <n v="3"/>
    <n v="609.83000000000004"/>
    <n v="1829.49"/>
    <n v="1829.4900000000002"/>
    <n v="0"/>
    <s v="Italy"/>
    <x v="0"/>
  </r>
  <r>
    <n v="2024002516"/>
    <x v="75"/>
    <n v="2024"/>
    <x v="9"/>
    <s v="PROD_007"/>
    <s v="Keyboard Mechanical"/>
    <s v="Electronics"/>
    <n v="1"/>
    <n v="120.25"/>
    <n v="120.25"/>
    <n v="120.25"/>
    <n v="0"/>
    <s v="Netherlands"/>
    <x v="2"/>
  </r>
  <r>
    <n v="2024002517"/>
    <x v="64"/>
    <n v="2024"/>
    <x v="147"/>
    <s v="PROD_009"/>
    <s v="Phone Stand"/>
    <s v="Accessories"/>
    <n v="1"/>
    <n v="24.32"/>
    <n v="24.32"/>
    <n v="24.32"/>
    <n v="0"/>
    <s v="Sweden"/>
    <x v="0"/>
  </r>
  <r>
    <n v="2024002518"/>
    <x v="22"/>
    <n v="2024"/>
    <x v="210"/>
    <s v="PROD_010"/>
    <s v="Webcam HD"/>
    <s v="Electronics"/>
    <n v="1"/>
    <n v="82.73"/>
    <n v="82.73"/>
    <n v="82.73"/>
    <n v="0"/>
    <s v="Belgium"/>
    <x v="2"/>
  </r>
  <r>
    <n v="2024002519"/>
    <x v="228"/>
    <n v="2024"/>
    <x v="117"/>
    <s v="PROD_010"/>
    <s v="Webcam HD"/>
    <s v="Electronics"/>
    <n v="3"/>
    <n v="80.22"/>
    <n v="240.66"/>
    <n v="240.66"/>
    <n v="0"/>
    <s v="France"/>
    <x v="3"/>
  </r>
  <r>
    <n v="2024002520"/>
    <x v="262"/>
    <n v="2024"/>
    <x v="42"/>
    <s v="PROD_004"/>
    <s v="Desk Chair"/>
    <s v="Furniture"/>
    <n v="1"/>
    <n v="350.01"/>
    <n v="350.01"/>
    <n v="350.01"/>
    <n v="0"/>
    <s v="Germany"/>
    <x v="2"/>
  </r>
  <r>
    <n v="2024002521"/>
    <x v="204"/>
    <n v="2024"/>
    <x v="0"/>
    <s v="PROD_003"/>
    <s v="USB-C Cable"/>
    <s v="Electronics"/>
    <n v="1"/>
    <n v="14.67"/>
    <n v="14.67"/>
    <n v="14.67"/>
    <n v="0"/>
    <s v="Netherlands"/>
    <x v="3"/>
  </r>
  <r>
    <n v="2024002522"/>
    <x v="0"/>
    <n v="2024"/>
    <x v="143"/>
    <s v="PROD_006"/>
    <s v="Monitor 27&quot;"/>
    <s v="Electronics"/>
    <n v="2"/>
    <n v="394.26"/>
    <n v="788.52"/>
    <n v="788.52"/>
    <n v="0"/>
    <s v="Italy"/>
    <x v="2"/>
  </r>
  <r>
    <n v="2024002523"/>
    <x v="10"/>
    <n v="2024"/>
    <x v="287"/>
    <s v="PROD_007"/>
    <s v="Keyboard Mechanical"/>
    <s v="Electronics"/>
    <n v="1"/>
    <n v="126.9"/>
    <n v="126.9"/>
    <n v="126.9"/>
    <n v="0"/>
    <s v="France"/>
    <x v="2"/>
  </r>
  <r>
    <n v="2024002524"/>
    <x v="331"/>
    <n v="2024"/>
    <x v="199"/>
    <s v="PROD_005"/>
    <s v="Standing Desk"/>
    <s v="Furniture"/>
    <n v="3"/>
    <n v="587.48"/>
    <n v="1762.44"/>
    <n v="1762.44"/>
    <n v="0"/>
    <s v="Belgium"/>
    <x v="2"/>
  </r>
  <r>
    <n v="2024002525"/>
    <x v="224"/>
    <n v="2024"/>
    <x v="135"/>
    <s v="PROD_006"/>
    <s v="Monitor 27&quot;"/>
    <s v="Electronics"/>
    <n v="1"/>
    <n v="361.58"/>
    <n v="361.58"/>
    <n v="361.58"/>
    <n v="0"/>
    <s v="Switzerland"/>
    <x v="1"/>
  </r>
  <r>
    <n v="2024002526"/>
    <x v="268"/>
    <n v="2024"/>
    <x v="149"/>
    <s v="PROD_010"/>
    <s v="Webcam HD"/>
    <s v="Electronics"/>
    <n v="1"/>
    <n v="93.08"/>
    <n v="93.08"/>
    <n v="93.08"/>
    <n v="0"/>
    <s v="Switzerland"/>
    <x v="2"/>
  </r>
  <r>
    <n v="2024002527"/>
    <x v="109"/>
    <n v="2024"/>
    <x v="257"/>
    <s v="PROD_006"/>
    <s v="Monitor 27&quot;"/>
    <s v="Electronics"/>
    <n v="2"/>
    <n v="354.16"/>
    <n v="708.32"/>
    <n v="708.32"/>
    <n v="0"/>
    <s v="Belgium"/>
    <x v="3"/>
  </r>
  <r>
    <n v="2024002528"/>
    <x v="293"/>
    <n v="2024"/>
    <x v="31"/>
    <s v="PROD_005"/>
    <s v="Standing Desk"/>
    <s v="Furniture"/>
    <n v="1"/>
    <n v="633.5"/>
    <n v="633.5"/>
    <n v="633.5"/>
    <n v="0"/>
    <s v="Austria"/>
    <x v="0"/>
  </r>
  <r>
    <n v="2024002529"/>
    <x v="255"/>
    <n v="2024"/>
    <x v="74"/>
    <s v="PROD_003"/>
    <s v="USB-C Cable"/>
    <s v="Electronics"/>
    <n v="2"/>
    <n v="15.17"/>
    <n v="30.34"/>
    <n v="30.34"/>
    <n v="0"/>
    <s v="Austria"/>
    <x v="3"/>
  </r>
  <r>
    <n v="2024002530"/>
    <x v="120"/>
    <n v="2024"/>
    <x v="100"/>
    <s v="PROD_005"/>
    <s v="Standing Desk"/>
    <s v="Furniture"/>
    <n v="2"/>
    <n v="565.01"/>
    <n v="1130.02"/>
    <n v="1130.02"/>
    <n v="0"/>
    <s v="Switzerland"/>
    <x v="3"/>
  </r>
  <r>
    <n v="2024002531"/>
    <x v="170"/>
    <n v="2024"/>
    <x v="216"/>
    <s v="PROD_005"/>
    <s v="Standing Desk"/>
    <s v="Furniture"/>
    <n v="1"/>
    <n v="599.66999999999996"/>
    <n v="599.66999999999996"/>
    <n v="599.66999999999996"/>
    <n v="0"/>
    <s v="Austria"/>
    <x v="0"/>
  </r>
  <r>
    <n v="2024002532"/>
    <x v="226"/>
    <n v="2024"/>
    <x v="42"/>
    <s v="PROD_010"/>
    <s v="Webcam HD"/>
    <s v="Electronics"/>
    <n v="3"/>
    <n v="86.77"/>
    <n v="260.31"/>
    <n v="260.31"/>
    <n v="0"/>
    <s v="UK"/>
    <x v="3"/>
  </r>
  <r>
    <n v="2024002533"/>
    <x v="111"/>
    <n v="2024"/>
    <x v="98"/>
    <s v="PROD_002"/>
    <s v="Wireless Mouse"/>
    <s v="Electronics"/>
    <n v="1"/>
    <n v="48.85"/>
    <n v="48.85"/>
    <n v="48.85"/>
    <n v="0"/>
    <s v="Sweden"/>
    <x v="1"/>
  </r>
  <r>
    <n v="2024002534"/>
    <x v="305"/>
    <n v="2024"/>
    <x v="79"/>
    <s v="PROD_010"/>
    <s v="Webcam HD"/>
    <s v="Electronics"/>
    <n v="4"/>
    <n v="91.84"/>
    <n v="367.36"/>
    <n v="367.36"/>
    <n v="0"/>
    <s v="Sweden"/>
    <x v="2"/>
  </r>
  <r>
    <n v="2024002535"/>
    <x v="290"/>
    <n v="2024"/>
    <x v="0"/>
    <s v="PROD_001"/>
    <s v="Laptop Pro"/>
    <s v="Electronics"/>
    <n v="1"/>
    <n v="1174.43"/>
    <n v="1174.43"/>
    <n v="1174.43"/>
    <n v="0"/>
    <s v="Sweden"/>
    <x v="3"/>
  </r>
  <r>
    <n v="2024002536"/>
    <x v="67"/>
    <n v="2024"/>
    <x v="195"/>
    <s v="PROD_009"/>
    <s v="Phone Stand"/>
    <s v="Accessories"/>
    <n v="1"/>
    <n v="24.65"/>
    <n v="24.65"/>
    <n v="24.65"/>
    <n v="0"/>
    <s v="Germany"/>
    <x v="1"/>
  </r>
  <r>
    <n v="2024002537"/>
    <x v="114"/>
    <n v="2024"/>
    <x v="204"/>
    <s v="PROD_007"/>
    <s v="Keyboard Mechanical"/>
    <s v="Electronics"/>
    <n v="2"/>
    <n v="117.01"/>
    <n v="234.02"/>
    <n v="234.02"/>
    <n v="0"/>
    <s v="Austria"/>
    <x v="3"/>
  </r>
  <r>
    <n v="2024002538"/>
    <x v="187"/>
    <n v="2024"/>
    <x v="136"/>
    <s v="PROD_007"/>
    <s v="Keyboard Mechanical"/>
    <s v="Electronics"/>
    <n v="2"/>
    <n v="114.51"/>
    <n v="229.02"/>
    <n v="229.02"/>
    <n v="0"/>
    <s v="Spain"/>
    <x v="3"/>
  </r>
  <r>
    <n v="2024002539"/>
    <x v="14"/>
    <n v="2024"/>
    <x v="0"/>
    <s v="PROD_008"/>
    <s v="Desk Lamp"/>
    <s v="Furniture"/>
    <n v="1"/>
    <n v="78.13"/>
    <n v="78.13"/>
    <n v="78.13"/>
    <n v="0"/>
    <s v="Netherlands"/>
    <x v="0"/>
  </r>
  <r>
    <n v="2024002540"/>
    <x v="361"/>
    <n v="2024"/>
    <x v="2"/>
    <s v="PROD_007"/>
    <s v="Keyboard Mechanical"/>
    <s v="Electronics"/>
    <n v="3"/>
    <n v="118.15"/>
    <n v="354.45"/>
    <n v="354.45000000000005"/>
    <n v="0"/>
    <s v="Switzerland"/>
    <x v="0"/>
  </r>
  <r>
    <n v="2024002541"/>
    <x v="114"/>
    <n v="2024"/>
    <x v="45"/>
    <s v="PROD_001"/>
    <s v="Laptop Pro"/>
    <s v="Electronics"/>
    <n v="2"/>
    <n v="1224.29"/>
    <n v="2448.58"/>
    <n v="2448.58"/>
    <n v="0"/>
    <s v="Austria"/>
    <x v="1"/>
  </r>
  <r>
    <n v="2024002542"/>
    <x v="101"/>
    <n v="2024"/>
    <x v="296"/>
    <s v="PROD_009"/>
    <s v="Phone Stand"/>
    <s v="Accessories"/>
    <n v="3"/>
    <n v="25.39"/>
    <n v="76.17"/>
    <n v="76.17"/>
    <n v="0"/>
    <s v="Belgium"/>
    <x v="0"/>
  </r>
  <r>
    <n v="2024002543"/>
    <x v="211"/>
    <n v="2024"/>
    <x v="38"/>
    <s v="PROD_004"/>
    <s v="Desk Chair"/>
    <s v="Furniture"/>
    <n v="2"/>
    <n v="330.27"/>
    <n v="660.54"/>
    <n v="660.54"/>
    <n v="0"/>
    <s v="Netherlands"/>
    <x v="1"/>
  </r>
  <r>
    <n v="2024002544"/>
    <x v="113"/>
    <n v="2024"/>
    <x v="25"/>
    <s v="PROD_004"/>
    <s v="Desk Chair"/>
    <s v="Furniture"/>
    <n v="1"/>
    <n v="345.75"/>
    <n v="345.75"/>
    <n v="345.75"/>
    <n v="0"/>
    <s v="Germany"/>
    <x v="3"/>
  </r>
  <r>
    <n v="2024002545"/>
    <x v="324"/>
    <n v="2024"/>
    <x v="0"/>
    <s v="PROD_009"/>
    <s v="Phone Stand"/>
    <s v="Accessories"/>
    <n v="3"/>
    <n v="26.08"/>
    <n v="78.239999999999995"/>
    <n v="78.239999999999995"/>
    <n v="0"/>
    <s v="Netherlands"/>
    <x v="1"/>
  </r>
  <r>
    <n v="2024002546"/>
    <x v="362"/>
    <n v="2024"/>
    <x v="155"/>
    <s v="PROD_007"/>
    <s v="Keyboard Mechanical"/>
    <s v="Electronics"/>
    <n v="1"/>
    <n v="109.73"/>
    <n v="109.73"/>
    <n v="109.73"/>
    <n v="0"/>
    <s v="Belgium"/>
    <x v="3"/>
  </r>
  <r>
    <n v="2024002547"/>
    <x v="163"/>
    <n v="2024"/>
    <x v="102"/>
    <s v="PROD_006"/>
    <s v="Monitor 27&quot;"/>
    <s v="Electronics"/>
    <n v="1"/>
    <n v="408.77"/>
    <n v="408.77"/>
    <n v="408.77"/>
    <n v="0"/>
    <s v="Spain"/>
    <x v="0"/>
  </r>
  <r>
    <n v="2024002548"/>
    <x v="156"/>
    <n v="2024"/>
    <x v="189"/>
    <s v="PROD_005"/>
    <s v="Standing Desk"/>
    <s v="Furniture"/>
    <n v="1"/>
    <n v="634.21"/>
    <n v="634.21"/>
    <n v="634.21"/>
    <n v="0"/>
    <s v="Austria"/>
    <x v="1"/>
  </r>
  <r>
    <n v="2024002549"/>
    <x v="55"/>
    <n v="2024"/>
    <x v="89"/>
    <s v="PROD_001"/>
    <s v="Laptop Pro"/>
    <s v="Electronics"/>
    <n v="2"/>
    <n v="1161.79"/>
    <n v="2323.58"/>
    <n v="2323.58"/>
    <n v="0"/>
    <s v="Belgium"/>
    <x v="3"/>
  </r>
  <r>
    <n v="2024002550"/>
    <x v="86"/>
    <n v="2024"/>
    <x v="141"/>
    <s v="PROD_007"/>
    <s v="Keyboard Mechanical"/>
    <s v="Electronics"/>
    <n v="1"/>
    <n v="110.68"/>
    <n v="110.68"/>
    <n v="110.68"/>
    <n v="0"/>
    <s v="Spain"/>
    <x v="2"/>
  </r>
  <r>
    <n v="2024002551"/>
    <x v="255"/>
    <n v="2024"/>
    <x v="282"/>
    <s v="PROD_006"/>
    <s v="Monitor 27&quot;"/>
    <s v="Electronics"/>
    <n v="2"/>
    <n v="413.32"/>
    <n v="826.64"/>
    <n v="826.64"/>
    <n v="0"/>
    <s v="Switzerland"/>
    <x v="3"/>
  </r>
  <r>
    <n v="2024002552"/>
    <x v="103"/>
    <n v="2024"/>
    <x v="60"/>
    <s v="PROD_009"/>
    <s v="Phone Stand"/>
    <s v="Accessories"/>
    <n v="3"/>
    <n v="27.77"/>
    <n v="83.31"/>
    <n v="83.31"/>
    <n v="0"/>
    <s v="UK"/>
    <x v="3"/>
  </r>
  <r>
    <n v="2024002553"/>
    <x v="21"/>
    <n v="2024"/>
    <x v="217"/>
    <s v="PROD_003"/>
    <s v="USB-C Cable"/>
    <s v="Electronics"/>
    <n v="1"/>
    <n v="14.34"/>
    <n v="14.34"/>
    <n v="14.34"/>
    <n v="0"/>
    <s v="UK"/>
    <x v="3"/>
  </r>
  <r>
    <n v="2024002554"/>
    <x v="107"/>
    <n v="2024"/>
    <x v="229"/>
    <s v="PROD_005"/>
    <s v="Standing Desk"/>
    <s v="Furniture"/>
    <n v="1"/>
    <n v="653.08000000000004"/>
    <n v="653.08000000000004"/>
    <n v="653.08000000000004"/>
    <n v="0"/>
    <s v="Austria"/>
    <x v="1"/>
  </r>
  <r>
    <n v="2024002555"/>
    <x v="92"/>
    <n v="2024"/>
    <x v="84"/>
    <s v="PROD_001"/>
    <s v="Laptop Pro"/>
    <s v="Electronics"/>
    <n v="2"/>
    <n v="1211.97"/>
    <n v="2423.94"/>
    <n v="2423.94"/>
    <n v="0"/>
    <s v="Austria"/>
    <x v="3"/>
  </r>
  <r>
    <n v="2024002556"/>
    <x v="101"/>
    <n v="2024"/>
    <x v="0"/>
    <s v="PROD_005"/>
    <s v="Standing Desk"/>
    <s v="Furniture"/>
    <n v="2"/>
    <n v="573.67999999999995"/>
    <n v="1147.3599999999999"/>
    <n v="1147.3599999999999"/>
    <n v="0"/>
    <s v="Austria"/>
    <x v="1"/>
  </r>
  <r>
    <n v="2024002557"/>
    <x v="155"/>
    <n v="2024"/>
    <x v="21"/>
    <s v="PROD_006"/>
    <s v="Monitor 27&quot;"/>
    <s v="Electronics"/>
    <n v="3"/>
    <n v="371.86"/>
    <n v="1115.58"/>
    <n v="1115.58"/>
    <n v="0"/>
    <s v="UK"/>
    <x v="1"/>
  </r>
  <r>
    <n v="2024002558"/>
    <x v="349"/>
    <n v="2024"/>
    <x v="251"/>
    <s v="PROD_003"/>
    <s v="USB-C Cable"/>
    <s v="Electronics"/>
    <n v="3"/>
    <n v="13.55"/>
    <n v="40.65"/>
    <n v="40.650000000000006"/>
    <n v="0"/>
    <s v="Sweden"/>
    <x v="1"/>
  </r>
  <r>
    <n v="2024002559"/>
    <x v="325"/>
    <n v="2024"/>
    <x v="281"/>
    <s v="PROD_004"/>
    <s v="Desk Chair"/>
    <s v="Furniture"/>
    <n v="3"/>
    <n v="347.39"/>
    <n v="1042.17"/>
    <n v="1042.17"/>
    <n v="0"/>
    <s v="Belgium"/>
    <x v="3"/>
  </r>
  <r>
    <n v="2024002560"/>
    <x v="344"/>
    <n v="2024"/>
    <x v="275"/>
    <s v="PROD_002"/>
    <s v="Wireless Mouse"/>
    <s v="Electronics"/>
    <n v="1"/>
    <n v="45.83"/>
    <n v="45.83"/>
    <n v="45.83"/>
    <n v="0"/>
    <s v="Spain"/>
    <x v="0"/>
  </r>
  <r>
    <n v="2024002561"/>
    <x v="286"/>
    <n v="2024"/>
    <x v="105"/>
    <s v="PROD_001"/>
    <s v="Laptop Pro"/>
    <s v="Electronics"/>
    <n v="2"/>
    <n v="1106.33"/>
    <n v="2212.66"/>
    <n v="2212.66"/>
    <n v="0"/>
    <s v="Sweden"/>
    <x v="2"/>
  </r>
  <r>
    <n v="2024002562"/>
    <x v="24"/>
    <n v="2024"/>
    <x v="138"/>
    <s v="PROD_005"/>
    <s v="Standing Desk"/>
    <s v="Furniture"/>
    <n v="5"/>
    <n v="591.05999999999995"/>
    <n v="2955.3"/>
    <n v="2955.2999999999997"/>
    <n v="0"/>
    <s v="UK"/>
    <x v="0"/>
  </r>
  <r>
    <n v="2024001302"/>
    <x v="271"/>
    <n v="2024"/>
    <x v="113"/>
    <s v="PROD_002"/>
    <s v="Wireless Mouse"/>
    <s v="Electronics"/>
    <n v="4"/>
    <n v="41.28"/>
    <n v="165.12"/>
    <n v="165.12"/>
    <n v="0"/>
    <s v="Belgium"/>
    <x v="1"/>
  </r>
  <r>
    <n v="2024002564"/>
    <x v="59"/>
    <n v="2024"/>
    <x v="8"/>
    <s v="PROD_008"/>
    <s v="Desk Lamp"/>
    <s v="Furniture"/>
    <n v="2"/>
    <n v="77.14"/>
    <n v="154.28"/>
    <n v="154.28"/>
    <n v="0"/>
    <s v="Belgium"/>
    <x v="1"/>
  </r>
  <r>
    <n v="2024002565"/>
    <x v="289"/>
    <n v="2024"/>
    <x v="214"/>
    <s v="PROD_008"/>
    <s v="Desk Lamp"/>
    <s v="Furniture"/>
    <n v="3"/>
    <n v="77.22"/>
    <n v="231.66"/>
    <n v="231.66"/>
    <n v="0"/>
    <s v="Switzerland"/>
    <x v="1"/>
  </r>
  <r>
    <n v="2024002566"/>
    <x v="350"/>
    <n v="2024"/>
    <x v="26"/>
    <s v="PROD_006"/>
    <s v="Monitor 27&quot;"/>
    <s v="Electronics"/>
    <n v="2"/>
    <n v="406.19"/>
    <n v="812.38"/>
    <n v="812.38"/>
    <n v="0"/>
    <s v="Italy"/>
    <x v="1"/>
  </r>
  <r>
    <n v="2024002567"/>
    <x v="303"/>
    <n v="2024"/>
    <x v="47"/>
    <s v="PROD_007"/>
    <s v="Keyboard Mechanical"/>
    <s v="Electronics"/>
    <n v="2"/>
    <n v="122.85"/>
    <n v="245.7"/>
    <n v="245.7"/>
    <n v="0"/>
    <s v="Belgium"/>
    <x v="1"/>
  </r>
  <r>
    <n v="2024002568"/>
    <x v="363"/>
    <n v="2023"/>
    <x v="165"/>
    <s v="PROD_007"/>
    <s v="Keyboard Mechanical"/>
    <s v="Electronics"/>
    <n v="2"/>
    <n v="123.95"/>
    <n v="247.9"/>
    <n v="247.9"/>
    <n v="0"/>
    <s v="Sweden"/>
    <x v="2"/>
  </r>
  <r>
    <n v="2024002569"/>
    <x v="83"/>
    <n v="2024"/>
    <x v="74"/>
    <s v="PROD_003"/>
    <s v="USB-C Cable"/>
    <s v="Electronics"/>
    <n v="2"/>
    <n v="15.59"/>
    <n v="31.18"/>
    <n v="31.18"/>
    <n v="0"/>
    <s v="Germany"/>
    <x v="2"/>
  </r>
  <r>
    <n v="2024002570"/>
    <x v="195"/>
    <n v="2024"/>
    <x v="47"/>
    <s v="PROD_008"/>
    <s v="Desk Lamp"/>
    <s v="Furniture"/>
    <n v="2"/>
    <n v="78.44"/>
    <n v="156.88"/>
    <n v="156.88"/>
    <n v="0"/>
    <s v="Belgium"/>
    <x v="0"/>
  </r>
  <r>
    <n v="2024002571"/>
    <x v="248"/>
    <n v="2024"/>
    <x v="122"/>
    <s v="PROD_006"/>
    <s v="Monitor 27&quot;"/>
    <s v="Electronics"/>
    <n v="3"/>
    <n v="413.74"/>
    <n v="1241.22"/>
    <n v="1241.22"/>
    <n v="0"/>
    <s v="UK"/>
    <x v="1"/>
  </r>
  <r>
    <n v="2024002572"/>
    <x v="29"/>
    <n v="2024"/>
    <x v="50"/>
    <s v="PROD_006"/>
    <s v="Monitor 27&quot;"/>
    <s v="Electronics"/>
    <n v="1"/>
    <n v="394.2"/>
    <n v="394.2"/>
    <n v="394.2"/>
    <n v="0"/>
    <s v="Belgium"/>
    <x v="0"/>
  </r>
  <r>
    <n v="2024002573"/>
    <x v="249"/>
    <n v="2024"/>
    <x v="192"/>
    <s v="PROD_007"/>
    <s v="Keyboard Mechanical"/>
    <s v="Electronics"/>
    <n v="1"/>
    <n v="103.11"/>
    <n v="103.11"/>
    <n v="103.11"/>
    <n v="0"/>
    <s v="France"/>
    <x v="1"/>
  </r>
  <r>
    <n v="2024002574"/>
    <x v="30"/>
    <n v="2024"/>
    <x v="13"/>
    <s v="PROD_003"/>
    <s v="USB-C Cable"/>
    <s v="Electronics"/>
    <n v="2"/>
    <n v="13.79"/>
    <n v="27.58"/>
    <n v="27.58"/>
    <n v="0"/>
    <s v="France"/>
    <x v="1"/>
  </r>
  <r>
    <n v="2024002575"/>
    <x v="162"/>
    <n v="2024"/>
    <x v="99"/>
    <s v="PROD_010"/>
    <s v="Webcam HD"/>
    <s v="Electronics"/>
    <n v="2"/>
    <n v="91.47"/>
    <n v="182.94"/>
    <n v="182.94"/>
    <n v="0"/>
    <s v="Sweden"/>
    <x v="3"/>
  </r>
  <r>
    <n v="2024002576"/>
    <x v="139"/>
    <n v="2024"/>
    <x v="0"/>
    <s v="PROD_004"/>
    <s v="Desk Chair"/>
    <s v="Furniture"/>
    <n v="1"/>
    <n v="383.59"/>
    <n v="383.59"/>
    <n v="383.59"/>
    <n v="0"/>
    <s v="Spain"/>
    <x v="0"/>
  </r>
  <r>
    <n v="2024002577"/>
    <x v="253"/>
    <n v="2024"/>
    <x v="242"/>
    <s v="PROD_010"/>
    <s v="Webcam HD"/>
    <s v="Electronics"/>
    <n v="1"/>
    <n v="91.6"/>
    <n v="91.6"/>
    <n v="91.6"/>
    <n v="0"/>
    <s v="Germany"/>
    <x v="3"/>
  </r>
  <r>
    <n v="2024002578"/>
    <x v="47"/>
    <n v="2024"/>
    <x v="54"/>
    <s v="PROD_010"/>
    <s v="Webcam HD"/>
    <s v="Electronics"/>
    <n v="2"/>
    <n v="84.97"/>
    <n v="169.94"/>
    <n v="169.94"/>
    <n v="0"/>
    <s v="Austria"/>
    <x v="2"/>
  </r>
  <r>
    <n v="2024002579"/>
    <x v="298"/>
    <n v="2024"/>
    <x v="2"/>
    <s v="PROD_002"/>
    <s v="Wireless Mouse"/>
    <s v="Electronics"/>
    <n v="3"/>
    <n v="49.17"/>
    <n v="147.51"/>
    <n v="147.51"/>
    <n v="0"/>
    <s v="Sweden"/>
    <x v="3"/>
  </r>
  <r>
    <n v="2024002580"/>
    <x v="248"/>
    <n v="2024"/>
    <x v="0"/>
    <s v="PROD_004"/>
    <s v="Desk Chair"/>
    <s v="Furniture"/>
    <n v="1"/>
    <n v="349"/>
    <n v="349"/>
    <n v="349"/>
    <n v="0"/>
    <s v="Sweden"/>
    <x v="1"/>
  </r>
  <r>
    <n v="2024002581"/>
    <x v="217"/>
    <n v="2024"/>
    <x v="45"/>
    <s v="PROD_001"/>
    <s v="Laptop Pro"/>
    <s v="Electronics"/>
    <n v="1"/>
    <n v="1196.95"/>
    <n v="1196.95"/>
    <n v="1196.95"/>
    <n v="0"/>
    <s v="Germany"/>
    <x v="2"/>
  </r>
  <r>
    <n v="2024002582"/>
    <x v="347"/>
    <n v="2024"/>
    <x v="7"/>
    <s v="PROD_008"/>
    <s v="Desk Lamp"/>
    <s v="Furniture"/>
    <n v="1"/>
    <n v="72.81"/>
    <n v="72.81"/>
    <n v="72.81"/>
    <n v="0"/>
    <s v="Switzerland"/>
    <x v="2"/>
  </r>
  <r>
    <n v="2024002583"/>
    <x v="96"/>
    <n v="2024"/>
    <x v="267"/>
    <s v="PROD_005"/>
    <s v="Standing Desk"/>
    <s v="Furniture"/>
    <n v="1"/>
    <n v="599.16999999999996"/>
    <n v="599.16999999999996"/>
    <n v="599.16999999999996"/>
    <n v="0"/>
    <s v="France"/>
    <x v="2"/>
  </r>
  <r>
    <n v="2024002584"/>
    <x v="223"/>
    <n v="2024"/>
    <x v="264"/>
    <s v="PROD_005"/>
    <s v="Standing Desk"/>
    <s v="Furniture"/>
    <n v="1"/>
    <n v="608.76"/>
    <n v="608.76"/>
    <n v="608.76"/>
    <n v="0"/>
    <s v="UK"/>
    <x v="2"/>
  </r>
  <r>
    <n v="2024002585"/>
    <x v="151"/>
    <n v="2024"/>
    <x v="244"/>
    <s v="PROD_010"/>
    <s v="Webcam HD"/>
    <s v="Electronics"/>
    <n v="2"/>
    <n v="96.2"/>
    <n v="192.4"/>
    <n v="192.4"/>
    <n v="0"/>
    <s v="Germany"/>
    <x v="2"/>
  </r>
  <r>
    <n v="2024002586"/>
    <x v="125"/>
    <n v="2024"/>
    <x v="122"/>
    <s v="PROD_003"/>
    <s v="USB-C Cable"/>
    <s v="Electronics"/>
    <n v="1"/>
    <n v="14.91"/>
    <n v="14.91"/>
    <n v="14.91"/>
    <n v="0"/>
    <s v="Spain"/>
    <x v="0"/>
  </r>
  <r>
    <n v="2024002587"/>
    <x v="256"/>
    <n v="2024"/>
    <x v="219"/>
    <s v="PROD_006"/>
    <s v="Monitor 27&quot;"/>
    <s v="Electronics"/>
    <n v="1"/>
    <n v="425.38"/>
    <n v="425.38"/>
    <n v="425.38"/>
    <n v="0"/>
    <s v="Spain"/>
    <x v="3"/>
  </r>
  <r>
    <n v="2024001424"/>
    <x v="40"/>
    <n v="2024"/>
    <x v="0"/>
    <s v="PROD_001"/>
    <s v="Laptop Pro"/>
    <s v="Electronics"/>
    <n v="1"/>
    <n v="1202.0899999999999"/>
    <n v="1202.0899999999999"/>
    <n v="1202.0899999999999"/>
    <n v="0"/>
    <s v="France"/>
    <x v="2"/>
  </r>
  <r>
    <n v="2024002589"/>
    <x v="364"/>
    <n v="2024"/>
    <x v="164"/>
    <s v="PROD_006"/>
    <s v="Monitor 27&quot;"/>
    <s v="Electronics"/>
    <n v="3"/>
    <n v="421.4"/>
    <n v="1264.2"/>
    <n v="1264.1999999999998"/>
    <n v="0"/>
    <s v="Netherlands"/>
    <x v="2"/>
  </r>
  <r>
    <n v="2024002590"/>
    <x v="220"/>
    <n v="2024"/>
    <x v="140"/>
    <s v="PROD_006"/>
    <s v="Monitor 27&quot;"/>
    <s v="Electronics"/>
    <n v="2"/>
    <n v="417.46"/>
    <n v="834.92"/>
    <n v="834.92"/>
    <n v="0"/>
    <s v="Switzerland"/>
    <x v="3"/>
  </r>
  <r>
    <n v="2024002591"/>
    <x v="119"/>
    <n v="2024"/>
    <x v="22"/>
    <s v="PROD_006"/>
    <s v="Monitor 27&quot;"/>
    <s v="Electronics"/>
    <n v="1"/>
    <n v="448.52"/>
    <n v="448.52"/>
    <n v="448.52"/>
    <n v="0"/>
    <s v="Austria"/>
    <x v="2"/>
  </r>
  <r>
    <n v="2024002592"/>
    <x v="135"/>
    <n v="2024"/>
    <x v="67"/>
    <s v="PROD_003"/>
    <s v="USB-C Cable"/>
    <s v="Electronics"/>
    <n v="3"/>
    <n v="14.66"/>
    <n v="43.98"/>
    <n v="43.980000000000004"/>
    <n v="0"/>
    <s v="Spain"/>
    <x v="1"/>
  </r>
  <r>
    <n v="2024002593"/>
    <x v="90"/>
    <n v="2024"/>
    <x v="224"/>
    <s v="PROD_005"/>
    <s v="Standing Desk"/>
    <s v="Furniture"/>
    <n v="1"/>
    <n v="611.83000000000004"/>
    <n v="611.83000000000004"/>
    <n v="611.83000000000004"/>
    <n v="0"/>
    <s v="Germany"/>
    <x v="2"/>
  </r>
  <r>
    <n v="2024002594"/>
    <x v="303"/>
    <n v="2024"/>
    <x v="43"/>
    <s v="PROD_006"/>
    <s v="Monitor 27&quot;"/>
    <s v="Electronics"/>
    <n v="1"/>
    <n v="393.87"/>
    <n v="393.87"/>
    <n v="393.87"/>
    <n v="0"/>
    <s v="Italy"/>
    <x v="2"/>
  </r>
  <r>
    <n v="2024002595"/>
    <x v="322"/>
    <n v="2024"/>
    <x v="279"/>
    <s v="PROD_007"/>
    <s v="Keyboard Mechanical"/>
    <s v="Electronics"/>
    <n v="1"/>
    <n v="110.71"/>
    <n v="110.71"/>
    <n v="110.71"/>
    <n v="0"/>
    <s v="UK"/>
    <x v="0"/>
  </r>
  <r>
    <n v="2024002596"/>
    <x v="365"/>
    <n v="2024"/>
    <x v="0"/>
    <s v="PROD_006"/>
    <s v="Monitor 27&quot;"/>
    <s v="Electronics"/>
    <n v="1"/>
    <n v="390.87"/>
    <n v="390.87"/>
    <n v="390.87"/>
    <n v="0"/>
    <s v="Belgium"/>
    <x v="2"/>
  </r>
  <r>
    <n v="2024002597"/>
    <x v="11"/>
    <n v="2024"/>
    <x v="67"/>
    <s v="PROD_010"/>
    <s v="Webcam HD"/>
    <s v="Electronics"/>
    <n v="2"/>
    <n v="91.53"/>
    <n v="183.06"/>
    <n v="183.06"/>
    <n v="0"/>
    <s v="France"/>
    <x v="3"/>
  </r>
  <r>
    <n v="2024002598"/>
    <x v="177"/>
    <n v="2024"/>
    <x v="119"/>
    <s v="PROD_005"/>
    <s v="Standing Desk"/>
    <s v="Furniture"/>
    <n v="4"/>
    <n v="568.04999999999995"/>
    <n v="2272.1999999999998"/>
    <n v="2272.1999999999998"/>
    <n v="0"/>
    <s v="Switzerland"/>
    <x v="2"/>
  </r>
  <r>
    <n v="2024002599"/>
    <x v="343"/>
    <n v="2024"/>
    <x v="204"/>
    <s v="PROD_009"/>
    <s v="Phone Stand"/>
    <s v="Accessories"/>
    <n v="5"/>
    <n v="24.14"/>
    <n v="120.7"/>
    <n v="120.7"/>
    <n v="0"/>
    <s v="Switzerland"/>
    <x v="2"/>
  </r>
  <r>
    <n v="2024002600"/>
    <x v="110"/>
    <n v="2024"/>
    <x v="91"/>
    <s v="PROD_005"/>
    <s v="Standing Desk"/>
    <s v="Furniture"/>
    <n v="2"/>
    <n v="621.07000000000005"/>
    <n v="1242.1400000000001"/>
    <n v="1242.1400000000001"/>
    <n v="0"/>
    <s v="Switzerland"/>
    <x v="0"/>
  </r>
  <r>
    <n v="2024002601"/>
    <x v="25"/>
    <n v="2024"/>
    <x v="174"/>
    <s v="PROD_002"/>
    <s v="Wireless Mouse"/>
    <s v="Electronics"/>
    <n v="2"/>
    <n v="48.31"/>
    <n v="96.62"/>
    <n v="96.62"/>
    <n v="0"/>
    <s v="Germany"/>
    <x v="2"/>
  </r>
  <r>
    <n v="2024002602"/>
    <x v="91"/>
    <n v="2024"/>
    <x v="49"/>
    <s v="PROD_006"/>
    <s v="Monitor 27&quot;"/>
    <s v="Electronics"/>
    <n v="3"/>
    <n v="399.27"/>
    <n v="1197.81"/>
    <n v="1197.81"/>
    <n v="0"/>
    <s v="Switzerland"/>
    <x v="3"/>
  </r>
  <r>
    <n v="2024002603"/>
    <x v="216"/>
    <n v="2024"/>
    <x v="35"/>
    <s v="PROD_010"/>
    <s v="Webcam HD"/>
    <s v="Electronics"/>
    <n v="1"/>
    <n v="82.18"/>
    <n v="82.18"/>
    <n v="82.18"/>
    <n v="0"/>
    <s v="Netherlands"/>
    <x v="2"/>
  </r>
  <r>
    <n v="2024002604"/>
    <x v="358"/>
    <n v="2024"/>
    <x v="184"/>
    <s v="PROD_004"/>
    <s v="Desk Chair"/>
    <s v="Furniture"/>
    <n v="1"/>
    <n v="373.18"/>
    <n v="373.18"/>
    <n v="373.18"/>
    <n v="0"/>
    <s v="Austria"/>
    <x v="0"/>
  </r>
  <r>
    <n v="2024002605"/>
    <x v="46"/>
    <n v="2024"/>
    <x v="132"/>
    <s v="PROD_008"/>
    <s v="Desk Lamp"/>
    <s v="Furniture"/>
    <n v="3"/>
    <n v="76.180000000000007"/>
    <n v="228.54"/>
    <n v="228.54000000000002"/>
    <n v="0"/>
    <s v="Switzerland"/>
    <x v="1"/>
  </r>
  <r>
    <n v="2024002606"/>
    <x v="296"/>
    <n v="2024"/>
    <x v="81"/>
    <s v="PROD_006"/>
    <s v="Monitor 27&quot;"/>
    <s v="Electronics"/>
    <n v="1"/>
    <n v="399.58"/>
    <n v="399.58"/>
    <n v="399.58"/>
    <n v="0"/>
    <s v="Netherlands"/>
    <x v="2"/>
  </r>
  <r>
    <n v="2024002607"/>
    <x v="203"/>
    <n v="2024"/>
    <x v="93"/>
    <s v="PROD_007"/>
    <s v="Keyboard Mechanical"/>
    <s v="Electronics"/>
    <n v="1"/>
    <n v="121.65"/>
    <n v="121.65"/>
    <n v="121.65"/>
    <n v="0"/>
    <s v="Netherlands"/>
    <x v="3"/>
  </r>
  <r>
    <n v="2024001066"/>
    <x v="294"/>
    <n v="2024"/>
    <x v="109"/>
    <s v="PROD_001"/>
    <s v="Laptop Pro"/>
    <s v="Electronics"/>
    <n v="1"/>
    <n v="1152.8599999999999"/>
    <n v="1152.8599999999999"/>
    <n v="1152.8599999999999"/>
    <n v="0"/>
    <s v="Italy"/>
    <x v="2"/>
  </r>
  <r>
    <n v="2024002609"/>
    <x v="90"/>
    <n v="2024"/>
    <x v="56"/>
    <s v="PROD_006"/>
    <s v="Monitor 27&quot;"/>
    <s v="Electronics"/>
    <n v="1"/>
    <n v="429.97"/>
    <n v="429.97"/>
    <n v="429.97"/>
    <n v="0"/>
    <s v="Spain"/>
    <x v="3"/>
  </r>
  <r>
    <n v="2024002610"/>
    <x v="51"/>
    <n v="2024"/>
    <x v="18"/>
    <s v="PROD_008"/>
    <s v="Desk Lamp"/>
    <s v="Furniture"/>
    <n v="1"/>
    <n v="82.43"/>
    <n v="82.43"/>
    <n v="82.43"/>
    <n v="0"/>
    <s v="France"/>
    <x v="2"/>
  </r>
  <r>
    <n v="2024002611"/>
    <x v="38"/>
    <n v="2024"/>
    <x v="105"/>
    <s v="PROD_003"/>
    <s v="USB-C Cable"/>
    <s v="Electronics"/>
    <n v="1"/>
    <n v="13.91"/>
    <n v="13.91"/>
    <n v="13.91"/>
    <n v="0"/>
    <s v="Sweden"/>
    <x v="3"/>
  </r>
  <r>
    <n v="2024002612"/>
    <x v="139"/>
    <n v="2024"/>
    <x v="76"/>
    <s v="PROD_010"/>
    <s v="Webcam HD"/>
    <s v="Electronics"/>
    <n v="1"/>
    <n v="92.39"/>
    <n v="92.39"/>
    <n v="92.39"/>
    <n v="0"/>
    <s v="Netherlands"/>
    <x v="3"/>
  </r>
  <r>
    <n v="2024002613"/>
    <x v="55"/>
    <n v="2024"/>
    <x v="268"/>
    <s v="PROD_007"/>
    <s v="Keyboard Mechanical"/>
    <s v="Electronics"/>
    <n v="3"/>
    <n v="122.74"/>
    <n v="368.22"/>
    <n v="368.21999999999997"/>
    <n v="0"/>
    <s v="Netherlands"/>
    <x v="2"/>
  </r>
  <r>
    <n v="2024002614"/>
    <x v="179"/>
    <n v="2024"/>
    <x v="226"/>
    <s v="PROD_003"/>
    <s v="USB-C Cable"/>
    <s v="Electronics"/>
    <n v="3"/>
    <n v="14.55"/>
    <n v="43.65"/>
    <n v="43.650000000000006"/>
    <n v="0"/>
    <s v="Sweden"/>
    <x v="3"/>
  </r>
  <r>
    <n v="2024002615"/>
    <x v="345"/>
    <n v="2024"/>
    <x v="0"/>
    <s v="PROD_007"/>
    <s v="Keyboard Mechanical"/>
    <s v="Electronics"/>
    <n v="1"/>
    <n v="124.36"/>
    <n v="124.36"/>
    <n v="124.36"/>
    <n v="0"/>
    <s v="Switzerland"/>
    <x v="2"/>
  </r>
  <r>
    <n v="2024002616"/>
    <x v="54"/>
    <n v="2024"/>
    <x v="173"/>
    <s v="PROD_010"/>
    <s v="Webcam HD"/>
    <s v="Electronics"/>
    <n v="2"/>
    <n v="92.75"/>
    <n v="185.5"/>
    <n v="185.5"/>
    <n v="0"/>
    <s v="Spain"/>
    <x v="1"/>
  </r>
  <r>
    <n v="2024002617"/>
    <x v="124"/>
    <n v="2024"/>
    <x v="93"/>
    <s v="PROD_009"/>
    <s v="Phone Stand"/>
    <s v="Accessories"/>
    <n v="2"/>
    <n v="25.28"/>
    <n v="50.56"/>
    <n v="50.56"/>
    <n v="0"/>
    <s v="France"/>
    <x v="1"/>
  </r>
  <r>
    <n v="2024002618"/>
    <x v="329"/>
    <n v="2024"/>
    <x v="52"/>
    <s v="PROD_008"/>
    <s v="Desk Lamp"/>
    <s v="Furniture"/>
    <n v="3"/>
    <n v="75.08"/>
    <n v="225.24"/>
    <n v="225.24"/>
    <n v="0"/>
    <s v="Italy"/>
    <x v="2"/>
  </r>
  <r>
    <n v="2024002619"/>
    <x v="115"/>
    <n v="2024"/>
    <x v="193"/>
    <s v="PROD_007"/>
    <s v="Keyboard Mechanical"/>
    <s v="Electronics"/>
    <n v="1"/>
    <n v="127.56"/>
    <n v="127.56"/>
    <n v="127.56"/>
    <n v="0"/>
    <s v="Switzerland"/>
    <x v="0"/>
  </r>
  <r>
    <n v="2024002620"/>
    <x v="150"/>
    <n v="2024"/>
    <x v="227"/>
    <s v="PROD_006"/>
    <s v="Monitor 27&quot;"/>
    <s v="Electronics"/>
    <n v="1"/>
    <n v="391.43"/>
    <n v="391.43"/>
    <n v="391.43"/>
    <n v="0"/>
    <s v="Sweden"/>
    <x v="1"/>
  </r>
  <r>
    <n v="2024002621"/>
    <x v="70"/>
    <n v="2024"/>
    <x v="67"/>
    <s v="PROD_001"/>
    <s v="Laptop Pro"/>
    <s v="Electronics"/>
    <n v="1"/>
    <n v="1199.3699999999999"/>
    <n v="1199.3699999999999"/>
    <n v="1199.3699999999999"/>
    <n v="0"/>
    <s v="France"/>
    <x v="0"/>
  </r>
  <r>
    <n v="2024002622"/>
    <x v="48"/>
    <n v="2024"/>
    <x v="0"/>
    <s v="PROD_001"/>
    <s v="Laptop Pro"/>
    <s v="Electronics"/>
    <n v="2"/>
    <n v="1202.3800000000001"/>
    <n v="2404.7600000000002"/>
    <n v="2404.7600000000002"/>
    <n v="0"/>
    <s v="Austria"/>
    <x v="0"/>
  </r>
  <r>
    <n v="2024002623"/>
    <x v="223"/>
    <n v="2024"/>
    <x v="284"/>
    <s v="PROD_010"/>
    <s v="Webcam HD"/>
    <s v="Electronics"/>
    <n v="1"/>
    <n v="83.6"/>
    <n v="83.6"/>
    <n v="83.6"/>
    <n v="0"/>
    <s v="UK"/>
    <x v="0"/>
  </r>
  <r>
    <n v="2024002624"/>
    <x v="343"/>
    <n v="2024"/>
    <x v="222"/>
    <s v="PROD_006"/>
    <s v="Monitor 27&quot;"/>
    <s v="Electronics"/>
    <n v="3"/>
    <n v="369.62"/>
    <n v="1108.8599999999999"/>
    <n v="1108.8600000000001"/>
    <n v="0"/>
    <s v="Austria"/>
    <x v="2"/>
  </r>
  <r>
    <n v="2024002625"/>
    <x v="6"/>
    <n v="2024"/>
    <x v="240"/>
    <s v="PROD_005"/>
    <s v="Standing Desk"/>
    <s v="Furniture"/>
    <n v="3"/>
    <n v="642.41"/>
    <n v="1927.23"/>
    <n v="1927.23"/>
    <n v="0"/>
    <s v="Sweden"/>
    <x v="3"/>
  </r>
  <r>
    <n v="2024002626"/>
    <x v="122"/>
    <n v="2024"/>
    <x v="111"/>
    <s v="PROD_009"/>
    <s v="Phone Stand"/>
    <s v="Accessories"/>
    <n v="1"/>
    <n v="23.68"/>
    <n v="23.68"/>
    <n v="23.68"/>
    <n v="0"/>
    <s v="Italy"/>
    <x v="3"/>
  </r>
  <r>
    <n v="2024002627"/>
    <x v="30"/>
    <n v="2024"/>
    <x v="282"/>
    <s v="PROD_006"/>
    <s v="Monitor 27&quot;"/>
    <s v="Electronics"/>
    <n v="1"/>
    <n v="379"/>
    <n v="379"/>
    <n v="379"/>
    <n v="0"/>
    <s v="Netherlands"/>
    <x v="0"/>
  </r>
  <r>
    <n v="2024002628"/>
    <x v="242"/>
    <n v="2024"/>
    <x v="38"/>
    <s v="PROD_004"/>
    <s v="Desk Chair"/>
    <s v="Furniture"/>
    <n v="1"/>
    <n v="372.04"/>
    <n v="372.04"/>
    <n v="372.04"/>
    <n v="0"/>
    <s v="Germany"/>
    <x v="2"/>
  </r>
  <r>
    <n v="2024002629"/>
    <x v="322"/>
    <n v="2024"/>
    <x v="0"/>
    <s v="PROD_004"/>
    <s v="Desk Chair"/>
    <s v="Furniture"/>
    <n v="3"/>
    <n v="385.66"/>
    <n v="1156.98"/>
    <n v="1156.98"/>
    <n v="0"/>
    <s v="Switzerland"/>
    <x v="3"/>
  </r>
  <r>
    <n v="2024002630"/>
    <x v="260"/>
    <n v="2024"/>
    <x v="141"/>
    <s v="PROD_008"/>
    <s v="Desk Lamp"/>
    <s v="Furniture"/>
    <n v="3"/>
    <n v="77.239999999999995"/>
    <n v="231.72"/>
    <n v="231.71999999999997"/>
    <n v="0"/>
    <s v="Italy"/>
    <x v="1"/>
  </r>
  <r>
    <n v="2024002631"/>
    <x v="158"/>
    <n v="2024"/>
    <x v="150"/>
    <s v="PROD_002"/>
    <s v="Wireless Mouse"/>
    <s v="Electronics"/>
    <n v="2"/>
    <n v="41.85"/>
    <n v="83.7"/>
    <n v="83.7"/>
    <n v="0"/>
    <s v="Italy"/>
    <x v="3"/>
  </r>
  <r>
    <n v="2024002632"/>
    <x v="107"/>
    <n v="2024"/>
    <x v="151"/>
    <s v="PROD_001"/>
    <s v="Laptop Pro"/>
    <s v="Electronics"/>
    <n v="4"/>
    <n v="1065.26"/>
    <n v="4261.04"/>
    <n v="4261.04"/>
    <n v="0"/>
    <s v="Netherlands"/>
    <x v="2"/>
  </r>
  <r>
    <n v="2024002633"/>
    <x v="301"/>
    <n v="2024"/>
    <x v="263"/>
    <s v="PROD_005"/>
    <s v="Standing Desk"/>
    <s v="Furniture"/>
    <n v="5"/>
    <n v="605.86"/>
    <n v="3029.3"/>
    <n v="3029.3"/>
    <n v="0"/>
    <s v="UK"/>
    <x v="2"/>
  </r>
  <r>
    <n v="2024002634"/>
    <x v="338"/>
    <n v="2024"/>
    <x v="0"/>
    <s v="PROD_002"/>
    <s v="Wireless Mouse"/>
    <s v="Electronics"/>
    <n v="1"/>
    <n v="44.24"/>
    <n v="44.24"/>
    <n v="44.24"/>
    <n v="0"/>
    <s v="Sweden"/>
    <x v="2"/>
  </r>
  <r>
    <n v="2024002635"/>
    <x v="30"/>
    <n v="2024"/>
    <x v="0"/>
    <s v="PROD_003"/>
    <s v="USB-C Cable"/>
    <s v="Electronics"/>
    <n v="1"/>
    <n v="14.53"/>
    <n v="14.53"/>
    <n v="14.53"/>
    <n v="0"/>
    <s v="France"/>
    <x v="0"/>
  </r>
  <r>
    <n v="2024002636"/>
    <x v="169"/>
    <n v="2024"/>
    <x v="288"/>
    <s v="PROD_005"/>
    <s v="Standing Desk"/>
    <s v="Furniture"/>
    <n v="1"/>
    <n v="581.91999999999996"/>
    <n v="581.91999999999996"/>
    <n v="581.91999999999996"/>
    <n v="0"/>
    <s v="Italy"/>
    <x v="2"/>
  </r>
  <r>
    <n v="2024002637"/>
    <x v="308"/>
    <n v="2024"/>
    <x v="185"/>
    <s v="PROD_005"/>
    <s v="Standing Desk"/>
    <s v="Furniture"/>
    <n v="2"/>
    <n v="600.04999999999995"/>
    <n v="1200.0999999999999"/>
    <n v="1200.0999999999999"/>
    <n v="0"/>
    <s v="Netherlands"/>
    <x v="0"/>
  </r>
  <r>
    <n v="2024002638"/>
    <x v="229"/>
    <n v="2024"/>
    <x v="213"/>
    <s v="PROD_006"/>
    <s v="Monitor 27&quot;"/>
    <s v="Electronics"/>
    <n v="1"/>
    <n v="434.51"/>
    <n v="434.51"/>
    <n v="434.51"/>
    <n v="0"/>
    <s v="France"/>
    <x v="2"/>
  </r>
  <r>
    <n v="2024002639"/>
    <x v="2"/>
    <n v="2024"/>
    <x v="149"/>
    <s v="PROD_007"/>
    <s v="Keyboard Mechanical"/>
    <s v="Electronics"/>
    <n v="1"/>
    <n v="120.73"/>
    <n v="120.73"/>
    <n v="120.73"/>
    <n v="0"/>
    <s v="France"/>
    <x v="0"/>
  </r>
  <r>
    <n v="2024002640"/>
    <x v="323"/>
    <n v="2024"/>
    <x v="80"/>
    <s v="PROD_002"/>
    <s v="Wireless Mouse"/>
    <s v="Electronics"/>
    <n v="2"/>
    <n v="42.35"/>
    <n v="84.7"/>
    <n v="84.7"/>
    <n v="0"/>
    <s v="Sweden"/>
    <x v="2"/>
  </r>
  <r>
    <n v="2024002641"/>
    <x v="30"/>
    <n v="2024"/>
    <x v="0"/>
    <s v="PROD_002"/>
    <s v="Wireless Mouse"/>
    <s v="Electronics"/>
    <n v="2"/>
    <n v="46.05"/>
    <n v="92.1"/>
    <n v="92.1"/>
    <n v="0"/>
    <s v="Spain"/>
    <x v="0"/>
  </r>
  <r>
    <n v="2024002642"/>
    <x v="155"/>
    <n v="2024"/>
    <x v="36"/>
    <s v="PROD_007"/>
    <s v="Keyboard Mechanical"/>
    <s v="Electronics"/>
    <n v="3"/>
    <n v="114.73"/>
    <n v="344.19"/>
    <n v="344.19"/>
    <n v="0"/>
    <s v="Germany"/>
    <x v="2"/>
  </r>
  <r>
    <n v="2024002643"/>
    <x v="43"/>
    <n v="2024"/>
    <x v="111"/>
    <s v="PROD_002"/>
    <s v="Wireless Mouse"/>
    <s v="Electronics"/>
    <n v="1"/>
    <n v="41.88"/>
    <n v="41.88"/>
    <n v="41.88"/>
    <n v="0"/>
    <s v="Spain"/>
    <x v="2"/>
  </r>
  <r>
    <n v="2024002644"/>
    <x v="111"/>
    <n v="2024"/>
    <x v="43"/>
    <s v="PROD_001"/>
    <s v="Laptop Pro"/>
    <s v="Electronics"/>
    <n v="1"/>
    <n v="1275.6500000000001"/>
    <n v="1275.6500000000001"/>
    <n v="1275.6500000000001"/>
    <n v="0"/>
    <s v="Belgium"/>
    <x v="3"/>
  </r>
  <r>
    <n v="2024002645"/>
    <x v="355"/>
    <n v="2024"/>
    <x v="274"/>
    <s v="PROD_003"/>
    <s v="USB-C Cable"/>
    <s v="Electronics"/>
    <n v="1"/>
    <n v="15.46"/>
    <n v="15.46"/>
    <n v="15.46"/>
    <n v="0"/>
    <s v="Belgium"/>
    <x v="1"/>
  </r>
  <r>
    <n v="2024002646"/>
    <x v="318"/>
    <n v="2024"/>
    <x v="0"/>
    <s v="PROD_002"/>
    <s v="Wireless Mouse"/>
    <s v="Electronics"/>
    <n v="1"/>
    <n v="41.81"/>
    <n v="41.81"/>
    <n v="41.81"/>
    <n v="0"/>
    <s v="Sweden"/>
    <x v="0"/>
  </r>
  <r>
    <n v="2024002647"/>
    <x v="178"/>
    <n v="2024"/>
    <x v="0"/>
    <s v="PROD_008"/>
    <s v="Desk Lamp"/>
    <s v="Furniture"/>
    <n v="1"/>
    <n v="72.81"/>
    <n v="72.81"/>
    <n v="72.81"/>
    <n v="0"/>
    <s v="France"/>
    <x v="1"/>
  </r>
  <r>
    <n v="2024002648"/>
    <x v="79"/>
    <n v="2024"/>
    <x v="48"/>
    <s v="PROD_002"/>
    <s v="Wireless Mouse"/>
    <s v="Electronics"/>
    <n v="1"/>
    <n v="41.98"/>
    <n v="41.98"/>
    <n v="41.98"/>
    <n v="0"/>
    <s v="Sweden"/>
    <x v="2"/>
  </r>
  <r>
    <n v="2024002649"/>
    <x v="327"/>
    <n v="2024"/>
    <x v="166"/>
    <s v="PROD_004"/>
    <s v="Desk Chair"/>
    <s v="Furniture"/>
    <n v="1"/>
    <n v="364.87"/>
    <n v="364.87"/>
    <n v="364.87"/>
    <n v="0"/>
    <s v="Italy"/>
    <x v="0"/>
  </r>
  <r>
    <n v="2024002650"/>
    <x v="70"/>
    <n v="2024"/>
    <x v="82"/>
    <s v="PROD_010"/>
    <s v="Webcam HD"/>
    <s v="Electronics"/>
    <n v="2"/>
    <n v="89.96"/>
    <n v="179.92"/>
    <n v="179.92"/>
    <n v="0"/>
    <s v="Germany"/>
    <x v="2"/>
  </r>
  <r>
    <n v="2024002651"/>
    <x v="172"/>
    <n v="2024"/>
    <x v="101"/>
    <s v="PROD_002"/>
    <s v="Wireless Mouse"/>
    <s v="Electronics"/>
    <n v="1"/>
    <n v="47.23"/>
    <n v="47.23"/>
    <n v="47.23"/>
    <n v="0"/>
    <s v="Netherlands"/>
    <x v="0"/>
  </r>
  <r>
    <n v="2024002652"/>
    <x v="135"/>
    <n v="2024"/>
    <x v="81"/>
    <s v="PROD_001"/>
    <s v="Laptop Pro"/>
    <s v="Electronics"/>
    <n v="1"/>
    <n v="1097.46"/>
    <n v="1097.46"/>
    <n v="1097.46"/>
    <n v="0"/>
    <s v="Italy"/>
    <x v="2"/>
  </r>
  <r>
    <n v="2024002653"/>
    <x v="328"/>
    <n v="2024"/>
    <x v="88"/>
    <s v="PROD_008"/>
    <s v="Desk Lamp"/>
    <s v="Furniture"/>
    <n v="2"/>
    <n v="76.03"/>
    <n v="152.06"/>
    <n v="152.06"/>
    <n v="0"/>
    <s v="Spain"/>
    <x v="0"/>
  </r>
  <r>
    <n v="2024002654"/>
    <x v="362"/>
    <n v="2024"/>
    <x v="200"/>
    <s v="PROD_010"/>
    <s v="Webcam HD"/>
    <s v="Electronics"/>
    <n v="1"/>
    <n v="93.33"/>
    <n v="93.33"/>
    <n v="93.33"/>
    <n v="0"/>
    <s v="Netherlands"/>
    <x v="2"/>
  </r>
  <r>
    <n v="2024002655"/>
    <x v="1"/>
    <n v="2024"/>
    <x v="48"/>
    <s v="PROD_010"/>
    <s v="Webcam HD"/>
    <s v="Electronics"/>
    <n v="1"/>
    <n v="85.96"/>
    <n v="85.96"/>
    <n v="85.96"/>
    <n v="0"/>
    <s v="Sweden"/>
    <x v="3"/>
  </r>
  <r>
    <n v="2024002656"/>
    <x v="229"/>
    <n v="2024"/>
    <x v="165"/>
    <s v="PROD_009"/>
    <s v="Phone Stand"/>
    <s v="Accessories"/>
    <n v="2"/>
    <n v="24.17"/>
    <n v="48.34"/>
    <n v="48.34"/>
    <n v="0"/>
    <s v="Belgium"/>
    <x v="2"/>
  </r>
  <r>
    <n v="2024002657"/>
    <x v="321"/>
    <n v="2024"/>
    <x v="251"/>
    <s v="PROD_004"/>
    <s v="Desk Chair"/>
    <s v="Furniture"/>
    <n v="1"/>
    <n v="362.27"/>
    <n v="362.27"/>
    <n v="362.27"/>
    <n v="0"/>
    <s v="Sweden"/>
    <x v="3"/>
  </r>
  <r>
    <n v="2024002658"/>
    <x v="17"/>
    <n v="2024"/>
    <x v="118"/>
    <s v="PROD_007"/>
    <s v="Keyboard Mechanical"/>
    <s v="Electronics"/>
    <n v="1"/>
    <n v="122.38"/>
    <n v="122.38"/>
    <n v="122.38"/>
    <n v="0"/>
    <s v="Austria"/>
    <x v="3"/>
  </r>
  <r>
    <n v="2024002659"/>
    <x v="42"/>
    <n v="2024"/>
    <x v="153"/>
    <s v="PROD_003"/>
    <s v="USB-C Cable"/>
    <s v="Electronics"/>
    <n v="1"/>
    <n v="15.13"/>
    <n v="15.13"/>
    <n v="15.13"/>
    <n v="0"/>
    <s v="Italy"/>
    <x v="1"/>
  </r>
  <r>
    <n v="2024002660"/>
    <x v="277"/>
    <n v="2024"/>
    <x v="37"/>
    <s v="PROD_006"/>
    <s v="Monitor 27&quot;"/>
    <s v="Electronics"/>
    <n v="1"/>
    <n v="409.5"/>
    <n v="409.5"/>
    <n v="409.5"/>
    <n v="0"/>
    <s v="Germany"/>
    <x v="1"/>
  </r>
  <r>
    <n v="2024002661"/>
    <x v="17"/>
    <n v="2024"/>
    <x v="0"/>
    <s v="PROD_007"/>
    <s v="Keyboard Mechanical"/>
    <s v="Electronics"/>
    <n v="1"/>
    <n v="125.2"/>
    <n v="125.2"/>
    <n v="125.2"/>
    <n v="0"/>
    <s v="Italy"/>
    <x v="1"/>
  </r>
  <r>
    <n v="2024002662"/>
    <x v="288"/>
    <n v="2024"/>
    <x v="187"/>
    <s v="PROD_003"/>
    <s v="USB-C Cable"/>
    <s v="Electronics"/>
    <n v="1"/>
    <n v="13.48"/>
    <n v="13.48"/>
    <n v="13.48"/>
    <n v="0"/>
    <s v="Belgium"/>
    <x v="0"/>
  </r>
  <r>
    <n v="2024002663"/>
    <x v="348"/>
    <n v="2024"/>
    <x v="255"/>
    <s v="PROD_007"/>
    <s v="Keyboard Mechanical"/>
    <s v="Electronics"/>
    <n v="3"/>
    <n v="120.07"/>
    <n v="360.21"/>
    <n v="360.21"/>
    <n v="0"/>
    <s v="France"/>
    <x v="2"/>
  </r>
  <r>
    <n v="2024002664"/>
    <x v="358"/>
    <n v="2024"/>
    <x v="0"/>
    <s v="PROD_005"/>
    <s v="Standing Desk"/>
    <s v="Furniture"/>
    <n v="2"/>
    <n v="618.52"/>
    <n v="1237.04"/>
    <n v="1237.04"/>
    <n v="0"/>
    <s v="Sweden"/>
    <x v="1"/>
  </r>
  <r>
    <n v="2024002665"/>
    <x v="50"/>
    <n v="2024"/>
    <x v="289"/>
    <s v="PROD_010"/>
    <s v="Webcam HD"/>
    <s v="Electronics"/>
    <n v="1"/>
    <n v="90.07"/>
    <n v="90.07"/>
    <n v="90.07"/>
    <n v="0"/>
    <s v="Italy"/>
    <x v="3"/>
  </r>
  <r>
    <n v="2024002666"/>
    <x v="289"/>
    <n v="2024"/>
    <x v="64"/>
    <s v="PROD_005"/>
    <s v="Standing Desk"/>
    <s v="Furniture"/>
    <n v="1"/>
    <n v="589.72"/>
    <n v="589.72"/>
    <n v="589.72"/>
    <n v="0"/>
    <s v="Switzerland"/>
    <x v="0"/>
  </r>
  <r>
    <n v="2024002667"/>
    <x v="299"/>
    <n v="2024"/>
    <x v="179"/>
    <s v="PROD_001"/>
    <s v="Laptop Pro"/>
    <s v="Electronics"/>
    <n v="2"/>
    <n v="1254.0899999999999"/>
    <n v="2508.1799999999998"/>
    <n v="2508.1799999999998"/>
    <n v="0"/>
    <s v="UK"/>
    <x v="1"/>
  </r>
  <r>
    <n v="2024002668"/>
    <x v="244"/>
    <n v="2024"/>
    <x v="145"/>
    <s v="PROD_006"/>
    <s v="Monitor 27&quot;"/>
    <s v="Electronics"/>
    <n v="1"/>
    <n v="412.07"/>
    <n v="412.07"/>
    <n v="412.07"/>
    <n v="0"/>
    <s v="Belgium"/>
    <x v="3"/>
  </r>
  <r>
    <n v="2024002669"/>
    <x v="361"/>
    <n v="2024"/>
    <x v="29"/>
    <s v="PROD_007"/>
    <s v="Keyboard Mechanical"/>
    <s v="Electronics"/>
    <n v="2"/>
    <n v="120.65"/>
    <n v="241.3"/>
    <n v="241.3"/>
    <n v="0"/>
    <s v="Spain"/>
    <x v="2"/>
  </r>
  <r>
    <n v="2024002670"/>
    <x v="311"/>
    <n v="2024"/>
    <x v="0"/>
    <s v="PROD_003"/>
    <s v="USB-C Cable"/>
    <s v="Electronics"/>
    <n v="1"/>
    <n v="14.25"/>
    <n v="14.25"/>
    <n v="14.25"/>
    <n v="0"/>
    <s v="UK"/>
    <x v="2"/>
  </r>
  <r>
    <n v="2024002671"/>
    <x v="157"/>
    <n v="2024"/>
    <x v="0"/>
    <s v="PROD_008"/>
    <s v="Desk Lamp"/>
    <s v="Furniture"/>
    <n v="4"/>
    <n v="75.760000000000005"/>
    <n v="303.04000000000002"/>
    <n v="303.04000000000002"/>
    <n v="0"/>
    <s v="UK"/>
    <x v="2"/>
  </r>
  <r>
    <n v="2024002672"/>
    <x v="85"/>
    <n v="2024"/>
    <x v="9"/>
    <s v="PROD_010"/>
    <s v="Webcam HD"/>
    <s v="Electronics"/>
    <n v="2"/>
    <n v="93.42"/>
    <n v="186.84"/>
    <n v="186.84"/>
    <n v="0"/>
    <s v="France"/>
    <x v="3"/>
  </r>
  <r>
    <n v="2024002673"/>
    <x v="279"/>
    <n v="2024"/>
    <x v="252"/>
    <s v="PROD_008"/>
    <s v="Desk Lamp"/>
    <s v="Furniture"/>
    <n v="3"/>
    <n v="76.64"/>
    <n v="229.92"/>
    <n v="229.92000000000002"/>
    <n v="0"/>
    <s v="Netherlands"/>
    <x v="3"/>
  </r>
  <r>
    <n v="2024002674"/>
    <x v="170"/>
    <n v="2024"/>
    <x v="28"/>
    <s v="PROD_010"/>
    <s v="Webcam HD"/>
    <s v="Electronics"/>
    <n v="1"/>
    <n v="88.33"/>
    <n v="88.33"/>
    <n v="88.33"/>
    <n v="0"/>
    <s v="France"/>
    <x v="0"/>
  </r>
  <r>
    <n v="2024002675"/>
    <x v="337"/>
    <n v="2024"/>
    <x v="0"/>
    <s v="PROD_008"/>
    <s v="Desk Lamp"/>
    <s v="Furniture"/>
    <n v="1"/>
    <n v="78.11"/>
    <n v="78.11"/>
    <n v="78.11"/>
    <n v="0"/>
    <s v="Germany"/>
    <x v="2"/>
  </r>
  <r>
    <n v="2024002676"/>
    <x v="308"/>
    <n v="2024"/>
    <x v="33"/>
    <s v="PROD_007"/>
    <s v="Keyboard Mechanical"/>
    <s v="Electronics"/>
    <n v="1"/>
    <n v="125.63"/>
    <n v="125.63"/>
    <n v="125.63"/>
    <n v="0"/>
    <s v="Sweden"/>
    <x v="0"/>
  </r>
  <r>
    <n v="2024002677"/>
    <x v="217"/>
    <n v="2024"/>
    <x v="152"/>
    <s v="PROD_005"/>
    <s v="Standing Desk"/>
    <s v="Furniture"/>
    <n v="4"/>
    <n v="622.77"/>
    <n v="2491.08"/>
    <n v="2491.08"/>
    <n v="0"/>
    <s v="Switzerland"/>
    <x v="3"/>
  </r>
  <r>
    <n v="2024002678"/>
    <x v="43"/>
    <n v="2024"/>
    <x v="0"/>
    <s v="PROD_010"/>
    <s v="Webcam HD"/>
    <s v="Electronics"/>
    <n v="1"/>
    <n v="89.09"/>
    <n v="89.09"/>
    <n v="89.09"/>
    <n v="0"/>
    <s v="Italy"/>
    <x v="0"/>
  </r>
  <r>
    <n v="2024002679"/>
    <x v="347"/>
    <n v="2024"/>
    <x v="265"/>
    <s v="PROD_007"/>
    <s v="Keyboard Mechanical"/>
    <s v="Electronics"/>
    <n v="2"/>
    <n v="129.91999999999999"/>
    <n v="259.83999999999997"/>
    <n v="259.83999999999997"/>
    <n v="0"/>
    <s v="Austria"/>
    <x v="1"/>
  </r>
  <r>
    <n v="2024002680"/>
    <x v="88"/>
    <n v="2024"/>
    <x v="175"/>
    <s v="PROD_008"/>
    <s v="Desk Lamp"/>
    <s v="Furniture"/>
    <n v="1"/>
    <n v="84.74"/>
    <n v="84.74"/>
    <n v="84.74"/>
    <n v="0"/>
    <s v="Italy"/>
    <x v="3"/>
  </r>
  <r>
    <n v="2024002681"/>
    <x v="242"/>
    <n v="2024"/>
    <x v="268"/>
    <s v="PROD_006"/>
    <s v="Monitor 27&quot;"/>
    <s v="Electronics"/>
    <n v="2"/>
    <n v="342.96"/>
    <n v="685.92"/>
    <n v="685.92"/>
    <n v="0"/>
    <s v="Austria"/>
    <x v="1"/>
  </r>
  <r>
    <n v="2024002682"/>
    <x v="178"/>
    <n v="2024"/>
    <x v="188"/>
    <s v="PROD_002"/>
    <s v="Wireless Mouse"/>
    <s v="Electronics"/>
    <n v="1"/>
    <n v="48.55"/>
    <n v="48.55"/>
    <n v="48.55"/>
    <n v="0"/>
    <s v="Spain"/>
    <x v="0"/>
  </r>
  <r>
    <n v="2024002683"/>
    <x v="54"/>
    <n v="2024"/>
    <x v="76"/>
    <s v="PROD_001"/>
    <s v="Laptop Pro"/>
    <s v="Electronics"/>
    <n v="1"/>
    <n v="1197.1300000000001"/>
    <n v="1197.1300000000001"/>
    <n v="1197.1300000000001"/>
    <n v="0"/>
    <s v="Austria"/>
    <x v="2"/>
  </r>
  <r>
    <n v="2024002684"/>
    <x v="133"/>
    <n v="2024"/>
    <x v="0"/>
    <s v="PROD_007"/>
    <s v="Keyboard Mechanical"/>
    <s v="Electronics"/>
    <n v="2"/>
    <n v="127.56"/>
    <n v="255.12"/>
    <n v="255.12"/>
    <n v="0"/>
    <s v="Switzerland"/>
    <x v="1"/>
  </r>
  <r>
    <n v="2024002685"/>
    <x v="211"/>
    <n v="2024"/>
    <x v="132"/>
    <s v="PROD_004"/>
    <s v="Desk Chair"/>
    <s v="Furniture"/>
    <n v="1"/>
    <n v="364.91"/>
    <n v="364.91"/>
    <n v="364.91"/>
    <n v="0"/>
    <s v="Switzerland"/>
    <x v="0"/>
  </r>
  <r>
    <n v="2024002686"/>
    <x v="23"/>
    <n v="2024"/>
    <x v="184"/>
    <s v="PROD_002"/>
    <s v="Wireless Mouse"/>
    <s v="Electronics"/>
    <n v="1"/>
    <n v="48.06"/>
    <n v="48.06"/>
    <n v="48.06"/>
    <n v="0"/>
    <s v="Germany"/>
    <x v="3"/>
  </r>
  <r>
    <n v="2024002687"/>
    <x v="0"/>
    <n v="2024"/>
    <x v="235"/>
    <s v="PROD_005"/>
    <s v="Standing Desk"/>
    <s v="Furniture"/>
    <n v="1"/>
    <n v="589.07000000000005"/>
    <n v="589.07000000000005"/>
    <n v="589.07000000000005"/>
    <n v="0"/>
    <s v="Spain"/>
    <x v="2"/>
  </r>
  <r>
    <n v="2024002688"/>
    <x v="3"/>
    <n v="2024"/>
    <x v="200"/>
    <s v="PROD_009"/>
    <s v="Phone Stand"/>
    <s v="Accessories"/>
    <n v="2"/>
    <n v="24.71"/>
    <n v="49.42"/>
    <n v="49.42"/>
    <n v="0"/>
    <s v="Switzerland"/>
    <x v="3"/>
  </r>
  <r>
    <n v="2024002689"/>
    <x v="261"/>
    <n v="2024"/>
    <x v="217"/>
    <s v="PROD_009"/>
    <s v="Phone Stand"/>
    <s v="Accessories"/>
    <n v="1"/>
    <n v="25.19"/>
    <n v="25.19"/>
    <n v="25.19"/>
    <n v="0"/>
    <s v="Germany"/>
    <x v="3"/>
  </r>
  <r>
    <n v="2024002690"/>
    <x v="17"/>
    <n v="2024"/>
    <x v="87"/>
    <s v="PROD_004"/>
    <s v="Desk Chair"/>
    <s v="Furniture"/>
    <n v="2"/>
    <n v="353.68"/>
    <n v="707.36"/>
    <n v="707.36"/>
    <n v="0"/>
    <s v="UK"/>
    <x v="3"/>
  </r>
  <r>
    <n v="2024002691"/>
    <x v="269"/>
    <n v="2024"/>
    <x v="60"/>
    <s v="PROD_008"/>
    <s v="Desk Lamp"/>
    <s v="Furniture"/>
    <n v="1"/>
    <n v="82.46"/>
    <n v="82.46"/>
    <n v="82.46"/>
    <n v="0"/>
    <s v="Austria"/>
    <x v="3"/>
  </r>
  <r>
    <n v="2024002692"/>
    <x v="243"/>
    <n v="2024"/>
    <x v="54"/>
    <s v="PROD_003"/>
    <s v="USB-C Cable"/>
    <s v="Electronics"/>
    <n v="2"/>
    <n v="14.25"/>
    <n v="28.5"/>
    <n v="28.5"/>
    <n v="0"/>
    <s v="Germany"/>
    <x v="3"/>
  </r>
  <r>
    <n v="2024002693"/>
    <x v="24"/>
    <n v="2024"/>
    <x v="106"/>
    <s v="PROD_010"/>
    <s v="Webcam HD"/>
    <s v="Electronics"/>
    <n v="3"/>
    <n v="90.39"/>
    <n v="271.17"/>
    <n v="271.17"/>
    <n v="0"/>
    <s v="Belgium"/>
    <x v="3"/>
  </r>
  <r>
    <n v="2024002694"/>
    <x v="33"/>
    <n v="2024"/>
    <x v="164"/>
    <s v="PROD_010"/>
    <s v="Webcam HD"/>
    <s v="Electronics"/>
    <n v="1"/>
    <n v="95.85"/>
    <n v="95.85"/>
    <n v="95.85"/>
    <n v="0"/>
    <s v="Sweden"/>
    <x v="2"/>
  </r>
  <r>
    <n v="2024002695"/>
    <x v="180"/>
    <n v="2024"/>
    <x v="229"/>
    <s v="PROD_003"/>
    <s v="USB-C Cable"/>
    <s v="Electronics"/>
    <n v="5"/>
    <n v="13.95"/>
    <n v="69.75"/>
    <n v="69.75"/>
    <n v="0"/>
    <s v="UK"/>
    <x v="0"/>
  </r>
  <r>
    <n v="2024002696"/>
    <x v="199"/>
    <n v="2024"/>
    <x v="288"/>
    <s v="PROD_001"/>
    <s v="Laptop Pro"/>
    <s v="Electronics"/>
    <n v="2"/>
    <n v="1253.48"/>
    <n v="2506.96"/>
    <n v="2506.96"/>
    <n v="0"/>
    <s v="France"/>
    <x v="2"/>
  </r>
  <r>
    <n v="2024002697"/>
    <x v="228"/>
    <n v="2024"/>
    <x v="253"/>
    <s v="PROD_005"/>
    <s v="Standing Desk"/>
    <s v="Furniture"/>
    <n v="1"/>
    <n v="593.87"/>
    <n v="593.87"/>
    <n v="593.87"/>
    <n v="0"/>
    <s v="France"/>
    <x v="3"/>
  </r>
  <r>
    <n v="2024002698"/>
    <x v="53"/>
    <n v="2024"/>
    <x v="178"/>
    <s v="PROD_003"/>
    <s v="USB-C Cable"/>
    <s v="Electronics"/>
    <n v="3"/>
    <n v="15.91"/>
    <n v="47.73"/>
    <n v="47.730000000000004"/>
    <n v="0"/>
    <s v="France"/>
    <x v="2"/>
  </r>
  <r>
    <n v="2024002699"/>
    <x v="158"/>
    <n v="2024"/>
    <x v="16"/>
    <s v="PROD_007"/>
    <s v="Keyboard Mechanical"/>
    <s v="Electronics"/>
    <n v="2"/>
    <n v="117.94"/>
    <n v="235.88"/>
    <n v="235.88"/>
    <n v="0"/>
    <s v="Germany"/>
    <x v="3"/>
  </r>
  <r>
    <n v="2024002700"/>
    <x v="329"/>
    <n v="2024"/>
    <x v="78"/>
    <s v="PROD_005"/>
    <s v="Standing Desk"/>
    <s v="Furniture"/>
    <n v="2"/>
    <n v="598.51"/>
    <n v="1197.02"/>
    <n v="1197.02"/>
    <n v="0"/>
    <s v="Belgium"/>
    <x v="0"/>
  </r>
  <r>
    <n v="2024002701"/>
    <x v="323"/>
    <n v="2024"/>
    <x v="120"/>
    <s v="PROD_004"/>
    <s v="Desk Chair"/>
    <s v="Furniture"/>
    <n v="5"/>
    <n v="369.21"/>
    <n v="1846.05"/>
    <n v="1846.05"/>
    <n v="0"/>
    <s v="Belgium"/>
    <x v="2"/>
  </r>
  <r>
    <n v="2024002702"/>
    <x v="306"/>
    <n v="2024"/>
    <x v="294"/>
    <s v="PROD_005"/>
    <s v="Standing Desk"/>
    <s v="Furniture"/>
    <n v="1"/>
    <n v="604.33000000000004"/>
    <n v="604.33000000000004"/>
    <n v="604.33000000000004"/>
    <n v="0"/>
    <s v="UK"/>
    <x v="0"/>
  </r>
  <r>
    <n v="2024002703"/>
    <x v="82"/>
    <n v="2024"/>
    <x v="0"/>
    <s v="PROD_006"/>
    <s v="Monitor 27&quot;"/>
    <s v="Electronics"/>
    <n v="2"/>
    <n v="363.33"/>
    <n v="726.66"/>
    <n v="726.66"/>
    <n v="0"/>
    <s v="Belgium"/>
    <x v="2"/>
  </r>
  <r>
    <n v="2024002704"/>
    <x v="318"/>
    <n v="2024"/>
    <x v="150"/>
    <s v="PROD_008"/>
    <s v="Desk Lamp"/>
    <s v="Furniture"/>
    <n v="2"/>
    <n v="86.56"/>
    <n v="173.12"/>
    <n v="173.12"/>
    <n v="0"/>
    <s v="Netherlands"/>
    <x v="2"/>
  </r>
  <r>
    <n v="2024002705"/>
    <x v="10"/>
    <n v="2024"/>
    <x v="299"/>
    <s v="PROD_010"/>
    <s v="Webcam HD"/>
    <s v="Electronics"/>
    <n v="1"/>
    <n v="81.349999999999994"/>
    <n v="81.349999999999994"/>
    <n v="81.349999999999994"/>
    <n v="0"/>
    <s v="Belgium"/>
    <x v="1"/>
  </r>
  <r>
    <n v="2024002706"/>
    <x v="14"/>
    <n v="2024"/>
    <x v="0"/>
    <s v="PROD_007"/>
    <s v="Keyboard Mechanical"/>
    <s v="Electronics"/>
    <n v="1"/>
    <n v="123.79"/>
    <n v="123.79"/>
    <n v="123.79"/>
    <n v="0"/>
    <s v="Spain"/>
    <x v="3"/>
  </r>
  <r>
    <n v="2024002707"/>
    <x v="193"/>
    <n v="2024"/>
    <x v="274"/>
    <s v="PROD_009"/>
    <s v="Phone Stand"/>
    <s v="Accessories"/>
    <n v="1"/>
    <n v="25.96"/>
    <n v="25.96"/>
    <n v="25.96"/>
    <n v="0"/>
    <s v="Austria"/>
    <x v="2"/>
  </r>
  <r>
    <n v="2024002708"/>
    <x v="309"/>
    <n v="2024"/>
    <x v="51"/>
    <s v="PROD_003"/>
    <s v="USB-C Cable"/>
    <s v="Electronics"/>
    <n v="1"/>
    <n v="14.85"/>
    <n v="14.85"/>
    <n v="14.85"/>
    <n v="0"/>
    <s v="UK"/>
    <x v="0"/>
  </r>
  <r>
    <n v="2024002709"/>
    <x v="325"/>
    <n v="2024"/>
    <x v="266"/>
    <s v="PROD_004"/>
    <s v="Desk Chair"/>
    <s v="Furniture"/>
    <n v="1"/>
    <n v="359.8"/>
    <n v="359.8"/>
    <n v="359.8"/>
    <n v="0"/>
    <s v="Belgium"/>
    <x v="2"/>
  </r>
  <r>
    <n v="2024002710"/>
    <x v="86"/>
    <n v="2024"/>
    <x v="104"/>
    <s v="PROD_009"/>
    <s v="Phone Stand"/>
    <s v="Accessories"/>
    <n v="1"/>
    <n v="25.93"/>
    <n v="25.93"/>
    <n v="25.93"/>
    <n v="0"/>
    <s v="Italy"/>
    <x v="2"/>
  </r>
  <r>
    <n v="2024002711"/>
    <x v="283"/>
    <n v="2024"/>
    <x v="250"/>
    <s v="PROD_009"/>
    <s v="Phone Stand"/>
    <s v="Accessories"/>
    <n v="2"/>
    <n v="24.7"/>
    <n v="49.4"/>
    <n v="49.4"/>
    <n v="0"/>
    <s v="UK"/>
    <x v="3"/>
  </r>
  <r>
    <n v="2024002712"/>
    <x v="76"/>
    <n v="2024"/>
    <x v="109"/>
    <s v="PROD_001"/>
    <s v="Laptop Pro"/>
    <s v="Electronics"/>
    <n v="3"/>
    <n v="1186.82"/>
    <n v="3560.46"/>
    <n v="3560.46"/>
    <n v="0"/>
    <s v="Belgium"/>
    <x v="3"/>
  </r>
  <r>
    <n v="2024002713"/>
    <x v="25"/>
    <n v="2024"/>
    <x v="14"/>
    <s v="PROD_009"/>
    <s v="Phone Stand"/>
    <s v="Accessories"/>
    <n v="2"/>
    <n v="24.6"/>
    <n v="49.2"/>
    <n v="49.2"/>
    <n v="0"/>
    <s v="Belgium"/>
    <x v="3"/>
  </r>
  <r>
    <n v="2024002714"/>
    <x v="17"/>
    <n v="2024"/>
    <x v="75"/>
    <s v="PROD_001"/>
    <s v="Laptop Pro"/>
    <s v="Electronics"/>
    <n v="1"/>
    <n v="1136.0999999999999"/>
    <n v="1136.0999999999999"/>
    <n v="1136.0999999999999"/>
    <n v="0"/>
    <s v="Germany"/>
    <x v="3"/>
  </r>
  <r>
    <n v="2024002715"/>
    <x v="85"/>
    <n v="2024"/>
    <x v="227"/>
    <s v="PROD_010"/>
    <s v="Webcam HD"/>
    <s v="Electronics"/>
    <n v="2"/>
    <n v="89.05"/>
    <n v="178.1"/>
    <n v="178.1"/>
    <n v="0"/>
    <s v="Sweden"/>
    <x v="3"/>
  </r>
  <r>
    <n v="2024002716"/>
    <x v="135"/>
    <n v="2024"/>
    <x v="34"/>
    <s v="PROD_008"/>
    <s v="Desk Lamp"/>
    <s v="Furniture"/>
    <n v="1"/>
    <n v="83.44"/>
    <n v="83.44"/>
    <n v="83.44"/>
    <n v="0"/>
    <s v="Italy"/>
    <x v="2"/>
  </r>
  <r>
    <n v="2024002717"/>
    <x v="300"/>
    <n v="2024"/>
    <x v="0"/>
    <s v="PROD_003"/>
    <s v="USB-C Cable"/>
    <s v="Electronics"/>
    <n v="2"/>
    <n v="15.61"/>
    <n v="31.22"/>
    <n v="31.22"/>
    <n v="0"/>
    <s v="France"/>
    <x v="1"/>
  </r>
  <r>
    <n v="2024002718"/>
    <x v="211"/>
    <n v="2024"/>
    <x v="258"/>
    <s v="PROD_008"/>
    <s v="Desk Lamp"/>
    <s v="Furniture"/>
    <n v="1"/>
    <n v="86.84"/>
    <n v="86.84"/>
    <n v="86.84"/>
    <n v="0"/>
    <s v="Belgium"/>
    <x v="0"/>
  </r>
  <r>
    <n v="2024002719"/>
    <x v="36"/>
    <n v="2024"/>
    <x v="124"/>
    <s v="PROD_010"/>
    <s v="Webcam HD"/>
    <s v="Electronics"/>
    <n v="5"/>
    <n v="92.34"/>
    <n v="461.7"/>
    <n v="461.70000000000005"/>
    <n v="0"/>
    <s v="Germany"/>
    <x v="1"/>
  </r>
  <r>
    <n v="2024002720"/>
    <x v="13"/>
    <n v="2024"/>
    <x v="0"/>
    <s v="PROD_009"/>
    <s v="Phone Stand"/>
    <s v="Accessories"/>
    <n v="1"/>
    <n v="24.92"/>
    <n v="24.92"/>
    <n v="24.92"/>
    <n v="0"/>
    <s v="Italy"/>
    <x v="0"/>
  </r>
  <r>
    <n v="2024002721"/>
    <x v="312"/>
    <n v="2024"/>
    <x v="245"/>
    <s v="PROD_004"/>
    <s v="Desk Chair"/>
    <s v="Furniture"/>
    <n v="2"/>
    <n v="326.16000000000003"/>
    <n v="652.32000000000005"/>
    <n v="652.32000000000005"/>
    <n v="0"/>
    <s v="Belgium"/>
    <x v="3"/>
  </r>
  <r>
    <n v="2024002722"/>
    <x v="119"/>
    <n v="2024"/>
    <x v="22"/>
    <s v="PROD_006"/>
    <s v="Monitor 27&quot;"/>
    <s v="Electronics"/>
    <n v="2"/>
    <n v="376.12"/>
    <n v="752.24"/>
    <n v="752.24"/>
    <n v="0"/>
    <s v="Belgium"/>
    <x v="2"/>
  </r>
  <r>
    <n v="2024002723"/>
    <x v="48"/>
    <n v="2024"/>
    <x v="121"/>
    <s v="PROD_010"/>
    <s v="Webcam HD"/>
    <s v="Electronics"/>
    <n v="1"/>
    <n v="85.44"/>
    <n v="85.44"/>
    <n v="85.44"/>
    <n v="0"/>
    <s v="Netherlands"/>
    <x v="3"/>
  </r>
  <r>
    <n v="2024002724"/>
    <x v="41"/>
    <n v="2024"/>
    <x v="6"/>
    <s v="PROD_008"/>
    <s v="Desk Lamp"/>
    <s v="Furniture"/>
    <n v="2"/>
    <n v="73.7"/>
    <n v="147.4"/>
    <n v="147.4"/>
    <n v="0"/>
    <s v="Belgium"/>
    <x v="1"/>
  </r>
  <r>
    <n v="2024002725"/>
    <x v="90"/>
    <n v="2024"/>
    <x v="33"/>
    <s v="PROD_002"/>
    <s v="Wireless Mouse"/>
    <s v="Electronics"/>
    <n v="1"/>
    <n v="44.08"/>
    <n v="44.08"/>
    <n v="44.08"/>
    <n v="0"/>
    <s v="UK"/>
    <x v="1"/>
  </r>
  <r>
    <n v="2024002726"/>
    <x v="259"/>
    <n v="2024"/>
    <x v="254"/>
    <s v="PROD_001"/>
    <s v="Laptop Pro"/>
    <s v="Electronics"/>
    <n v="1"/>
    <n v="1246.3800000000001"/>
    <n v="1246.3800000000001"/>
    <n v="1246.3800000000001"/>
    <n v="0"/>
    <s v="Germany"/>
    <x v="1"/>
  </r>
  <r>
    <n v="2024002727"/>
    <x v="312"/>
    <n v="2024"/>
    <x v="122"/>
    <s v="PROD_006"/>
    <s v="Monitor 27&quot;"/>
    <s v="Electronics"/>
    <n v="2"/>
    <n v="432.13"/>
    <n v="864.26"/>
    <n v="864.26"/>
    <n v="0"/>
    <s v="Italy"/>
    <x v="2"/>
  </r>
  <r>
    <n v="2024002728"/>
    <x v="364"/>
    <n v="2024"/>
    <x v="222"/>
    <s v="PROD_010"/>
    <s v="Webcam HD"/>
    <s v="Electronics"/>
    <n v="1"/>
    <n v="91.35"/>
    <n v="91.35"/>
    <n v="91.35"/>
    <n v="0"/>
    <s v="Netherlands"/>
    <x v="3"/>
  </r>
  <r>
    <n v="2024002729"/>
    <x v="265"/>
    <n v="2024"/>
    <x v="0"/>
    <s v="PROD_002"/>
    <s v="Wireless Mouse"/>
    <s v="Electronics"/>
    <n v="3"/>
    <n v="46.73"/>
    <n v="140.19"/>
    <n v="140.19"/>
    <n v="0"/>
    <s v="France"/>
    <x v="0"/>
  </r>
  <r>
    <n v="2024002730"/>
    <x v="318"/>
    <n v="2024"/>
    <x v="0"/>
    <s v="PROD_003"/>
    <s v="USB-C Cable"/>
    <s v="Electronics"/>
    <n v="3"/>
    <n v="15.39"/>
    <n v="46.17"/>
    <n v="46.17"/>
    <n v="0"/>
    <s v="Switzerland"/>
    <x v="0"/>
  </r>
  <r>
    <n v="2024002731"/>
    <x v="52"/>
    <n v="2024"/>
    <x v="298"/>
    <s v="PROD_001"/>
    <s v="Laptop Pro"/>
    <s v="Electronics"/>
    <n v="1"/>
    <n v="1095.22"/>
    <n v="1095.22"/>
    <n v="1095.22"/>
    <n v="0"/>
    <s v="Sweden"/>
    <x v="1"/>
  </r>
  <r>
    <n v="2024002732"/>
    <x v="284"/>
    <n v="2024"/>
    <x v="231"/>
    <s v="PROD_008"/>
    <s v="Desk Lamp"/>
    <s v="Furniture"/>
    <n v="1"/>
    <n v="80.22"/>
    <n v="80.22"/>
    <n v="80.22"/>
    <n v="0"/>
    <s v="Austria"/>
    <x v="3"/>
  </r>
  <r>
    <n v="2024002733"/>
    <x v="193"/>
    <n v="2024"/>
    <x v="299"/>
    <s v="PROD_005"/>
    <s v="Standing Desk"/>
    <s v="Furniture"/>
    <n v="1"/>
    <n v="594.57000000000005"/>
    <n v="594.57000000000005"/>
    <n v="594.57000000000005"/>
    <n v="0"/>
    <s v="Spain"/>
    <x v="3"/>
  </r>
  <r>
    <n v="2024002734"/>
    <x v="309"/>
    <n v="2024"/>
    <x v="290"/>
    <s v="PROD_010"/>
    <s v="Webcam HD"/>
    <s v="Electronics"/>
    <n v="1"/>
    <n v="90.67"/>
    <n v="90.67"/>
    <n v="90.67"/>
    <n v="0"/>
    <s v="France"/>
    <x v="2"/>
  </r>
  <r>
    <n v="2024002735"/>
    <x v="351"/>
    <n v="2024"/>
    <x v="81"/>
    <s v="PROD_007"/>
    <s v="Keyboard Mechanical"/>
    <s v="Electronics"/>
    <n v="2"/>
    <n v="129.19"/>
    <n v="258.38"/>
    <n v="258.38"/>
    <n v="0"/>
    <s v="Switzerland"/>
    <x v="1"/>
  </r>
  <r>
    <n v="2024002736"/>
    <x v="294"/>
    <n v="2024"/>
    <x v="155"/>
    <s v="PROD_006"/>
    <s v="Monitor 27&quot;"/>
    <s v="Electronics"/>
    <n v="3"/>
    <n v="408.81"/>
    <n v="1226.43"/>
    <n v="1226.43"/>
    <n v="0"/>
    <s v="Belgium"/>
    <x v="1"/>
  </r>
  <r>
    <n v="2024002737"/>
    <x v="68"/>
    <n v="2024"/>
    <x v="64"/>
    <s v="PROD_004"/>
    <s v="Desk Chair"/>
    <s v="Furniture"/>
    <n v="5"/>
    <n v="354.68"/>
    <n v="1773.4"/>
    <n v="1773.4"/>
    <n v="0"/>
    <s v="Belgium"/>
    <x v="1"/>
  </r>
  <r>
    <n v="2024002738"/>
    <x v="324"/>
    <n v="2024"/>
    <x v="0"/>
    <s v="PROD_002"/>
    <s v="Wireless Mouse"/>
    <s v="Electronics"/>
    <n v="1"/>
    <n v="48.04"/>
    <n v="48.04"/>
    <n v="48.04"/>
    <n v="0"/>
    <s v="Switzerland"/>
    <x v="1"/>
  </r>
  <r>
    <n v="2024002739"/>
    <x v="114"/>
    <n v="2024"/>
    <x v="294"/>
    <s v="PROD_006"/>
    <s v="Monitor 27&quot;"/>
    <s v="Electronics"/>
    <n v="2"/>
    <n v="441.99"/>
    <n v="883.98"/>
    <n v="883.98"/>
    <n v="0"/>
    <s v="France"/>
    <x v="0"/>
  </r>
  <r>
    <n v="2024002740"/>
    <x v="311"/>
    <n v="2024"/>
    <x v="156"/>
    <s v="PROD_008"/>
    <s v="Desk Lamp"/>
    <s v="Furniture"/>
    <n v="1"/>
    <n v="79.25"/>
    <n v="79.25"/>
    <n v="79.25"/>
    <n v="0"/>
    <s v="Spain"/>
    <x v="2"/>
  </r>
  <r>
    <n v="2024002741"/>
    <x v="242"/>
    <n v="2024"/>
    <x v="154"/>
    <s v="PROD_001"/>
    <s v="Laptop Pro"/>
    <s v="Electronics"/>
    <n v="1"/>
    <n v="1069.74"/>
    <n v="1069.74"/>
    <n v="1069.74"/>
    <n v="0"/>
    <s v="Spain"/>
    <x v="2"/>
  </r>
  <r>
    <n v="2024002742"/>
    <x v="122"/>
    <n v="2024"/>
    <x v="210"/>
    <s v="PROD_007"/>
    <s v="Keyboard Mechanical"/>
    <s v="Electronics"/>
    <n v="2"/>
    <n v="114.07"/>
    <n v="228.14"/>
    <n v="228.14"/>
    <n v="0"/>
    <s v="Spain"/>
    <x v="1"/>
  </r>
  <r>
    <n v="2024002743"/>
    <x v="2"/>
    <n v="2024"/>
    <x v="0"/>
    <s v="PROD_003"/>
    <s v="USB-C Cable"/>
    <s v="Electronics"/>
    <n v="1"/>
    <n v="15.54"/>
    <n v="15.54"/>
    <n v="15.54"/>
    <n v="0"/>
    <s v="France"/>
    <x v="0"/>
  </r>
  <r>
    <n v="2024001669"/>
    <x v="158"/>
    <n v="2024"/>
    <x v="22"/>
    <s v="PROD_007"/>
    <s v="Keyboard Mechanical"/>
    <s v="Electronics"/>
    <n v="1"/>
    <n v="111.77"/>
    <n v="111.77"/>
    <n v="111.77"/>
    <n v="0"/>
    <s v="France"/>
    <x v="0"/>
  </r>
  <r>
    <n v="2024002745"/>
    <x v="39"/>
    <n v="2024"/>
    <x v="153"/>
    <s v="PROD_008"/>
    <s v="Desk Lamp"/>
    <s v="Furniture"/>
    <n v="1"/>
    <n v="82.77"/>
    <n v="82.77"/>
    <n v="82.77"/>
    <n v="0"/>
    <s v="Germany"/>
    <x v="2"/>
  </r>
  <r>
    <n v="2024002746"/>
    <x v="289"/>
    <n v="2024"/>
    <x v="79"/>
    <s v="PROD_008"/>
    <s v="Desk Lamp"/>
    <s v="Furniture"/>
    <n v="3"/>
    <n v="74.53"/>
    <n v="223.59"/>
    <n v="223.59"/>
    <n v="0"/>
    <s v="Switzerland"/>
    <x v="2"/>
  </r>
  <r>
    <n v="2024002747"/>
    <x v="134"/>
    <n v="2024"/>
    <x v="0"/>
    <s v="PROD_009"/>
    <s v="Phone Stand"/>
    <s v="Accessories"/>
    <n v="1"/>
    <n v="24.63"/>
    <n v="24.63"/>
    <n v="24.63"/>
    <n v="0"/>
    <s v="Spain"/>
    <x v="2"/>
  </r>
  <r>
    <n v="2024002748"/>
    <x v="251"/>
    <n v="2024"/>
    <x v="97"/>
    <s v="PROD_008"/>
    <s v="Desk Lamp"/>
    <s v="Furniture"/>
    <n v="1"/>
    <n v="75.58"/>
    <n v="75.58"/>
    <n v="75.58"/>
    <n v="0"/>
    <s v="Switzerland"/>
    <x v="1"/>
  </r>
  <r>
    <n v="2024002749"/>
    <x v="316"/>
    <n v="2024"/>
    <x v="177"/>
    <s v="PROD_004"/>
    <s v="Desk Chair"/>
    <s v="Furniture"/>
    <n v="3"/>
    <n v="332.44"/>
    <n v="997.32"/>
    <n v="997.31999999999994"/>
    <n v="0"/>
    <s v="Germany"/>
    <x v="1"/>
  </r>
  <r>
    <n v="2024002750"/>
    <x v="245"/>
    <n v="2024"/>
    <x v="0"/>
    <s v="PROD_009"/>
    <s v="Phone Stand"/>
    <s v="Accessories"/>
    <n v="3"/>
    <n v="23.35"/>
    <n v="70.05"/>
    <n v="70.050000000000011"/>
    <n v="0"/>
    <s v="Italy"/>
    <x v="0"/>
  </r>
  <r>
    <n v="2024002751"/>
    <x v="22"/>
    <n v="2024"/>
    <x v="223"/>
    <s v="PROD_008"/>
    <s v="Desk Lamp"/>
    <s v="Furniture"/>
    <n v="2"/>
    <n v="79.680000000000007"/>
    <n v="159.36000000000001"/>
    <n v="159.36000000000001"/>
    <n v="0"/>
    <s v="Netherlands"/>
    <x v="3"/>
  </r>
  <r>
    <n v="2024002752"/>
    <x v="7"/>
    <n v="2024"/>
    <x v="60"/>
    <s v="PROD_009"/>
    <s v="Phone Stand"/>
    <s v="Accessories"/>
    <n v="1"/>
    <n v="25.58"/>
    <n v="25.58"/>
    <n v="25.58"/>
    <n v="0"/>
    <s v="UK"/>
    <x v="3"/>
  </r>
  <r>
    <n v="2024002753"/>
    <x v="164"/>
    <n v="2024"/>
    <x v="190"/>
    <s v="PROD_001"/>
    <s v="Laptop Pro"/>
    <s v="Electronics"/>
    <n v="1"/>
    <n v="1226.3"/>
    <n v="1226.3"/>
    <n v="1226.3"/>
    <n v="0"/>
    <s v="France"/>
    <x v="0"/>
  </r>
  <r>
    <n v="2024002754"/>
    <x v="185"/>
    <n v="2024"/>
    <x v="173"/>
    <s v="PROD_006"/>
    <s v="Monitor 27&quot;"/>
    <s v="Electronics"/>
    <n v="1"/>
    <n v="348.36"/>
    <n v="348.36"/>
    <n v="348.36"/>
    <n v="0"/>
    <s v="UK"/>
    <x v="2"/>
  </r>
  <r>
    <n v="2024002755"/>
    <x v="11"/>
    <n v="2024"/>
    <x v="187"/>
    <s v="PROD_007"/>
    <s v="Keyboard Mechanical"/>
    <s v="Electronics"/>
    <n v="1"/>
    <n v="115"/>
    <n v="115"/>
    <n v="115"/>
    <n v="0"/>
    <s v="Switzerland"/>
    <x v="0"/>
  </r>
  <r>
    <n v="2024002756"/>
    <x v="283"/>
    <n v="2024"/>
    <x v="0"/>
    <s v="PROD_002"/>
    <s v="Wireless Mouse"/>
    <s v="Electronics"/>
    <n v="2"/>
    <n v="39.74"/>
    <n v="79.48"/>
    <n v="79.48"/>
    <n v="0"/>
    <s v="Belgium"/>
    <x v="0"/>
  </r>
  <r>
    <n v="2024002757"/>
    <x v="214"/>
    <n v="2024"/>
    <x v="110"/>
    <s v="PROD_004"/>
    <s v="Desk Chair"/>
    <s v="Furniture"/>
    <n v="1"/>
    <n v="339.23"/>
    <n v="339.23"/>
    <n v="339.23"/>
    <n v="0"/>
    <s v="Spain"/>
    <x v="3"/>
  </r>
  <r>
    <n v="2024002758"/>
    <x v="114"/>
    <n v="2024"/>
    <x v="126"/>
    <s v="PROD_002"/>
    <s v="Wireless Mouse"/>
    <s v="Electronics"/>
    <n v="1"/>
    <n v="49.51"/>
    <n v="49.51"/>
    <n v="49.51"/>
    <n v="0"/>
    <s v="Spain"/>
    <x v="3"/>
  </r>
  <r>
    <n v="2024002759"/>
    <x v="327"/>
    <n v="2024"/>
    <x v="231"/>
    <s v="PROD_004"/>
    <s v="Desk Chair"/>
    <s v="Furniture"/>
    <n v="2"/>
    <n v="353.9"/>
    <n v="707.8"/>
    <n v="707.8"/>
    <n v="0"/>
    <s v="Italy"/>
    <x v="1"/>
  </r>
  <r>
    <n v="2024002760"/>
    <x v="347"/>
    <n v="2024"/>
    <x v="65"/>
    <s v="PROD_003"/>
    <s v="USB-C Cable"/>
    <s v="Electronics"/>
    <n v="2"/>
    <n v="14"/>
    <n v="28"/>
    <n v="28"/>
    <n v="0"/>
    <s v="UK"/>
    <x v="0"/>
  </r>
  <r>
    <n v="2024002761"/>
    <x v="339"/>
    <n v="2024"/>
    <x v="0"/>
    <s v="PROD_005"/>
    <s v="Standing Desk"/>
    <s v="Furniture"/>
    <n v="4"/>
    <n v="613.6"/>
    <n v="2454.4"/>
    <n v="2454.4"/>
    <n v="0"/>
    <s v="Switzerland"/>
    <x v="1"/>
  </r>
  <r>
    <n v="2024002762"/>
    <x v="89"/>
    <n v="2024"/>
    <x v="180"/>
    <s v="PROD_008"/>
    <s v="Desk Lamp"/>
    <s v="Furniture"/>
    <n v="1"/>
    <n v="84.75"/>
    <n v="84.75"/>
    <n v="84.75"/>
    <n v="0"/>
    <s v="Switzerland"/>
    <x v="1"/>
  </r>
  <r>
    <n v="2024002763"/>
    <x v="112"/>
    <n v="2024"/>
    <x v="221"/>
    <s v="PROD_007"/>
    <s v="Keyboard Mechanical"/>
    <s v="Electronics"/>
    <n v="2"/>
    <n v="120.11"/>
    <n v="240.22"/>
    <n v="240.22"/>
    <n v="0"/>
    <s v="Italy"/>
    <x v="3"/>
  </r>
  <r>
    <n v="2024002764"/>
    <x v="123"/>
    <n v="2024"/>
    <x v="172"/>
    <s v="PROD_002"/>
    <s v="Wireless Mouse"/>
    <s v="Electronics"/>
    <n v="1"/>
    <n v="42.85"/>
    <n v="42.85"/>
    <n v="42.85"/>
    <n v="0"/>
    <s v="Switzerland"/>
    <x v="0"/>
  </r>
  <r>
    <n v="2024002765"/>
    <x v="87"/>
    <n v="2024"/>
    <x v="234"/>
    <s v="PROD_009"/>
    <s v="Phone Stand"/>
    <s v="Accessories"/>
    <n v="2"/>
    <n v="24.01"/>
    <n v="48.02"/>
    <n v="48.02"/>
    <n v="0"/>
    <s v="Germany"/>
    <x v="2"/>
  </r>
  <r>
    <n v="2024002766"/>
    <x v="269"/>
    <n v="2024"/>
    <x v="195"/>
    <s v="PROD_004"/>
    <s v="Desk Chair"/>
    <s v="Furniture"/>
    <n v="2"/>
    <n v="365.1"/>
    <n v="730.2"/>
    <n v="730.2"/>
    <n v="0"/>
    <s v="UK"/>
    <x v="0"/>
  </r>
  <r>
    <n v="2024002767"/>
    <x v="184"/>
    <n v="2024"/>
    <x v="212"/>
    <s v="PROD_002"/>
    <s v="Wireless Mouse"/>
    <s v="Electronics"/>
    <n v="1"/>
    <n v="44.09"/>
    <n v="44.09"/>
    <n v="44.09"/>
    <n v="0"/>
    <s v="Austria"/>
    <x v="1"/>
  </r>
  <r>
    <n v="2024002768"/>
    <x v="228"/>
    <n v="2024"/>
    <x v="80"/>
    <s v="PROD_004"/>
    <s v="Desk Chair"/>
    <s v="Furniture"/>
    <n v="2"/>
    <n v="330.83"/>
    <n v="661.66"/>
    <n v="661.66"/>
    <n v="0"/>
    <s v="Sweden"/>
    <x v="2"/>
  </r>
  <r>
    <n v="2024002769"/>
    <x v="212"/>
    <n v="2024"/>
    <x v="126"/>
    <s v="PROD_009"/>
    <s v="Phone Stand"/>
    <s v="Accessories"/>
    <n v="1"/>
    <n v="25.04"/>
    <n v="25.04"/>
    <n v="25.04"/>
    <n v="0"/>
    <s v="Germany"/>
    <x v="2"/>
  </r>
  <r>
    <n v="2024002770"/>
    <x v="57"/>
    <n v="2024"/>
    <x v="118"/>
    <s v="PROD_010"/>
    <s v="Webcam HD"/>
    <s v="Electronics"/>
    <n v="4"/>
    <n v="84.77"/>
    <n v="339.08"/>
    <n v="339.08"/>
    <n v="0"/>
    <s v="Netherlands"/>
    <x v="0"/>
  </r>
  <r>
    <n v="2024002771"/>
    <x v="305"/>
    <n v="2024"/>
    <x v="20"/>
    <s v="PROD_001"/>
    <s v="Laptop Pro"/>
    <s v="Electronics"/>
    <n v="2"/>
    <n v="1243.83"/>
    <n v="2487.66"/>
    <n v="2487.66"/>
    <n v="0"/>
    <s v="Belgium"/>
    <x v="3"/>
  </r>
  <r>
    <n v="2024002772"/>
    <x v="17"/>
    <n v="2024"/>
    <x v="208"/>
    <s v="PROD_006"/>
    <s v="Monitor 27&quot;"/>
    <s v="Electronics"/>
    <n v="1"/>
    <n v="396.89"/>
    <n v="396.89"/>
    <n v="396.89"/>
    <n v="0"/>
    <s v="Sweden"/>
    <x v="1"/>
  </r>
  <r>
    <n v="2024002773"/>
    <x v="297"/>
    <n v="2024"/>
    <x v="224"/>
    <s v="PROD_010"/>
    <s v="Webcam HD"/>
    <s v="Electronics"/>
    <n v="2"/>
    <n v="87.77"/>
    <n v="175.54"/>
    <n v="175.54"/>
    <n v="0"/>
    <s v="France"/>
    <x v="0"/>
  </r>
  <r>
    <n v="2024002774"/>
    <x v="241"/>
    <n v="2024"/>
    <x v="291"/>
    <s v="PROD_010"/>
    <s v="Webcam HD"/>
    <s v="Electronics"/>
    <n v="5"/>
    <n v="97.32"/>
    <n v="486.6"/>
    <n v="486.59999999999997"/>
    <n v="0"/>
    <s v="Austria"/>
    <x v="2"/>
  </r>
  <r>
    <n v="2024002775"/>
    <x v="63"/>
    <n v="2024"/>
    <x v="0"/>
    <s v="PROD_008"/>
    <s v="Desk Lamp"/>
    <s v="Furniture"/>
    <n v="1"/>
    <n v="78.849999999999994"/>
    <n v="78.849999999999994"/>
    <n v="78.849999999999994"/>
    <n v="0"/>
    <s v="Belgium"/>
    <x v="3"/>
  </r>
  <r>
    <n v="2024002776"/>
    <x v="352"/>
    <n v="2024"/>
    <x v="7"/>
    <s v="PROD_006"/>
    <s v="Monitor 27&quot;"/>
    <s v="Electronics"/>
    <n v="1"/>
    <n v="416.05"/>
    <n v="416.05"/>
    <n v="416.05"/>
    <n v="0"/>
    <s v="Netherlands"/>
    <x v="0"/>
  </r>
  <r>
    <n v="2024002777"/>
    <x v="65"/>
    <n v="2024"/>
    <x v="24"/>
    <s v="PROD_007"/>
    <s v="Keyboard Mechanical"/>
    <s v="Electronics"/>
    <n v="3"/>
    <n v="121.98"/>
    <n v="365.94"/>
    <n v="365.94"/>
    <n v="0"/>
    <s v="Netherlands"/>
    <x v="0"/>
  </r>
  <r>
    <n v="2024002778"/>
    <x v="358"/>
    <n v="2024"/>
    <x v="0"/>
    <s v="PROD_008"/>
    <s v="Desk Lamp"/>
    <s v="Furniture"/>
    <n v="1"/>
    <n v="77.33"/>
    <n v="77.33"/>
    <n v="77.33"/>
    <n v="0"/>
    <s v="Austria"/>
    <x v="0"/>
  </r>
  <r>
    <n v="2024002779"/>
    <x v="235"/>
    <n v="2024"/>
    <x v="126"/>
    <s v="PROD_010"/>
    <s v="Webcam HD"/>
    <s v="Electronics"/>
    <n v="1"/>
    <n v="89.06"/>
    <n v="89.06"/>
    <n v="89.06"/>
    <n v="0"/>
    <s v="Germany"/>
    <x v="2"/>
  </r>
  <r>
    <n v="2024002780"/>
    <x v="74"/>
    <n v="2024"/>
    <x v="246"/>
    <s v="PROD_001"/>
    <s v="Laptop Pro"/>
    <s v="Electronics"/>
    <n v="1"/>
    <n v="1193.3900000000001"/>
    <n v="1193.3900000000001"/>
    <n v="1193.3900000000001"/>
    <n v="0"/>
    <s v="Switzerland"/>
    <x v="3"/>
  </r>
  <r>
    <n v="2024002781"/>
    <x v="250"/>
    <n v="2024"/>
    <x v="175"/>
    <s v="PROD_001"/>
    <s v="Laptop Pro"/>
    <s v="Electronics"/>
    <n v="1"/>
    <n v="1239.9000000000001"/>
    <n v="1239.9000000000001"/>
    <n v="1239.9000000000001"/>
    <n v="0"/>
    <s v="Netherlands"/>
    <x v="2"/>
  </r>
  <r>
    <n v="2024002782"/>
    <x v="124"/>
    <n v="2024"/>
    <x v="75"/>
    <s v="PROD_001"/>
    <s v="Laptop Pro"/>
    <s v="Electronics"/>
    <n v="3"/>
    <n v="1164.69"/>
    <n v="3494.07"/>
    <n v="3494.07"/>
    <n v="0"/>
    <s v="Spain"/>
    <x v="2"/>
  </r>
  <r>
    <n v="2024002783"/>
    <x v="79"/>
    <n v="2024"/>
    <x v="165"/>
    <s v="PROD_008"/>
    <s v="Desk Lamp"/>
    <s v="Furniture"/>
    <n v="1"/>
    <n v="83.69"/>
    <n v="83.69"/>
    <n v="83.69"/>
    <n v="0"/>
    <s v="UK"/>
    <x v="1"/>
  </r>
  <r>
    <n v="2024002784"/>
    <x v="198"/>
    <n v="2024"/>
    <x v="292"/>
    <s v="PROD_002"/>
    <s v="Wireless Mouse"/>
    <s v="Electronics"/>
    <n v="5"/>
    <n v="43.39"/>
    <n v="216.95"/>
    <n v="216.95"/>
    <n v="0"/>
    <s v="Netherlands"/>
    <x v="0"/>
  </r>
  <r>
    <n v="2024002785"/>
    <x v="102"/>
    <n v="2024"/>
    <x v="272"/>
    <s v="PROD_009"/>
    <s v="Phone Stand"/>
    <s v="Accessories"/>
    <n v="2"/>
    <n v="26.18"/>
    <n v="52.36"/>
    <n v="52.36"/>
    <n v="0"/>
    <s v="France"/>
    <x v="0"/>
  </r>
  <r>
    <n v="2024002786"/>
    <x v="343"/>
    <n v="2024"/>
    <x v="75"/>
    <s v="PROD_010"/>
    <s v="Webcam HD"/>
    <s v="Electronics"/>
    <n v="1"/>
    <n v="104.44"/>
    <n v="104.44"/>
    <n v="104.44"/>
    <n v="0"/>
    <s v="France"/>
    <x v="1"/>
  </r>
  <r>
    <n v="2024002787"/>
    <x v="283"/>
    <n v="2024"/>
    <x v="259"/>
    <s v="PROD_003"/>
    <s v="USB-C Cable"/>
    <s v="Electronics"/>
    <n v="2"/>
    <n v="14.39"/>
    <n v="28.78"/>
    <n v="28.78"/>
    <n v="0"/>
    <s v="Netherlands"/>
    <x v="0"/>
  </r>
  <r>
    <n v="2024002788"/>
    <x v="10"/>
    <n v="2024"/>
    <x v="149"/>
    <s v="PROD_006"/>
    <s v="Monitor 27&quot;"/>
    <s v="Electronics"/>
    <n v="2"/>
    <n v="390.58"/>
    <n v="781.16"/>
    <n v="781.16"/>
    <n v="0"/>
    <s v="Netherlands"/>
    <x v="3"/>
  </r>
  <r>
    <n v="2024002789"/>
    <x v="26"/>
    <n v="2024"/>
    <x v="34"/>
    <s v="PROD_001"/>
    <s v="Laptop Pro"/>
    <s v="Electronics"/>
    <n v="2"/>
    <n v="1267.27"/>
    <n v="2534.54"/>
    <n v="2534.54"/>
    <n v="0"/>
    <s v="UK"/>
    <x v="1"/>
  </r>
  <r>
    <n v="2024002790"/>
    <x v="75"/>
    <n v="2024"/>
    <x v="24"/>
    <s v="PROD_002"/>
    <s v="Wireless Mouse"/>
    <s v="Electronics"/>
    <n v="2"/>
    <n v="46.25"/>
    <n v="92.5"/>
    <n v="92.5"/>
    <n v="0"/>
    <s v="France"/>
    <x v="1"/>
  </r>
  <r>
    <n v="2024002791"/>
    <x v="220"/>
    <n v="2024"/>
    <x v="135"/>
    <s v="PROD_009"/>
    <s v="Phone Stand"/>
    <s v="Accessories"/>
    <n v="1"/>
    <n v="25.79"/>
    <n v="25.79"/>
    <n v="25.79"/>
    <n v="0"/>
    <s v="UK"/>
    <x v="3"/>
  </r>
  <r>
    <n v="2024002792"/>
    <x v="88"/>
    <n v="2024"/>
    <x v="0"/>
    <s v="PROD_005"/>
    <s v="Standing Desk"/>
    <s v="Furniture"/>
    <n v="5"/>
    <n v="603.23"/>
    <n v="3016.15"/>
    <n v="3016.15"/>
    <n v="0"/>
    <s v="Germany"/>
    <x v="2"/>
  </r>
  <r>
    <n v="2024002793"/>
    <x v="301"/>
    <n v="2024"/>
    <x v="281"/>
    <s v="PROD_010"/>
    <s v="Webcam HD"/>
    <s v="Electronics"/>
    <n v="1"/>
    <n v="94.49"/>
    <n v="94.49"/>
    <n v="94.49"/>
    <n v="0"/>
    <s v="Austria"/>
    <x v="3"/>
  </r>
  <r>
    <n v="2024002794"/>
    <x v="179"/>
    <n v="2024"/>
    <x v="62"/>
    <s v="PROD_008"/>
    <s v="Desk Lamp"/>
    <s v="Furniture"/>
    <n v="1"/>
    <n v="76.95"/>
    <n v="76.95"/>
    <n v="76.95"/>
    <n v="0"/>
    <s v="France"/>
    <x v="0"/>
  </r>
  <r>
    <n v="2024002795"/>
    <x v="18"/>
    <n v="2024"/>
    <x v="116"/>
    <s v="PROD_007"/>
    <s v="Keyboard Mechanical"/>
    <s v="Electronics"/>
    <n v="2"/>
    <n v="117.03"/>
    <n v="234.06"/>
    <n v="234.06"/>
    <n v="0"/>
    <s v="Germany"/>
    <x v="3"/>
  </r>
  <r>
    <n v="2024002796"/>
    <x v="95"/>
    <n v="2024"/>
    <x v="230"/>
    <s v="PROD_007"/>
    <s v="Keyboard Mechanical"/>
    <s v="Electronics"/>
    <n v="3"/>
    <n v="115.28"/>
    <n v="345.84"/>
    <n v="345.84000000000003"/>
    <n v="0"/>
    <s v="Switzerland"/>
    <x v="3"/>
  </r>
  <r>
    <n v="2024002797"/>
    <x v="366"/>
    <n v="2024"/>
    <x v="125"/>
    <s v="PROD_002"/>
    <s v="Wireless Mouse"/>
    <s v="Electronics"/>
    <n v="1"/>
    <n v="42.8"/>
    <n v="42.8"/>
    <n v="42.8"/>
    <n v="0"/>
    <s v="Belgium"/>
    <x v="1"/>
  </r>
  <r>
    <n v="2024002798"/>
    <x v="70"/>
    <n v="2024"/>
    <x v="91"/>
    <s v="PROD_003"/>
    <s v="USB-C Cable"/>
    <s v="Electronics"/>
    <n v="2"/>
    <n v="15.82"/>
    <n v="31.64"/>
    <n v="31.64"/>
    <n v="0"/>
    <s v="Netherlands"/>
    <x v="2"/>
  </r>
  <r>
    <n v="2024002799"/>
    <x v="138"/>
    <n v="2024"/>
    <x v="231"/>
    <s v="PROD_007"/>
    <s v="Keyboard Mechanical"/>
    <s v="Electronics"/>
    <n v="1"/>
    <n v="115.95"/>
    <n v="115.95"/>
    <n v="115.95"/>
    <n v="0"/>
    <s v="Italy"/>
    <x v="3"/>
  </r>
  <r>
    <n v="2024002800"/>
    <x v="324"/>
    <n v="2024"/>
    <x v="123"/>
    <s v="PROD_009"/>
    <s v="Phone Stand"/>
    <s v="Accessories"/>
    <n v="2"/>
    <n v="24.13"/>
    <n v="48.26"/>
    <n v="48.26"/>
    <n v="0"/>
    <s v="Sweden"/>
    <x v="1"/>
  </r>
  <r>
    <n v="2024002801"/>
    <x v="94"/>
    <n v="2024"/>
    <x v="297"/>
    <s v="PROD_010"/>
    <s v="Webcam HD"/>
    <s v="Electronics"/>
    <n v="3"/>
    <n v="96.6"/>
    <n v="289.8"/>
    <n v="289.79999999999995"/>
    <n v="0"/>
    <s v="Netherlands"/>
    <x v="0"/>
  </r>
  <r>
    <n v="2024002802"/>
    <x v="73"/>
    <n v="2024"/>
    <x v="53"/>
    <s v="PROD_007"/>
    <s v="Keyboard Mechanical"/>
    <s v="Electronics"/>
    <n v="1"/>
    <n v="118.36"/>
    <n v="118.36"/>
    <n v="118.36"/>
    <n v="0"/>
    <s v="Austria"/>
    <x v="0"/>
  </r>
  <r>
    <n v="2024002803"/>
    <x v="79"/>
    <n v="2024"/>
    <x v="58"/>
    <s v="PROD_007"/>
    <s v="Keyboard Mechanical"/>
    <s v="Electronics"/>
    <n v="1"/>
    <n v="132.06"/>
    <n v="132.06"/>
    <n v="132.06"/>
    <n v="0"/>
    <s v="Belgium"/>
    <x v="2"/>
  </r>
  <r>
    <n v="2024002804"/>
    <x v="254"/>
    <n v="2024"/>
    <x v="221"/>
    <s v="PROD_010"/>
    <s v="Webcam HD"/>
    <s v="Electronics"/>
    <n v="1"/>
    <n v="86.83"/>
    <n v="86.83"/>
    <n v="86.83"/>
    <n v="0"/>
    <s v="Austria"/>
    <x v="2"/>
  </r>
  <r>
    <n v="2024002805"/>
    <x v="145"/>
    <n v="2024"/>
    <x v="0"/>
    <s v="PROD_005"/>
    <s v="Standing Desk"/>
    <s v="Furniture"/>
    <n v="2"/>
    <n v="559.51"/>
    <n v="1119.02"/>
    <n v="1119.02"/>
    <n v="0"/>
    <s v="Austria"/>
    <x v="3"/>
  </r>
  <r>
    <n v="2024002806"/>
    <x v="201"/>
    <n v="2024"/>
    <x v="86"/>
    <s v="PROD_006"/>
    <s v="Monitor 27&quot;"/>
    <s v="Electronics"/>
    <n v="2"/>
    <n v="440.19"/>
    <n v="880.38"/>
    <n v="880.38"/>
    <n v="0"/>
    <s v="Switzerland"/>
    <x v="2"/>
  </r>
  <r>
    <n v="2024002807"/>
    <x v="282"/>
    <n v="2024"/>
    <x v="298"/>
    <s v="PROD_006"/>
    <s v="Monitor 27&quot;"/>
    <s v="Electronics"/>
    <n v="1"/>
    <n v="379.13"/>
    <n v="379.13"/>
    <n v="379.13"/>
    <n v="0"/>
    <s v="Spain"/>
    <x v="2"/>
  </r>
  <r>
    <n v="2024002808"/>
    <x v="291"/>
    <n v="2024"/>
    <x v="52"/>
    <s v="PROD_007"/>
    <s v="Keyboard Mechanical"/>
    <s v="Electronics"/>
    <n v="1"/>
    <n v="111.14"/>
    <n v="111.14"/>
    <n v="111.14"/>
    <n v="0"/>
    <s v="Sweden"/>
    <x v="1"/>
  </r>
  <r>
    <n v="2024002809"/>
    <x v="365"/>
    <n v="2024"/>
    <x v="0"/>
    <s v="PROD_005"/>
    <s v="Standing Desk"/>
    <s v="Furniture"/>
    <n v="2"/>
    <n v="631.73"/>
    <n v="1263.46"/>
    <n v="1263.46"/>
    <n v="0"/>
    <s v="Sweden"/>
    <x v="3"/>
  </r>
  <r>
    <n v="2024001027"/>
    <x v="270"/>
    <n v="2024"/>
    <x v="155"/>
    <s v="PROD_006"/>
    <s v="Monitor 27&quot;"/>
    <s v="Electronics"/>
    <n v="1"/>
    <n v="420.54"/>
    <n v="420.54"/>
    <n v="420.54"/>
    <n v="0"/>
    <s v="Switzerland"/>
    <x v="2"/>
  </r>
  <r>
    <n v="2024002811"/>
    <x v="31"/>
    <n v="2024"/>
    <x v="101"/>
    <s v="PROD_005"/>
    <s v="Standing Desk"/>
    <s v="Furniture"/>
    <n v="2"/>
    <n v="581.08000000000004"/>
    <n v="1162.1600000000001"/>
    <n v="1162.1600000000001"/>
    <n v="0"/>
    <s v="Switzerland"/>
    <x v="1"/>
  </r>
  <r>
    <n v="2024002812"/>
    <x v="80"/>
    <n v="2024"/>
    <x v="292"/>
    <s v="PROD_010"/>
    <s v="Webcam HD"/>
    <s v="Electronics"/>
    <n v="1"/>
    <n v="94.5"/>
    <n v="94.5"/>
    <n v="94.5"/>
    <n v="0"/>
    <s v="France"/>
    <x v="2"/>
  </r>
  <r>
    <n v="2024002813"/>
    <x v="192"/>
    <n v="2024"/>
    <x v="51"/>
    <s v="PROD_006"/>
    <s v="Monitor 27&quot;"/>
    <s v="Electronics"/>
    <n v="2"/>
    <n v="414.17"/>
    <n v="828.34"/>
    <n v="828.34"/>
    <n v="0"/>
    <s v="Sweden"/>
    <x v="3"/>
  </r>
  <r>
    <n v="2024002814"/>
    <x v="10"/>
    <n v="2024"/>
    <x v="239"/>
    <s v="PROD_006"/>
    <s v="Monitor 27&quot;"/>
    <s v="Electronics"/>
    <n v="1"/>
    <n v="402.32"/>
    <n v="402.32"/>
    <n v="402.32"/>
    <n v="0"/>
    <s v="UK"/>
    <x v="1"/>
  </r>
  <r>
    <n v="2024002815"/>
    <x v="137"/>
    <n v="2024"/>
    <x v="0"/>
    <s v="PROD_005"/>
    <s v="Standing Desk"/>
    <s v="Furniture"/>
    <n v="3"/>
    <n v="596.02"/>
    <n v="1788.06"/>
    <n v="1788.06"/>
    <n v="0"/>
    <s v="Netherlands"/>
    <x v="2"/>
  </r>
  <r>
    <n v="2024002816"/>
    <x v="47"/>
    <n v="2024"/>
    <x v="149"/>
    <s v="PROD_008"/>
    <s v="Desk Lamp"/>
    <s v="Furniture"/>
    <n v="4"/>
    <n v="80.510000000000005"/>
    <n v="322.04000000000002"/>
    <n v="322.04000000000002"/>
    <n v="0"/>
    <s v="Italy"/>
    <x v="2"/>
  </r>
  <r>
    <n v="2024002817"/>
    <x v="79"/>
    <n v="2024"/>
    <x v="99"/>
    <s v="PROD_004"/>
    <s v="Desk Chair"/>
    <s v="Furniture"/>
    <n v="1"/>
    <n v="339.65"/>
    <n v="339.65"/>
    <n v="339.65"/>
    <n v="0"/>
    <s v="Austria"/>
    <x v="2"/>
  </r>
  <r>
    <n v="2024002818"/>
    <x v="3"/>
    <n v="2024"/>
    <x v="0"/>
    <s v="PROD_003"/>
    <s v="USB-C Cable"/>
    <s v="Electronics"/>
    <n v="2"/>
    <n v="14.92"/>
    <n v="29.84"/>
    <n v="29.84"/>
    <n v="0"/>
    <s v="UK"/>
    <x v="2"/>
  </r>
  <r>
    <n v="2024002819"/>
    <x v="80"/>
    <n v="2024"/>
    <x v="139"/>
    <s v="PROD_007"/>
    <s v="Keyboard Mechanical"/>
    <s v="Electronics"/>
    <n v="1"/>
    <n v="134.19"/>
    <n v="134.19"/>
    <n v="134.19"/>
    <n v="0"/>
    <s v="Belgium"/>
    <x v="1"/>
  </r>
  <r>
    <n v="2024002820"/>
    <x v="264"/>
    <n v="2024"/>
    <x v="150"/>
    <s v="PROD_002"/>
    <s v="Wireless Mouse"/>
    <s v="Electronics"/>
    <n v="1"/>
    <n v="46.77"/>
    <n v="46.77"/>
    <n v="46.77"/>
    <n v="0"/>
    <s v="Netherlands"/>
    <x v="3"/>
  </r>
  <r>
    <n v="2024002821"/>
    <x v="341"/>
    <n v="2024"/>
    <x v="294"/>
    <s v="PROD_006"/>
    <s v="Monitor 27&quot;"/>
    <s v="Electronics"/>
    <n v="1"/>
    <n v="409.23"/>
    <n v="409.23"/>
    <n v="409.23"/>
    <n v="0"/>
    <s v="Spain"/>
    <x v="2"/>
  </r>
  <r>
    <n v="2024002822"/>
    <x v="73"/>
    <n v="2024"/>
    <x v="231"/>
    <s v="PROD_008"/>
    <s v="Desk Lamp"/>
    <s v="Furniture"/>
    <n v="2"/>
    <n v="78.23"/>
    <n v="156.46"/>
    <n v="156.46"/>
    <n v="0"/>
    <s v="France"/>
    <x v="3"/>
  </r>
  <r>
    <n v="2024002823"/>
    <x v="329"/>
    <n v="2024"/>
    <x v="173"/>
    <s v="PROD_009"/>
    <s v="Phone Stand"/>
    <s v="Accessories"/>
    <n v="1"/>
    <n v="25.93"/>
    <n v="25.93"/>
    <n v="25.93"/>
    <n v="0"/>
    <s v="Spain"/>
    <x v="2"/>
  </r>
  <r>
    <n v="2024002824"/>
    <x v="147"/>
    <n v="2024"/>
    <x v="80"/>
    <s v="PROD_001"/>
    <s v="Laptop Pro"/>
    <s v="Electronics"/>
    <n v="1"/>
    <n v="1225.21"/>
    <n v="1225.21"/>
    <n v="1225.21"/>
    <n v="0"/>
    <s v="Netherlands"/>
    <x v="3"/>
  </r>
  <r>
    <n v="2024002825"/>
    <x v="326"/>
    <n v="2024"/>
    <x v="182"/>
    <s v="PROD_009"/>
    <s v="Phone Stand"/>
    <s v="Accessories"/>
    <n v="1"/>
    <n v="24.62"/>
    <n v="24.62"/>
    <n v="24.62"/>
    <n v="0"/>
    <s v="Netherlands"/>
    <x v="3"/>
  </r>
  <r>
    <n v="2024002826"/>
    <x v="35"/>
    <n v="2024"/>
    <x v="271"/>
    <s v="PROD_004"/>
    <s v="Desk Chair"/>
    <s v="Furniture"/>
    <n v="1"/>
    <n v="325.68"/>
    <n v="325.68"/>
    <n v="325.68"/>
    <n v="0"/>
    <s v="Germany"/>
    <x v="2"/>
  </r>
  <r>
    <n v="2024002827"/>
    <x v="165"/>
    <n v="2024"/>
    <x v="143"/>
    <s v="PROD_002"/>
    <s v="Wireless Mouse"/>
    <s v="Electronics"/>
    <n v="1"/>
    <n v="44.73"/>
    <n v="44.73"/>
    <n v="44.73"/>
    <n v="0"/>
    <s v="Netherlands"/>
    <x v="1"/>
  </r>
  <r>
    <n v="2024002828"/>
    <x v="166"/>
    <n v="2024"/>
    <x v="11"/>
    <s v="PROD_003"/>
    <s v="USB-C Cable"/>
    <s v="Electronics"/>
    <n v="1"/>
    <n v="14.13"/>
    <n v="14.13"/>
    <n v="14.13"/>
    <n v="0"/>
    <s v="Spain"/>
    <x v="2"/>
  </r>
  <r>
    <n v="2024002829"/>
    <x v="159"/>
    <n v="2024"/>
    <x v="59"/>
    <s v="PROD_004"/>
    <s v="Desk Chair"/>
    <s v="Furniture"/>
    <n v="4"/>
    <n v="321.99"/>
    <n v="1287.96"/>
    <n v="1287.96"/>
    <n v="0"/>
    <s v="Germany"/>
    <x v="2"/>
  </r>
  <r>
    <n v="2024002830"/>
    <x v="230"/>
    <n v="2024"/>
    <x v="75"/>
    <s v="PROD_007"/>
    <s v="Keyboard Mechanical"/>
    <s v="Electronics"/>
    <n v="1"/>
    <n v="117.72"/>
    <n v="117.72"/>
    <n v="117.72"/>
    <n v="0"/>
    <s v="Belgium"/>
    <x v="0"/>
  </r>
  <r>
    <n v="2024002831"/>
    <x v="41"/>
    <n v="2024"/>
    <x v="135"/>
    <s v="PROD_006"/>
    <s v="Monitor 27&quot;"/>
    <s v="Electronics"/>
    <n v="1"/>
    <n v="401.17"/>
    <n v="401.17"/>
    <n v="401.17"/>
    <n v="0"/>
    <s v="Germany"/>
    <x v="3"/>
  </r>
  <r>
    <n v="2024002832"/>
    <x v="253"/>
    <n v="2024"/>
    <x v="61"/>
    <s v="PROD_005"/>
    <s v="Standing Desk"/>
    <s v="Furniture"/>
    <n v="1"/>
    <n v="626.13"/>
    <n v="626.13"/>
    <n v="626.13"/>
    <n v="0"/>
    <s v="Austria"/>
    <x v="2"/>
  </r>
  <r>
    <n v="2024002833"/>
    <x v="119"/>
    <n v="2024"/>
    <x v="224"/>
    <s v="PROD_009"/>
    <s v="Phone Stand"/>
    <s v="Accessories"/>
    <n v="3"/>
    <n v="25.57"/>
    <n v="76.709999999999994"/>
    <n v="76.710000000000008"/>
    <n v="0"/>
    <s v="France"/>
    <x v="0"/>
  </r>
  <r>
    <n v="2024002834"/>
    <x v="302"/>
    <n v="2024"/>
    <x v="66"/>
    <s v="PROD_008"/>
    <s v="Desk Lamp"/>
    <s v="Furniture"/>
    <n v="1"/>
    <n v="72.64"/>
    <n v="72.64"/>
    <n v="72.64"/>
    <n v="0"/>
    <s v="Netherlands"/>
    <x v="2"/>
  </r>
  <r>
    <n v="2024002835"/>
    <x v="178"/>
    <n v="2024"/>
    <x v="22"/>
    <s v="PROD_009"/>
    <s v="Phone Stand"/>
    <s v="Accessories"/>
    <n v="5"/>
    <n v="25.31"/>
    <n v="126.55"/>
    <n v="126.55"/>
    <n v="0"/>
    <s v="Italy"/>
    <x v="1"/>
  </r>
  <r>
    <n v="2024002836"/>
    <x v="201"/>
    <n v="2024"/>
    <x v="123"/>
    <s v="PROD_010"/>
    <s v="Webcam HD"/>
    <s v="Electronics"/>
    <n v="3"/>
    <n v="81.16"/>
    <n v="243.48"/>
    <n v="243.48"/>
    <n v="0"/>
    <s v="Spain"/>
    <x v="3"/>
  </r>
  <r>
    <n v="2024002837"/>
    <x v="300"/>
    <n v="2024"/>
    <x v="241"/>
    <s v="PROD_010"/>
    <s v="Webcam HD"/>
    <s v="Electronics"/>
    <n v="1"/>
    <n v="95.2"/>
    <n v="95.2"/>
    <n v="95.2"/>
    <n v="0"/>
    <s v="Sweden"/>
    <x v="0"/>
  </r>
  <r>
    <n v="2024002838"/>
    <x v="307"/>
    <n v="2024"/>
    <x v="41"/>
    <s v="PROD_001"/>
    <s v="Laptop Pro"/>
    <s v="Electronics"/>
    <n v="3"/>
    <n v="1327.15"/>
    <n v="3981.45"/>
    <n v="3981.4500000000003"/>
    <n v="0"/>
    <s v="Austria"/>
    <x v="1"/>
  </r>
  <r>
    <n v="2024002839"/>
    <x v="345"/>
    <n v="2024"/>
    <x v="54"/>
    <s v="PROD_008"/>
    <s v="Desk Lamp"/>
    <s v="Furniture"/>
    <n v="1"/>
    <n v="74.7"/>
    <n v="74.7"/>
    <n v="74.7"/>
    <n v="0"/>
    <s v="Netherlands"/>
    <x v="1"/>
  </r>
  <r>
    <n v="2024002840"/>
    <x v="272"/>
    <n v="2024"/>
    <x v="197"/>
    <s v="PROD_008"/>
    <s v="Desk Lamp"/>
    <s v="Furniture"/>
    <n v="1"/>
    <n v="81.790000000000006"/>
    <n v="81.790000000000006"/>
    <n v="81.790000000000006"/>
    <n v="0"/>
    <s v="Spain"/>
    <x v="3"/>
  </r>
  <r>
    <n v="2024002841"/>
    <x v="10"/>
    <n v="2024"/>
    <x v="267"/>
    <s v="PROD_006"/>
    <s v="Monitor 27&quot;"/>
    <s v="Electronics"/>
    <n v="1"/>
    <n v="406.49"/>
    <n v="406.49"/>
    <n v="406.49"/>
    <n v="0"/>
    <s v="Belgium"/>
    <x v="3"/>
  </r>
  <r>
    <n v="2024002842"/>
    <x v="303"/>
    <n v="2024"/>
    <x v="160"/>
    <s v="PROD_001"/>
    <s v="Laptop Pro"/>
    <s v="Electronics"/>
    <n v="1"/>
    <n v="1816.07"/>
    <n v="1816.07"/>
    <n v="1816.07"/>
    <n v="0"/>
    <s v="Switzerland"/>
    <x v="3"/>
  </r>
  <r>
    <n v="2024002843"/>
    <x v="6"/>
    <n v="2024"/>
    <x v="2"/>
    <s v="PROD_002"/>
    <s v="Wireless Mouse"/>
    <s v="Electronics"/>
    <n v="1"/>
    <n v="43.76"/>
    <n v="43.76"/>
    <n v="43.76"/>
    <n v="0"/>
    <s v="Belgium"/>
    <x v="2"/>
  </r>
  <r>
    <n v="2024002844"/>
    <x v="250"/>
    <n v="2024"/>
    <x v="192"/>
    <s v="PROD_007"/>
    <s v="Keyboard Mechanical"/>
    <s v="Electronics"/>
    <n v="2"/>
    <n v="113.13"/>
    <n v="226.26"/>
    <n v="226.26"/>
    <n v="0"/>
    <s v="Germany"/>
    <x v="1"/>
  </r>
  <r>
    <n v="2024002845"/>
    <x v="261"/>
    <n v="2024"/>
    <x v="96"/>
    <s v="PROD_007"/>
    <s v="Keyboard Mechanical"/>
    <s v="Electronics"/>
    <n v="1"/>
    <n v="117.19"/>
    <n v="117.19"/>
    <n v="117.19"/>
    <n v="0"/>
    <s v="Italy"/>
    <x v="1"/>
  </r>
  <r>
    <n v="2024002846"/>
    <x v="150"/>
    <n v="2024"/>
    <x v="130"/>
    <s v="PROD_003"/>
    <s v="USB-C Cable"/>
    <s v="Electronics"/>
    <n v="2"/>
    <n v="15.11"/>
    <n v="30.22"/>
    <n v="30.22"/>
    <n v="0"/>
    <s v="Austria"/>
    <x v="0"/>
  </r>
  <r>
    <n v="2024002847"/>
    <x v="58"/>
    <n v="2024"/>
    <x v="0"/>
    <s v="PROD_009"/>
    <s v="Phone Stand"/>
    <s v="Accessories"/>
    <n v="5"/>
    <n v="23.75"/>
    <n v="118.75"/>
    <n v="118.75"/>
    <n v="0"/>
    <s v="Austria"/>
    <x v="3"/>
  </r>
  <r>
    <n v="2024002848"/>
    <x v="310"/>
    <n v="2024"/>
    <x v="0"/>
    <s v="PROD_002"/>
    <s v="Wireless Mouse"/>
    <s v="Electronics"/>
    <n v="2"/>
    <n v="45.12"/>
    <n v="90.24"/>
    <n v="90.24"/>
    <n v="0"/>
    <s v="Sweden"/>
    <x v="0"/>
  </r>
  <r>
    <n v="2024002849"/>
    <x v="287"/>
    <n v="2024"/>
    <x v="223"/>
    <s v="PROD_002"/>
    <s v="Wireless Mouse"/>
    <s v="Electronics"/>
    <n v="1"/>
    <n v="41.46"/>
    <n v="41.46"/>
    <n v="41.46"/>
    <n v="0"/>
    <s v="Switzerland"/>
    <x v="2"/>
  </r>
  <r>
    <n v="2024002850"/>
    <x v="357"/>
    <n v="2024"/>
    <x v="150"/>
    <s v="PROD_004"/>
    <s v="Desk Chair"/>
    <s v="Furniture"/>
    <n v="2"/>
    <n v="351.25"/>
    <n v="702.5"/>
    <n v="702.5"/>
    <n v="0"/>
    <s v="Belgium"/>
    <x v="1"/>
  </r>
  <r>
    <n v="2024002851"/>
    <x v="351"/>
    <n v="2024"/>
    <x v="0"/>
    <s v="PROD_009"/>
    <s v="Phone Stand"/>
    <s v="Accessories"/>
    <n v="1"/>
    <n v="24.59"/>
    <n v="24.59"/>
    <n v="24.59"/>
    <n v="0"/>
    <s v="Switzerland"/>
    <x v="1"/>
  </r>
  <r>
    <n v="2024002852"/>
    <x v="22"/>
    <n v="2024"/>
    <x v="96"/>
    <s v="PROD_005"/>
    <s v="Standing Desk"/>
    <s v="Furniture"/>
    <n v="1"/>
    <n v="585.24"/>
    <n v="585.24"/>
    <n v="585.24"/>
    <n v="0"/>
    <s v="Switzerland"/>
    <x v="3"/>
  </r>
  <r>
    <n v="2024002853"/>
    <x v="302"/>
    <n v="2024"/>
    <x v="31"/>
    <s v="PROD_003"/>
    <s v="USB-C Cable"/>
    <s v="Electronics"/>
    <n v="1"/>
    <n v="15.09"/>
    <n v="15.09"/>
    <n v="15.09"/>
    <n v="0"/>
    <s v="Belgium"/>
    <x v="3"/>
  </r>
  <r>
    <n v="2024002854"/>
    <x v="280"/>
    <n v="2024"/>
    <x v="255"/>
    <s v="PROD_009"/>
    <s v="Phone Stand"/>
    <s v="Accessories"/>
    <n v="1"/>
    <n v="23.83"/>
    <n v="23.83"/>
    <n v="23.83"/>
    <n v="0"/>
    <s v="Spain"/>
    <x v="2"/>
  </r>
  <r>
    <n v="2024002855"/>
    <x v="2"/>
    <n v="2024"/>
    <x v="145"/>
    <s v="PROD_005"/>
    <s v="Standing Desk"/>
    <s v="Furniture"/>
    <n v="1"/>
    <n v="635.04"/>
    <n v="635.04"/>
    <n v="635.04"/>
    <n v="0"/>
    <s v="UK"/>
    <x v="2"/>
  </r>
  <r>
    <n v="2024002856"/>
    <x v="196"/>
    <n v="2024"/>
    <x v="217"/>
    <s v="PROD_008"/>
    <s v="Desk Lamp"/>
    <s v="Furniture"/>
    <n v="4"/>
    <n v="76.61"/>
    <n v="306.44"/>
    <n v="306.44"/>
    <n v="0"/>
    <s v="France"/>
    <x v="2"/>
  </r>
  <r>
    <n v="2024002857"/>
    <x v="306"/>
    <n v="2024"/>
    <x v="78"/>
    <s v="PROD_002"/>
    <s v="Wireless Mouse"/>
    <s v="Electronics"/>
    <n v="2"/>
    <n v="43.03"/>
    <n v="86.06"/>
    <n v="86.06"/>
    <n v="0"/>
    <s v="Austria"/>
    <x v="3"/>
  </r>
  <r>
    <n v="2024002858"/>
    <x v="147"/>
    <n v="2024"/>
    <x v="95"/>
    <s v="PROD_003"/>
    <s v="USB-C Cable"/>
    <s v="Electronics"/>
    <n v="1"/>
    <n v="15.58"/>
    <n v="15.58"/>
    <n v="15.58"/>
    <n v="0"/>
    <s v="Sweden"/>
    <x v="0"/>
  </r>
  <r>
    <n v="2024002859"/>
    <x v="114"/>
    <n v="2024"/>
    <x v="205"/>
    <s v="PROD_003"/>
    <s v="USB-C Cable"/>
    <s v="Electronics"/>
    <n v="1"/>
    <n v="15.49"/>
    <n v="15.49"/>
    <n v="15.49"/>
    <n v="0"/>
    <s v="Austria"/>
    <x v="0"/>
  </r>
  <r>
    <n v="2024002860"/>
    <x v="29"/>
    <n v="2024"/>
    <x v="30"/>
    <s v="PROD_009"/>
    <s v="Phone Stand"/>
    <s v="Accessories"/>
    <n v="1"/>
    <n v="23.84"/>
    <n v="23.84"/>
    <n v="23.84"/>
    <n v="0"/>
    <s v="Austria"/>
    <x v="2"/>
  </r>
  <r>
    <n v="2024002861"/>
    <x v="185"/>
    <n v="2024"/>
    <x v="0"/>
    <s v="PROD_005"/>
    <s v="Standing Desk"/>
    <s v="Furniture"/>
    <n v="2"/>
    <n v="638.65"/>
    <n v="1277.3"/>
    <n v="1277.3"/>
    <n v="0"/>
    <s v="France"/>
    <x v="2"/>
  </r>
  <r>
    <n v="2024002862"/>
    <x v="228"/>
    <n v="2024"/>
    <x v="107"/>
    <s v="PROD_006"/>
    <s v="Monitor 27&quot;"/>
    <s v="Electronics"/>
    <n v="1"/>
    <n v="393.52"/>
    <n v="393.52"/>
    <n v="393.52"/>
    <n v="0"/>
    <s v="Sweden"/>
    <x v="2"/>
  </r>
  <r>
    <n v="2024002863"/>
    <x v="203"/>
    <n v="2024"/>
    <x v="167"/>
    <s v="PROD_010"/>
    <s v="Webcam HD"/>
    <s v="Electronics"/>
    <n v="2"/>
    <n v="90.95"/>
    <n v="181.9"/>
    <n v="181.9"/>
    <n v="0"/>
    <s v="Belgium"/>
    <x v="0"/>
  </r>
  <r>
    <n v="2024002864"/>
    <x v="336"/>
    <n v="2024"/>
    <x v="58"/>
    <s v="PROD_003"/>
    <s v="USB-C Cable"/>
    <s v="Electronics"/>
    <n v="1"/>
    <n v="15.36"/>
    <n v="15.36"/>
    <n v="15.36"/>
    <n v="0"/>
    <s v="Italy"/>
    <x v="1"/>
  </r>
  <r>
    <n v="2024002865"/>
    <x v="243"/>
    <n v="2024"/>
    <x v="238"/>
    <s v="PROD_003"/>
    <s v="USB-C Cable"/>
    <s v="Electronics"/>
    <n v="3"/>
    <n v="16.04"/>
    <n v="48.12"/>
    <n v="48.12"/>
    <n v="0"/>
    <s v="Netherlands"/>
    <x v="1"/>
  </r>
  <r>
    <n v="2024002866"/>
    <x v="305"/>
    <n v="2024"/>
    <x v="269"/>
    <s v="PROD_003"/>
    <s v="USB-C Cable"/>
    <s v="Electronics"/>
    <n v="1"/>
    <n v="15.72"/>
    <n v="15.72"/>
    <n v="15.72"/>
    <n v="0"/>
    <s v="Sweden"/>
    <x v="0"/>
  </r>
  <r>
    <n v="2024002867"/>
    <x v="148"/>
    <n v="2024"/>
    <x v="265"/>
    <s v="PROD_003"/>
    <s v="USB-C Cable"/>
    <s v="Electronics"/>
    <n v="4"/>
    <n v="15.72"/>
    <n v="62.88"/>
    <n v="62.88"/>
    <n v="0"/>
    <s v="Sweden"/>
    <x v="2"/>
  </r>
  <r>
    <n v="2024002868"/>
    <x v="340"/>
    <n v="2024"/>
    <x v="0"/>
    <s v="PROD_010"/>
    <s v="Webcam HD"/>
    <s v="Electronics"/>
    <n v="2"/>
    <n v="90.37"/>
    <n v="180.74"/>
    <n v="180.74"/>
    <n v="0"/>
    <s v="Italy"/>
    <x v="1"/>
  </r>
  <r>
    <n v="2024002869"/>
    <x v="175"/>
    <n v="2024"/>
    <x v="296"/>
    <s v="PROD_005"/>
    <s v="Standing Desk"/>
    <s v="Furniture"/>
    <n v="2"/>
    <n v="635.37"/>
    <n v="1270.74"/>
    <n v="1270.74"/>
    <n v="0"/>
    <s v="Austria"/>
    <x v="1"/>
  </r>
  <r>
    <n v="2024002870"/>
    <x v="358"/>
    <n v="2024"/>
    <x v="239"/>
    <s v="PROD_005"/>
    <s v="Standing Desk"/>
    <s v="Furniture"/>
    <n v="3"/>
    <n v="597"/>
    <n v="1791"/>
    <n v="1791"/>
    <n v="0"/>
    <s v="Sweden"/>
    <x v="2"/>
  </r>
  <r>
    <n v="2024002871"/>
    <x v="60"/>
    <n v="2024"/>
    <x v="103"/>
    <s v="PROD_006"/>
    <s v="Monitor 27&quot;"/>
    <s v="Electronics"/>
    <n v="3"/>
    <n v="390.6"/>
    <n v="1171.8"/>
    <n v="1171.8000000000002"/>
    <n v="0"/>
    <s v="Belgium"/>
    <x v="1"/>
  </r>
  <r>
    <n v="2024002872"/>
    <x v="85"/>
    <n v="2024"/>
    <x v="55"/>
    <s v="PROD_002"/>
    <s v="Wireless Mouse"/>
    <s v="Electronics"/>
    <n v="0"/>
    <n v="44.87"/>
    <n v="0"/>
    <n v="0"/>
    <n v="0"/>
    <s v="Italy"/>
    <x v="1"/>
  </r>
  <r>
    <n v="2024002873"/>
    <x v="214"/>
    <n v="2024"/>
    <x v="147"/>
    <s v="PROD_005"/>
    <s v="Standing Desk"/>
    <s v="Furniture"/>
    <n v="2"/>
    <n v="655.54"/>
    <n v="1311.08"/>
    <n v="1311.08"/>
    <n v="0"/>
    <s v="Spain"/>
    <x v="1"/>
  </r>
  <r>
    <n v="2024002874"/>
    <x v="347"/>
    <n v="2024"/>
    <x v="253"/>
    <s v="PROD_002"/>
    <s v="Wireless Mouse"/>
    <s v="Electronics"/>
    <n v="1"/>
    <n v="45.77"/>
    <n v="45.77"/>
    <n v="45.77"/>
    <n v="0"/>
    <s v="Sweden"/>
    <x v="3"/>
  </r>
  <r>
    <n v="2024002875"/>
    <x v="122"/>
    <n v="2024"/>
    <x v="0"/>
    <s v="PROD_003"/>
    <s v="USB-C Cable"/>
    <s v="Electronics"/>
    <n v="1"/>
    <n v="14.43"/>
    <n v="14.43"/>
    <n v="14.43"/>
    <n v="0"/>
    <s v="Switzerland"/>
    <x v="3"/>
  </r>
  <r>
    <n v="2024002876"/>
    <x v="85"/>
    <n v="2024"/>
    <x v="129"/>
    <s v="PROD_002"/>
    <s v="Wireless Mouse"/>
    <s v="Electronics"/>
    <n v="2"/>
    <n v="41.36"/>
    <n v="82.72"/>
    <n v="82.72"/>
    <n v="0"/>
    <s v="Sweden"/>
    <x v="2"/>
  </r>
  <r>
    <n v="2024002877"/>
    <x v="327"/>
    <n v="2024"/>
    <x v="212"/>
    <s v="PROD_003"/>
    <s v="USB-C Cable"/>
    <s v="Electronics"/>
    <n v="1"/>
    <n v="15.47"/>
    <n v="15.47"/>
    <n v="15.47"/>
    <n v="0"/>
    <s v="Spain"/>
    <x v="2"/>
  </r>
  <r>
    <n v="2024002878"/>
    <x v="328"/>
    <n v="2024"/>
    <x v="142"/>
    <s v="PROD_003"/>
    <s v="USB-C Cable"/>
    <s v="Electronics"/>
    <n v="1"/>
    <n v="15.26"/>
    <n v="15.26"/>
    <n v="15.26"/>
    <n v="0"/>
    <s v="UK"/>
    <x v="1"/>
  </r>
  <r>
    <n v="2024002879"/>
    <x v="245"/>
    <n v="2024"/>
    <x v="273"/>
    <s v="PROD_002"/>
    <s v="Wireless Mouse"/>
    <s v="Electronics"/>
    <n v="2"/>
    <n v="50.64"/>
    <n v="101.28"/>
    <n v="101.28"/>
    <n v="0"/>
    <s v="Sweden"/>
    <x v="2"/>
  </r>
  <r>
    <n v="2024002880"/>
    <x v="352"/>
    <n v="2024"/>
    <x v="0"/>
    <s v="PROD_002"/>
    <s v="Wireless Mouse"/>
    <s v="Electronics"/>
    <n v="3"/>
    <n v="47.86"/>
    <n v="143.58000000000001"/>
    <n v="143.57999999999998"/>
    <n v="0"/>
    <s v="France"/>
    <x v="2"/>
  </r>
  <r>
    <n v="2024002127"/>
    <x v="265"/>
    <n v="2024"/>
    <x v="37"/>
    <s v="PROD_007"/>
    <s v="Keyboard Mechanical"/>
    <s v="Electronics"/>
    <n v="1"/>
    <n v="110.53"/>
    <n v="110.53"/>
    <n v="110.53"/>
    <n v="0"/>
    <s v="Switzerland"/>
    <x v="1"/>
  </r>
  <r>
    <n v="2024002882"/>
    <x v="280"/>
    <n v="2024"/>
    <x v="268"/>
    <s v="PROD_007"/>
    <s v="Keyboard Mechanical"/>
    <s v="Electronics"/>
    <n v="3"/>
    <n v="108.52"/>
    <n v="325.56"/>
    <n v="325.56"/>
    <n v="0"/>
    <s v="Austria"/>
    <x v="3"/>
  </r>
  <r>
    <n v="2024002883"/>
    <x v="215"/>
    <n v="2024"/>
    <x v="56"/>
    <s v="PROD_005"/>
    <s v="Standing Desk"/>
    <s v="Furniture"/>
    <n v="1"/>
    <n v="598.5"/>
    <n v="598.5"/>
    <n v="598.5"/>
    <n v="0"/>
    <s v="Belgium"/>
    <x v="1"/>
  </r>
  <r>
    <n v="2024002884"/>
    <x v="105"/>
    <n v="2024"/>
    <x v="294"/>
    <s v="PROD_008"/>
    <s v="Desk Lamp"/>
    <s v="Furniture"/>
    <n v="1"/>
    <n v="82.72"/>
    <n v="82.72"/>
    <n v="82.72"/>
    <n v="0"/>
    <s v="Germany"/>
    <x v="0"/>
  </r>
  <r>
    <n v="2024002885"/>
    <x v="169"/>
    <n v="2024"/>
    <x v="282"/>
    <s v="PROD_002"/>
    <s v="Wireless Mouse"/>
    <s v="Electronics"/>
    <n v="2"/>
    <n v="41.86"/>
    <n v="83.72"/>
    <n v="83.72"/>
    <n v="0"/>
    <s v="Germany"/>
    <x v="0"/>
  </r>
  <r>
    <n v="2024002886"/>
    <x v="315"/>
    <n v="2024"/>
    <x v="0"/>
    <s v="PROD_002"/>
    <s v="Wireless Mouse"/>
    <s v="Electronics"/>
    <n v="1"/>
    <n v="39.200000000000003"/>
    <n v="39.200000000000003"/>
    <n v="39.200000000000003"/>
    <n v="0"/>
    <s v="Germany"/>
    <x v="1"/>
  </r>
  <r>
    <n v="2024002887"/>
    <x v="116"/>
    <n v="2024"/>
    <x v="0"/>
    <s v="PROD_010"/>
    <s v="Webcam HD"/>
    <s v="Electronics"/>
    <n v="3"/>
    <n v="87.43"/>
    <n v="262.29000000000002"/>
    <n v="262.29000000000002"/>
    <n v="0"/>
    <s v="UK"/>
    <x v="1"/>
  </r>
  <r>
    <n v="2024002888"/>
    <x v="255"/>
    <n v="2024"/>
    <x v="101"/>
    <s v="PROD_003"/>
    <s v="USB-C Cable"/>
    <s v="Electronics"/>
    <n v="1"/>
    <n v="14.73"/>
    <n v="14.73"/>
    <n v="14.73"/>
    <n v="0"/>
    <s v="Belgium"/>
    <x v="0"/>
  </r>
  <r>
    <n v="2024002889"/>
    <x v="327"/>
    <n v="2024"/>
    <x v="185"/>
    <s v="PROD_010"/>
    <s v="Webcam HD"/>
    <s v="Electronics"/>
    <n v="1"/>
    <n v="96.59"/>
    <n v="96.59"/>
    <n v="96.59"/>
    <n v="0"/>
    <s v="Sweden"/>
    <x v="2"/>
  </r>
  <r>
    <n v="2024002890"/>
    <x v="2"/>
    <n v="2024"/>
    <x v="51"/>
    <s v="PROD_007"/>
    <s v="Keyboard Mechanical"/>
    <s v="Electronics"/>
    <n v="1"/>
    <n v="127.65"/>
    <n v="127.65"/>
    <n v="127.65"/>
    <n v="0"/>
    <s v="Germany"/>
    <x v="1"/>
  </r>
  <r>
    <n v="2024002891"/>
    <x v="218"/>
    <n v="2024"/>
    <x v="73"/>
    <s v="PROD_009"/>
    <s v="Phone Stand"/>
    <s v="Accessories"/>
    <n v="1"/>
    <n v="23.58"/>
    <n v="23.58"/>
    <n v="23.58"/>
    <n v="0"/>
    <s v="Austria"/>
    <x v="1"/>
  </r>
  <r>
    <n v="2024002892"/>
    <x v="72"/>
    <n v="2024"/>
    <x v="23"/>
    <s v="PROD_005"/>
    <s v="Standing Desk"/>
    <s v="Furniture"/>
    <n v="2"/>
    <n v="634.29999999999995"/>
    <n v="1268.5999999999999"/>
    <n v="1268.5999999999999"/>
    <n v="0"/>
    <s v="Germany"/>
    <x v="2"/>
  </r>
  <r>
    <n v="2024002893"/>
    <x v="221"/>
    <n v="2024"/>
    <x v="199"/>
    <s v="PROD_002"/>
    <s v="Wireless Mouse"/>
    <s v="Electronics"/>
    <n v="1"/>
    <n v="45.42"/>
    <n v="45.42"/>
    <n v="45.42"/>
    <n v="0"/>
    <s v="Sweden"/>
    <x v="0"/>
  </r>
  <r>
    <n v="2024002894"/>
    <x v="86"/>
    <n v="2024"/>
    <x v="170"/>
    <s v="PROD_010"/>
    <s v="Webcam HD"/>
    <s v="Electronics"/>
    <n v="1"/>
    <n v="83.69"/>
    <n v="83.69"/>
    <n v="83.69"/>
    <n v="0"/>
    <s v="France"/>
    <x v="3"/>
  </r>
  <r>
    <n v="2024002895"/>
    <x v="21"/>
    <n v="2024"/>
    <x v="107"/>
    <s v="PROD_008"/>
    <s v="Desk Lamp"/>
    <s v="Furniture"/>
    <n v="3"/>
    <n v="72.98"/>
    <n v="218.94"/>
    <n v="218.94"/>
    <n v="0"/>
    <s v="Spain"/>
    <x v="3"/>
  </r>
  <r>
    <n v="2024002896"/>
    <x v="187"/>
    <n v="2024"/>
    <x v="18"/>
    <s v="PROD_005"/>
    <s v="Standing Desk"/>
    <s v="Furniture"/>
    <n v="3"/>
    <n v="558.9"/>
    <n v="1676.7"/>
    <n v="1676.6999999999998"/>
    <n v="0"/>
    <s v="Switzerland"/>
    <x v="3"/>
  </r>
  <r>
    <n v="2024002897"/>
    <x v="314"/>
    <n v="2024"/>
    <x v="0"/>
    <s v="PROD_010"/>
    <s v="Webcam HD"/>
    <s v="Electronics"/>
    <n v="3"/>
    <n v="85.59"/>
    <n v="256.77"/>
    <n v="256.77"/>
    <n v="0"/>
    <s v="Italy"/>
    <x v="0"/>
  </r>
  <r>
    <n v="2024002898"/>
    <x v="217"/>
    <n v="2024"/>
    <x v="93"/>
    <s v="PROD_008"/>
    <s v="Desk Lamp"/>
    <s v="Furniture"/>
    <n v="3"/>
    <n v="84.37"/>
    <n v="253.11"/>
    <n v="253.11"/>
    <n v="0"/>
    <s v="Switzerland"/>
    <x v="1"/>
  </r>
  <r>
    <n v="2024002899"/>
    <x v="200"/>
    <n v="2024"/>
    <x v="188"/>
    <s v="PROD_003"/>
    <s v="USB-C Cable"/>
    <s v="Electronics"/>
    <n v="3"/>
    <n v="14.96"/>
    <n v="44.88"/>
    <n v="44.88"/>
    <n v="0"/>
    <s v="UK"/>
    <x v="2"/>
  </r>
  <r>
    <n v="2024002900"/>
    <x v="118"/>
    <n v="2024"/>
    <x v="0"/>
    <s v="PROD_001"/>
    <s v="Laptop Pro"/>
    <s v="Electronics"/>
    <n v="2"/>
    <n v="1180.29"/>
    <n v="2360.58"/>
    <n v="2360.58"/>
    <n v="0"/>
    <s v="Sweden"/>
    <x v="1"/>
  </r>
  <r>
    <n v="2024002901"/>
    <x v="127"/>
    <n v="2024"/>
    <x v="164"/>
    <s v="PROD_003"/>
    <s v="USB-C Cable"/>
    <s v="Electronics"/>
    <n v="5"/>
    <n v="14.9"/>
    <n v="74.5"/>
    <n v="74.5"/>
    <n v="0"/>
    <s v="Spain"/>
    <x v="0"/>
  </r>
  <r>
    <n v="2024002902"/>
    <x v="356"/>
    <n v="2024"/>
    <x v="187"/>
    <s v="PROD_009"/>
    <s v="Phone Stand"/>
    <s v="Accessories"/>
    <n v="1"/>
    <n v="25.64"/>
    <n v="25.64"/>
    <n v="25.64"/>
    <n v="0"/>
    <s v="Sweden"/>
    <x v="2"/>
  </r>
  <r>
    <n v="2024002903"/>
    <x v="75"/>
    <n v="2024"/>
    <x v="0"/>
    <s v="PROD_007"/>
    <s v="Keyboard Mechanical"/>
    <s v="Electronics"/>
    <n v="2"/>
    <n v="121.21"/>
    <n v="242.42"/>
    <n v="242.42"/>
    <n v="0"/>
    <s v="Spain"/>
    <x v="3"/>
  </r>
  <r>
    <n v="2024002904"/>
    <x v="23"/>
    <n v="2024"/>
    <x v="282"/>
    <s v="PROD_003"/>
    <s v="USB-C Cable"/>
    <s v="Electronics"/>
    <n v="1"/>
    <n v="14.14"/>
    <n v="14.14"/>
    <n v="14.14"/>
    <n v="0"/>
    <s v="Austria"/>
    <x v="2"/>
  </r>
  <r>
    <n v="2024002905"/>
    <x v="20"/>
    <n v="2024"/>
    <x v="267"/>
    <s v="PROD_003"/>
    <s v="USB-C Cable"/>
    <s v="Electronics"/>
    <n v="1"/>
    <n v="15.16"/>
    <n v="15.16"/>
    <n v="15.16"/>
    <n v="0"/>
    <s v="France"/>
    <x v="1"/>
  </r>
  <r>
    <n v="2024002906"/>
    <x v="177"/>
    <n v="2024"/>
    <x v="200"/>
    <s v="PROD_010"/>
    <s v="Webcam HD"/>
    <s v="Electronics"/>
    <n v="2"/>
    <n v="83.51"/>
    <n v="167.02"/>
    <n v="167.02"/>
    <n v="0"/>
    <s v="Spain"/>
    <x v="3"/>
  </r>
  <r>
    <n v="2024002907"/>
    <x v="86"/>
    <n v="2024"/>
    <x v="21"/>
    <s v="PROD_010"/>
    <s v="Webcam HD"/>
    <s v="Electronics"/>
    <n v="2"/>
    <n v="92.87"/>
    <n v="185.74"/>
    <n v="185.74"/>
    <n v="0"/>
    <s v="Switzerland"/>
    <x v="2"/>
  </r>
  <r>
    <n v="2024002908"/>
    <x v="248"/>
    <n v="2024"/>
    <x v="213"/>
    <s v="PROD_009"/>
    <s v="Phone Stand"/>
    <s v="Accessories"/>
    <n v="1"/>
    <n v="26.94"/>
    <n v="26.94"/>
    <n v="26.94"/>
    <n v="0"/>
    <s v="Switzerland"/>
    <x v="2"/>
  </r>
  <r>
    <n v="2024002909"/>
    <x v="328"/>
    <n v="2024"/>
    <x v="155"/>
    <s v="PROD_001"/>
    <s v="Laptop Pro"/>
    <s v="Electronics"/>
    <n v="3"/>
    <n v="1196.7"/>
    <n v="3590.1"/>
    <n v="3590.1000000000004"/>
    <n v="0"/>
    <s v="Sweden"/>
    <x v="0"/>
  </r>
  <r>
    <n v="2024002910"/>
    <x v="309"/>
    <n v="2024"/>
    <x v="74"/>
    <s v="PROD_002"/>
    <s v="Wireless Mouse"/>
    <s v="Electronics"/>
    <n v="2"/>
    <n v="44.3"/>
    <n v="88.6"/>
    <n v="88.6"/>
    <n v="0"/>
    <s v="Netherlands"/>
    <x v="2"/>
  </r>
  <r>
    <n v="2024002911"/>
    <x v="164"/>
    <n v="2024"/>
    <x v="4"/>
    <s v="PROD_005"/>
    <s v="Standing Desk"/>
    <s v="Furniture"/>
    <n v="2"/>
    <n v="605.76"/>
    <n v="1211.52"/>
    <n v="1211.52"/>
    <n v="0"/>
    <s v="Germany"/>
    <x v="2"/>
  </r>
  <r>
    <n v="2024002912"/>
    <x v="65"/>
    <n v="2024"/>
    <x v="255"/>
    <s v="PROD_007"/>
    <s v="Keyboard Mechanical"/>
    <s v="Electronics"/>
    <n v="2"/>
    <n v="109.66"/>
    <n v="219.32"/>
    <n v="219.32"/>
    <n v="0"/>
    <s v="Spain"/>
    <x v="3"/>
  </r>
  <r>
    <n v="2024002913"/>
    <x v="244"/>
    <n v="2024"/>
    <x v="14"/>
    <s v="PROD_002"/>
    <s v="Wireless Mouse"/>
    <s v="Electronics"/>
    <n v="1"/>
    <n v="45.54"/>
    <n v="45.54"/>
    <n v="45.54"/>
    <n v="0"/>
    <s v="Spain"/>
    <x v="0"/>
  </r>
  <r>
    <n v="2024002914"/>
    <x v="282"/>
    <n v="2024"/>
    <x v="87"/>
    <s v="PROD_007"/>
    <s v="Keyboard Mechanical"/>
    <s v="Electronics"/>
    <n v="1"/>
    <n v="113.58"/>
    <n v="113.58"/>
    <n v="113.58"/>
    <n v="0"/>
    <s v="Austria"/>
    <x v="2"/>
  </r>
  <r>
    <n v="2024002915"/>
    <x v="180"/>
    <n v="2024"/>
    <x v="33"/>
    <s v="PROD_005"/>
    <s v="Standing Desk"/>
    <s v="Furniture"/>
    <n v="4"/>
    <n v="553.79"/>
    <n v="2215.16"/>
    <n v="2215.16"/>
    <n v="0"/>
    <s v="Germany"/>
    <x v="1"/>
  </r>
  <r>
    <n v="2024002916"/>
    <x v="116"/>
    <n v="2024"/>
    <x v="31"/>
    <s v="PROD_001"/>
    <s v="Laptop Pro"/>
    <s v="Electronics"/>
    <n v="4"/>
    <n v="1178.45"/>
    <n v="4713.8"/>
    <n v="4713.8"/>
    <n v="0"/>
    <s v="UK"/>
    <x v="3"/>
  </r>
  <r>
    <n v="2024002917"/>
    <x v="364"/>
    <n v="2024"/>
    <x v="173"/>
    <s v="PROD_005"/>
    <s v="Standing Desk"/>
    <s v="Furniture"/>
    <n v="2"/>
    <n v="538.66"/>
    <n v="1077.32"/>
    <n v="1077.32"/>
    <n v="0"/>
    <s v="Spain"/>
    <x v="0"/>
  </r>
  <r>
    <n v="2024002918"/>
    <x v="308"/>
    <n v="2024"/>
    <x v="216"/>
    <s v="PROD_009"/>
    <s v="Phone Stand"/>
    <s v="Accessories"/>
    <n v="4"/>
    <n v="23.94"/>
    <n v="95.76"/>
    <n v="95.76"/>
    <n v="0"/>
    <s v="UK"/>
    <x v="3"/>
  </r>
  <r>
    <n v="2024002919"/>
    <x v="330"/>
    <n v="2024"/>
    <x v="150"/>
    <s v="PROD_004"/>
    <s v="Desk Chair"/>
    <s v="Furniture"/>
    <n v="4"/>
    <n v="320.2"/>
    <n v="1280.8"/>
    <n v="1280.8"/>
    <n v="0"/>
    <s v="Austria"/>
    <x v="3"/>
  </r>
  <r>
    <n v="2024002920"/>
    <x v="105"/>
    <n v="2024"/>
    <x v="47"/>
    <s v="PROD_009"/>
    <s v="Phone Stand"/>
    <s v="Accessories"/>
    <n v="2"/>
    <n v="24.53"/>
    <n v="49.06"/>
    <n v="49.06"/>
    <n v="0"/>
    <s v="Spain"/>
    <x v="2"/>
  </r>
  <r>
    <n v="2024002921"/>
    <x v="54"/>
    <n v="2024"/>
    <x v="5"/>
    <s v="PROD_003"/>
    <s v="USB-C Cable"/>
    <s v="Electronics"/>
    <n v="1"/>
    <n v="16.18"/>
    <n v="16.18"/>
    <n v="16.18"/>
    <n v="0"/>
    <s v="Italy"/>
    <x v="0"/>
  </r>
  <r>
    <n v="2024002922"/>
    <x v="151"/>
    <n v="2024"/>
    <x v="198"/>
    <s v="PROD_010"/>
    <s v="Webcam HD"/>
    <s v="Electronics"/>
    <n v="2"/>
    <n v="94.65"/>
    <n v="189.3"/>
    <n v="189.3"/>
    <n v="0"/>
    <s v="UK"/>
    <x v="0"/>
  </r>
  <r>
    <n v="2024002923"/>
    <x v="137"/>
    <n v="2024"/>
    <x v="64"/>
    <s v="PROD_006"/>
    <s v="Monitor 27&quot;"/>
    <s v="Electronics"/>
    <n v="1"/>
    <n v="394.95"/>
    <n v="394.95"/>
    <n v="394.95"/>
    <n v="0"/>
    <s v="Italy"/>
    <x v="0"/>
  </r>
  <r>
    <n v="2024002924"/>
    <x v="202"/>
    <n v="2024"/>
    <x v="137"/>
    <s v="PROD_008"/>
    <s v="Desk Lamp"/>
    <s v="Furniture"/>
    <n v="1"/>
    <n v="78.540000000000006"/>
    <n v="78.540000000000006"/>
    <n v="78.540000000000006"/>
    <n v="0"/>
    <s v="France"/>
    <x v="0"/>
  </r>
  <r>
    <n v="2024002925"/>
    <x v="337"/>
    <n v="2024"/>
    <x v="75"/>
    <s v="PROD_005"/>
    <s v="Standing Desk"/>
    <s v="Furniture"/>
    <n v="2"/>
    <n v="608.29"/>
    <n v="1216.58"/>
    <n v="1216.58"/>
    <n v="0"/>
    <s v="France"/>
    <x v="0"/>
  </r>
  <r>
    <n v="2024002926"/>
    <x v="333"/>
    <n v="2024"/>
    <x v="177"/>
    <s v="PROD_003"/>
    <s v="USB-C Cable"/>
    <s v="Electronics"/>
    <n v="3"/>
    <n v="13.81"/>
    <n v="41.43"/>
    <n v="41.43"/>
    <n v="0"/>
    <s v="Germany"/>
    <x v="1"/>
  </r>
  <r>
    <n v="2024002927"/>
    <x v="30"/>
    <n v="2024"/>
    <x v="241"/>
    <s v="PROD_005"/>
    <s v="Standing Desk"/>
    <s v="Furniture"/>
    <n v="4"/>
    <n v="639.58000000000004"/>
    <n v="2558.3200000000002"/>
    <n v="2558.3200000000002"/>
    <n v="0"/>
    <s v="Germany"/>
    <x v="2"/>
  </r>
  <r>
    <n v="2024002928"/>
    <x v="230"/>
    <n v="2024"/>
    <x v="0"/>
    <s v="PROD_001"/>
    <s v="Laptop Pro"/>
    <s v="Electronics"/>
    <n v="1"/>
    <n v="1252.45"/>
    <n v="1252.45"/>
    <n v="1252.45"/>
    <n v="0"/>
    <s v="UK"/>
    <x v="3"/>
  </r>
  <r>
    <n v="2024002929"/>
    <x v="131"/>
    <n v="2024"/>
    <x v="86"/>
    <s v="PROD_006"/>
    <s v="Monitor 27&quot;"/>
    <s v="Electronics"/>
    <n v="2"/>
    <n v="403.45"/>
    <n v="806.9"/>
    <n v="806.9"/>
    <n v="0"/>
    <s v="France"/>
    <x v="2"/>
  </r>
  <r>
    <n v="2024002930"/>
    <x v="353"/>
    <n v="2024"/>
    <x v="270"/>
    <s v="PROD_010"/>
    <s v="Webcam HD"/>
    <s v="Electronics"/>
    <n v="3"/>
    <n v="90.86"/>
    <n v="272.58"/>
    <n v="272.58"/>
    <n v="0"/>
    <s v="Sweden"/>
    <x v="0"/>
  </r>
  <r>
    <n v="2024002931"/>
    <x v="189"/>
    <n v="2024"/>
    <x v="268"/>
    <s v="PROD_004"/>
    <s v="Desk Chair"/>
    <s v="Furniture"/>
    <n v="1"/>
    <n v="351.65"/>
    <n v="351.65"/>
    <n v="351.65"/>
    <n v="0"/>
    <s v="Netherlands"/>
    <x v="3"/>
  </r>
  <r>
    <n v="2024002932"/>
    <x v="133"/>
    <n v="2024"/>
    <x v="79"/>
    <s v="PROD_003"/>
    <s v="USB-C Cable"/>
    <s v="Electronics"/>
    <n v="1"/>
    <n v="15.75"/>
    <n v="15.75"/>
    <n v="15.75"/>
    <n v="0"/>
    <s v="Sweden"/>
    <x v="3"/>
  </r>
  <r>
    <n v="2024002933"/>
    <x v="179"/>
    <n v="2024"/>
    <x v="194"/>
    <s v="PROD_010"/>
    <s v="Webcam HD"/>
    <s v="Electronics"/>
    <n v="1"/>
    <n v="98.76"/>
    <n v="98.76"/>
    <n v="98.76"/>
    <n v="0"/>
    <s v="Austria"/>
    <x v="0"/>
  </r>
  <r>
    <n v="2024002374"/>
    <x v="198"/>
    <n v="2024"/>
    <x v="151"/>
    <s v="PROD_005"/>
    <s v="Standing Desk"/>
    <s v="Furniture"/>
    <n v="2"/>
    <n v="608.71"/>
    <n v="1217.42"/>
    <n v="1217.42"/>
    <n v="0"/>
    <s v="Italy"/>
    <x v="1"/>
  </r>
  <r>
    <n v="2024002935"/>
    <x v="217"/>
    <n v="2024"/>
    <x v="187"/>
    <s v="PROD_008"/>
    <s v="Desk Lamp"/>
    <s v="Furniture"/>
    <n v="4"/>
    <n v="74.760000000000005"/>
    <n v="299.04000000000002"/>
    <n v="299.04000000000002"/>
    <n v="0"/>
    <s v="Spain"/>
    <x v="3"/>
  </r>
  <r>
    <n v="2024002936"/>
    <x v="217"/>
    <n v="2024"/>
    <x v="48"/>
    <s v="PROD_001"/>
    <s v="Laptop Pro"/>
    <s v="Electronics"/>
    <n v="3"/>
    <n v="1157.5999999999999"/>
    <n v="3472.8"/>
    <n v="3472.7999999999997"/>
    <n v="0"/>
    <s v="Netherlands"/>
    <x v="2"/>
  </r>
  <r>
    <n v="2024002937"/>
    <x v="311"/>
    <n v="2024"/>
    <x v="130"/>
    <s v="PROD_007"/>
    <s v="Keyboard Mechanical"/>
    <s v="Electronics"/>
    <n v="1"/>
    <n v="124.32"/>
    <n v="124.32"/>
    <n v="124.32"/>
    <n v="0"/>
    <s v="Belgium"/>
    <x v="2"/>
  </r>
  <r>
    <n v="2024002938"/>
    <x v="23"/>
    <n v="2024"/>
    <x v="217"/>
    <s v="PROD_005"/>
    <s v="Standing Desk"/>
    <s v="Furniture"/>
    <n v="1"/>
    <n v="594.89"/>
    <n v="594.89"/>
    <n v="594.89"/>
    <n v="0"/>
    <s v="Germany"/>
    <x v="0"/>
  </r>
  <r>
    <n v="2024002939"/>
    <x v="157"/>
    <n v="2024"/>
    <x v="120"/>
    <s v="PROD_008"/>
    <s v="Desk Lamp"/>
    <s v="Furniture"/>
    <n v="1"/>
    <n v="81.37"/>
    <n v="81.37"/>
    <n v="81.37"/>
    <n v="0"/>
    <s v="Sweden"/>
    <x v="2"/>
  </r>
  <r>
    <n v="2024002940"/>
    <x v="359"/>
    <n v="2024"/>
    <x v="254"/>
    <s v="PROD_007"/>
    <s v="Keyboard Mechanical"/>
    <s v="Electronics"/>
    <n v="1"/>
    <n v="122.83"/>
    <n v="122.83"/>
    <n v="122.83"/>
    <n v="0"/>
    <s v="Belgium"/>
    <x v="2"/>
  </r>
  <r>
    <n v="2024002941"/>
    <x v="184"/>
    <n v="2024"/>
    <x v="27"/>
    <s v="PROD_003"/>
    <s v="USB-C Cable"/>
    <s v="Electronics"/>
    <n v="2"/>
    <n v="15.95"/>
    <n v="31.9"/>
    <n v="31.9"/>
    <n v="0"/>
    <s v="Netherlands"/>
    <x v="0"/>
  </r>
  <r>
    <n v="2024002942"/>
    <x v="337"/>
    <n v="2024"/>
    <x v="120"/>
    <s v="PROD_003"/>
    <s v="USB-C Cable"/>
    <s v="Electronics"/>
    <n v="2"/>
    <n v="13.68"/>
    <n v="27.36"/>
    <n v="27.36"/>
    <n v="0"/>
    <s v="Netherlands"/>
    <x v="1"/>
  </r>
  <r>
    <n v="2024002943"/>
    <x v="50"/>
    <n v="2024"/>
    <x v="35"/>
    <s v="PROD_006"/>
    <s v="Monitor 27&quot;"/>
    <s v="Electronics"/>
    <n v="2"/>
    <n v="419.86"/>
    <n v="839.72"/>
    <n v="839.72"/>
    <n v="0"/>
    <s v="Austria"/>
    <x v="2"/>
  </r>
  <r>
    <n v="2024002944"/>
    <x v="132"/>
    <n v="2024"/>
    <x v="0"/>
    <s v="PROD_008"/>
    <s v="Desk Lamp"/>
    <s v="Furniture"/>
    <n v="1"/>
    <n v="80.63"/>
    <n v="80.63"/>
    <n v="80.63"/>
    <n v="0"/>
    <s v="Austria"/>
    <x v="3"/>
  </r>
  <r>
    <n v="2024002945"/>
    <x v="93"/>
    <n v="2024"/>
    <x v="49"/>
    <s v="PROD_003"/>
    <s v="USB-C Cable"/>
    <s v="Electronics"/>
    <n v="3"/>
    <n v="15.67"/>
    <n v="47.01"/>
    <n v="47.01"/>
    <n v="0"/>
    <s v="UK"/>
    <x v="3"/>
  </r>
  <r>
    <n v="2024002946"/>
    <x v="101"/>
    <n v="2024"/>
    <x v="33"/>
    <s v="PROD_007"/>
    <s v="Keyboard Mechanical"/>
    <s v="Electronics"/>
    <n v="1"/>
    <n v="126.61"/>
    <n v="126.61"/>
    <n v="126.61"/>
    <n v="0"/>
    <s v="Belgium"/>
    <x v="1"/>
  </r>
  <r>
    <n v="2024002947"/>
    <x v="105"/>
    <n v="2024"/>
    <x v="107"/>
    <s v="PROD_007"/>
    <s v="Keyboard Mechanical"/>
    <s v="Electronics"/>
    <n v="1"/>
    <n v="111.47"/>
    <n v="111.47"/>
    <n v="111.47"/>
    <n v="0"/>
    <s v="Belgium"/>
    <x v="1"/>
  </r>
  <r>
    <n v="2024002948"/>
    <x v="17"/>
    <n v="2024"/>
    <x v="250"/>
    <s v="PROD_007"/>
    <s v="Keyboard Mechanical"/>
    <s v="Electronics"/>
    <n v="1"/>
    <n v="124.78"/>
    <n v="124.78"/>
    <n v="124.78"/>
    <n v="0"/>
    <s v="Germany"/>
    <x v="0"/>
  </r>
  <r>
    <n v="2024002949"/>
    <x v="190"/>
    <n v="2024"/>
    <x v="199"/>
    <s v="PROD_006"/>
    <s v="Monitor 27&quot;"/>
    <s v="Electronics"/>
    <n v="2"/>
    <n v="384.68"/>
    <n v="769.36"/>
    <n v="769.36"/>
    <n v="0"/>
    <s v="Sweden"/>
    <x v="0"/>
  </r>
  <r>
    <n v="2024002950"/>
    <x v="266"/>
    <n v="2024"/>
    <x v="0"/>
    <s v="PROD_002"/>
    <s v="Wireless Mouse"/>
    <s v="Electronics"/>
    <n v="1"/>
    <n v="46.57"/>
    <n v="46.57"/>
    <n v="46.57"/>
    <n v="0"/>
    <s v="Italy"/>
    <x v="0"/>
  </r>
  <r>
    <n v="2024002951"/>
    <x v="214"/>
    <n v="2024"/>
    <x v="256"/>
    <s v="PROD_002"/>
    <s v="Wireless Mouse"/>
    <s v="Electronics"/>
    <n v="1"/>
    <n v="48.7"/>
    <n v="48.7"/>
    <n v="48.7"/>
    <n v="0"/>
    <s v="Austria"/>
    <x v="2"/>
  </r>
  <r>
    <n v="2024002952"/>
    <x v="5"/>
    <n v="2024"/>
    <x v="8"/>
    <s v="PROD_001"/>
    <s v="Laptop Pro"/>
    <s v="Electronics"/>
    <n v="0"/>
    <n v="1251.54"/>
    <n v="0"/>
    <n v="0"/>
    <n v="0"/>
    <s v="Spain"/>
    <x v="2"/>
  </r>
  <r>
    <n v="2024002953"/>
    <x v="124"/>
    <n v="2024"/>
    <x v="53"/>
    <s v="PROD_005"/>
    <s v="Standing Desk"/>
    <s v="Furniture"/>
    <n v="3"/>
    <n v="639.87"/>
    <n v="1919.61"/>
    <n v="1919.6100000000001"/>
    <n v="0"/>
    <s v="Switzerland"/>
    <x v="1"/>
  </r>
  <r>
    <n v="2024002954"/>
    <x v="323"/>
    <n v="2024"/>
    <x v="288"/>
    <s v="PROD_008"/>
    <s v="Desk Lamp"/>
    <s v="Furniture"/>
    <n v="4"/>
    <n v="76.05"/>
    <n v="304.2"/>
    <n v="304.2"/>
    <n v="0"/>
    <s v="Italy"/>
    <x v="1"/>
  </r>
  <r>
    <n v="2024002955"/>
    <x v="158"/>
    <n v="2024"/>
    <x v="31"/>
    <s v="PROD_002"/>
    <s v="Wireless Mouse"/>
    <s v="Electronics"/>
    <n v="3"/>
    <n v="50.04"/>
    <n v="150.12"/>
    <n v="150.12"/>
    <n v="0"/>
    <s v="Italy"/>
    <x v="2"/>
  </r>
  <r>
    <n v="2024002956"/>
    <x v="31"/>
    <n v="2024"/>
    <x v="70"/>
    <s v="PROD_002"/>
    <s v="Wireless Mouse"/>
    <s v="Electronics"/>
    <n v="2"/>
    <n v="45.96"/>
    <n v="91.92"/>
    <n v="91.92"/>
    <n v="0"/>
    <s v="Netherlands"/>
    <x v="1"/>
  </r>
  <r>
    <n v="2024002957"/>
    <x v="339"/>
    <n v="2024"/>
    <x v="121"/>
    <s v="PROD_002"/>
    <s v="Wireless Mouse"/>
    <s v="Electronics"/>
    <n v="1"/>
    <n v="43.73"/>
    <n v="43.73"/>
    <n v="43.73"/>
    <n v="0"/>
    <s v="Germany"/>
    <x v="1"/>
  </r>
  <r>
    <n v="2024002958"/>
    <x v="328"/>
    <n v="2024"/>
    <x v="224"/>
    <s v="PROD_010"/>
    <s v="Webcam HD"/>
    <s v="Electronics"/>
    <n v="3"/>
    <n v="98.16"/>
    <n v="294.48"/>
    <n v="294.48"/>
    <n v="0"/>
    <s v="Spain"/>
    <x v="1"/>
  </r>
  <r>
    <n v="2024002959"/>
    <x v="141"/>
    <n v="2024"/>
    <x v="63"/>
    <s v="PROD_003"/>
    <s v="USB-C Cable"/>
    <s v="Electronics"/>
    <n v="1"/>
    <n v="15.06"/>
    <n v="15.06"/>
    <n v="15.06"/>
    <n v="0"/>
    <s v="Austria"/>
    <x v="2"/>
  </r>
  <r>
    <n v="2024002960"/>
    <x v="195"/>
    <n v="2024"/>
    <x v="188"/>
    <s v="PROD_001"/>
    <s v="Laptop Pro"/>
    <s v="Electronics"/>
    <n v="1"/>
    <n v="1194.4100000000001"/>
    <n v="1194.4100000000001"/>
    <n v="1194.4100000000001"/>
    <n v="0"/>
    <s v="Switzerland"/>
    <x v="3"/>
  </r>
  <r>
    <n v="2024002961"/>
    <x v="1"/>
    <n v="2024"/>
    <x v="166"/>
    <s v="PROD_007"/>
    <s v="Keyboard Mechanical"/>
    <s v="Electronics"/>
    <n v="3"/>
    <n v="122.71"/>
    <n v="368.13"/>
    <n v="368.13"/>
    <n v="0"/>
    <s v="Sweden"/>
    <x v="1"/>
  </r>
  <r>
    <n v="2024002962"/>
    <x v="189"/>
    <n v="2024"/>
    <x v="163"/>
    <s v="PROD_004"/>
    <s v="Desk Chair"/>
    <s v="Furniture"/>
    <n v="3"/>
    <n v="326.63"/>
    <n v="979.89"/>
    <n v="979.89"/>
    <n v="0"/>
    <s v="Netherlands"/>
    <x v="2"/>
  </r>
  <r>
    <n v="2024002963"/>
    <x v="50"/>
    <n v="2024"/>
    <x v="0"/>
    <s v="PROD_001"/>
    <s v="Laptop Pro"/>
    <s v="Electronics"/>
    <n v="4"/>
    <n v="1159.8599999999999"/>
    <n v="4639.4399999999996"/>
    <n v="4639.4399999999996"/>
    <n v="0"/>
    <s v="Germany"/>
    <x v="3"/>
  </r>
  <r>
    <n v="2024002964"/>
    <x v="113"/>
    <n v="2024"/>
    <x v="268"/>
    <s v="PROD_005"/>
    <s v="Standing Desk"/>
    <s v="Furniture"/>
    <n v="1"/>
    <n v="597.04"/>
    <n v="597.04"/>
    <n v="597.04"/>
    <n v="0"/>
    <s v="UK"/>
    <x v="2"/>
  </r>
  <r>
    <n v="2024002965"/>
    <x v="136"/>
    <n v="2024"/>
    <x v="210"/>
    <s v="PROD_002"/>
    <s v="Wireless Mouse"/>
    <s v="Electronics"/>
    <n v="1"/>
    <n v="46.86"/>
    <n v="46.86"/>
    <n v="46.86"/>
    <n v="0"/>
    <s v="Germany"/>
    <x v="1"/>
  </r>
  <r>
    <n v="2024002966"/>
    <x v="41"/>
    <n v="2024"/>
    <x v="131"/>
    <s v="PROD_006"/>
    <s v="Monitor 27&quot;"/>
    <s v="Electronics"/>
    <n v="2"/>
    <n v="396.91"/>
    <n v="793.82"/>
    <n v="793.82"/>
    <n v="0"/>
    <s v="Spain"/>
    <x v="2"/>
  </r>
  <r>
    <n v="2024002967"/>
    <x v="115"/>
    <n v="2024"/>
    <x v="92"/>
    <s v="PROD_002"/>
    <s v="Wireless Mouse"/>
    <s v="Electronics"/>
    <n v="1"/>
    <n v="40.92"/>
    <n v="40.92"/>
    <n v="40.92"/>
    <n v="0"/>
    <s v="Sweden"/>
    <x v="1"/>
  </r>
  <r>
    <n v="2024002968"/>
    <x v="344"/>
    <n v="2024"/>
    <x v="141"/>
    <s v="PROD_007"/>
    <s v="Keyboard Mechanical"/>
    <s v="Electronics"/>
    <n v="1"/>
    <n v="124.59"/>
    <n v="124.59"/>
    <n v="124.59"/>
    <n v="0"/>
    <s v="Spain"/>
    <x v="2"/>
  </r>
  <r>
    <n v="2024002969"/>
    <x v="99"/>
    <n v="2024"/>
    <x v="247"/>
    <s v="PROD_009"/>
    <s v="Phone Stand"/>
    <s v="Accessories"/>
    <n v="5"/>
    <n v="26.34"/>
    <n v="131.69999999999999"/>
    <n v="131.69999999999999"/>
    <n v="0"/>
    <s v="Switzerland"/>
    <x v="0"/>
  </r>
  <r>
    <n v="2024002970"/>
    <x v="280"/>
    <n v="2024"/>
    <x v="295"/>
    <s v="PROD_004"/>
    <s v="Desk Chair"/>
    <s v="Furniture"/>
    <n v="3"/>
    <n v="346.47"/>
    <n v="1039.4100000000001"/>
    <n v="1039.4100000000001"/>
    <n v="0"/>
    <s v="Austria"/>
    <x v="1"/>
  </r>
  <r>
    <n v="2024002971"/>
    <x v="236"/>
    <n v="2024"/>
    <x v="41"/>
    <s v="PROD_010"/>
    <s v="Webcam HD"/>
    <s v="Electronics"/>
    <n v="1"/>
    <n v="100.41"/>
    <n v="100.41"/>
    <n v="100.41"/>
    <n v="0"/>
    <s v="Switzerland"/>
    <x v="0"/>
  </r>
  <r>
    <n v="2024002972"/>
    <x v="165"/>
    <n v="2024"/>
    <x v="200"/>
    <s v="PROD_008"/>
    <s v="Desk Lamp"/>
    <s v="Furniture"/>
    <n v="2"/>
    <n v="87.19"/>
    <n v="174.38"/>
    <n v="174.38"/>
    <n v="0"/>
    <s v="Italy"/>
    <x v="1"/>
  </r>
  <r>
    <n v="2024002973"/>
    <x v="321"/>
    <n v="2024"/>
    <x v="286"/>
    <s v="PROD_010"/>
    <s v="Webcam HD"/>
    <s v="Electronics"/>
    <n v="1"/>
    <n v="96.89"/>
    <n v="96.89"/>
    <n v="96.89"/>
    <n v="0"/>
    <s v="Spain"/>
    <x v="0"/>
  </r>
  <r>
    <n v="2024002974"/>
    <x v="87"/>
    <n v="2024"/>
    <x v="216"/>
    <s v="PROD_008"/>
    <s v="Desk Lamp"/>
    <s v="Furniture"/>
    <n v="1"/>
    <n v="74.45"/>
    <n v="74.45"/>
    <n v="74.45"/>
    <n v="0"/>
    <s v="Spain"/>
    <x v="2"/>
  </r>
  <r>
    <n v="2024002975"/>
    <x v="1"/>
    <n v="2024"/>
    <x v="15"/>
    <s v="PROD_002"/>
    <s v="Wireless Mouse"/>
    <s v="Electronics"/>
    <n v="4"/>
    <n v="44.75"/>
    <n v="179"/>
    <n v="179"/>
    <n v="0"/>
    <s v="France"/>
    <x v="0"/>
  </r>
  <r>
    <n v="2024002976"/>
    <x v="321"/>
    <n v="2024"/>
    <x v="293"/>
    <s v="PROD_006"/>
    <s v="Monitor 27&quot;"/>
    <s v="Electronics"/>
    <n v="2"/>
    <n v="393.97"/>
    <n v="787.94"/>
    <n v="787.94"/>
    <n v="0"/>
    <s v="Switzerland"/>
    <x v="3"/>
  </r>
  <r>
    <n v="2024002977"/>
    <x v="96"/>
    <n v="2024"/>
    <x v="0"/>
    <s v="PROD_007"/>
    <s v="Keyboard Mechanical"/>
    <s v="Electronics"/>
    <n v="1"/>
    <n v="111.09"/>
    <n v="111.09"/>
    <n v="111.09"/>
    <n v="0"/>
    <s v="UK"/>
    <x v="1"/>
  </r>
  <r>
    <n v="2024002978"/>
    <x v="87"/>
    <n v="2024"/>
    <x v="178"/>
    <s v="PROD_007"/>
    <s v="Keyboard Mechanical"/>
    <s v="Electronics"/>
    <n v="1"/>
    <n v="121.02"/>
    <n v="121.02"/>
    <n v="121.02"/>
    <n v="0"/>
    <s v="Spain"/>
    <x v="3"/>
  </r>
  <r>
    <n v="2024002979"/>
    <x v="98"/>
    <n v="2024"/>
    <x v="196"/>
    <s v="PROD_002"/>
    <s v="Wireless Mouse"/>
    <s v="Electronics"/>
    <n v="2"/>
    <n v="44.92"/>
    <n v="89.84"/>
    <n v="89.84"/>
    <n v="0"/>
    <s v="France"/>
    <x v="3"/>
  </r>
  <r>
    <n v="2024002980"/>
    <x v="201"/>
    <n v="2024"/>
    <x v="203"/>
    <s v="PROD_009"/>
    <s v="Phone Stand"/>
    <s v="Accessories"/>
    <n v="1"/>
    <n v="25.39"/>
    <n v="25.39"/>
    <n v="25.39"/>
    <n v="0"/>
    <s v="Italy"/>
    <x v="1"/>
  </r>
  <r>
    <n v="2024002981"/>
    <x v="293"/>
    <n v="2024"/>
    <x v="0"/>
    <s v="PROD_007"/>
    <s v="Keyboard Mechanical"/>
    <s v="Electronics"/>
    <n v="2"/>
    <n v="119.03"/>
    <n v="238.06"/>
    <n v="238.06"/>
    <n v="0"/>
    <s v="Netherlands"/>
    <x v="3"/>
  </r>
  <r>
    <n v="2024002982"/>
    <x v="305"/>
    <n v="2024"/>
    <x v="210"/>
    <s v="PROD_003"/>
    <s v="USB-C Cable"/>
    <s v="Electronics"/>
    <n v="0"/>
    <n v="15.12"/>
    <n v="0"/>
    <n v="0"/>
    <n v="0"/>
    <s v="Sweden"/>
    <x v="3"/>
  </r>
  <r>
    <n v="2024002983"/>
    <x v="240"/>
    <n v="2024"/>
    <x v="276"/>
    <s v="PROD_006"/>
    <s v="Monitor 27&quot;"/>
    <s v="Electronics"/>
    <n v="2"/>
    <n v="426.02"/>
    <n v="852.04"/>
    <n v="852.04"/>
    <n v="0"/>
    <s v="France"/>
    <x v="1"/>
  </r>
  <r>
    <n v="2024002984"/>
    <x v="94"/>
    <n v="2024"/>
    <x v="185"/>
    <s v="PROD_005"/>
    <s v="Standing Desk"/>
    <s v="Furniture"/>
    <n v="2"/>
    <n v="589.92999999999995"/>
    <n v="1179.8599999999999"/>
    <n v="1179.8599999999999"/>
    <n v="0"/>
    <s v="Spain"/>
    <x v="1"/>
  </r>
  <r>
    <n v="2024002985"/>
    <x v="84"/>
    <n v="2024"/>
    <x v="155"/>
    <s v="PROD_004"/>
    <s v="Desk Chair"/>
    <s v="Furniture"/>
    <n v="1"/>
    <n v="329.79"/>
    <n v="329.79"/>
    <n v="329.79"/>
    <n v="0"/>
    <s v="Italy"/>
    <x v="2"/>
  </r>
  <r>
    <n v="2024002986"/>
    <x v="209"/>
    <n v="2024"/>
    <x v="40"/>
    <s v="PROD_002"/>
    <s v="Wireless Mouse"/>
    <s v="Electronics"/>
    <n v="3"/>
    <n v="44.15"/>
    <n v="132.44999999999999"/>
    <n v="132.44999999999999"/>
    <n v="0"/>
    <s v="UK"/>
    <x v="2"/>
  </r>
  <r>
    <n v="2024002987"/>
    <x v="126"/>
    <n v="2024"/>
    <x v="0"/>
    <s v="PROD_006"/>
    <s v="Monitor 27&quot;"/>
    <s v="Electronics"/>
    <n v="5"/>
    <n v="382"/>
    <n v="1910"/>
    <n v="1910"/>
    <n v="0"/>
    <s v="France"/>
    <x v="2"/>
  </r>
  <r>
    <n v="2024002988"/>
    <x v="160"/>
    <n v="2024"/>
    <x v="158"/>
    <s v="PROD_004"/>
    <s v="Desk Chair"/>
    <s v="Furniture"/>
    <n v="3"/>
    <n v="335.99"/>
    <n v="1007.97"/>
    <n v="1007.97"/>
    <n v="0"/>
    <s v="Netherlands"/>
    <x v="2"/>
  </r>
  <r>
    <n v="2024002989"/>
    <x v="55"/>
    <n v="2024"/>
    <x v="68"/>
    <s v="PROD_007"/>
    <s v="Keyboard Mechanical"/>
    <s v="Electronics"/>
    <n v="2"/>
    <n v="118.22"/>
    <n v="236.44"/>
    <n v="236.44"/>
    <n v="0"/>
    <s v="Belgium"/>
    <x v="0"/>
  </r>
  <r>
    <n v="2024002990"/>
    <x v="348"/>
    <n v="2024"/>
    <x v="0"/>
    <s v="PROD_006"/>
    <s v="Monitor 27&quot;"/>
    <s v="Electronics"/>
    <n v="1"/>
    <n v="376.48"/>
    <n v="376.48"/>
    <n v="376.48"/>
    <n v="0"/>
    <s v="UK"/>
    <x v="1"/>
  </r>
  <r>
    <n v="2024002991"/>
    <x v="329"/>
    <n v="2024"/>
    <x v="169"/>
    <s v="PROD_007"/>
    <s v="Keyboard Mechanical"/>
    <s v="Electronics"/>
    <n v="4"/>
    <n v="117.77"/>
    <n v="471.08"/>
    <n v="471.08"/>
    <n v="0"/>
    <s v="Sweden"/>
    <x v="3"/>
  </r>
  <r>
    <n v="2024002992"/>
    <x v="184"/>
    <n v="2024"/>
    <x v="288"/>
    <s v="PROD_002"/>
    <s v="Wireless Mouse"/>
    <s v="Electronics"/>
    <n v="2"/>
    <n v="41.74"/>
    <n v="83.48"/>
    <n v="83.48"/>
    <n v="0"/>
    <s v="Switzerland"/>
    <x v="3"/>
  </r>
  <r>
    <n v="2024002993"/>
    <x v="11"/>
    <n v="2024"/>
    <x v="243"/>
    <s v="PROD_010"/>
    <s v="Webcam HD"/>
    <s v="Electronics"/>
    <n v="1"/>
    <n v="84.73"/>
    <n v="84.73"/>
    <n v="84.73"/>
    <n v="0"/>
    <s v="Switzerland"/>
    <x v="2"/>
  </r>
  <r>
    <n v="2024002994"/>
    <x v="92"/>
    <n v="2024"/>
    <x v="62"/>
    <s v="PROD_003"/>
    <s v="USB-C Cable"/>
    <s v="Electronics"/>
    <n v="3"/>
    <n v="15.01"/>
    <n v="45.03"/>
    <n v="45.03"/>
    <n v="0"/>
    <s v="Spain"/>
    <x v="3"/>
  </r>
  <r>
    <n v="2024002995"/>
    <x v="159"/>
    <n v="2024"/>
    <x v="101"/>
    <s v="PROD_010"/>
    <s v="Webcam HD"/>
    <s v="Electronics"/>
    <n v="1"/>
    <n v="94.1"/>
    <n v="94.1"/>
    <n v="94.1"/>
    <n v="0"/>
    <s v="Belgium"/>
    <x v="0"/>
  </r>
  <r>
    <n v="2024002604"/>
    <x v="222"/>
    <n v="2024"/>
    <x v="58"/>
    <s v="PROD_001"/>
    <s v="Laptop Pro"/>
    <s v="Electronics"/>
    <n v="1"/>
    <n v="1171.3800000000001"/>
    <n v="1171.3800000000001"/>
    <n v="1171.3800000000001"/>
    <n v="0"/>
    <s v="Spain"/>
    <x v="0"/>
  </r>
  <r>
    <n v="2024002997"/>
    <x v="278"/>
    <n v="2024"/>
    <x v="201"/>
    <s v="PROD_008"/>
    <s v="Desk Lamp"/>
    <s v="Furniture"/>
    <n v="2"/>
    <n v="80.47"/>
    <n v="160.94"/>
    <n v="160.94"/>
    <n v="0"/>
    <s v="Austria"/>
    <x v="2"/>
  </r>
  <r>
    <n v="2024001738"/>
    <x v="332"/>
    <n v="2024"/>
    <x v="196"/>
    <s v="PROD_007"/>
    <s v="Keyboard Mechanical"/>
    <s v="Electronics"/>
    <n v="0"/>
    <n v="115.97"/>
    <n v="0"/>
    <n v="0"/>
    <n v="0"/>
    <s v="Spain"/>
    <x v="3"/>
  </r>
  <r>
    <n v="2024002999"/>
    <x v="90"/>
    <n v="2024"/>
    <x v="109"/>
    <s v="PROD_005"/>
    <s v="Standing Desk"/>
    <s v="Furniture"/>
    <n v="1"/>
    <n v="565.57000000000005"/>
    <n v="565.57000000000005"/>
    <n v="565.57000000000005"/>
    <n v="0"/>
    <s v="UK"/>
    <x v="2"/>
  </r>
  <r>
    <n v="2024003000"/>
    <x v="3"/>
    <n v="2024"/>
    <x v="64"/>
    <s v="PROD_004"/>
    <s v="Desk Chair"/>
    <s v="Furniture"/>
    <n v="1"/>
    <n v="368.1"/>
    <n v="368.1"/>
    <n v="368.1"/>
    <n v="0"/>
    <s v="Belgium"/>
    <x v="1"/>
  </r>
  <r>
    <n v="2024003001"/>
    <x v="75"/>
    <n v="2024"/>
    <x v="286"/>
    <s v="PROD_010"/>
    <s v="Webcam HD"/>
    <s v="Electronics"/>
    <n v="2"/>
    <n v="82.25"/>
    <n v="164.5"/>
    <n v="164.5"/>
    <n v="0"/>
    <s v="France"/>
    <x v="3"/>
  </r>
  <r>
    <n v="2024003002"/>
    <x v="177"/>
    <n v="2024"/>
    <x v="110"/>
    <s v="PROD_003"/>
    <s v="USB-C Cable"/>
    <s v="Electronics"/>
    <n v="4"/>
    <n v="13.68"/>
    <n v="54.72"/>
    <n v="54.72"/>
    <n v="0"/>
    <s v="UK"/>
    <x v="3"/>
  </r>
  <r>
    <n v="2024003003"/>
    <x v="315"/>
    <n v="2024"/>
    <x v="137"/>
    <s v="PROD_007"/>
    <s v="Keyboard Mechanical"/>
    <s v="Electronics"/>
    <n v="1"/>
    <n v="123.9"/>
    <n v="123.9"/>
    <n v="123.9"/>
    <n v="0"/>
    <s v="Italy"/>
    <x v="1"/>
  </r>
  <r>
    <n v="2024003004"/>
    <x v="59"/>
    <n v="2024"/>
    <x v="252"/>
    <s v="PROD_004"/>
    <s v="Desk Chair"/>
    <s v="Furniture"/>
    <n v="2"/>
    <n v="359.78"/>
    <n v="719.56"/>
    <n v="719.56"/>
    <n v="0"/>
    <s v="Netherlands"/>
    <x v="3"/>
  </r>
  <r>
    <n v="2024003005"/>
    <x v="200"/>
    <n v="2024"/>
    <x v="49"/>
    <s v="PROD_004"/>
    <s v="Desk Chair"/>
    <s v="Furniture"/>
    <n v="3"/>
    <n v="350.6"/>
    <n v="1051.8"/>
    <n v="1051.8000000000002"/>
    <n v="0"/>
    <s v="Germany"/>
    <x v="0"/>
  </r>
  <r>
    <n v="2024003006"/>
    <x v="265"/>
    <n v="2024"/>
    <x v="71"/>
    <s v="PROD_006"/>
    <s v="Monitor 27&quot;"/>
    <s v="Electronics"/>
    <n v="2"/>
    <n v="422.1"/>
    <n v="844.2"/>
    <n v="844.2"/>
    <n v="0"/>
    <s v="Germany"/>
    <x v="1"/>
  </r>
  <r>
    <n v="2024003007"/>
    <x v="155"/>
    <n v="2024"/>
    <x v="224"/>
    <s v="PROD_009"/>
    <s v="Phone Stand"/>
    <s v="Accessories"/>
    <n v="1"/>
    <n v="24.53"/>
    <n v="24.53"/>
    <n v="24.53"/>
    <n v="0"/>
    <s v="Netherlands"/>
    <x v="1"/>
  </r>
  <r>
    <n v="2024003008"/>
    <x v="81"/>
    <n v="2024"/>
    <x v="48"/>
    <s v="PROD_005"/>
    <s v="Standing Desk"/>
    <s v="Furniture"/>
    <n v="3"/>
    <n v="606.95000000000005"/>
    <n v="1820.85"/>
    <n v="1820.8500000000001"/>
    <n v="0"/>
    <s v="Austria"/>
    <x v="3"/>
  </r>
  <r>
    <n v="2024003009"/>
    <x v="62"/>
    <n v="2024"/>
    <x v="0"/>
    <s v="PROD_006"/>
    <s v="Monitor 27&quot;"/>
    <s v="Electronics"/>
    <n v="3"/>
    <n v="404.97"/>
    <n v="1214.9100000000001"/>
    <n v="1214.9100000000001"/>
    <n v="0"/>
    <s v="Netherlands"/>
    <x v="0"/>
  </r>
  <r>
    <n v="2024003010"/>
    <x v="127"/>
    <n v="2024"/>
    <x v="247"/>
    <s v="PROD_001"/>
    <s v="Laptop Pro"/>
    <s v="Electronics"/>
    <n v="1"/>
    <n v="1194.6500000000001"/>
    <n v="1194.6500000000001"/>
    <n v="1194.6500000000001"/>
    <n v="0"/>
    <s v="Spain"/>
    <x v="3"/>
  </r>
  <r>
    <n v="2024003011"/>
    <x v="343"/>
    <n v="2024"/>
    <x v="265"/>
    <s v="PROD_008"/>
    <s v="Desk Lamp"/>
    <s v="Furniture"/>
    <n v="4"/>
    <n v="86.44"/>
    <n v="345.76"/>
    <n v="345.76"/>
    <n v="0"/>
    <s v="Belgium"/>
    <x v="3"/>
  </r>
  <r>
    <n v="2024003012"/>
    <x v="18"/>
    <n v="2024"/>
    <x v="295"/>
    <s v="PROD_001"/>
    <s v="Laptop Pro"/>
    <s v="Electronics"/>
    <n v="1"/>
    <n v="1721.7"/>
    <n v="1721.7"/>
    <n v="1721.7"/>
    <n v="0"/>
    <s v="Sweden"/>
    <x v="2"/>
  </r>
  <r>
    <n v="2024003013"/>
    <x v="341"/>
    <n v="2024"/>
    <x v="0"/>
    <s v="PROD_008"/>
    <s v="Desk Lamp"/>
    <s v="Furniture"/>
    <n v="3"/>
    <n v="83.2"/>
    <n v="249.6"/>
    <n v="249.60000000000002"/>
    <n v="0"/>
    <s v="Switzerland"/>
    <x v="1"/>
  </r>
  <r>
    <n v="2024003014"/>
    <x v="161"/>
    <n v="2024"/>
    <x v="28"/>
    <s v="PROD_008"/>
    <s v="Desk Lamp"/>
    <s v="Furniture"/>
    <n v="1"/>
    <n v="82.1"/>
    <n v="82.1"/>
    <n v="82.1"/>
    <n v="0"/>
    <s v="Austria"/>
    <x v="3"/>
  </r>
  <r>
    <n v="2024003015"/>
    <x v="190"/>
    <n v="2024"/>
    <x v="28"/>
    <s v="PROD_002"/>
    <s v="Wireless Mouse"/>
    <s v="Electronics"/>
    <n v="3"/>
    <n v="39.76"/>
    <n v="119.28"/>
    <n v="119.28"/>
    <n v="0"/>
    <s v="Italy"/>
    <x v="0"/>
  </r>
  <r>
    <n v="2024003016"/>
    <x v="87"/>
    <n v="2024"/>
    <x v="115"/>
    <s v="PROD_001"/>
    <s v="Laptop Pro"/>
    <s v="Electronics"/>
    <n v="5"/>
    <n v="1112.93"/>
    <n v="5564.65"/>
    <n v="5564.6500000000005"/>
    <n v="0"/>
    <s v="Italy"/>
    <x v="3"/>
  </r>
  <r>
    <n v="2024003017"/>
    <x v="226"/>
    <n v="2024"/>
    <x v="145"/>
    <s v="PROD_006"/>
    <s v="Monitor 27&quot;"/>
    <s v="Electronics"/>
    <n v="2"/>
    <n v="381.51"/>
    <n v="763.02"/>
    <n v="763.02"/>
    <n v="0"/>
    <s v="Spain"/>
    <x v="2"/>
  </r>
  <r>
    <n v="2024003018"/>
    <x v="235"/>
    <n v="2024"/>
    <x v="277"/>
    <s v="PROD_001"/>
    <s v="Laptop Pro"/>
    <s v="Electronics"/>
    <n v="3"/>
    <n v="1112.8699999999999"/>
    <n v="3338.61"/>
    <n v="3338.6099999999997"/>
    <n v="0"/>
    <s v="Netherlands"/>
    <x v="1"/>
  </r>
  <r>
    <n v="2024003019"/>
    <x v="138"/>
    <n v="2024"/>
    <x v="67"/>
    <s v="PROD_002"/>
    <s v="Wireless Mouse"/>
    <s v="Electronics"/>
    <n v="1"/>
    <n v="40.98"/>
    <n v="40.98"/>
    <n v="40.98"/>
    <n v="0"/>
    <s v="Germany"/>
    <x v="0"/>
  </r>
  <r>
    <n v="2024003020"/>
    <x v="9"/>
    <n v="2024"/>
    <x v="51"/>
    <s v="PROD_004"/>
    <s v="Desk Chair"/>
    <s v="Furniture"/>
    <n v="1"/>
    <n v="346.9"/>
    <n v="346.9"/>
    <n v="346.9"/>
    <n v="0"/>
    <s v="Austria"/>
    <x v="2"/>
  </r>
  <r>
    <n v="2024003021"/>
    <x v="0"/>
    <n v="2024"/>
    <x v="35"/>
    <s v="PROD_010"/>
    <s v="Webcam HD"/>
    <s v="Electronics"/>
    <n v="1"/>
    <n v="90.65"/>
    <n v="90.65"/>
    <n v="90.65"/>
    <n v="0"/>
    <s v="Italy"/>
    <x v="3"/>
  </r>
  <r>
    <n v="2024003022"/>
    <x v="179"/>
    <n v="2024"/>
    <x v="145"/>
    <s v="PROD_004"/>
    <s v="Desk Chair"/>
    <s v="Furniture"/>
    <n v="1"/>
    <n v="342.29"/>
    <n v="342.29"/>
    <n v="342.29"/>
    <n v="0"/>
    <s v="Spain"/>
    <x v="1"/>
  </r>
  <r>
    <n v="2024003023"/>
    <x v="19"/>
    <n v="2024"/>
    <x v="80"/>
    <s v="PROD_003"/>
    <s v="USB-C Cable"/>
    <s v="Electronics"/>
    <n v="1"/>
    <n v="13.47"/>
    <n v="13.47"/>
    <n v="13.47"/>
    <n v="0"/>
    <s v="Netherlands"/>
    <x v="0"/>
  </r>
  <r>
    <n v="2024003024"/>
    <x v="25"/>
    <n v="2024"/>
    <x v="139"/>
    <s v="PROD_002"/>
    <s v="Wireless Mouse"/>
    <s v="Electronics"/>
    <n v="1"/>
    <n v="43.43"/>
    <n v="43.43"/>
    <n v="43.43"/>
    <n v="0"/>
    <s v="France"/>
    <x v="0"/>
  </r>
  <r>
    <n v="2024003025"/>
    <x v="264"/>
    <n v="2024"/>
    <x v="117"/>
    <s v="PROD_001"/>
    <s v="Laptop Pro"/>
    <s v="Electronics"/>
    <n v="2"/>
    <n v="1209.1600000000001"/>
    <n v="2418.3200000000002"/>
    <n v="2418.3200000000002"/>
    <n v="0"/>
    <s v="Germany"/>
    <x v="3"/>
  </r>
  <r>
    <n v="2024003026"/>
    <x v="18"/>
    <n v="2024"/>
    <x v="40"/>
    <s v="PROD_001"/>
    <s v="Laptop Pro"/>
    <s v="Electronics"/>
    <n v="2"/>
    <n v="1203.4100000000001"/>
    <n v="2406.8200000000002"/>
    <n v="2406.8200000000002"/>
    <n v="0"/>
    <s v="Italy"/>
    <x v="3"/>
  </r>
  <r>
    <n v="2024003027"/>
    <x v="54"/>
    <n v="2024"/>
    <x v="145"/>
    <s v="PROD_010"/>
    <s v="Webcam HD"/>
    <s v="Electronics"/>
    <n v="3"/>
    <n v="84.98"/>
    <n v="254.94"/>
    <n v="254.94"/>
    <n v="0"/>
    <s v="UK"/>
    <x v="3"/>
  </r>
  <r>
    <n v="2024003028"/>
    <x v="46"/>
    <n v="2024"/>
    <x v="131"/>
    <s v="PROD_005"/>
    <s v="Standing Desk"/>
    <s v="Furniture"/>
    <n v="1"/>
    <n v="618.33000000000004"/>
    <n v="618.33000000000004"/>
    <n v="618.33000000000004"/>
    <n v="0"/>
    <s v="Sweden"/>
    <x v="2"/>
  </r>
  <r>
    <n v="2024003029"/>
    <x v="210"/>
    <n v="2024"/>
    <x v="119"/>
    <s v="PROD_002"/>
    <s v="Wireless Mouse"/>
    <s v="Electronics"/>
    <n v="1"/>
    <n v="43.28"/>
    <n v="43.28"/>
    <n v="43.28"/>
    <n v="0"/>
    <s v="Italy"/>
    <x v="2"/>
  </r>
  <r>
    <n v="2024003030"/>
    <x v="273"/>
    <n v="2024"/>
    <x v="5"/>
    <s v="PROD_003"/>
    <s v="USB-C Cable"/>
    <s v="Electronics"/>
    <n v="2"/>
    <n v="16.12"/>
    <n v="32.24"/>
    <n v="32.24"/>
    <n v="0"/>
    <s v="Switzerland"/>
    <x v="2"/>
  </r>
  <r>
    <n v="2024003031"/>
    <x v="115"/>
    <n v="2024"/>
    <x v="194"/>
    <s v="PROD_001"/>
    <s v="Laptop Pro"/>
    <s v="Electronics"/>
    <n v="1"/>
    <n v="1276.71"/>
    <n v="1276.71"/>
    <n v="1276.71"/>
    <n v="0"/>
    <s v="UK"/>
    <x v="3"/>
  </r>
  <r>
    <n v="2024003032"/>
    <x v="261"/>
    <n v="2024"/>
    <x v="0"/>
    <s v="PROD_008"/>
    <s v="Desk Lamp"/>
    <s v="Furniture"/>
    <n v="1"/>
    <n v="78.150000000000006"/>
    <n v="78.150000000000006"/>
    <n v="78.150000000000006"/>
    <n v="0"/>
    <s v="Spain"/>
    <x v="3"/>
  </r>
  <r>
    <n v="2024003033"/>
    <x v="184"/>
    <n v="2024"/>
    <x v="140"/>
    <s v="PROD_004"/>
    <s v="Desk Chair"/>
    <s v="Furniture"/>
    <n v="3"/>
    <n v="344.63"/>
    <n v="1033.8900000000001"/>
    <n v="1033.8899999999999"/>
    <n v="0"/>
    <s v="France"/>
    <x v="1"/>
  </r>
  <r>
    <n v="2024003034"/>
    <x v="133"/>
    <n v="2024"/>
    <x v="232"/>
    <s v="PROD_002"/>
    <s v="Wireless Mouse"/>
    <s v="Electronics"/>
    <n v="1"/>
    <n v="43.2"/>
    <n v="43.2"/>
    <n v="43.2"/>
    <n v="0"/>
    <s v="UK"/>
    <x v="3"/>
  </r>
  <r>
    <n v="2024003035"/>
    <x v="150"/>
    <n v="2024"/>
    <x v="176"/>
    <s v="PROD_003"/>
    <s v="USB-C Cable"/>
    <s v="Electronics"/>
    <n v="1"/>
    <n v="15.02"/>
    <n v="15.02"/>
    <n v="15.02"/>
    <n v="0"/>
    <s v="France"/>
    <x v="1"/>
  </r>
  <r>
    <n v="2024003036"/>
    <x v="188"/>
    <n v="2024"/>
    <x v="158"/>
    <s v="PROD_010"/>
    <s v="Webcam HD"/>
    <s v="Electronics"/>
    <n v="1"/>
    <n v="86.67"/>
    <n v="86.67"/>
    <n v="86.67"/>
    <n v="0"/>
    <s v="Italy"/>
    <x v="0"/>
  </r>
  <r>
    <n v="2024003037"/>
    <x v="260"/>
    <n v="2024"/>
    <x v="65"/>
    <s v="PROD_009"/>
    <s v="Phone Stand"/>
    <s v="Accessories"/>
    <n v="5"/>
    <n v="24.52"/>
    <n v="122.6"/>
    <n v="122.6"/>
    <n v="0"/>
    <s v="Austria"/>
    <x v="2"/>
  </r>
  <r>
    <n v="2024003038"/>
    <x v="179"/>
    <n v="2024"/>
    <x v="0"/>
    <s v="PROD_001"/>
    <s v="Laptop Pro"/>
    <s v="Electronics"/>
    <n v="2"/>
    <n v="1129.71"/>
    <n v="2259.42"/>
    <n v="2259.42"/>
    <n v="0"/>
    <s v="Austria"/>
    <x v="2"/>
  </r>
  <r>
    <n v="2024003039"/>
    <x v="265"/>
    <n v="2024"/>
    <x v="121"/>
    <s v="PROD_004"/>
    <s v="Desk Chair"/>
    <s v="Furniture"/>
    <n v="5"/>
    <n v="362.06"/>
    <n v="1810.3"/>
    <n v="1810.3"/>
    <n v="0"/>
    <s v="Belgium"/>
    <x v="1"/>
  </r>
  <r>
    <n v="2024003040"/>
    <x v="334"/>
    <n v="2024"/>
    <x v="0"/>
    <s v="PROD_001"/>
    <s v="Laptop Pro"/>
    <s v="Electronics"/>
    <n v="3"/>
    <n v="1192.22"/>
    <n v="3576.66"/>
    <n v="3576.66"/>
    <n v="0"/>
    <s v="Sweden"/>
    <x v="2"/>
  </r>
  <r>
    <n v="2024003041"/>
    <x v="230"/>
    <n v="2024"/>
    <x v="121"/>
    <s v="PROD_001"/>
    <s v="Laptop Pro"/>
    <s v="Electronics"/>
    <n v="1"/>
    <n v="1107.81"/>
    <n v="1107.81"/>
    <n v="1107.81"/>
    <n v="0"/>
    <s v="Switzerland"/>
    <x v="1"/>
  </r>
  <r>
    <n v="2024003042"/>
    <x v="253"/>
    <n v="2024"/>
    <x v="223"/>
    <s v="PROD_004"/>
    <s v="Desk Chair"/>
    <s v="Furniture"/>
    <n v="2"/>
    <n v="328.39"/>
    <n v="656.78"/>
    <n v="656.78"/>
    <n v="0"/>
    <s v="Switzerland"/>
    <x v="3"/>
  </r>
  <r>
    <n v="2024003043"/>
    <x v="203"/>
    <n v="2024"/>
    <x v="38"/>
    <s v="PROD_007"/>
    <s v="Keyboard Mechanical"/>
    <s v="Electronics"/>
    <n v="3"/>
    <n v="120.6"/>
    <n v="361.8"/>
    <n v="361.79999999999995"/>
    <n v="0"/>
    <s v="Spain"/>
    <x v="3"/>
  </r>
  <r>
    <n v="2024003044"/>
    <x v="176"/>
    <n v="2024"/>
    <x v="280"/>
    <s v="PROD_008"/>
    <s v="Desk Lamp"/>
    <s v="Furniture"/>
    <n v="1"/>
    <n v="81.510000000000005"/>
    <n v="81.510000000000005"/>
    <n v="81.510000000000005"/>
    <n v="0"/>
    <s v="Spain"/>
    <x v="0"/>
  </r>
  <r>
    <n v="2024003045"/>
    <x v="366"/>
    <n v="2024"/>
    <x v="270"/>
    <s v="PROD_007"/>
    <s v="Keyboard Mechanical"/>
    <s v="Electronics"/>
    <n v="1"/>
    <n v="128.79"/>
    <n v="128.79"/>
    <n v="128.79"/>
    <n v="0"/>
    <s v="Italy"/>
    <x v="1"/>
  </r>
  <r>
    <n v="2024003046"/>
    <x v="157"/>
    <n v="2024"/>
    <x v="0"/>
    <s v="PROD_008"/>
    <s v="Desk Lamp"/>
    <s v="Furniture"/>
    <n v="4"/>
    <n v="85.57"/>
    <n v="342.28"/>
    <n v="342.28"/>
    <n v="0"/>
    <s v="Sweden"/>
    <x v="0"/>
  </r>
  <r>
    <n v="2024003047"/>
    <x v="330"/>
    <n v="2024"/>
    <x v="0"/>
    <s v="PROD_007"/>
    <s v="Keyboard Mechanical"/>
    <s v="Electronics"/>
    <n v="2"/>
    <n v="118.73"/>
    <n v="237.46"/>
    <n v="237.46"/>
    <n v="0"/>
    <s v="Belgium"/>
    <x v="1"/>
  </r>
  <r>
    <n v="2024003048"/>
    <x v="316"/>
    <n v="2024"/>
    <x v="225"/>
    <s v="PROD_002"/>
    <s v="Wireless Mouse"/>
    <s v="Electronics"/>
    <n v="1"/>
    <n v="45.53"/>
    <n v="45.53"/>
    <n v="45.53"/>
    <n v="0"/>
    <s v="France"/>
    <x v="0"/>
  </r>
  <r>
    <n v="2024003049"/>
    <x v="321"/>
    <n v="2024"/>
    <x v="17"/>
    <s v="PROD_008"/>
    <s v="Desk Lamp"/>
    <s v="Furniture"/>
    <n v="2"/>
    <n v="76.760000000000005"/>
    <n v="153.52000000000001"/>
    <n v="153.52000000000001"/>
    <n v="0"/>
    <s v="UK"/>
    <x v="0"/>
  </r>
  <r>
    <n v="2024003050"/>
    <x v="342"/>
    <n v="2024"/>
    <x v="16"/>
    <s v="PROD_010"/>
    <s v="Webcam HD"/>
    <s v="Electronics"/>
    <n v="4"/>
    <n v="88.07"/>
    <n v="352.28"/>
    <n v="352.28"/>
    <n v="0"/>
    <s v="Netherlands"/>
    <x v="0"/>
  </r>
  <r>
    <n v="2024003051"/>
    <x v="51"/>
    <n v="2024"/>
    <x v="297"/>
    <s v="PROD_001"/>
    <s v="Laptop Pro"/>
    <s v="Electronics"/>
    <n v="1"/>
    <n v="1280.46"/>
    <n v="1280.46"/>
    <n v="1280.46"/>
    <n v="0"/>
    <s v="France"/>
    <x v="3"/>
  </r>
  <r>
    <n v="2024003052"/>
    <x v="73"/>
    <n v="2024"/>
    <x v="47"/>
    <s v="PROD_004"/>
    <s v="Desk Chair"/>
    <s v="Furniture"/>
    <n v="3"/>
    <n v="366.45"/>
    <n v="1099.3499999999999"/>
    <n v="1099.3499999999999"/>
    <n v="0"/>
    <s v="Sweden"/>
    <x v="3"/>
  </r>
  <r>
    <n v="2024002963"/>
    <x v="64"/>
    <n v="2024"/>
    <x v="0"/>
    <s v="PROD_003"/>
    <s v="USB-C Cable"/>
    <s v="Electronics"/>
    <n v="1"/>
    <n v="15.79"/>
    <n v="15.79"/>
    <n v="15.79"/>
    <n v="0"/>
    <s v="Sweden"/>
    <x v="3"/>
  </r>
  <r>
    <n v="2024003054"/>
    <x v="243"/>
    <n v="2024"/>
    <x v="38"/>
    <s v="PROD_001"/>
    <s v="Laptop Pro"/>
    <s v="Electronics"/>
    <n v="3"/>
    <n v="1159.19"/>
    <n v="3477.57"/>
    <n v="3477.57"/>
    <n v="0"/>
    <s v="Spain"/>
    <x v="0"/>
  </r>
  <r>
    <n v="2024003055"/>
    <x v="280"/>
    <n v="2024"/>
    <x v="177"/>
    <s v="PROD_004"/>
    <s v="Desk Chair"/>
    <s v="Furniture"/>
    <n v="1"/>
    <n v="342.59"/>
    <n v="342.59"/>
    <n v="342.59"/>
    <n v="0"/>
    <s v="Belgium"/>
    <x v="0"/>
  </r>
  <r>
    <n v="2024003056"/>
    <x v="171"/>
    <n v="2024"/>
    <x v="0"/>
    <s v="PROD_007"/>
    <s v="Keyboard Mechanical"/>
    <s v="Electronics"/>
    <n v="4"/>
    <n v="119.58"/>
    <n v="478.32"/>
    <n v="478.32"/>
    <n v="0"/>
    <s v="Sweden"/>
    <x v="0"/>
  </r>
  <r>
    <n v="2024003057"/>
    <x v="327"/>
    <n v="2024"/>
    <x v="0"/>
    <s v="PROD_008"/>
    <s v="Desk Lamp"/>
    <s v="Furniture"/>
    <n v="1"/>
    <n v="82.22"/>
    <n v="82.22"/>
    <n v="82.22"/>
    <n v="0"/>
    <s v="Austria"/>
    <x v="1"/>
  </r>
  <r>
    <n v="2024003058"/>
    <x v="145"/>
    <n v="2024"/>
    <x v="217"/>
    <s v="PROD_005"/>
    <s v="Standing Desk"/>
    <s v="Furniture"/>
    <n v="1"/>
    <n v="578.29999999999995"/>
    <n v="578.29999999999995"/>
    <n v="578.29999999999995"/>
    <n v="0"/>
    <s v="Switzerland"/>
    <x v="1"/>
  </r>
  <r>
    <n v="2024003059"/>
    <x v="254"/>
    <n v="2024"/>
    <x v="83"/>
    <s v="PROD_010"/>
    <s v="Webcam HD"/>
    <s v="Electronics"/>
    <n v="2"/>
    <n v="91.65"/>
    <n v="183.3"/>
    <n v="183.3"/>
    <n v="0"/>
    <s v="UK"/>
    <x v="1"/>
  </r>
  <r>
    <n v="2024003060"/>
    <x v="66"/>
    <n v="2024"/>
    <x v="135"/>
    <s v="PROD_005"/>
    <s v="Standing Desk"/>
    <s v="Furniture"/>
    <n v="1"/>
    <n v="632.51"/>
    <n v="632.51"/>
    <n v="632.51"/>
    <n v="0"/>
    <s v="Italy"/>
    <x v="3"/>
  </r>
  <r>
    <n v="2024003061"/>
    <x v="154"/>
    <n v="2024"/>
    <x v="129"/>
    <s v="PROD_002"/>
    <s v="Wireless Mouse"/>
    <s v="Electronics"/>
    <n v="5"/>
    <n v="44.42"/>
    <n v="222.1"/>
    <n v="222.10000000000002"/>
    <n v="0"/>
    <s v="Italy"/>
    <x v="3"/>
  </r>
  <r>
    <n v="2024003062"/>
    <x v="49"/>
    <n v="2024"/>
    <x v="192"/>
    <s v="PROD_007"/>
    <s v="Keyboard Mechanical"/>
    <s v="Electronics"/>
    <n v="3"/>
    <n v="116.8"/>
    <n v="350.4"/>
    <n v="350.4"/>
    <n v="0"/>
    <s v="Austria"/>
    <x v="0"/>
  </r>
  <r>
    <n v="2024003063"/>
    <x v="84"/>
    <n v="2024"/>
    <x v="284"/>
    <s v="PROD_008"/>
    <s v="Desk Lamp"/>
    <s v="Furniture"/>
    <n v="3"/>
    <n v="82.56"/>
    <n v="247.68"/>
    <n v="247.68"/>
    <n v="0"/>
    <s v="Belgium"/>
    <x v="3"/>
  </r>
  <r>
    <n v="2024003064"/>
    <x v="273"/>
    <n v="2024"/>
    <x v="43"/>
    <s v="PROD_009"/>
    <s v="Phone Stand"/>
    <s v="Accessories"/>
    <n v="2"/>
    <n v="23.5"/>
    <n v="47"/>
    <n v="47"/>
    <n v="0"/>
    <s v="Spain"/>
    <x v="0"/>
  </r>
  <r>
    <n v="2024003065"/>
    <x v="213"/>
    <n v="2024"/>
    <x v="92"/>
    <s v="PROD_010"/>
    <s v="Webcam HD"/>
    <s v="Electronics"/>
    <n v="1"/>
    <n v="88.08"/>
    <n v="88.08"/>
    <n v="88.08"/>
    <n v="0"/>
    <s v="Netherlands"/>
    <x v="3"/>
  </r>
  <r>
    <n v="2024003066"/>
    <x v="82"/>
    <n v="2024"/>
    <x v="0"/>
    <s v="PROD_001"/>
    <s v="Laptop Pro"/>
    <s v="Electronics"/>
    <n v="1"/>
    <n v="1158.42"/>
    <n v="1158.42"/>
    <n v="1158.42"/>
    <n v="0"/>
    <s v="Austria"/>
    <x v="3"/>
  </r>
  <r>
    <n v="2024003067"/>
    <x v="138"/>
    <n v="2024"/>
    <x v="280"/>
    <s v="PROD_008"/>
    <s v="Desk Lamp"/>
    <s v="Furniture"/>
    <n v="2"/>
    <n v="85.36"/>
    <n v="170.72"/>
    <n v="170.72"/>
    <n v="0"/>
    <s v="Germany"/>
    <x v="3"/>
  </r>
  <r>
    <n v="2024003068"/>
    <x v="249"/>
    <n v="2024"/>
    <x v="266"/>
    <s v="PROD_003"/>
    <s v="USB-C Cable"/>
    <s v="Electronics"/>
    <n v="3"/>
    <n v="14.66"/>
    <n v="43.98"/>
    <n v="43.980000000000004"/>
    <n v="0"/>
    <s v="Sweden"/>
    <x v="3"/>
  </r>
  <r>
    <n v="2024003069"/>
    <x v="90"/>
    <n v="2024"/>
    <x v="0"/>
    <s v="PROD_002"/>
    <s v="Wireless Mouse"/>
    <s v="Electronics"/>
    <n v="1"/>
    <n v="47.06"/>
    <n v="47.06"/>
    <n v="47.06"/>
    <n v="0"/>
    <s v="Italy"/>
    <x v="2"/>
  </r>
  <r>
    <n v="2024003070"/>
    <x v="212"/>
    <n v="2024"/>
    <x v="139"/>
    <s v="PROD_001"/>
    <s v="Laptop Pro"/>
    <s v="Electronics"/>
    <n v="1"/>
    <n v="1081.26"/>
    <n v="1081.26"/>
    <n v="1081.26"/>
    <n v="0"/>
    <s v="Switzerland"/>
    <x v="2"/>
  </r>
  <r>
    <n v="2024003071"/>
    <x v="65"/>
    <n v="2024"/>
    <x v="284"/>
    <s v="PROD_001"/>
    <s v="Laptop Pro"/>
    <s v="Electronics"/>
    <n v="2"/>
    <n v="1321.61"/>
    <n v="2643.22"/>
    <n v="2643.22"/>
    <n v="0"/>
    <s v="Austria"/>
    <x v="3"/>
  </r>
  <r>
    <n v="2024003072"/>
    <x v="326"/>
    <n v="2024"/>
    <x v="121"/>
    <s v="PROD_002"/>
    <s v="Wireless Mouse"/>
    <s v="Electronics"/>
    <n v="1"/>
    <n v="44.85"/>
    <n v="44.85"/>
    <n v="44.85"/>
    <n v="0"/>
    <s v="Austria"/>
    <x v="3"/>
  </r>
  <r>
    <n v="2024003073"/>
    <x v="344"/>
    <n v="2024"/>
    <x v="134"/>
    <s v="PROD_004"/>
    <s v="Desk Chair"/>
    <s v="Furniture"/>
    <n v="2"/>
    <n v="364.74"/>
    <n v="729.48"/>
    <n v="729.48"/>
    <n v="0"/>
    <s v="Netherlands"/>
    <x v="2"/>
  </r>
  <r>
    <n v="2024003074"/>
    <x v="263"/>
    <n v="2024"/>
    <x v="67"/>
    <s v="PROD_005"/>
    <s v="Standing Desk"/>
    <s v="Furniture"/>
    <n v="1"/>
    <n v="626.91"/>
    <n v="626.91"/>
    <n v="626.91"/>
    <n v="0"/>
    <s v="Germany"/>
    <x v="2"/>
  </r>
  <r>
    <n v="2024003075"/>
    <x v="83"/>
    <n v="2024"/>
    <x v="0"/>
    <s v="PROD_007"/>
    <s v="Keyboard Mechanical"/>
    <s v="Electronics"/>
    <n v="1"/>
    <n v="122.94"/>
    <n v="122.94"/>
    <n v="122.94"/>
    <n v="0"/>
    <s v="Switzerland"/>
    <x v="3"/>
  </r>
  <r>
    <n v="2024003076"/>
    <x v="13"/>
    <n v="2024"/>
    <x v="71"/>
    <s v="PROD_006"/>
    <s v="Monitor 27&quot;"/>
    <s v="Electronics"/>
    <n v="1"/>
    <n v="387.48"/>
    <n v="387.48"/>
    <n v="387.48"/>
    <n v="0"/>
    <s v="Italy"/>
    <x v="2"/>
  </r>
  <r>
    <n v="2024003077"/>
    <x v="307"/>
    <n v="2024"/>
    <x v="27"/>
    <s v="PROD_008"/>
    <s v="Desk Lamp"/>
    <s v="Furniture"/>
    <n v="4"/>
    <n v="80.92"/>
    <n v="323.68"/>
    <n v="323.68"/>
    <n v="0"/>
    <s v="Sweden"/>
    <x v="0"/>
  </r>
  <r>
    <n v="2024003078"/>
    <x v="332"/>
    <n v="2024"/>
    <x v="49"/>
    <s v="PROD_003"/>
    <s v="USB-C Cable"/>
    <s v="Electronics"/>
    <n v="1"/>
    <n v="15.33"/>
    <n v="15.33"/>
    <n v="15.33"/>
    <n v="0"/>
    <s v="France"/>
    <x v="1"/>
  </r>
  <r>
    <n v="2024003079"/>
    <x v="39"/>
    <n v="2024"/>
    <x v="184"/>
    <s v="PROD_010"/>
    <s v="Webcam HD"/>
    <s v="Electronics"/>
    <n v="4"/>
    <n v="88.55"/>
    <n v="354.2"/>
    <n v="354.2"/>
    <n v="0"/>
    <s v="Netherlands"/>
    <x v="3"/>
  </r>
  <r>
    <n v="2024003080"/>
    <x v="266"/>
    <n v="2024"/>
    <x v="288"/>
    <s v="PROD_005"/>
    <s v="Standing Desk"/>
    <s v="Furniture"/>
    <n v="5"/>
    <n v="579.46"/>
    <n v="2897.3"/>
    <n v="2897.3"/>
    <n v="0"/>
    <s v="Germany"/>
    <x v="3"/>
  </r>
  <r>
    <n v="2024003081"/>
    <x v="9"/>
    <n v="2024"/>
    <x v="27"/>
    <s v="PROD_002"/>
    <s v="Wireless Mouse"/>
    <s v="Electronics"/>
    <n v="2"/>
    <n v="44.79"/>
    <n v="89.58"/>
    <n v="89.58"/>
    <n v="0"/>
    <s v="Switzerland"/>
    <x v="2"/>
  </r>
  <r>
    <n v="2024003082"/>
    <x v="11"/>
    <n v="2024"/>
    <x v="0"/>
    <s v="PROD_005"/>
    <s v="Standing Desk"/>
    <s v="Furniture"/>
    <n v="3"/>
    <n v="552.89"/>
    <n v="1658.67"/>
    <n v="1658.67"/>
    <n v="0"/>
    <s v="UK"/>
    <x v="0"/>
  </r>
  <r>
    <n v="2024003083"/>
    <x v="21"/>
    <n v="2024"/>
    <x v="0"/>
    <s v="PROD_007"/>
    <s v="Keyboard Mechanical"/>
    <s v="Electronics"/>
    <n v="1"/>
    <n v="121.57"/>
    <n v="121.57"/>
    <n v="121.57"/>
    <n v="0"/>
    <s v="Germany"/>
    <x v="3"/>
  </r>
  <r>
    <n v="2024003084"/>
    <x v="42"/>
    <n v="2024"/>
    <x v="0"/>
    <s v="PROD_003"/>
    <s v="USB-C Cable"/>
    <s v="Electronics"/>
    <n v="2"/>
    <n v="14.17"/>
    <n v="28.34"/>
    <n v="28.34"/>
    <n v="0"/>
    <s v="Switzerland"/>
    <x v="0"/>
  </r>
  <r>
    <n v="2024003085"/>
    <x v="40"/>
    <n v="2024"/>
    <x v="35"/>
    <s v="PROD_010"/>
    <s v="Webcam HD"/>
    <s v="Electronics"/>
    <n v="2"/>
    <n v="93.31"/>
    <n v="186.62"/>
    <n v="186.62"/>
    <n v="0"/>
    <s v="Belgium"/>
    <x v="0"/>
  </r>
  <r>
    <n v="2024003086"/>
    <x v="18"/>
    <n v="2024"/>
    <x v="145"/>
    <s v="PROD_006"/>
    <s v="Monitor 27&quot;"/>
    <s v="Electronics"/>
    <n v="2"/>
    <n v="387.28"/>
    <n v="774.56"/>
    <n v="774.56"/>
    <n v="0"/>
    <s v="UK"/>
    <x v="2"/>
  </r>
  <r>
    <n v="2024003087"/>
    <x v="60"/>
    <n v="2024"/>
    <x v="0"/>
    <s v="PROD_003"/>
    <s v="USB-C Cable"/>
    <s v="Electronics"/>
    <n v="1"/>
    <n v="14.53"/>
    <n v="14.53"/>
    <n v="14.53"/>
    <n v="0"/>
    <s v="UK"/>
    <x v="0"/>
  </r>
  <r>
    <n v="2024003088"/>
    <x v="266"/>
    <n v="2024"/>
    <x v="93"/>
    <s v="PROD_007"/>
    <s v="Keyboard Mechanical"/>
    <s v="Electronics"/>
    <n v="4"/>
    <n v="125.88"/>
    <n v="503.52"/>
    <n v="503.52"/>
    <n v="0"/>
    <s v="Switzerland"/>
    <x v="0"/>
  </r>
  <r>
    <n v="2024003089"/>
    <x v="59"/>
    <n v="2024"/>
    <x v="247"/>
    <s v="PROD_006"/>
    <s v="Monitor 27&quot;"/>
    <s v="Electronics"/>
    <n v="2"/>
    <n v="395.01"/>
    <n v="790.02"/>
    <n v="790.02"/>
    <n v="0"/>
    <s v="Belgium"/>
    <x v="2"/>
  </r>
  <r>
    <n v="2024003090"/>
    <x v="130"/>
    <n v="2024"/>
    <x v="226"/>
    <s v="PROD_002"/>
    <s v="Wireless Mouse"/>
    <s v="Electronics"/>
    <n v="3"/>
    <n v="41.4"/>
    <n v="124.2"/>
    <n v="124.19999999999999"/>
    <n v="0"/>
    <s v="Austria"/>
    <x v="0"/>
  </r>
  <r>
    <n v="2024003091"/>
    <x v="210"/>
    <n v="2024"/>
    <x v="181"/>
    <s v="PROD_007"/>
    <s v="Keyboard Mechanical"/>
    <s v="Electronics"/>
    <n v="2"/>
    <n v="117.7"/>
    <n v="235.4"/>
    <n v="235.4"/>
    <n v="0"/>
    <s v="Italy"/>
    <x v="1"/>
  </r>
  <r>
    <n v="2024003092"/>
    <x v="316"/>
    <n v="2024"/>
    <x v="259"/>
    <s v="PROD_010"/>
    <s v="Webcam HD"/>
    <s v="Electronics"/>
    <n v="3"/>
    <n v="89.35"/>
    <n v="268.05"/>
    <n v="268.04999999999995"/>
    <n v="0"/>
    <s v="Germany"/>
    <x v="3"/>
  </r>
  <r>
    <n v="2024003093"/>
    <x v="261"/>
    <n v="2024"/>
    <x v="294"/>
    <s v="PROD_008"/>
    <s v="Desk Lamp"/>
    <s v="Furniture"/>
    <n v="1"/>
    <n v="78.260000000000005"/>
    <n v="78.260000000000005"/>
    <n v="78.260000000000005"/>
    <n v="0"/>
    <s v="Germany"/>
    <x v="3"/>
  </r>
  <r>
    <n v="2024003094"/>
    <x v="154"/>
    <n v="2024"/>
    <x v="23"/>
    <s v="PROD_003"/>
    <s v="USB-C Cable"/>
    <s v="Electronics"/>
    <n v="1"/>
    <n v="14.98"/>
    <n v="14.98"/>
    <n v="14.98"/>
    <n v="0"/>
    <s v="Spain"/>
    <x v="1"/>
  </r>
  <r>
    <n v="2024003095"/>
    <x v="358"/>
    <n v="2024"/>
    <x v="141"/>
    <s v="PROD_009"/>
    <s v="Phone Stand"/>
    <s v="Accessories"/>
    <n v="1"/>
    <n v="24.98"/>
    <n v="24.98"/>
    <n v="24.98"/>
    <n v="0"/>
    <s v="Sweden"/>
    <x v="3"/>
  </r>
  <r>
    <n v="2024003096"/>
    <x v="301"/>
    <n v="2024"/>
    <x v="168"/>
    <s v="PROD_010"/>
    <s v="Webcam HD"/>
    <s v="Electronics"/>
    <n v="3"/>
    <n v="86.78"/>
    <n v="260.33999999999997"/>
    <n v="260.34000000000003"/>
    <n v="0"/>
    <s v="Netherlands"/>
    <x v="2"/>
  </r>
  <r>
    <n v="2024003097"/>
    <x v="137"/>
    <n v="2024"/>
    <x v="273"/>
    <s v="PROD_003"/>
    <s v="USB-C Cable"/>
    <s v="Electronics"/>
    <n v="1"/>
    <n v="15.93"/>
    <n v="15.93"/>
    <n v="15.93"/>
    <n v="0"/>
    <s v="Germany"/>
    <x v="1"/>
  </r>
  <r>
    <n v="2024003098"/>
    <x v="125"/>
    <n v="2024"/>
    <x v="212"/>
    <s v="PROD_005"/>
    <s v="Standing Desk"/>
    <s v="Furniture"/>
    <n v="1"/>
    <n v="616.1"/>
    <n v="616.1"/>
    <n v="616.1"/>
    <n v="0"/>
    <s v="Austria"/>
    <x v="0"/>
  </r>
  <r>
    <n v="2024003099"/>
    <x v="234"/>
    <n v="2024"/>
    <x v="138"/>
    <s v="PROD_001"/>
    <s v="Laptop Pro"/>
    <s v="Electronics"/>
    <n v="1"/>
    <n v="1272.3"/>
    <n v="1272.3"/>
    <n v="1272.3"/>
    <n v="0"/>
    <s v="Sweden"/>
    <x v="2"/>
  </r>
  <r>
    <n v="2024003100"/>
    <x v="269"/>
    <n v="2024"/>
    <x v="164"/>
    <s v="PROD_009"/>
    <s v="Phone Stand"/>
    <s v="Accessories"/>
    <n v="2"/>
    <n v="25.11"/>
    <n v="50.22"/>
    <n v="50.22"/>
    <n v="0"/>
    <s v="Italy"/>
    <x v="2"/>
  </r>
  <r>
    <n v="2024003101"/>
    <x v="346"/>
    <n v="2024"/>
    <x v="49"/>
    <s v="PROD_009"/>
    <s v="Phone Stand"/>
    <s v="Accessories"/>
    <n v="1"/>
    <n v="25.31"/>
    <n v="25.31"/>
    <n v="25.31"/>
    <n v="0"/>
    <s v="France"/>
    <x v="3"/>
  </r>
  <r>
    <n v="2024003102"/>
    <x v="144"/>
    <n v="2024"/>
    <x v="167"/>
    <s v="PROD_006"/>
    <s v="Monitor 27&quot;"/>
    <s v="Electronics"/>
    <n v="1"/>
    <n v="377.3"/>
    <n v="377.3"/>
    <n v="377.3"/>
    <n v="0"/>
    <s v="Belgium"/>
    <x v="0"/>
  </r>
  <r>
    <n v="2024003103"/>
    <x v="19"/>
    <n v="2024"/>
    <x v="173"/>
    <s v="PROD_009"/>
    <s v="Phone Stand"/>
    <s v="Accessories"/>
    <n v="1"/>
    <n v="24.95"/>
    <n v="24.95"/>
    <n v="24.95"/>
    <n v="0"/>
    <s v="Germany"/>
    <x v="1"/>
  </r>
  <r>
    <n v="2024003104"/>
    <x v="75"/>
    <n v="2024"/>
    <x v="55"/>
    <s v="PROD_010"/>
    <s v="Webcam HD"/>
    <s v="Electronics"/>
    <n v="1"/>
    <n v="93.54"/>
    <n v="93.54"/>
    <n v="93.54"/>
    <n v="0"/>
    <s v="Spain"/>
    <x v="2"/>
  </r>
  <r>
    <n v="2024003105"/>
    <x v="208"/>
    <n v="2024"/>
    <x v="156"/>
    <s v="PROD_006"/>
    <s v="Monitor 27&quot;"/>
    <s v="Electronics"/>
    <n v="3"/>
    <n v="442.75"/>
    <n v="1328.25"/>
    <n v="1328.25"/>
    <n v="0"/>
    <s v="Austria"/>
    <x v="0"/>
  </r>
  <r>
    <n v="2024003106"/>
    <x v="247"/>
    <n v="2024"/>
    <x v="204"/>
    <s v="PROD_008"/>
    <s v="Desk Lamp"/>
    <s v="Furniture"/>
    <n v="5"/>
    <n v="85.01"/>
    <n v="425.05"/>
    <n v="425.05"/>
    <n v="0"/>
    <s v="UK"/>
    <x v="0"/>
  </r>
  <r>
    <n v="2024003107"/>
    <x v="139"/>
    <n v="2024"/>
    <x v="101"/>
    <s v="PROD_001"/>
    <s v="Laptop Pro"/>
    <s v="Electronics"/>
    <n v="1"/>
    <n v="1268.19"/>
    <n v="1268.19"/>
    <n v="1268.19"/>
    <n v="0"/>
    <s v="Spain"/>
    <x v="2"/>
  </r>
  <r>
    <n v="2024003108"/>
    <x v="260"/>
    <n v="2024"/>
    <x v="93"/>
    <s v="PROD_005"/>
    <s v="Standing Desk"/>
    <s v="Furniture"/>
    <n v="1"/>
    <n v="605.71"/>
    <n v="605.71"/>
    <n v="605.71"/>
    <n v="0"/>
    <s v="Belgium"/>
    <x v="2"/>
  </r>
  <r>
    <n v="2024003109"/>
    <x v="130"/>
    <n v="2024"/>
    <x v="0"/>
    <s v="PROD_004"/>
    <s v="Desk Chair"/>
    <s v="Furniture"/>
    <n v="1"/>
    <n v="343.36"/>
    <n v="343.36"/>
    <n v="343.36"/>
    <n v="0"/>
    <s v="Italy"/>
    <x v="1"/>
  </r>
  <r>
    <n v="2024003110"/>
    <x v="281"/>
    <n v="2024"/>
    <x v="239"/>
    <s v="PROD_001"/>
    <s v="Laptop Pro"/>
    <s v="Electronics"/>
    <n v="1"/>
    <n v="1248.47"/>
    <n v="1248.47"/>
    <n v="1248.47"/>
    <n v="0"/>
    <s v="Switzerland"/>
    <x v="3"/>
  </r>
  <r>
    <n v="2024003111"/>
    <x v="286"/>
    <n v="2024"/>
    <x v="142"/>
    <s v="PROD_005"/>
    <s v="Standing Desk"/>
    <s v="Furniture"/>
    <n v="3"/>
    <n v="598.83000000000004"/>
    <n v="1796.49"/>
    <n v="1796.4900000000002"/>
    <n v="0"/>
    <s v="Switzerland"/>
    <x v="2"/>
  </r>
  <r>
    <n v="2024003112"/>
    <x v="274"/>
    <n v="2024"/>
    <x v="18"/>
    <s v="PROD_002"/>
    <s v="Wireless Mouse"/>
    <s v="Electronics"/>
    <n v="3"/>
    <n v="46.65"/>
    <n v="139.94999999999999"/>
    <n v="139.94999999999999"/>
    <n v="0"/>
    <s v="Belgium"/>
    <x v="0"/>
  </r>
  <r>
    <n v="2024002545"/>
    <x v="175"/>
    <n v="2024"/>
    <x v="283"/>
    <s v="PROD_008"/>
    <s v="Desk Lamp"/>
    <s v="Furniture"/>
    <n v="2"/>
    <n v="83.72"/>
    <n v="167.44"/>
    <n v="167.44"/>
    <n v="0"/>
    <s v="Germany"/>
    <x v="0"/>
  </r>
  <r>
    <n v="2024003114"/>
    <x v="258"/>
    <n v="2024"/>
    <x v="66"/>
    <s v="PROD_009"/>
    <s v="Phone Stand"/>
    <s v="Accessories"/>
    <n v="1"/>
    <n v="24.84"/>
    <n v="24.84"/>
    <n v="24.84"/>
    <n v="0"/>
    <s v="France"/>
    <x v="0"/>
  </r>
  <r>
    <n v="2024003115"/>
    <x v="354"/>
    <n v="2024"/>
    <x v="164"/>
    <s v="PROD_001"/>
    <s v="Laptop Pro"/>
    <s v="Electronics"/>
    <n v="1"/>
    <n v="1123.79"/>
    <n v="1123.79"/>
    <n v="1123.79"/>
    <n v="0"/>
    <s v="Switzerland"/>
    <x v="3"/>
  </r>
  <r>
    <n v="2024003116"/>
    <x v="10"/>
    <n v="2024"/>
    <x v="0"/>
    <s v="PROD_001"/>
    <s v="Laptop Pro"/>
    <s v="Electronics"/>
    <n v="3"/>
    <n v="1125.97"/>
    <n v="3377.91"/>
    <n v="3377.91"/>
    <n v="0"/>
    <s v="UK"/>
    <x v="3"/>
  </r>
  <r>
    <n v="2024003117"/>
    <x v="351"/>
    <n v="2024"/>
    <x v="208"/>
    <s v="PROD_004"/>
    <s v="Desk Chair"/>
    <s v="Furniture"/>
    <n v="3"/>
    <n v="338.47"/>
    <n v="1015.41"/>
    <n v="1015.4100000000001"/>
    <n v="0"/>
    <s v="Netherlands"/>
    <x v="2"/>
  </r>
  <r>
    <n v="2024003118"/>
    <x v="144"/>
    <n v="2024"/>
    <x v="108"/>
    <s v="PROD_010"/>
    <s v="Webcam HD"/>
    <s v="Electronics"/>
    <n v="4"/>
    <n v="91.26"/>
    <n v="365.04"/>
    <n v="365.04"/>
    <n v="0"/>
    <s v="Austria"/>
    <x v="3"/>
  </r>
  <r>
    <n v="2024003119"/>
    <x v="357"/>
    <n v="2024"/>
    <x v="64"/>
    <s v="PROD_001"/>
    <s v="Laptop Pro"/>
    <s v="Electronics"/>
    <n v="1"/>
    <n v="1160.8399999999999"/>
    <n v="1160.8399999999999"/>
    <n v="1160.8399999999999"/>
    <n v="0"/>
    <s v="France"/>
    <x v="1"/>
  </r>
  <r>
    <n v="2024003120"/>
    <x v="214"/>
    <n v="2024"/>
    <x v="27"/>
    <s v="PROD_001"/>
    <s v="Laptop Pro"/>
    <s v="Electronics"/>
    <n v="1"/>
    <n v="1134.97"/>
    <n v="1134.97"/>
    <n v="1134.97"/>
    <n v="0"/>
    <s v="Netherlands"/>
    <x v="0"/>
  </r>
  <r>
    <n v="2024003121"/>
    <x v="148"/>
    <n v="2024"/>
    <x v="0"/>
    <s v="PROD_007"/>
    <s v="Keyboard Mechanical"/>
    <s v="Electronics"/>
    <n v="1"/>
    <n v="127.1"/>
    <n v="127.1"/>
    <n v="127.1"/>
    <n v="0"/>
    <s v="Austria"/>
    <x v="3"/>
  </r>
  <r>
    <n v="2024003122"/>
    <x v="132"/>
    <n v="2024"/>
    <x v="0"/>
    <s v="PROD_005"/>
    <s v="Standing Desk"/>
    <s v="Furniture"/>
    <n v="1"/>
    <n v="648.5"/>
    <n v="648.5"/>
    <n v="648.5"/>
    <n v="0"/>
    <s v="France"/>
    <x v="2"/>
  </r>
  <r>
    <n v="2024003123"/>
    <x v="220"/>
    <n v="2024"/>
    <x v="253"/>
    <s v="PROD_006"/>
    <s v="Monitor 27&quot;"/>
    <s v="Electronics"/>
    <n v="1"/>
    <n v="391.5"/>
    <n v="391.5"/>
    <n v="391.5"/>
    <n v="0"/>
    <s v="Austria"/>
    <x v="2"/>
  </r>
  <r>
    <n v="2024003124"/>
    <x v="114"/>
    <n v="2024"/>
    <x v="271"/>
    <s v="PROD_006"/>
    <s v="Monitor 27&quot;"/>
    <s v="Electronics"/>
    <n v="1"/>
    <n v="412.51"/>
    <n v="412.51"/>
    <n v="412.51"/>
    <n v="0"/>
    <s v="Switzerland"/>
    <x v="1"/>
  </r>
  <r>
    <n v="2024003125"/>
    <x v="353"/>
    <n v="2024"/>
    <x v="158"/>
    <s v="PROD_003"/>
    <s v="USB-C Cable"/>
    <s v="Electronics"/>
    <n v="1"/>
    <n v="16.11"/>
    <n v="16.11"/>
    <n v="16.11"/>
    <n v="0"/>
    <s v="Netherlands"/>
    <x v="3"/>
  </r>
  <r>
    <n v="2024003126"/>
    <x v="201"/>
    <n v="2024"/>
    <x v="82"/>
    <s v="PROD_004"/>
    <s v="Desk Chair"/>
    <s v="Furniture"/>
    <n v="2"/>
    <n v="338.48"/>
    <n v="676.96"/>
    <n v="676.96"/>
    <n v="0"/>
    <s v="UK"/>
    <x v="2"/>
  </r>
  <r>
    <n v="2024003127"/>
    <x v="131"/>
    <n v="2024"/>
    <x v="107"/>
    <s v="PROD_005"/>
    <s v="Standing Desk"/>
    <s v="Furniture"/>
    <n v="3"/>
    <n v="634.37"/>
    <n v="1903.11"/>
    <n v="1903.1100000000001"/>
    <n v="0"/>
    <s v="Sweden"/>
    <x v="1"/>
  </r>
  <r>
    <n v="2024003128"/>
    <x v="202"/>
    <n v="2024"/>
    <x v="0"/>
    <s v="PROD_001"/>
    <s v="Laptop Pro"/>
    <s v="Electronics"/>
    <n v="1"/>
    <n v="1234.44"/>
    <n v="1234.44"/>
    <n v="1234.44"/>
    <n v="0"/>
    <s v="Italy"/>
    <x v="3"/>
  </r>
  <r>
    <n v="2024003129"/>
    <x v="367"/>
    <n v="2024"/>
    <x v="133"/>
    <s v="PROD_006"/>
    <s v="Monitor 27&quot;"/>
    <s v="Electronics"/>
    <n v="4"/>
    <n v="398.25"/>
    <n v="1593"/>
    <n v="1593"/>
    <n v="0"/>
    <s v="Germany"/>
    <x v="1"/>
  </r>
  <r>
    <n v="2024003130"/>
    <x v="182"/>
    <n v="2024"/>
    <x v="39"/>
    <s v="PROD_009"/>
    <s v="Phone Stand"/>
    <s v="Accessories"/>
    <n v="1"/>
    <n v="25.15"/>
    <n v="25.15"/>
    <n v="25.15"/>
    <n v="0"/>
    <s v="Italy"/>
    <x v="3"/>
  </r>
  <r>
    <n v="2024003131"/>
    <x v="167"/>
    <n v="2024"/>
    <x v="164"/>
    <s v="PROD_007"/>
    <s v="Keyboard Mechanical"/>
    <s v="Electronics"/>
    <n v="1"/>
    <n v="120.63"/>
    <n v="120.63"/>
    <n v="120.63"/>
    <n v="0"/>
    <s v="Italy"/>
    <x v="1"/>
  </r>
  <r>
    <n v="2024003132"/>
    <x v="78"/>
    <n v="2024"/>
    <x v="259"/>
    <s v="PROD_008"/>
    <s v="Desk Lamp"/>
    <s v="Furniture"/>
    <n v="4"/>
    <n v="81.040000000000006"/>
    <n v="324.16000000000003"/>
    <n v="324.16000000000003"/>
    <n v="0"/>
    <s v="Switzerland"/>
    <x v="3"/>
  </r>
  <r>
    <n v="2024003133"/>
    <x v="292"/>
    <n v="2024"/>
    <x v="222"/>
    <s v="PROD_003"/>
    <s v="USB-C Cable"/>
    <s v="Electronics"/>
    <n v="1"/>
    <n v="14.2"/>
    <n v="14.2"/>
    <n v="14.2"/>
    <n v="0"/>
    <s v="Germany"/>
    <x v="0"/>
  </r>
  <r>
    <n v="2024003134"/>
    <x v="302"/>
    <n v="2024"/>
    <x v="242"/>
    <s v="PROD_004"/>
    <s v="Desk Chair"/>
    <s v="Furniture"/>
    <n v="1"/>
    <n v="365.87"/>
    <n v="365.87"/>
    <n v="365.87"/>
    <n v="0"/>
    <s v="Switzerland"/>
    <x v="1"/>
  </r>
  <r>
    <n v="2024003135"/>
    <x v="153"/>
    <n v="2024"/>
    <x v="245"/>
    <s v="PROD_009"/>
    <s v="Phone Stand"/>
    <s v="Accessories"/>
    <n v="1"/>
    <n v="25.65"/>
    <n v="25.65"/>
    <n v="25.65"/>
    <n v="0"/>
    <s v="Belgium"/>
    <x v="1"/>
  </r>
  <r>
    <n v="2024003136"/>
    <x v="123"/>
    <n v="2024"/>
    <x v="175"/>
    <s v="PROD_002"/>
    <s v="Wireless Mouse"/>
    <s v="Electronics"/>
    <n v="3"/>
    <n v="45.94"/>
    <n v="137.82"/>
    <n v="137.82"/>
    <n v="0"/>
    <s v="Austria"/>
    <x v="3"/>
  </r>
  <r>
    <n v="2024003137"/>
    <x v="59"/>
    <n v="2024"/>
    <x v="208"/>
    <s v="PROD_001"/>
    <s v="Laptop Pro"/>
    <s v="Electronics"/>
    <n v="1"/>
    <n v="1170.2"/>
    <n v="1170.2"/>
    <n v="1170.2"/>
    <n v="0"/>
    <s v="Austria"/>
    <x v="0"/>
  </r>
  <r>
    <n v="2024003138"/>
    <x v="163"/>
    <n v="2024"/>
    <x v="275"/>
    <s v="PROD_004"/>
    <s v="Desk Chair"/>
    <s v="Furniture"/>
    <n v="1"/>
    <n v="375.73"/>
    <n v="375.73"/>
    <n v="375.73"/>
    <n v="0"/>
    <s v="Switzerland"/>
    <x v="0"/>
  </r>
  <r>
    <n v="2024003139"/>
    <x v="84"/>
    <n v="2024"/>
    <x v="44"/>
    <s v="PROD_004"/>
    <s v="Desk Chair"/>
    <s v="Furniture"/>
    <n v="2"/>
    <n v="348.51"/>
    <n v="697.02"/>
    <n v="697.02"/>
    <n v="0"/>
    <s v="Austria"/>
    <x v="3"/>
  </r>
  <r>
    <n v="2024003140"/>
    <x v="27"/>
    <n v="2024"/>
    <x v="133"/>
    <s v="PROD_002"/>
    <s v="Wireless Mouse"/>
    <s v="Electronics"/>
    <n v="3"/>
    <n v="41.98"/>
    <n v="125.94"/>
    <n v="125.94"/>
    <n v="0"/>
    <s v="Switzerland"/>
    <x v="1"/>
  </r>
  <r>
    <n v="2024003141"/>
    <x v="91"/>
    <n v="2024"/>
    <x v="147"/>
    <s v="PROD_003"/>
    <s v="USB-C Cable"/>
    <s v="Electronics"/>
    <n v="1"/>
    <n v="14.33"/>
    <n v="14.33"/>
    <n v="14.33"/>
    <n v="0"/>
    <s v="France"/>
    <x v="3"/>
  </r>
  <r>
    <n v="2024003142"/>
    <x v="89"/>
    <n v="2024"/>
    <x v="35"/>
    <s v="PROD_004"/>
    <s v="Desk Chair"/>
    <s v="Furniture"/>
    <n v="2"/>
    <n v="366.33"/>
    <n v="732.66"/>
    <n v="732.66"/>
    <n v="0"/>
    <s v="Belgium"/>
    <x v="0"/>
  </r>
  <r>
    <n v="2024003143"/>
    <x v="342"/>
    <n v="2024"/>
    <x v="120"/>
    <s v="PROD_002"/>
    <s v="Wireless Mouse"/>
    <s v="Electronics"/>
    <n v="1"/>
    <n v="45.14"/>
    <n v="45.14"/>
    <n v="45.14"/>
    <n v="0"/>
    <s v="France"/>
    <x v="3"/>
  </r>
  <r>
    <n v="2024003144"/>
    <x v="141"/>
    <n v="2024"/>
    <x v="59"/>
    <s v="PROD_004"/>
    <s v="Desk Chair"/>
    <s v="Furniture"/>
    <n v="4"/>
    <n v="365.14"/>
    <n v="1460.56"/>
    <n v="1460.56"/>
    <n v="0"/>
    <s v="France"/>
    <x v="2"/>
  </r>
  <r>
    <n v="2024003145"/>
    <x v="275"/>
    <n v="2024"/>
    <x v="275"/>
    <s v="PROD_008"/>
    <s v="Desk Lamp"/>
    <s v="Furniture"/>
    <n v="1"/>
    <n v="75.47"/>
    <n v="75.47"/>
    <n v="75.47"/>
    <n v="0"/>
    <s v="Germany"/>
    <x v="3"/>
  </r>
  <r>
    <n v="2024003146"/>
    <x v="36"/>
    <n v="2024"/>
    <x v="243"/>
    <s v="PROD_003"/>
    <s v="USB-C Cable"/>
    <s v="Electronics"/>
    <n v="2"/>
    <n v="15.29"/>
    <n v="30.58"/>
    <n v="30.58"/>
    <n v="0"/>
    <s v="UK"/>
    <x v="1"/>
  </r>
  <r>
    <n v="2024003147"/>
    <x v="213"/>
    <n v="2024"/>
    <x v="0"/>
    <s v="PROD_005"/>
    <s v="Standing Desk"/>
    <s v="Furniture"/>
    <n v="2"/>
    <n v="543.79999999999995"/>
    <n v="1087.5999999999999"/>
    <n v="1087.5999999999999"/>
    <n v="0"/>
    <s v="Belgium"/>
    <x v="2"/>
  </r>
  <r>
    <n v="2024003148"/>
    <x v="46"/>
    <n v="2024"/>
    <x v="58"/>
    <s v="PROD_003"/>
    <s v="USB-C Cable"/>
    <s v="Electronics"/>
    <n v="3"/>
    <n v="15.14"/>
    <n v="45.42"/>
    <n v="45.42"/>
    <n v="0"/>
    <s v="France"/>
    <x v="0"/>
  </r>
  <r>
    <n v="2024003149"/>
    <x v="298"/>
    <n v="2024"/>
    <x v="297"/>
    <s v="PROD_009"/>
    <s v="Phone Stand"/>
    <s v="Accessories"/>
    <n v="2"/>
    <n v="23.8"/>
    <n v="47.6"/>
    <n v="47.6"/>
    <n v="0"/>
    <s v="Italy"/>
    <x v="2"/>
  </r>
  <r>
    <n v="2024003150"/>
    <x v="224"/>
    <n v="2024"/>
    <x v="0"/>
    <s v="PROD_006"/>
    <s v="Monitor 27&quot;"/>
    <s v="Electronics"/>
    <n v="3"/>
    <n v="446.11"/>
    <n v="1338.33"/>
    <n v="1338.33"/>
    <n v="0"/>
    <s v="Sweden"/>
    <x v="0"/>
  </r>
  <r>
    <n v="2024003151"/>
    <x v="173"/>
    <n v="2024"/>
    <x v="289"/>
    <s v="PROD_008"/>
    <s v="Desk Lamp"/>
    <s v="Furniture"/>
    <n v="1"/>
    <n v="75.94"/>
    <n v="75.94"/>
    <n v="75.94"/>
    <n v="0"/>
    <s v="Italy"/>
    <x v="3"/>
  </r>
  <r>
    <n v="2024003152"/>
    <x v="250"/>
    <n v="2024"/>
    <x v="100"/>
    <s v="PROD_009"/>
    <s v="Phone Stand"/>
    <s v="Accessories"/>
    <n v="1"/>
    <n v="24.97"/>
    <n v="24.97"/>
    <n v="24.97"/>
    <n v="0"/>
    <s v="Switzerland"/>
    <x v="3"/>
  </r>
  <r>
    <n v="2024003153"/>
    <x v="59"/>
    <n v="2024"/>
    <x v="35"/>
    <s v="PROD_006"/>
    <s v="Monitor 27&quot;"/>
    <s v="Electronics"/>
    <n v="1"/>
    <n v="412.25"/>
    <n v="412.25"/>
    <n v="412.25"/>
    <n v="0"/>
    <s v="Sweden"/>
    <x v="3"/>
  </r>
  <r>
    <n v="2024003154"/>
    <x v="317"/>
    <n v="2024"/>
    <x v="248"/>
    <s v="PROD_001"/>
    <s v="Laptop Pro"/>
    <s v="Electronics"/>
    <n v="2"/>
    <n v="1215.3499999999999"/>
    <n v="2430.6999999999998"/>
    <n v="2430.6999999999998"/>
    <n v="0"/>
    <s v="Italy"/>
    <x v="1"/>
  </r>
  <r>
    <n v="2024003155"/>
    <x v="58"/>
    <n v="2024"/>
    <x v="285"/>
    <s v="PROD_002"/>
    <s v="Wireless Mouse"/>
    <s v="Electronics"/>
    <n v="3"/>
    <n v="42.41"/>
    <n v="127.23"/>
    <n v="127.22999999999999"/>
    <n v="0"/>
    <s v="Netherlands"/>
    <x v="0"/>
  </r>
  <r>
    <n v="2024003156"/>
    <x v="198"/>
    <n v="2024"/>
    <x v="297"/>
    <s v="PROD_002"/>
    <s v="Wireless Mouse"/>
    <s v="Electronics"/>
    <n v="1"/>
    <n v="44.05"/>
    <n v="44.05"/>
    <n v="44.05"/>
    <n v="0"/>
    <s v="Germany"/>
    <x v="0"/>
  </r>
  <r>
    <n v="2024003157"/>
    <x v="346"/>
    <n v="2024"/>
    <x v="0"/>
    <s v="PROD_005"/>
    <s v="Standing Desk"/>
    <s v="Furniture"/>
    <n v="3"/>
    <n v="583.79"/>
    <n v="1751.37"/>
    <n v="1751.37"/>
    <n v="0"/>
    <s v="Netherlands"/>
    <x v="1"/>
  </r>
  <r>
    <n v="2024003158"/>
    <x v="83"/>
    <n v="2024"/>
    <x v="295"/>
    <s v="PROD_010"/>
    <s v="Webcam HD"/>
    <s v="Electronics"/>
    <n v="1"/>
    <n v="90.7"/>
    <n v="90.7"/>
    <n v="90.7"/>
    <n v="0"/>
    <s v="Spain"/>
    <x v="1"/>
  </r>
  <r>
    <n v="2024003159"/>
    <x v="33"/>
    <n v="2024"/>
    <x v="0"/>
    <s v="PROD_002"/>
    <s v="Wireless Mouse"/>
    <s v="Electronics"/>
    <n v="2"/>
    <n v="42.52"/>
    <n v="85.04"/>
    <n v="85.04"/>
    <n v="0"/>
    <s v="Netherlands"/>
    <x v="3"/>
  </r>
  <r>
    <n v="2024001461"/>
    <x v="236"/>
    <n v="2024"/>
    <x v="123"/>
    <s v="PROD_006"/>
    <s v="Monitor 27&quot;"/>
    <s v="Electronics"/>
    <n v="1"/>
    <n v="392"/>
    <n v="392"/>
    <n v="392"/>
    <n v="0"/>
    <s v="Spain"/>
    <x v="3"/>
  </r>
  <r>
    <n v="2024003161"/>
    <x v="40"/>
    <n v="2024"/>
    <x v="101"/>
    <s v="PROD_002"/>
    <s v="Wireless Mouse"/>
    <s v="Electronics"/>
    <n v="1"/>
    <n v="46.13"/>
    <n v="46.13"/>
    <n v="46.13"/>
    <n v="0"/>
    <s v="Austria"/>
    <x v="2"/>
  </r>
  <r>
    <n v="2024003162"/>
    <x v="316"/>
    <n v="2024"/>
    <x v="146"/>
    <s v="PROD_003"/>
    <s v="USB-C Cable"/>
    <s v="Electronics"/>
    <n v="2"/>
    <n v="14.57"/>
    <n v="29.14"/>
    <n v="29.14"/>
    <n v="0"/>
    <s v="Switzerland"/>
    <x v="1"/>
  </r>
  <r>
    <n v="2024003163"/>
    <x v="311"/>
    <n v="2024"/>
    <x v="0"/>
    <s v="PROD_002"/>
    <s v="Wireless Mouse"/>
    <s v="Electronics"/>
    <n v="1"/>
    <n v="45.63"/>
    <n v="45.63"/>
    <n v="45.63"/>
    <n v="0"/>
    <s v="Austria"/>
    <x v="2"/>
  </r>
  <r>
    <n v="2024003164"/>
    <x v="110"/>
    <n v="2024"/>
    <x v="249"/>
    <s v="PROD_005"/>
    <s v="Standing Desk"/>
    <s v="Furniture"/>
    <n v="2"/>
    <n v="603.47"/>
    <n v="1206.94"/>
    <n v="1206.94"/>
    <n v="0"/>
    <s v="Netherlands"/>
    <x v="2"/>
  </r>
  <r>
    <n v="2024003165"/>
    <x v="57"/>
    <n v="2024"/>
    <x v="104"/>
    <s v="PROD_005"/>
    <s v="Standing Desk"/>
    <s v="Furniture"/>
    <n v="1"/>
    <n v="599.11"/>
    <n v="599.11"/>
    <n v="599.11"/>
    <n v="0"/>
    <s v="Italy"/>
    <x v="1"/>
  </r>
  <r>
    <n v="2024003166"/>
    <x v="104"/>
    <n v="2024"/>
    <x v="75"/>
    <s v="PROD_007"/>
    <s v="Keyboard Mechanical"/>
    <s v="Electronics"/>
    <n v="1"/>
    <n v="119.77"/>
    <n v="119.77"/>
    <n v="119.77"/>
    <n v="0"/>
    <s v="Spain"/>
    <x v="2"/>
  </r>
  <r>
    <n v="2024003167"/>
    <x v="36"/>
    <n v="2024"/>
    <x v="109"/>
    <s v="PROD_003"/>
    <s v="USB-C Cable"/>
    <s v="Electronics"/>
    <n v="3"/>
    <n v="15.19"/>
    <n v="45.57"/>
    <n v="45.57"/>
    <n v="0"/>
    <s v="Spain"/>
    <x v="1"/>
  </r>
  <r>
    <n v="2024003168"/>
    <x v="199"/>
    <n v="2024"/>
    <x v="95"/>
    <s v="PROD_007"/>
    <s v="Keyboard Mechanical"/>
    <s v="Electronics"/>
    <n v="1"/>
    <n v="112.8"/>
    <n v="112.8"/>
    <n v="112.8"/>
    <n v="0"/>
    <s v="Spain"/>
    <x v="2"/>
  </r>
  <r>
    <n v="2024003169"/>
    <x v="252"/>
    <n v="2024"/>
    <x v="155"/>
    <s v="PROD_010"/>
    <s v="Webcam HD"/>
    <s v="Electronics"/>
    <n v="2"/>
    <n v="92.01"/>
    <n v="184.02"/>
    <n v="184.02"/>
    <n v="0"/>
    <s v="Spain"/>
    <x v="2"/>
  </r>
  <r>
    <n v="2024003170"/>
    <x v="103"/>
    <n v="2024"/>
    <x v="118"/>
    <s v="PROD_008"/>
    <s v="Desk Lamp"/>
    <s v="Furniture"/>
    <n v="2"/>
    <n v="78.55"/>
    <n v="157.1"/>
    <n v="157.1"/>
    <n v="0"/>
    <s v="Belgium"/>
    <x v="1"/>
  </r>
  <r>
    <n v="2024003171"/>
    <x v="297"/>
    <n v="2024"/>
    <x v="140"/>
    <s v="PROD_006"/>
    <s v="Monitor 27&quot;"/>
    <s v="Electronics"/>
    <n v="1"/>
    <n v="395.67"/>
    <n v="395.67"/>
    <n v="395.67"/>
    <n v="0"/>
    <s v="Italy"/>
    <x v="2"/>
  </r>
  <r>
    <n v="2024003172"/>
    <x v="356"/>
    <n v="2024"/>
    <x v="103"/>
    <s v="PROD_009"/>
    <s v="Phone Stand"/>
    <s v="Accessories"/>
    <n v="1"/>
    <n v="25.98"/>
    <n v="25.98"/>
    <n v="25.98"/>
    <n v="0"/>
    <s v="Spain"/>
    <x v="1"/>
  </r>
  <r>
    <n v="2024003173"/>
    <x v="271"/>
    <n v="2024"/>
    <x v="8"/>
    <s v="PROD_010"/>
    <s v="Webcam HD"/>
    <s v="Electronics"/>
    <n v="2"/>
    <n v="78.59"/>
    <n v="157.18"/>
    <n v="157.18"/>
    <n v="0"/>
    <s v="Austria"/>
    <x v="2"/>
  </r>
  <r>
    <n v="2024003174"/>
    <x v="172"/>
    <n v="2024"/>
    <x v="106"/>
    <s v="PROD_003"/>
    <s v="USB-C Cable"/>
    <s v="Electronics"/>
    <n v="3"/>
    <n v="15.6"/>
    <n v="46.8"/>
    <n v="46.8"/>
    <n v="0"/>
    <s v="UK"/>
    <x v="1"/>
  </r>
  <r>
    <n v="2024003175"/>
    <x v="76"/>
    <n v="2024"/>
    <x v="48"/>
    <s v="PROD_010"/>
    <s v="Webcam HD"/>
    <s v="Electronics"/>
    <n v="1"/>
    <n v="84.89"/>
    <n v="84.89"/>
    <n v="84.89"/>
    <n v="0"/>
    <s v="France"/>
    <x v="1"/>
  </r>
  <r>
    <n v="2024003176"/>
    <x v="299"/>
    <n v="2024"/>
    <x v="0"/>
    <s v="PROD_009"/>
    <s v="Phone Stand"/>
    <s v="Accessories"/>
    <n v="2"/>
    <n v="22.54"/>
    <n v="45.08"/>
    <n v="45.08"/>
    <n v="0"/>
    <s v="Austria"/>
    <x v="1"/>
  </r>
  <r>
    <n v="2024003177"/>
    <x v="184"/>
    <n v="2024"/>
    <x v="248"/>
    <s v="PROD_008"/>
    <s v="Desk Lamp"/>
    <s v="Furniture"/>
    <n v="1"/>
    <n v="79.78"/>
    <n v="79.78"/>
    <n v="79.78"/>
    <n v="0"/>
    <s v="Italy"/>
    <x v="1"/>
  </r>
  <r>
    <n v="2024003178"/>
    <x v="272"/>
    <n v="2024"/>
    <x v="18"/>
    <s v="PROD_004"/>
    <s v="Desk Chair"/>
    <s v="Furniture"/>
    <n v="4"/>
    <n v="353.45"/>
    <n v="1413.8"/>
    <n v="1413.8"/>
    <n v="0"/>
    <s v="Switzerland"/>
    <x v="1"/>
  </r>
  <r>
    <n v="2024003179"/>
    <x v="155"/>
    <n v="2024"/>
    <x v="211"/>
    <s v="PROD_008"/>
    <s v="Desk Lamp"/>
    <s v="Furniture"/>
    <n v="1"/>
    <n v="77.489999999999995"/>
    <n v="77.489999999999995"/>
    <n v="77.489999999999995"/>
    <n v="0"/>
    <s v="Sweden"/>
    <x v="0"/>
  </r>
  <r>
    <n v="2024003180"/>
    <x v="78"/>
    <n v="2024"/>
    <x v="111"/>
    <s v="PROD_007"/>
    <s v="Keyboard Mechanical"/>
    <s v="Electronics"/>
    <n v="2"/>
    <n v="130.47999999999999"/>
    <n v="260.95999999999998"/>
    <n v="260.95999999999998"/>
    <n v="0"/>
    <s v="France"/>
    <x v="3"/>
  </r>
  <r>
    <n v="2024003181"/>
    <x v="60"/>
    <n v="2024"/>
    <x v="264"/>
    <s v="PROD_006"/>
    <s v="Monitor 27&quot;"/>
    <s v="Electronics"/>
    <n v="1"/>
    <n v="358.8"/>
    <n v="358.8"/>
    <n v="358.8"/>
    <n v="0"/>
    <s v="Spain"/>
    <x v="0"/>
  </r>
  <r>
    <n v="2024003182"/>
    <x v="171"/>
    <n v="2024"/>
    <x v="121"/>
    <s v="PROD_001"/>
    <s v="Laptop Pro"/>
    <s v="Electronics"/>
    <n v="3"/>
    <n v="1146.6099999999999"/>
    <n v="3439.83"/>
    <n v="3439.83"/>
    <n v="0"/>
    <s v="Sweden"/>
    <x v="2"/>
  </r>
  <r>
    <n v="2024003183"/>
    <x v="180"/>
    <n v="2024"/>
    <x v="5"/>
    <s v="PROD_007"/>
    <s v="Keyboard Mechanical"/>
    <s v="Electronics"/>
    <n v="3"/>
    <n v="114.24"/>
    <n v="342.72"/>
    <n v="342.71999999999997"/>
    <n v="0"/>
    <s v="Netherlands"/>
    <x v="0"/>
  </r>
  <r>
    <n v="2024003184"/>
    <x v="338"/>
    <n v="2024"/>
    <x v="215"/>
    <s v="PROD_008"/>
    <s v="Desk Lamp"/>
    <s v="Furniture"/>
    <n v="1"/>
    <n v="75.72"/>
    <n v="75.72"/>
    <n v="75.72"/>
    <n v="0"/>
    <s v="Austria"/>
    <x v="0"/>
  </r>
  <r>
    <n v="2024003185"/>
    <x v="241"/>
    <n v="2024"/>
    <x v="49"/>
    <s v="PROD_009"/>
    <s v="Phone Stand"/>
    <s v="Accessories"/>
    <n v="1"/>
    <n v="24.02"/>
    <n v="24.02"/>
    <n v="24.02"/>
    <n v="0"/>
    <s v="UK"/>
    <x v="3"/>
  </r>
  <r>
    <n v="2024003186"/>
    <x v="160"/>
    <n v="2024"/>
    <x v="269"/>
    <s v="PROD_004"/>
    <s v="Desk Chair"/>
    <s v="Furniture"/>
    <n v="2"/>
    <n v="334.03"/>
    <n v="668.06"/>
    <n v="668.06"/>
    <n v="0"/>
    <s v="Austria"/>
    <x v="2"/>
  </r>
  <r>
    <n v="2024003187"/>
    <x v="159"/>
    <n v="2024"/>
    <x v="180"/>
    <s v="PROD_005"/>
    <s v="Standing Desk"/>
    <s v="Furniture"/>
    <n v="2"/>
    <n v="621.04"/>
    <n v="1242.08"/>
    <n v="1242.08"/>
    <n v="0"/>
    <s v="Sweden"/>
    <x v="0"/>
  </r>
  <r>
    <n v="2024003188"/>
    <x v="320"/>
    <n v="2024"/>
    <x v="128"/>
    <s v="PROD_008"/>
    <s v="Desk Lamp"/>
    <s v="Furniture"/>
    <n v="1"/>
    <n v="77.72"/>
    <n v="77.72"/>
    <n v="77.72"/>
    <n v="0"/>
    <s v="Switzerland"/>
    <x v="0"/>
  </r>
  <r>
    <n v="2024003189"/>
    <x v="162"/>
    <n v="2024"/>
    <x v="216"/>
    <s v="PROD_008"/>
    <s v="Desk Lamp"/>
    <s v="Furniture"/>
    <n v="1"/>
    <n v="81.010000000000005"/>
    <n v="81.010000000000005"/>
    <n v="81.010000000000005"/>
    <n v="0"/>
    <s v="Spain"/>
    <x v="1"/>
  </r>
  <r>
    <n v="2024003190"/>
    <x v="79"/>
    <n v="2024"/>
    <x v="262"/>
    <s v="PROD_003"/>
    <s v="USB-C Cable"/>
    <s v="Electronics"/>
    <n v="4"/>
    <n v="13.76"/>
    <n v="55.04"/>
    <n v="55.04"/>
    <n v="0"/>
    <s v="Germany"/>
    <x v="1"/>
  </r>
  <r>
    <n v="2024003191"/>
    <x v="201"/>
    <n v="2024"/>
    <x v="144"/>
    <s v="PROD_006"/>
    <s v="Monitor 27&quot;"/>
    <s v="Electronics"/>
    <n v="1"/>
    <n v="400.69"/>
    <n v="400.69"/>
    <n v="400.69"/>
    <n v="0"/>
    <s v="France"/>
    <x v="2"/>
  </r>
  <r>
    <n v="2024003192"/>
    <x v="135"/>
    <n v="2024"/>
    <x v="122"/>
    <s v="PROD_001"/>
    <s v="Laptop Pro"/>
    <s v="Electronics"/>
    <n v="1"/>
    <n v="1271.22"/>
    <n v="1271.22"/>
    <n v="1271.22"/>
    <n v="0"/>
    <s v="Austria"/>
    <x v="2"/>
  </r>
  <r>
    <n v="2024003193"/>
    <x v="115"/>
    <n v="2024"/>
    <x v="146"/>
    <s v="PROD_003"/>
    <s v="USB-C Cable"/>
    <s v="Electronics"/>
    <n v="1"/>
    <n v="16.559999999999999"/>
    <n v="16.559999999999999"/>
    <n v="16.559999999999999"/>
    <n v="0"/>
    <s v="Switzerland"/>
    <x v="2"/>
  </r>
  <r>
    <n v="2024003194"/>
    <x v="250"/>
    <n v="2024"/>
    <x v="42"/>
    <s v="PROD_003"/>
    <s v="USB-C Cable"/>
    <s v="Electronics"/>
    <n v="2"/>
    <n v="14.01"/>
    <n v="28.02"/>
    <n v="28.02"/>
    <n v="0"/>
    <s v="France"/>
    <x v="3"/>
  </r>
  <r>
    <n v="2024003195"/>
    <x v="164"/>
    <n v="2024"/>
    <x v="0"/>
    <s v="PROD_006"/>
    <s v="Monitor 27&quot;"/>
    <s v="Electronics"/>
    <n v="3"/>
    <n v="390.68"/>
    <n v="1172.04"/>
    <n v="1172.04"/>
    <n v="0"/>
    <s v="UK"/>
    <x v="0"/>
  </r>
  <r>
    <n v="2024003196"/>
    <x v="318"/>
    <n v="2024"/>
    <x v="263"/>
    <s v="PROD_009"/>
    <s v="Phone Stand"/>
    <s v="Accessories"/>
    <n v="2"/>
    <n v="24.58"/>
    <n v="49.16"/>
    <n v="49.16"/>
    <n v="0"/>
    <s v="Spain"/>
    <x v="3"/>
  </r>
  <r>
    <n v="2024003197"/>
    <x v="204"/>
    <n v="2024"/>
    <x v="185"/>
    <s v="PROD_003"/>
    <s v="USB-C Cable"/>
    <s v="Electronics"/>
    <n v="2"/>
    <n v="14.62"/>
    <n v="29.24"/>
    <n v="29.24"/>
    <n v="0"/>
    <s v="Sweden"/>
    <x v="3"/>
  </r>
  <r>
    <n v="2024003198"/>
    <x v="275"/>
    <n v="2024"/>
    <x v="25"/>
    <s v="PROD_002"/>
    <s v="Wireless Mouse"/>
    <s v="Electronics"/>
    <n v="3"/>
    <n v="44.63"/>
    <n v="133.88999999999999"/>
    <n v="133.89000000000001"/>
    <n v="0"/>
    <s v="Netherlands"/>
    <x v="1"/>
  </r>
  <r>
    <n v="2024003199"/>
    <x v="231"/>
    <n v="2024"/>
    <x v="0"/>
    <s v="PROD_007"/>
    <s v="Keyboard Mechanical"/>
    <s v="Electronics"/>
    <n v="2"/>
    <n v="130.12"/>
    <n v="260.24"/>
    <n v="260.24"/>
    <n v="0"/>
    <s v="Sweden"/>
    <x v="0"/>
  </r>
  <r>
    <n v="2024003200"/>
    <x v="158"/>
    <n v="2024"/>
    <x v="68"/>
    <s v="PROD_003"/>
    <s v="USB-C Cable"/>
    <s v="Electronics"/>
    <n v="1"/>
    <n v="14.36"/>
    <n v="14.36"/>
    <n v="14.36"/>
    <n v="0"/>
    <s v="Austria"/>
    <x v="2"/>
  </r>
  <r>
    <n v="2024003201"/>
    <x v="252"/>
    <n v="2024"/>
    <x v="49"/>
    <s v="PROD_004"/>
    <s v="Desk Chair"/>
    <s v="Furniture"/>
    <n v="1"/>
    <n v="350.89"/>
    <n v="350.89"/>
    <n v="350.89"/>
    <n v="0"/>
    <s v="Austria"/>
    <x v="2"/>
  </r>
  <r>
    <n v="2024003202"/>
    <x v="336"/>
    <n v="2024"/>
    <x v="56"/>
    <s v="PROD_003"/>
    <s v="USB-C Cable"/>
    <s v="Electronics"/>
    <n v="1"/>
    <n v="14.49"/>
    <n v="14.49"/>
    <n v="14.49"/>
    <n v="0"/>
    <s v="Switzerland"/>
    <x v="1"/>
  </r>
  <r>
    <n v="2024003203"/>
    <x v="224"/>
    <n v="2024"/>
    <x v="44"/>
    <s v="PROD_003"/>
    <s v="USB-C Cable"/>
    <s v="Electronics"/>
    <n v="4"/>
    <n v="14.17"/>
    <n v="56.68"/>
    <n v="56.68"/>
    <n v="0"/>
    <s v="UK"/>
    <x v="0"/>
  </r>
  <r>
    <n v="2024003204"/>
    <x v="11"/>
    <n v="2024"/>
    <x v="286"/>
    <s v="PROD_003"/>
    <s v="USB-C Cable"/>
    <s v="Electronics"/>
    <n v="1"/>
    <n v="16.14"/>
    <n v="16.14"/>
    <n v="16.14"/>
    <n v="0"/>
    <s v="France"/>
    <x v="2"/>
  </r>
  <r>
    <n v="2024003205"/>
    <x v="2"/>
    <n v="2024"/>
    <x v="0"/>
    <s v="PROD_008"/>
    <s v="Desk Lamp"/>
    <s v="Furniture"/>
    <n v="1"/>
    <n v="81.47"/>
    <n v="81.47"/>
    <n v="81.47"/>
    <n v="0"/>
    <s v="Belgium"/>
    <x v="0"/>
  </r>
  <r>
    <n v="2024003206"/>
    <x v="321"/>
    <n v="2024"/>
    <x v="29"/>
    <s v="PROD_009"/>
    <s v="Phone Stand"/>
    <s v="Accessories"/>
    <n v="1"/>
    <n v="26.23"/>
    <n v="26.23"/>
    <n v="26.23"/>
    <n v="0"/>
    <s v="Spain"/>
    <x v="0"/>
  </r>
  <r>
    <n v="2024003207"/>
    <x v="218"/>
    <n v="2024"/>
    <x v="207"/>
    <s v="PROD_008"/>
    <s v="Desk Lamp"/>
    <s v="Furniture"/>
    <n v="2"/>
    <n v="81.84"/>
    <n v="163.68"/>
    <n v="163.68"/>
    <n v="0"/>
    <s v="France"/>
    <x v="2"/>
  </r>
  <r>
    <n v="2024003208"/>
    <x v="68"/>
    <n v="2024"/>
    <x v="274"/>
    <s v="PROD_005"/>
    <s v="Standing Desk"/>
    <s v="Furniture"/>
    <n v="2"/>
    <n v="608.21"/>
    <n v="1216.42"/>
    <n v="1216.42"/>
    <n v="0"/>
    <s v="Spain"/>
    <x v="2"/>
  </r>
  <r>
    <n v="2024003209"/>
    <x v="5"/>
    <n v="2024"/>
    <x v="121"/>
    <s v="PROD_002"/>
    <s v="Wireless Mouse"/>
    <s v="Electronics"/>
    <n v="3"/>
    <n v="48.53"/>
    <n v="145.59"/>
    <n v="145.59"/>
    <n v="0"/>
    <s v="France"/>
    <x v="1"/>
  </r>
  <r>
    <n v="2024003210"/>
    <x v="175"/>
    <n v="2024"/>
    <x v="207"/>
    <s v="PROD_006"/>
    <s v="Monitor 27&quot;"/>
    <s v="Electronics"/>
    <n v="1"/>
    <n v="350.84"/>
    <n v="350.84"/>
    <n v="350.84"/>
    <n v="0"/>
    <s v="Netherlands"/>
    <x v="0"/>
  </r>
  <r>
    <n v="2024003211"/>
    <x v="188"/>
    <n v="2024"/>
    <x v="104"/>
    <s v="PROD_007"/>
    <s v="Keyboard Mechanical"/>
    <s v="Electronics"/>
    <n v="1"/>
    <n v="114.12"/>
    <n v="114.12"/>
    <n v="114.12"/>
    <n v="0"/>
    <s v="Switzerland"/>
    <x v="0"/>
  </r>
  <r>
    <n v="2024003212"/>
    <x v="180"/>
    <n v="2024"/>
    <x v="199"/>
    <s v="PROD_007"/>
    <s v="Keyboard Mechanical"/>
    <s v="Electronics"/>
    <n v="1"/>
    <n v="128.43"/>
    <n v="128.43"/>
    <n v="128.43"/>
    <n v="0"/>
    <s v="UK"/>
    <x v="1"/>
  </r>
  <r>
    <n v="2024003213"/>
    <x v="166"/>
    <n v="2024"/>
    <x v="212"/>
    <s v="PROD_002"/>
    <s v="Wireless Mouse"/>
    <s v="Electronics"/>
    <n v="1"/>
    <n v="45.45"/>
    <n v="45.45"/>
    <n v="45.45"/>
    <n v="0"/>
    <s v="Netherlands"/>
    <x v="2"/>
  </r>
  <r>
    <n v="2024002392"/>
    <x v="124"/>
    <n v="2024"/>
    <x v="64"/>
    <s v="PROD_005"/>
    <s v="Standing Desk"/>
    <s v="Furniture"/>
    <n v="2"/>
    <n v="557.92999999999995"/>
    <n v="1115.8599999999999"/>
    <n v="1115.8599999999999"/>
    <n v="0"/>
    <s v="Netherlands"/>
    <x v="2"/>
  </r>
  <r>
    <n v="2024003215"/>
    <x v="276"/>
    <n v="2024"/>
    <x v="106"/>
    <s v="PROD_007"/>
    <s v="Keyboard Mechanical"/>
    <s v="Electronics"/>
    <n v="1"/>
    <n v="119.76"/>
    <n v="119.76"/>
    <n v="119.76"/>
    <n v="0"/>
    <s v="Sweden"/>
    <x v="2"/>
  </r>
  <r>
    <n v="2024003216"/>
    <x v="128"/>
    <n v="2024"/>
    <x v="96"/>
    <s v="PROD_005"/>
    <s v="Standing Desk"/>
    <s v="Furniture"/>
    <n v="3"/>
    <n v="609.25"/>
    <n v="1827.75"/>
    <n v="1827.75"/>
    <n v="0"/>
    <s v="Netherlands"/>
    <x v="1"/>
  </r>
  <r>
    <n v="2024003217"/>
    <x v="268"/>
    <n v="2024"/>
    <x v="63"/>
    <s v="PROD_006"/>
    <s v="Monitor 27&quot;"/>
    <s v="Electronics"/>
    <n v="3"/>
    <n v="377.3"/>
    <n v="1131.9000000000001"/>
    <n v="1131.9000000000001"/>
    <n v="0"/>
    <s v="Germany"/>
    <x v="1"/>
  </r>
  <r>
    <n v="2024003218"/>
    <x v="336"/>
    <n v="2024"/>
    <x v="169"/>
    <s v="PROD_001"/>
    <s v="Laptop Pro"/>
    <s v="Electronics"/>
    <n v="2"/>
    <n v="1198.1400000000001"/>
    <n v="2396.2800000000002"/>
    <n v="2396.2800000000002"/>
    <n v="0"/>
    <s v="Netherlands"/>
    <x v="1"/>
  </r>
  <r>
    <n v="2024003219"/>
    <x v="24"/>
    <n v="2024"/>
    <x v="65"/>
    <s v="PROD_001"/>
    <s v="Laptop Pro"/>
    <s v="Electronics"/>
    <n v="1"/>
    <n v="1207.23"/>
    <n v="1207.23"/>
    <n v="1207.23"/>
    <n v="0"/>
    <s v="Austria"/>
    <x v="1"/>
  </r>
  <r>
    <n v="2024003220"/>
    <x v="199"/>
    <n v="2024"/>
    <x v="182"/>
    <s v="PROD_006"/>
    <s v="Monitor 27&quot;"/>
    <s v="Electronics"/>
    <n v="1"/>
    <n v="382.89"/>
    <n v="382.89"/>
    <n v="382.89"/>
    <n v="0"/>
    <s v="Belgium"/>
    <x v="3"/>
  </r>
  <r>
    <n v="2024003221"/>
    <x v="99"/>
    <n v="2024"/>
    <x v="244"/>
    <s v="PROD_004"/>
    <s v="Desk Chair"/>
    <s v="Furniture"/>
    <n v="2"/>
    <n v="345.21"/>
    <n v="690.42"/>
    <n v="690.42"/>
    <n v="0"/>
    <s v="UK"/>
    <x v="0"/>
  </r>
  <r>
    <n v="2024003222"/>
    <x v="273"/>
    <n v="2024"/>
    <x v="224"/>
    <s v="PROD_003"/>
    <s v="USB-C Cable"/>
    <s v="Electronics"/>
    <n v="1"/>
    <n v="13.8"/>
    <n v="13.8"/>
    <n v="13.8"/>
    <n v="0"/>
    <s v="UK"/>
    <x v="2"/>
  </r>
  <r>
    <n v="2024003223"/>
    <x v="230"/>
    <n v="2024"/>
    <x v="299"/>
    <s v="PROD_008"/>
    <s v="Desk Lamp"/>
    <s v="Furniture"/>
    <n v="1"/>
    <n v="80.569999999999993"/>
    <n v="80.569999999999993"/>
    <n v="80.569999999999993"/>
    <n v="0"/>
    <s v="France"/>
    <x v="1"/>
  </r>
  <r>
    <n v="2024003224"/>
    <x v="109"/>
    <n v="2024"/>
    <x v="0"/>
    <s v="PROD_002"/>
    <s v="Wireless Mouse"/>
    <s v="Electronics"/>
    <n v="2"/>
    <n v="48.19"/>
    <n v="96.38"/>
    <n v="96.38"/>
    <n v="0"/>
    <s v="Belgium"/>
    <x v="3"/>
  </r>
  <r>
    <n v="2024003225"/>
    <x v="23"/>
    <n v="2024"/>
    <x v="67"/>
    <s v="PROD_006"/>
    <s v="Monitor 27&quot;"/>
    <s v="Electronics"/>
    <n v="1"/>
    <n v="399.24"/>
    <n v="399.24"/>
    <n v="399.24"/>
    <n v="0"/>
    <s v="Belgium"/>
    <x v="1"/>
  </r>
  <r>
    <n v="2024003226"/>
    <x v="367"/>
    <n v="2024"/>
    <x v="81"/>
    <s v="PROD_006"/>
    <s v="Monitor 27&quot;"/>
    <s v="Electronics"/>
    <n v="4"/>
    <n v="430.47"/>
    <n v="1721.88"/>
    <n v="1721.88"/>
    <n v="0"/>
    <s v="Italy"/>
    <x v="1"/>
  </r>
  <r>
    <n v="2024003227"/>
    <x v="336"/>
    <n v="2024"/>
    <x v="20"/>
    <s v="PROD_009"/>
    <s v="Phone Stand"/>
    <s v="Accessories"/>
    <n v="2"/>
    <n v="24.17"/>
    <n v="48.34"/>
    <n v="48.34"/>
    <n v="0"/>
    <s v="France"/>
    <x v="0"/>
  </r>
  <r>
    <n v="2024003228"/>
    <x v="331"/>
    <n v="2024"/>
    <x v="256"/>
    <s v="PROD_005"/>
    <s v="Standing Desk"/>
    <s v="Furniture"/>
    <n v="2"/>
    <n v="616.66"/>
    <n v="1233.32"/>
    <n v="1233.32"/>
    <n v="0"/>
    <s v="Germany"/>
    <x v="3"/>
  </r>
  <r>
    <n v="2024003229"/>
    <x v="148"/>
    <n v="2024"/>
    <x v="70"/>
    <s v="PROD_009"/>
    <s v="Phone Stand"/>
    <s v="Accessories"/>
    <n v="3"/>
    <n v="27.48"/>
    <n v="82.44"/>
    <n v="82.44"/>
    <n v="0"/>
    <s v="Austria"/>
    <x v="0"/>
  </r>
  <r>
    <n v="2024003230"/>
    <x v="41"/>
    <n v="2024"/>
    <x v="77"/>
    <s v="PROD_010"/>
    <s v="Webcam HD"/>
    <s v="Electronics"/>
    <n v="1"/>
    <n v="87.32"/>
    <n v="87.32"/>
    <n v="87.32"/>
    <n v="0"/>
    <s v="France"/>
    <x v="1"/>
  </r>
  <r>
    <n v="2024003231"/>
    <x v="80"/>
    <n v="2024"/>
    <x v="263"/>
    <s v="PROD_002"/>
    <s v="Wireless Mouse"/>
    <s v="Electronics"/>
    <n v="1"/>
    <n v="45.94"/>
    <n v="45.94"/>
    <n v="45.94"/>
    <n v="0"/>
    <s v="France"/>
    <x v="3"/>
  </r>
  <r>
    <n v="2024003232"/>
    <x v="175"/>
    <n v="2024"/>
    <x v="241"/>
    <s v="PROD_004"/>
    <s v="Desk Chair"/>
    <s v="Furniture"/>
    <n v="1"/>
    <n v="344.14"/>
    <n v="344.14"/>
    <n v="344.14"/>
    <n v="0"/>
    <s v="Sweden"/>
    <x v="3"/>
  </r>
  <r>
    <n v="2024003233"/>
    <x v="145"/>
    <n v="2024"/>
    <x v="80"/>
    <s v="PROD_007"/>
    <s v="Keyboard Mechanical"/>
    <s v="Electronics"/>
    <n v="2"/>
    <n v="123.39"/>
    <n v="246.78"/>
    <n v="246.78"/>
    <n v="0"/>
    <s v="Switzerland"/>
    <x v="0"/>
  </r>
  <r>
    <n v="2024003234"/>
    <x v="342"/>
    <n v="2024"/>
    <x v="137"/>
    <s v="PROD_008"/>
    <s v="Desk Lamp"/>
    <s v="Furniture"/>
    <n v="3"/>
    <n v="81.96"/>
    <n v="245.88"/>
    <n v="245.88"/>
    <n v="0"/>
    <s v="Sweden"/>
    <x v="3"/>
  </r>
  <r>
    <n v="2024003235"/>
    <x v="220"/>
    <n v="2024"/>
    <x v="60"/>
    <s v="PROD_010"/>
    <s v="Webcam HD"/>
    <s v="Electronics"/>
    <n v="1"/>
    <n v="90.25"/>
    <n v="90.25"/>
    <n v="90.25"/>
    <n v="0"/>
    <s v="UK"/>
    <x v="1"/>
  </r>
  <r>
    <n v="2024003236"/>
    <x v="247"/>
    <n v="2024"/>
    <x v="0"/>
    <s v="PROD_006"/>
    <s v="Monitor 27&quot;"/>
    <s v="Electronics"/>
    <n v="2"/>
    <n v="393.78"/>
    <n v="787.56"/>
    <n v="787.56"/>
    <n v="0"/>
    <s v="Italy"/>
    <x v="0"/>
  </r>
  <r>
    <n v="2024003237"/>
    <x v="154"/>
    <n v="2024"/>
    <x v="65"/>
    <s v="PROD_004"/>
    <s v="Desk Chair"/>
    <s v="Furniture"/>
    <n v="1"/>
    <n v="357.04"/>
    <n v="357.04"/>
    <n v="357.04"/>
    <n v="0"/>
    <s v="Switzerland"/>
    <x v="3"/>
  </r>
  <r>
    <n v="2024003238"/>
    <x v="75"/>
    <n v="2024"/>
    <x v="0"/>
    <s v="PROD_004"/>
    <s v="Desk Chair"/>
    <s v="Furniture"/>
    <n v="3"/>
    <n v="373.03"/>
    <n v="1119.0899999999999"/>
    <n v="1119.0899999999999"/>
    <n v="0"/>
    <s v="Germany"/>
    <x v="1"/>
  </r>
  <r>
    <n v="2024003239"/>
    <x v="292"/>
    <n v="2024"/>
    <x v="204"/>
    <s v="PROD_005"/>
    <s v="Standing Desk"/>
    <s v="Furniture"/>
    <n v="1"/>
    <n v="594.04"/>
    <n v="594.04"/>
    <n v="594.04"/>
    <n v="0"/>
    <s v="Sweden"/>
    <x v="3"/>
  </r>
  <r>
    <n v="2024003240"/>
    <x v="318"/>
    <n v="2024"/>
    <x v="40"/>
    <s v="PROD_009"/>
    <s v="Phone Stand"/>
    <s v="Accessories"/>
    <n v="2"/>
    <n v="24.68"/>
    <n v="49.36"/>
    <n v="49.36"/>
    <n v="0"/>
    <s v="UK"/>
    <x v="2"/>
  </r>
  <r>
    <n v="2024003241"/>
    <x v="92"/>
    <n v="2024"/>
    <x v="235"/>
    <s v="PROD_008"/>
    <s v="Desk Lamp"/>
    <s v="Furniture"/>
    <n v="1"/>
    <n v="79.239999999999995"/>
    <n v="79.239999999999995"/>
    <n v="79.239999999999995"/>
    <n v="0"/>
    <s v="Spain"/>
    <x v="0"/>
  </r>
  <r>
    <n v="2024003242"/>
    <x v="67"/>
    <n v="2024"/>
    <x v="0"/>
    <s v="PROD_005"/>
    <s v="Standing Desk"/>
    <s v="Furniture"/>
    <n v="1"/>
    <n v="569.44000000000005"/>
    <n v="569.44000000000005"/>
    <n v="569.44000000000005"/>
    <n v="0"/>
    <s v="Switzerland"/>
    <x v="2"/>
  </r>
  <r>
    <n v="2024003243"/>
    <x v="29"/>
    <n v="2024"/>
    <x v="254"/>
    <s v="PROD_009"/>
    <s v="Phone Stand"/>
    <s v="Accessories"/>
    <n v="1"/>
    <n v="24.81"/>
    <n v="24.81"/>
    <n v="24.81"/>
    <n v="0"/>
    <s v="Italy"/>
    <x v="3"/>
  </r>
  <r>
    <n v="2024003244"/>
    <x v="343"/>
    <n v="2024"/>
    <x v="269"/>
    <s v="PROD_005"/>
    <s v="Standing Desk"/>
    <s v="Furniture"/>
    <n v="1"/>
    <n v="648.66"/>
    <n v="648.66"/>
    <n v="648.66"/>
    <n v="0"/>
    <s v="Belgium"/>
    <x v="1"/>
  </r>
  <r>
    <n v="2024003245"/>
    <x v="232"/>
    <n v="2024"/>
    <x v="76"/>
    <s v="PROD_009"/>
    <s v="Phone Stand"/>
    <s v="Accessories"/>
    <n v="4"/>
    <n v="24.35"/>
    <n v="97.4"/>
    <n v="97.4"/>
    <n v="0"/>
    <s v="Italy"/>
    <x v="2"/>
  </r>
  <r>
    <n v="2024003246"/>
    <x v="24"/>
    <n v="2024"/>
    <x v="10"/>
    <s v="PROD_005"/>
    <s v="Standing Desk"/>
    <s v="Furniture"/>
    <n v="1"/>
    <n v="615.84"/>
    <n v="615.84"/>
    <n v="615.84"/>
    <n v="0"/>
    <s v="Germany"/>
    <x v="1"/>
  </r>
  <r>
    <n v="2024003247"/>
    <x v="223"/>
    <n v="2024"/>
    <x v="237"/>
    <s v="PROD_006"/>
    <s v="Monitor 27&quot;"/>
    <s v="Electronics"/>
    <n v="1"/>
    <n v="384.63"/>
    <n v="384.63"/>
    <n v="384.63"/>
    <n v="0"/>
    <s v="Austria"/>
    <x v="1"/>
  </r>
  <r>
    <n v="2024003248"/>
    <x v="46"/>
    <n v="2024"/>
    <x v="26"/>
    <s v="PROD_009"/>
    <s v="Phone Stand"/>
    <s v="Accessories"/>
    <n v="1"/>
    <n v="26.3"/>
    <n v="26.3"/>
    <n v="26.3"/>
    <n v="0"/>
    <s v="Netherlands"/>
    <x v="0"/>
  </r>
  <r>
    <n v="2024003249"/>
    <x v="322"/>
    <n v="2024"/>
    <x v="24"/>
    <s v="PROD_001"/>
    <s v="Laptop Pro"/>
    <s v="Electronics"/>
    <n v="1"/>
    <n v="1157.57"/>
    <n v="1157.57"/>
    <n v="1157.57"/>
    <n v="0"/>
    <s v="Germany"/>
    <x v="1"/>
  </r>
  <r>
    <n v="2024003250"/>
    <x v="179"/>
    <n v="2024"/>
    <x v="183"/>
    <s v="PROD_004"/>
    <s v="Desk Chair"/>
    <s v="Furniture"/>
    <n v="1"/>
    <n v="354.62"/>
    <n v="354.62"/>
    <n v="354.62"/>
    <n v="0"/>
    <s v="Italy"/>
    <x v="1"/>
  </r>
  <r>
    <n v="2024003251"/>
    <x v="148"/>
    <n v="2024"/>
    <x v="48"/>
    <s v="PROD_005"/>
    <s v="Standing Desk"/>
    <s v="Furniture"/>
    <n v="1"/>
    <n v="561.48"/>
    <n v="561.48"/>
    <n v="561.48"/>
    <n v="0"/>
    <s v="UK"/>
    <x v="1"/>
  </r>
  <r>
    <n v="2024003252"/>
    <x v="30"/>
    <n v="2024"/>
    <x v="189"/>
    <s v="PROD_004"/>
    <s v="Desk Chair"/>
    <s v="Furniture"/>
    <n v="5"/>
    <n v="368.24"/>
    <n v="1841.2"/>
    <n v="1841.2"/>
    <n v="0"/>
    <s v="Belgium"/>
    <x v="0"/>
  </r>
  <r>
    <n v="2024003253"/>
    <x v="311"/>
    <n v="2024"/>
    <x v="0"/>
    <s v="PROD_002"/>
    <s v="Wireless Mouse"/>
    <s v="Electronics"/>
    <n v="1"/>
    <n v="45.52"/>
    <n v="45.52"/>
    <n v="45.52"/>
    <n v="0"/>
    <s v="Germany"/>
    <x v="3"/>
  </r>
  <r>
    <n v="2024003254"/>
    <x v="215"/>
    <n v="2024"/>
    <x v="101"/>
    <s v="PROD_010"/>
    <s v="Webcam HD"/>
    <s v="Electronics"/>
    <n v="1"/>
    <n v="81.5"/>
    <n v="81.5"/>
    <n v="81.5"/>
    <n v="0"/>
    <s v="Austria"/>
    <x v="1"/>
  </r>
  <r>
    <n v="2024003255"/>
    <x v="62"/>
    <n v="2024"/>
    <x v="270"/>
    <s v="PROD_005"/>
    <s v="Standing Desk"/>
    <s v="Furniture"/>
    <n v="1"/>
    <n v="593.1"/>
    <n v="593.1"/>
    <n v="593.1"/>
    <n v="0"/>
    <s v="France"/>
    <x v="3"/>
  </r>
  <r>
    <n v="2024003256"/>
    <x v="127"/>
    <n v="2024"/>
    <x v="87"/>
    <s v="PROD_008"/>
    <s v="Desk Lamp"/>
    <s v="Furniture"/>
    <n v="1"/>
    <n v="78.95"/>
    <n v="78.95"/>
    <n v="78.95"/>
    <n v="0"/>
    <s v="Italy"/>
    <x v="0"/>
  </r>
  <r>
    <n v="2024003257"/>
    <x v="263"/>
    <n v="2024"/>
    <x v="164"/>
    <s v="PROD_006"/>
    <s v="Monitor 27&quot;"/>
    <s v="Electronics"/>
    <n v="1"/>
    <n v="405"/>
    <n v="405"/>
    <n v="405"/>
    <n v="0"/>
    <s v="UK"/>
    <x v="3"/>
  </r>
  <r>
    <n v="2024003258"/>
    <x v="207"/>
    <n v="2024"/>
    <x v="88"/>
    <s v="PROD_007"/>
    <s v="Keyboard Mechanical"/>
    <s v="Electronics"/>
    <n v="1"/>
    <n v="109.34"/>
    <n v="109.34"/>
    <n v="109.34"/>
    <n v="0"/>
    <s v="Sweden"/>
    <x v="1"/>
  </r>
  <r>
    <n v="2024003259"/>
    <x v="94"/>
    <n v="2024"/>
    <x v="47"/>
    <s v="PROD_009"/>
    <s v="Phone Stand"/>
    <s v="Accessories"/>
    <n v="1"/>
    <n v="27.09"/>
    <n v="27.09"/>
    <n v="27.09"/>
    <n v="0"/>
    <s v="Germany"/>
    <x v="1"/>
  </r>
  <r>
    <n v="2024003260"/>
    <x v="321"/>
    <n v="2024"/>
    <x v="0"/>
    <s v="PROD_006"/>
    <s v="Monitor 27&quot;"/>
    <s v="Electronics"/>
    <n v="2"/>
    <n v="405.04"/>
    <n v="810.08"/>
    <n v="810.08"/>
    <n v="0"/>
    <s v="France"/>
    <x v="3"/>
  </r>
  <r>
    <n v="2024003261"/>
    <x v="265"/>
    <n v="2024"/>
    <x v="174"/>
    <s v="PROD_002"/>
    <s v="Wireless Mouse"/>
    <s v="Electronics"/>
    <n v="1"/>
    <n v="46.35"/>
    <n v="46.35"/>
    <n v="46.35"/>
    <n v="0"/>
    <s v="UK"/>
    <x v="0"/>
  </r>
  <r>
    <n v="2024003262"/>
    <x v="284"/>
    <n v="2024"/>
    <x v="267"/>
    <s v="PROD_010"/>
    <s v="Webcam HD"/>
    <s v="Electronics"/>
    <n v="1"/>
    <n v="98.53"/>
    <n v="98.53"/>
    <n v="98.53"/>
    <n v="0"/>
    <s v="UK"/>
    <x v="0"/>
  </r>
  <r>
    <n v="2024003263"/>
    <x v="249"/>
    <n v="2024"/>
    <x v="185"/>
    <s v="PROD_004"/>
    <s v="Desk Chair"/>
    <s v="Furniture"/>
    <n v="1"/>
    <n v="347.37"/>
    <n v="347.37"/>
    <n v="347.37"/>
    <n v="0"/>
    <s v="UK"/>
    <x v="2"/>
  </r>
  <r>
    <n v="2024003264"/>
    <x v="52"/>
    <n v="2024"/>
    <x v="0"/>
    <s v="PROD_008"/>
    <s v="Desk Lamp"/>
    <s v="Furniture"/>
    <n v="3"/>
    <n v="79.39"/>
    <n v="238.17"/>
    <n v="238.17000000000002"/>
    <n v="0"/>
    <s v="Germany"/>
    <x v="0"/>
  </r>
  <r>
    <n v="2024003265"/>
    <x v="182"/>
    <n v="2024"/>
    <x v="241"/>
    <s v="PROD_001"/>
    <s v="Laptop Pro"/>
    <s v="Electronics"/>
    <n v="2"/>
    <n v="1172.49"/>
    <n v="2344.98"/>
    <n v="2344.98"/>
    <n v="0"/>
    <s v="Sweden"/>
    <x v="2"/>
  </r>
  <r>
    <n v="2024003266"/>
    <x v="194"/>
    <n v="2024"/>
    <x v="43"/>
    <s v="PROD_003"/>
    <s v="USB-C Cable"/>
    <s v="Electronics"/>
    <n v="4"/>
    <n v="14.62"/>
    <n v="58.48"/>
    <n v="58.48"/>
    <n v="0"/>
    <s v="Sweden"/>
    <x v="1"/>
  </r>
  <r>
    <n v="2024003267"/>
    <x v="97"/>
    <n v="2024"/>
    <x v="289"/>
    <s v="PROD_001"/>
    <s v="Laptop Pro"/>
    <s v="Electronics"/>
    <n v="2"/>
    <n v="1426.49"/>
    <n v="2852.98"/>
    <n v="2852.98"/>
    <n v="0"/>
    <s v="Austria"/>
    <x v="0"/>
  </r>
  <r>
    <n v="2024003268"/>
    <x v="255"/>
    <n v="2024"/>
    <x v="72"/>
    <s v="PROD_008"/>
    <s v="Desk Lamp"/>
    <s v="Furniture"/>
    <n v="2"/>
    <n v="82.25"/>
    <n v="164.5"/>
    <n v="164.5"/>
    <n v="0"/>
    <s v="France"/>
    <x v="0"/>
  </r>
  <r>
    <n v="2024003269"/>
    <x v="13"/>
    <n v="2024"/>
    <x v="81"/>
    <s v="PROD_002"/>
    <s v="Wireless Mouse"/>
    <s v="Electronics"/>
    <n v="1"/>
    <n v="45.59"/>
    <n v="45.59"/>
    <n v="45.59"/>
    <n v="0"/>
    <s v="Belgium"/>
    <x v="2"/>
  </r>
  <r>
    <n v="2024003270"/>
    <x v="115"/>
    <n v="2024"/>
    <x v="205"/>
    <s v="PROD_010"/>
    <s v="Webcam HD"/>
    <s v="Electronics"/>
    <n v="2"/>
    <n v="94.49"/>
    <n v="188.98"/>
    <n v="188.98"/>
    <n v="0"/>
    <s v="Belgium"/>
    <x v="2"/>
  </r>
  <r>
    <n v="2024003271"/>
    <x v="229"/>
    <n v="2024"/>
    <x v="0"/>
    <s v="PROD_008"/>
    <s v="Desk Lamp"/>
    <s v="Furniture"/>
    <n v="4"/>
    <n v="84.72"/>
    <n v="338.88"/>
    <n v="338.88"/>
    <n v="0"/>
    <s v="France"/>
    <x v="0"/>
  </r>
  <r>
    <n v="2024003272"/>
    <x v="169"/>
    <n v="2024"/>
    <x v="224"/>
    <s v="PROD_004"/>
    <s v="Desk Chair"/>
    <s v="Furniture"/>
    <n v="2"/>
    <n v="352.51"/>
    <n v="705.02"/>
    <n v="705.02"/>
    <n v="0"/>
    <s v="Belgium"/>
    <x v="3"/>
  </r>
  <r>
    <n v="2024003273"/>
    <x v="265"/>
    <n v="2024"/>
    <x v="1"/>
    <s v="PROD_003"/>
    <s v="USB-C Cable"/>
    <s v="Electronics"/>
    <n v="1"/>
    <n v="15.43"/>
    <n v="15.43"/>
    <n v="15.43"/>
    <n v="0"/>
    <s v="Italy"/>
    <x v="2"/>
  </r>
  <r>
    <n v="2024003274"/>
    <x v="56"/>
    <n v="2024"/>
    <x v="149"/>
    <s v="PROD_010"/>
    <s v="Webcam HD"/>
    <s v="Electronics"/>
    <n v="1"/>
    <n v="100.07"/>
    <n v="100.07"/>
    <n v="100.07"/>
    <n v="0"/>
    <s v="Netherlands"/>
    <x v="3"/>
  </r>
  <r>
    <n v="2024003275"/>
    <x v="11"/>
    <n v="2024"/>
    <x v="270"/>
    <s v="PROD_006"/>
    <s v="Monitor 27&quot;"/>
    <s v="Electronics"/>
    <n v="2"/>
    <n v="355.91"/>
    <n v="711.82"/>
    <n v="711.82"/>
    <n v="0"/>
    <s v="Belgium"/>
    <x v="1"/>
  </r>
  <r>
    <n v="2024003276"/>
    <x v="3"/>
    <n v="2024"/>
    <x v="160"/>
    <s v="PROD_005"/>
    <s v="Standing Desk"/>
    <s v="Furniture"/>
    <n v="3"/>
    <n v="626.67999999999995"/>
    <n v="1880.04"/>
    <n v="1880.04"/>
    <n v="0"/>
    <s v="Germany"/>
    <x v="3"/>
  </r>
  <r>
    <n v="2024003277"/>
    <x v="228"/>
    <n v="2024"/>
    <x v="0"/>
    <s v="PROD_002"/>
    <s v="Wireless Mouse"/>
    <s v="Electronics"/>
    <n v="2"/>
    <n v="45.18"/>
    <n v="90.36"/>
    <n v="90.36"/>
    <n v="0"/>
    <s v="UK"/>
    <x v="2"/>
  </r>
  <r>
    <n v="2024003278"/>
    <x v="179"/>
    <n v="2024"/>
    <x v="111"/>
    <s v="PROD_008"/>
    <s v="Desk Lamp"/>
    <s v="Furniture"/>
    <n v="1"/>
    <n v="83.53"/>
    <n v="83.53"/>
    <n v="83.53"/>
    <n v="0"/>
    <s v="Italy"/>
    <x v="3"/>
  </r>
  <r>
    <n v="2024003279"/>
    <x v="299"/>
    <n v="2024"/>
    <x v="91"/>
    <s v="PROD_006"/>
    <s v="Monitor 27&quot;"/>
    <s v="Electronics"/>
    <n v="2"/>
    <n v="441.87"/>
    <n v="883.74"/>
    <n v="883.74"/>
    <n v="0"/>
    <s v="Switzerland"/>
    <x v="0"/>
  </r>
  <r>
    <n v="2024003280"/>
    <x v="286"/>
    <n v="2024"/>
    <x v="74"/>
    <s v="PROD_006"/>
    <s v="Monitor 27&quot;"/>
    <s v="Electronics"/>
    <n v="1"/>
    <n v="387.43"/>
    <n v="387.43"/>
    <n v="387.43"/>
    <n v="0"/>
    <s v="Netherlands"/>
    <x v="2"/>
  </r>
  <r>
    <n v="2024003281"/>
    <x v="243"/>
    <n v="2024"/>
    <x v="229"/>
    <s v="PROD_004"/>
    <s v="Desk Chair"/>
    <s v="Furniture"/>
    <n v="4"/>
    <n v="346.5"/>
    <n v="1386"/>
    <n v="1386"/>
    <n v="0"/>
    <s v="France"/>
    <x v="1"/>
  </r>
  <r>
    <n v="2024003282"/>
    <x v="334"/>
    <n v="2024"/>
    <x v="296"/>
    <s v="PROD_001"/>
    <s v="Laptop Pro"/>
    <s v="Electronics"/>
    <n v="1"/>
    <n v="1375.02"/>
    <n v="1375.02"/>
    <n v="1375.02"/>
    <n v="0"/>
    <s v="France"/>
    <x v="1"/>
  </r>
  <r>
    <n v="2024003283"/>
    <x v="202"/>
    <n v="2024"/>
    <x v="37"/>
    <s v="PROD_004"/>
    <s v="Desk Chair"/>
    <s v="Furniture"/>
    <n v="1"/>
    <n v="358.38"/>
    <n v="358.38"/>
    <n v="358.38"/>
    <n v="0"/>
    <s v="Belgium"/>
    <x v="0"/>
  </r>
  <r>
    <n v="2024003284"/>
    <x v="155"/>
    <n v="2024"/>
    <x v="137"/>
    <s v="PROD_009"/>
    <s v="Phone Stand"/>
    <s v="Accessories"/>
    <n v="3"/>
    <n v="24.16"/>
    <n v="72.48"/>
    <n v="72.48"/>
    <n v="0"/>
    <s v="Germany"/>
    <x v="0"/>
  </r>
  <r>
    <n v="2024003285"/>
    <x v="46"/>
    <n v="2024"/>
    <x v="272"/>
    <s v="PROD_003"/>
    <s v="USB-C Cable"/>
    <s v="Electronics"/>
    <n v="4"/>
    <n v="15.16"/>
    <n v="60.64"/>
    <n v="60.64"/>
    <n v="0"/>
    <s v="France"/>
    <x v="3"/>
  </r>
  <r>
    <n v="2024003286"/>
    <x v="76"/>
    <n v="2024"/>
    <x v="286"/>
    <s v="PROD_008"/>
    <s v="Desk Lamp"/>
    <s v="Furniture"/>
    <n v="1"/>
    <n v="74.03"/>
    <n v="74.03"/>
    <n v="74.03"/>
    <n v="0"/>
    <s v="Switzerland"/>
    <x v="1"/>
  </r>
  <r>
    <n v="2024003287"/>
    <x v="213"/>
    <n v="2024"/>
    <x v="50"/>
    <s v="PROD_004"/>
    <s v="Desk Chair"/>
    <s v="Furniture"/>
    <n v="1"/>
    <n v="336.86"/>
    <n v="336.86"/>
    <n v="336.86"/>
    <n v="0"/>
    <s v="Germany"/>
    <x v="0"/>
  </r>
  <r>
    <n v="2024003288"/>
    <x v="315"/>
    <n v="2024"/>
    <x v="51"/>
    <s v="PROD_010"/>
    <s v="Webcam HD"/>
    <s v="Electronics"/>
    <n v="1"/>
    <n v="84.08"/>
    <n v="84.08"/>
    <n v="84.08"/>
    <n v="0"/>
    <s v="Spain"/>
    <x v="0"/>
  </r>
  <r>
    <n v="2024003289"/>
    <x v="66"/>
    <n v="2024"/>
    <x v="115"/>
    <s v="PROD_001"/>
    <s v="Laptop Pro"/>
    <s v="Electronics"/>
    <n v="1"/>
    <n v="1250.76"/>
    <n v="1250.76"/>
    <n v="1250.76"/>
    <n v="0"/>
    <s v="UK"/>
    <x v="0"/>
  </r>
  <r>
    <n v="2024003290"/>
    <x v="170"/>
    <n v="2024"/>
    <x v="96"/>
    <s v="PROD_002"/>
    <s v="Wireless Mouse"/>
    <s v="Electronics"/>
    <n v="2"/>
    <n v="42.35"/>
    <n v="84.7"/>
    <n v="84.7"/>
    <n v="0"/>
    <s v="France"/>
    <x v="0"/>
  </r>
  <r>
    <n v="2024003291"/>
    <x v="367"/>
    <n v="2024"/>
    <x v="237"/>
    <s v="PROD_002"/>
    <s v="Wireless Mouse"/>
    <s v="Electronics"/>
    <n v="1"/>
    <n v="47.81"/>
    <n v="47.81"/>
    <n v="47.81"/>
    <n v="0"/>
    <s v="Belgium"/>
    <x v="0"/>
  </r>
  <r>
    <n v="2024003292"/>
    <x v="338"/>
    <n v="2024"/>
    <x v="138"/>
    <s v="PROD_003"/>
    <s v="USB-C Cable"/>
    <s v="Electronics"/>
    <n v="1"/>
    <n v="14.56"/>
    <n v="14.56"/>
    <n v="14.56"/>
    <n v="0"/>
    <s v="Netherlands"/>
    <x v="1"/>
  </r>
  <r>
    <n v="2024003293"/>
    <x v="37"/>
    <n v="2024"/>
    <x v="256"/>
    <s v="PROD_010"/>
    <s v="Webcam HD"/>
    <s v="Electronics"/>
    <n v="4"/>
    <n v="86.1"/>
    <n v="344.4"/>
    <n v="344.4"/>
    <n v="0"/>
    <s v="Germany"/>
    <x v="3"/>
  </r>
  <r>
    <n v="2024003294"/>
    <x v="341"/>
    <n v="2024"/>
    <x v="0"/>
    <s v="PROD_009"/>
    <s v="Phone Stand"/>
    <s v="Accessories"/>
    <n v="1"/>
    <n v="26.4"/>
    <n v="26.4"/>
    <n v="26.4"/>
    <n v="0"/>
    <s v="Sweden"/>
    <x v="0"/>
  </r>
  <r>
    <n v="2024003295"/>
    <x v="26"/>
    <n v="2024"/>
    <x v="248"/>
    <s v="PROD_006"/>
    <s v="Monitor 27&quot;"/>
    <s v="Electronics"/>
    <n v="3"/>
    <n v="394.8"/>
    <n v="1184.4000000000001"/>
    <n v="1184.4000000000001"/>
    <n v="0"/>
    <s v="Austria"/>
    <x v="0"/>
  </r>
  <r>
    <n v="2024003296"/>
    <x v="365"/>
    <n v="2024"/>
    <x v="215"/>
    <s v="PROD_008"/>
    <s v="Desk Lamp"/>
    <s v="Furniture"/>
    <n v="3"/>
    <n v="73.58"/>
    <n v="220.74"/>
    <n v="220.74"/>
    <n v="0"/>
    <s v="Netherlands"/>
    <x v="0"/>
  </r>
  <r>
    <n v="2024003297"/>
    <x v="59"/>
    <n v="2024"/>
    <x v="251"/>
    <s v="PROD_008"/>
    <s v="Desk Lamp"/>
    <s v="Furniture"/>
    <n v="3"/>
    <n v="77.06"/>
    <n v="231.18"/>
    <n v="231.18"/>
    <n v="0"/>
    <s v="Belgium"/>
    <x v="0"/>
  </r>
  <r>
    <n v="2024003298"/>
    <x v="299"/>
    <n v="2024"/>
    <x v="122"/>
    <s v="PROD_010"/>
    <s v="Webcam HD"/>
    <s v="Electronics"/>
    <n v="1"/>
    <n v="83.31"/>
    <n v="83.31"/>
    <n v="83.31"/>
    <n v="0"/>
    <s v="Netherlands"/>
    <x v="2"/>
  </r>
  <r>
    <n v="2024003299"/>
    <x v="52"/>
    <n v="2024"/>
    <x v="270"/>
    <s v="PROD_006"/>
    <s v="Monitor 27&quot;"/>
    <s v="Electronics"/>
    <n v="2"/>
    <n v="401.74"/>
    <n v="803.48"/>
    <n v="803.48"/>
    <n v="0"/>
    <s v="Spain"/>
    <x v="0"/>
  </r>
  <r>
    <n v="2024003300"/>
    <x v="302"/>
    <n v="2024"/>
    <x v="211"/>
    <s v="PROD_004"/>
    <s v="Desk Chair"/>
    <s v="Furniture"/>
    <n v="1"/>
    <n v="369.92"/>
    <n v="369.92"/>
    <n v="369.92"/>
    <n v="0"/>
    <s v="Italy"/>
    <x v="3"/>
  </r>
  <r>
    <n v="2024003301"/>
    <x v="233"/>
    <n v="2024"/>
    <x v="122"/>
    <s v="PROD_003"/>
    <s v="USB-C Cable"/>
    <s v="Electronics"/>
    <n v="1"/>
    <n v="15.62"/>
    <n v="15.62"/>
    <n v="15.62"/>
    <n v="0"/>
    <s v="Belgium"/>
    <x v="2"/>
  </r>
  <r>
    <n v="2024003302"/>
    <x v="17"/>
    <n v="2024"/>
    <x v="81"/>
    <s v="PROD_009"/>
    <s v="Phone Stand"/>
    <s v="Accessories"/>
    <n v="1"/>
    <n v="25.65"/>
    <n v="25.65"/>
    <n v="25.65"/>
    <n v="0"/>
    <s v="Sweden"/>
    <x v="3"/>
  </r>
  <r>
    <n v="2024003303"/>
    <x v="29"/>
    <n v="2024"/>
    <x v="238"/>
    <s v="PROD_006"/>
    <s v="Monitor 27&quot;"/>
    <s v="Electronics"/>
    <n v="1"/>
    <n v="404.25"/>
    <n v="404.25"/>
    <n v="404.25"/>
    <n v="0"/>
    <s v="Austria"/>
    <x v="1"/>
  </r>
  <r>
    <n v="2024003304"/>
    <x v="85"/>
    <n v="2024"/>
    <x v="166"/>
    <s v="PROD_007"/>
    <s v="Keyboard Mechanical"/>
    <s v="Electronics"/>
    <n v="2"/>
    <n v="113.6"/>
    <n v="227.2"/>
    <n v="227.2"/>
    <n v="0"/>
    <s v="Austria"/>
    <x v="0"/>
  </r>
  <r>
    <n v="2024003305"/>
    <x v="283"/>
    <n v="2024"/>
    <x v="272"/>
    <s v="PROD_009"/>
    <s v="Phone Stand"/>
    <s v="Accessories"/>
    <n v="2"/>
    <n v="23.98"/>
    <n v="47.96"/>
    <n v="47.96"/>
    <n v="0"/>
    <s v="Sweden"/>
    <x v="3"/>
  </r>
  <r>
    <n v="2024003306"/>
    <x v="334"/>
    <n v="2024"/>
    <x v="248"/>
    <s v="PROD_003"/>
    <s v="USB-C Cable"/>
    <s v="Electronics"/>
    <n v="1"/>
    <n v="14.61"/>
    <n v="14.61"/>
    <n v="14.61"/>
    <n v="0"/>
    <s v="Germany"/>
    <x v="2"/>
  </r>
  <r>
    <n v="2024003307"/>
    <x v="367"/>
    <n v="2024"/>
    <x v="240"/>
    <s v="PROD_005"/>
    <s v="Standing Desk"/>
    <s v="Furniture"/>
    <n v="2"/>
    <n v="564.91"/>
    <n v="1129.82"/>
    <n v="1129.82"/>
    <n v="0"/>
    <s v="Austria"/>
    <x v="0"/>
  </r>
  <r>
    <n v="2024001909"/>
    <x v="217"/>
    <n v="2024"/>
    <x v="267"/>
    <s v="PROD_002"/>
    <s v="Wireless Mouse"/>
    <s v="Electronics"/>
    <n v="3"/>
    <n v="42.66"/>
    <n v="127.98"/>
    <n v="127.97999999999999"/>
    <n v="0"/>
    <s v="Italy"/>
    <x v="2"/>
  </r>
  <r>
    <n v="2024003309"/>
    <x v="98"/>
    <n v="2024"/>
    <x v="234"/>
    <s v="PROD_004"/>
    <s v="Desk Chair"/>
    <s v="Furniture"/>
    <n v="1"/>
    <n v="334.81"/>
    <n v="334.81"/>
    <n v="334.81"/>
    <n v="0"/>
    <s v="Switzerland"/>
    <x v="2"/>
  </r>
  <r>
    <n v="2024003310"/>
    <x v="67"/>
    <n v="2024"/>
    <x v="114"/>
    <s v="PROD_007"/>
    <s v="Keyboard Mechanical"/>
    <s v="Electronics"/>
    <n v="3"/>
    <n v="115.32"/>
    <n v="345.96"/>
    <n v="345.96"/>
    <n v="0"/>
    <s v="Austria"/>
    <x v="2"/>
  </r>
  <r>
    <n v="2024003311"/>
    <x v="317"/>
    <n v="2024"/>
    <x v="26"/>
    <s v="PROD_006"/>
    <s v="Monitor 27&quot;"/>
    <s v="Electronics"/>
    <n v="2"/>
    <n v="444.23"/>
    <n v="888.46"/>
    <n v="888.46"/>
    <n v="0"/>
    <s v="Italy"/>
    <x v="2"/>
  </r>
  <r>
    <n v="2024003312"/>
    <x v="2"/>
    <n v="2024"/>
    <x v="290"/>
    <s v="PROD_002"/>
    <s v="Wireless Mouse"/>
    <s v="Electronics"/>
    <n v="2"/>
    <n v="44.97"/>
    <n v="89.94"/>
    <n v="89.94"/>
    <n v="0"/>
    <s v="France"/>
    <x v="1"/>
  </r>
  <r>
    <n v="2024003313"/>
    <x v="71"/>
    <n v="2024"/>
    <x v="118"/>
    <s v="PROD_002"/>
    <s v="Wireless Mouse"/>
    <s v="Electronics"/>
    <n v="1"/>
    <n v="43.13"/>
    <n v="43.13"/>
    <n v="43.13"/>
    <n v="0"/>
    <s v="Belgium"/>
    <x v="1"/>
  </r>
  <r>
    <n v="2024003314"/>
    <x v="262"/>
    <n v="2024"/>
    <x v="136"/>
    <s v="PROD_003"/>
    <s v="USB-C Cable"/>
    <s v="Electronics"/>
    <n v="2"/>
    <n v="14.54"/>
    <n v="29.08"/>
    <n v="29.08"/>
    <n v="0"/>
    <s v="Austria"/>
    <x v="0"/>
  </r>
  <r>
    <n v="2024003315"/>
    <x v="143"/>
    <n v="2024"/>
    <x v="133"/>
    <s v="PROD_004"/>
    <s v="Desk Chair"/>
    <s v="Furniture"/>
    <n v="2"/>
    <n v="372.6"/>
    <n v="745.2"/>
    <n v="745.2"/>
    <n v="0"/>
    <s v="France"/>
    <x v="0"/>
  </r>
  <r>
    <n v="2024003316"/>
    <x v="270"/>
    <n v="2024"/>
    <x v="110"/>
    <s v="PROD_006"/>
    <s v="Monitor 27&quot;"/>
    <s v="Electronics"/>
    <n v="1"/>
    <n v="383.86"/>
    <n v="383.86"/>
    <n v="383.86"/>
    <n v="0"/>
    <s v="Italy"/>
    <x v="0"/>
  </r>
  <r>
    <n v="2024003317"/>
    <x v="280"/>
    <n v="2024"/>
    <x v="98"/>
    <s v="PROD_005"/>
    <s v="Standing Desk"/>
    <s v="Furniture"/>
    <n v="3"/>
    <n v="597.67999999999995"/>
    <n v="1793.04"/>
    <n v="1793.04"/>
    <n v="0"/>
    <s v="Spain"/>
    <x v="1"/>
  </r>
  <r>
    <n v="2024002641"/>
    <x v="285"/>
    <n v="2024"/>
    <x v="100"/>
    <s v="PROD_002"/>
    <s v="Wireless Mouse"/>
    <s v="Electronics"/>
    <n v="1"/>
    <n v="46.34"/>
    <n v="46.34"/>
    <n v="46.34"/>
    <n v="0"/>
    <s v="Switzerland"/>
    <x v="2"/>
  </r>
  <r>
    <n v="2024003319"/>
    <x v="193"/>
    <n v="2024"/>
    <x v="53"/>
    <s v="PROD_005"/>
    <s v="Standing Desk"/>
    <s v="Furniture"/>
    <n v="1"/>
    <n v="655.32000000000005"/>
    <n v="655.32000000000005"/>
    <n v="655.32000000000005"/>
    <n v="0"/>
    <s v="France"/>
    <x v="2"/>
  </r>
  <r>
    <n v="2024003320"/>
    <x v="70"/>
    <n v="2024"/>
    <x v="35"/>
    <s v="PROD_009"/>
    <s v="Phone Stand"/>
    <s v="Accessories"/>
    <n v="1"/>
    <n v="23.93"/>
    <n v="23.93"/>
    <n v="23.93"/>
    <n v="0"/>
    <s v="Austria"/>
    <x v="0"/>
  </r>
  <r>
    <n v="2024003321"/>
    <x v="341"/>
    <n v="2024"/>
    <x v="53"/>
    <s v="PROD_008"/>
    <s v="Desk Lamp"/>
    <s v="Furniture"/>
    <n v="2"/>
    <n v="82.68"/>
    <n v="165.36"/>
    <n v="165.36"/>
    <n v="0"/>
    <s v="Germany"/>
    <x v="0"/>
  </r>
  <r>
    <n v="2024003322"/>
    <x v="44"/>
    <n v="2024"/>
    <x v="181"/>
    <s v="PROD_010"/>
    <s v="Webcam HD"/>
    <s v="Electronics"/>
    <n v="1"/>
    <n v="92.06"/>
    <n v="92.06"/>
    <n v="92.06"/>
    <n v="0"/>
    <s v="Belgium"/>
    <x v="1"/>
  </r>
  <r>
    <n v="2024003323"/>
    <x v="162"/>
    <n v="2024"/>
    <x v="0"/>
    <s v="PROD_002"/>
    <s v="Wireless Mouse"/>
    <s v="Electronics"/>
    <n v="3"/>
    <n v="48.04"/>
    <n v="144.12"/>
    <n v="144.12"/>
    <n v="0"/>
    <s v="Belgium"/>
    <x v="1"/>
  </r>
  <r>
    <n v="2024003324"/>
    <x v="162"/>
    <n v="2024"/>
    <x v="279"/>
    <s v="PROD_004"/>
    <s v="Desk Chair"/>
    <s v="Furniture"/>
    <n v="1"/>
    <n v="343.42"/>
    <n v="343.42"/>
    <n v="343.42"/>
    <n v="0"/>
    <s v="UK"/>
    <x v="1"/>
  </r>
  <r>
    <n v="2024003325"/>
    <x v="187"/>
    <n v="2024"/>
    <x v="255"/>
    <s v="PROD_008"/>
    <s v="Desk Lamp"/>
    <s v="Furniture"/>
    <n v="2"/>
    <n v="80.3"/>
    <n v="160.6"/>
    <n v="160.6"/>
    <n v="0"/>
    <s v="Germany"/>
    <x v="3"/>
  </r>
  <r>
    <n v="2024003326"/>
    <x v="64"/>
    <n v="2024"/>
    <x v="183"/>
    <s v="PROD_009"/>
    <s v="Phone Stand"/>
    <s v="Accessories"/>
    <n v="1"/>
    <n v="21.94"/>
    <n v="21.94"/>
    <n v="21.94"/>
    <n v="0"/>
    <s v="Austria"/>
    <x v="1"/>
  </r>
  <r>
    <n v="2024003327"/>
    <x v="131"/>
    <n v="2024"/>
    <x v="289"/>
    <s v="PROD_001"/>
    <s v="Laptop Pro"/>
    <s v="Electronics"/>
    <n v="1"/>
    <n v="1316.02"/>
    <n v="1316.02"/>
    <n v="1316.02"/>
    <n v="0"/>
    <s v="Austria"/>
    <x v="3"/>
  </r>
  <r>
    <n v="2024003328"/>
    <x v="309"/>
    <n v="2024"/>
    <x v="163"/>
    <s v="PROD_006"/>
    <s v="Monitor 27&quot;"/>
    <s v="Electronics"/>
    <n v="1"/>
    <n v="381.16"/>
    <n v="381.16"/>
    <n v="381.16"/>
    <n v="0"/>
    <s v="UK"/>
    <x v="0"/>
  </r>
  <r>
    <n v="2024003329"/>
    <x v="227"/>
    <n v="2024"/>
    <x v="276"/>
    <s v="PROD_005"/>
    <s v="Standing Desk"/>
    <s v="Furniture"/>
    <n v="2"/>
    <n v="605.79"/>
    <n v="1211.58"/>
    <n v="1211.58"/>
    <n v="0"/>
    <s v="Austria"/>
    <x v="2"/>
  </r>
  <r>
    <n v="2024003330"/>
    <x v="129"/>
    <n v="2024"/>
    <x v="183"/>
    <s v="PROD_009"/>
    <s v="Phone Stand"/>
    <s v="Accessories"/>
    <n v="1"/>
    <n v="25.75"/>
    <n v="25.75"/>
    <n v="25.75"/>
    <n v="0"/>
    <s v="UK"/>
    <x v="0"/>
  </r>
  <r>
    <n v="2024003331"/>
    <x v="354"/>
    <n v="2024"/>
    <x v="20"/>
    <s v="PROD_009"/>
    <s v="Phone Stand"/>
    <s v="Accessories"/>
    <n v="1"/>
    <n v="25.68"/>
    <n v="25.68"/>
    <n v="25.68"/>
    <n v="0"/>
    <s v="Spain"/>
    <x v="3"/>
  </r>
  <r>
    <n v="2024003332"/>
    <x v="348"/>
    <n v="2024"/>
    <x v="152"/>
    <s v="PROD_002"/>
    <s v="Wireless Mouse"/>
    <s v="Electronics"/>
    <n v="2"/>
    <n v="43.63"/>
    <n v="87.26"/>
    <n v="87.26"/>
    <n v="0"/>
    <s v="Netherlands"/>
    <x v="0"/>
  </r>
  <r>
    <n v="2024003333"/>
    <x v="366"/>
    <n v="2024"/>
    <x v="245"/>
    <s v="PROD_004"/>
    <s v="Desk Chair"/>
    <s v="Furniture"/>
    <n v="2"/>
    <n v="368.9"/>
    <n v="737.8"/>
    <n v="737.8"/>
    <n v="0"/>
    <s v="Austria"/>
    <x v="1"/>
  </r>
  <r>
    <n v="2024003334"/>
    <x v="270"/>
    <n v="2024"/>
    <x v="0"/>
    <s v="PROD_008"/>
    <s v="Desk Lamp"/>
    <s v="Furniture"/>
    <n v="4"/>
    <n v="76.510000000000005"/>
    <n v="306.04000000000002"/>
    <n v="306.04000000000002"/>
    <n v="0"/>
    <s v="UK"/>
    <x v="0"/>
  </r>
  <r>
    <n v="2024003335"/>
    <x v="194"/>
    <n v="2024"/>
    <x v="114"/>
    <s v="PROD_010"/>
    <s v="Webcam HD"/>
    <s v="Electronics"/>
    <n v="2"/>
    <n v="85.86"/>
    <n v="171.72"/>
    <n v="171.72"/>
    <n v="0"/>
    <s v="Belgium"/>
    <x v="3"/>
  </r>
  <r>
    <n v="2024003336"/>
    <x v="324"/>
    <n v="2024"/>
    <x v="205"/>
    <s v="PROD_003"/>
    <s v="USB-C Cable"/>
    <s v="Electronics"/>
    <n v="1"/>
    <n v="14.87"/>
    <n v="14.87"/>
    <n v="14.87"/>
    <n v="0"/>
    <s v="Sweden"/>
    <x v="2"/>
  </r>
  <r>
    <n v="2024003337"/>
    <x v="289"/>
    <n v="2024"/>
    <x v="298"/>
    <s v="PROD_002"/>
    <s v="Wireless Mouse"/>
    <s v="Electronics"/>
    <n v="1"/>
    <n v="46.75"/>
    <n v="46.75"/>
    <n v="46.75"/>
    <n v="0"/>
    <s v="Italy"/>
    <x v="0"/>
  </r>
  <r>
    <n v="2024003338"/>
    <x v="13"/>
    <n v="2024"/>
    <x v="0"/>
    <s v="PROD_002"/>
    <s v="Wireless Mouse"/>
    <s v="Electronics"/>
    <n v="1"/>
    <n v="45.5"/>
    <n v="45.5"/>
    <n v="45.5"/>
    <n v="0"/>
    <s v="Sweden"/>
    <x v="1"/>
  </r>
  <r>
    <n v="2024003339"/>
    <x v="46"/>
    <n v="2024"/>
    <x v="246"/>
    <s v="PROD_007"/>
    <s v="Keyboard Mechanical"/>
    <s v="Electronics"/>
    <n v="4"/>
    <n v="123.48"/>
    <n v="493.92"/>
    <n v="493.92"/>
    <n v="0"/>
    <s v="UK"/>
    <x v="0"/>
  </r>
  <r>
    <n v="2024003340"/>
    <x v="295"/>
    <n v="2024"/>
    <x v="83"/>
    <s v="PROD_001"/>
    <s v="Laptop Pro"/>
    <s v="Electronics"/>
    <n v="2"/>
    <n v="1230.8699999999999"/>
    <n v="2461.7399999999998"/>
    <n v="2461.7399999999998"/>
    <n v="0"/>
    <s v="Belgium"/>
    <x v="2"/>
  </r>
  <r>
    <n v="2024003341"/>
    <x v="162"/>
    <n v="2024"/>
    <x v="148"/>
    <s v="PROD_008"/>
    <s v="Desk Lamp"/>
    <s v="Furniture"/>
    <n v="1"/>
    <n v="81.180000000000007"/>
    <n v="81.180000000000007"/>
    <n v="81.180000000000007"/>
    <n v="0"/>
    <s v="Austria"/>
    <x v="2"/>
  </r>
  <r>
    <n v="2024003342"/>
    <x v="303"/>
    <n v="2024"/>
    <x v="56"/>
    <s v="PROD_010"/>
    <s v="Webcam HD"/>
    <s v="Electronics"/>
    <n v="1"/>
    <n v="86.6"/>
    <n v="86.6"/>
    <n v="86.6"/>
    <n v="0"/>
    <s v="Netherlands"/>
    <x v="1"/>
  </r>
  <r>
    <n v="2024003343"/>
    <x v="106"/>
    <n v="2024"/>
    <x v="229"/>
    <s v="PROD_003"/>
    <s v="USB-C Cable"/>
    <s v="Electronics"/>
    <n v="2"/>
    <n v="14.38"/>
    <n v="28.76"/>
    <n v="28.76"/>
    <n v="0"/>
    <s v="UK"/>
    <x v="1"/>
  </r>
  <r>
    <n v="2024003344"/>
    <x v="64"/>
    <n v="2024"/>
    <x v="127"/>
    <s v="PROD_008"/>
    <s v="Desk Lamp"/>
    <s v="Furniture"/>
    <n v="1"/>
    <n v="80.099999999999994"/>
    <n v="80.099999999999994"/>
    <n v="80.099999999999994"/>
    <n v="0"/>
    <s v="Switzerland"/>
    <x v="2"/>
  </r>
  <r>
    <n v="2024003345"/>
    <x v="364"/>
    <n v="2024"/>
    <x v="75"/>
    <s v="PROD_002"/>
    <s v="Wireless Mouse"/>
    <s v="Electronics"/>
    <n v="1"/>
    <n v="45.16"/>
    <n v="45.16"/>
    <n v="45.16"/>
    <n v="0"/>
    <s v="Spain"/>
    <x v="0"/>
  </r>
  <r>
    <n v="2024003346"/>
    <x v="236"/>
    <n v="2024"/>
    <x v="230"/>
    <s v="PROD_007"/>
    <s v="Keyboard Mechanical"/>
    <s v="Electronics"/>
    <n v="4"/>
    <n v="121.88"/>
    <n v="487.52"/>
    <n v="487.52"/>
    <n v="0"/>
    <s v="UK"/>
    <x v="3"/>
  </r>
  <r>
    <n v="2024003347"/>
    <x v="249"/>
    <n v="2024"/>
    <x v="0"/>
    <s v="PROD_010"/>
    <s v="Webcam HD"/>
    <s v="Electronics"/>
    <n v="4"/>
    <n v="86.96"/>
    <n v="347.84"/>
    <n v="347.84"/>
    <n v="0"/>
    <s v="Netherlands"/>
    <x v="2"/>
  </r>
  <r>
    <n v="2024003348"/>
    <x v="93"/>
    <n v="2024"/>
    <x v="254"/>
    <s v="PROD_001"/>
    <s v="Laptop Pro"/>
    <s v="Electronics"/>
    <n v="1"/>
    <n v="1230.93"/>
    <n v="1230.93"/>
    <n v="1230.93"/>
    <n v="0"/>
    <s v="Italy"/>
    <x v="1"/>
  </r>
  <r>
    <n v="2024003349"/>
    <x v="121"/>
    <n v="2024"/>
    <x v="230"/>
    <s v="PROD_008"/>
    <s v="Desk Lamp"/>
    <s v="Furniture"/>
    <n v="3"/>
    <n v="81.3"/>
    <n v="243.9"/>
    <n v="243.89999999999998"/>
    <n v="0"/>
    <s v="Germany"/>
    <x v="2"/>
  </r>
  <r>
    <n v="2024003350"/>
    <x v="136"/>
    <n v="2024"/>
    <x v="0"/>
    <s v="PROD_001"/>
    <s v="Laptop Pro"/>
    <s v="Electronics"/>
    <n v="1"/>
    <n v="1181.57"/>
    <n v="1181.57"/>
    <n v="1181.57"/>
    <n v="0"/>
    <s v="Netherlands"/>
    <x v="1"/>
  </r>
  <r>
    <n v="2024003351"/>
    <x v="31"/>
    <n v="2024"/>
    <x v="123"/>
    <s v="PROD_010"/>
    <s v="Webcam HD"/>
    <s v="Electronics"/>
    <n v="3"/>
    <n v="89.78"/>
    <n v="269.33999999999997"/>
    <n v="269.34000000000003"/>
    <n v="0"/>
    <s v="Netherlands"/>
    <x v="0"/>
  </r>
  <r>
    <n v="2024003352"/>
    <x v="69"/>
    <n v="2024"/>
    <x v="0"/>
    <s v="PROD_007"/>
    <s v="Keyboard Mechanical"/>
    <s v="Electronics"/>
    <n v="1"/>
    <n v="116.52"/>
    <n v="116.52"/>
    <n v="116.52"/>
    <n v="0"/>
    <s v="Switzerland"/>
    <x v="0"/>
  </r>
  <r>
    <n v="2024003353"/>
    <x v="338"/>
    <n v="2024"/>
    <x v="67"/>
    <s v="PROD_006"/>
    <s v="Monitor 27&quot;"/>
    <s v="Electronics"/>
    <n v="1"/>
    <n v="399.93"/>
    <n v="399.93"/>
    <n v="399.93"/>
    <n v="0"/>
    <s v="Switzerland"/>
    <x v="3"/>
  </r>
  <r>
    <n v="2024003354"/>
    <x v="365"/>
    <n v="2024"/>
    <x v="0"/>
    <s v="PROD_010"/>
    <s v="Webcam HD"/>
    <s v="Electronics"/>
    <n v="1"/>
    <n v="93.1"/>
    <n v="93.1"/>
    <n v="93.1"/>
    <n v="0"/>
    <s v="Netherlands"/>
    <x v="3"/>
  </r>
  <r>
    <n v="2024003355"/>
    <x v="11"/>
    <n v="2024"/>
    <x v="73"/>
    <s v="PROD_004"/>
    <s v="Desk Chair"/>
    <s v="Furniture"/>
    <n v="2"/>
    <n v="330.74"/>
    <n v="661.48"/>
    <n v="661.48"/>
    <n v="0"/>
    <s v="Germany"/>
    <x v="3"/>
  </r>
  <r>
    <n v="2024003356"/>
    <x v="89"/>
    <n v="2024"/>
    <x v="245"/>
    <s v="PROD_002"/>
    <s v="Wireless Mouse"/>
    <s v="Electronics"/>
    <n v="2"/>
    <n v="44.13"/>
    <n v="88.26"/>
    <n v="88.26"/>
    <n v="0"/>
    <s v="Austria"/>
    <x v="3"/>
  </r>
  <r>
    <n v="2024003357"/>
    <x v="134"/>
    <n v="2024"/>
    <x v="172"/>
    <s v="PROD_010"/>
    <s v="Webcam HD"/>
    <s v="Electronics"/>
    <n v="1"/>
    <n v="93"/>
    <n v="93"/>
    <n v="93"/>
    <n v="0"/>
    <s v="Belgium"/>
    <x v="2"/>
  </r>
  <r>
    <n v="2024003358"/>
    <x v="119"/>
    <n v="2024"/>
    <x v="0"/>
    <s v="PROD_004"/>
    <s v="Desk Chair"/>
    <s v="Furniture"/>
    <n v="2"/>
    <n v="368.5"/>
    <n v="737"/>
    <n v="737"/>
    <n v="0"/>
    <s v="Germany"/>
    <x v="0"/>
  </r>
  <r>
    <n v="2024003359"/>
    <x v="259"/>
    <n v="2024"/>
    <x v="0"/>
    <s v="PROD_005"/>
    <s v="Standing Desk"/>
    <s v="Furniture"/>
    <n v="3"/>
    <n v="597.58000000000004"/>
    <n v="1792.74"/>
    <n v="1792.7400000000002"/>
    <n v="0"/>
    <s v="Belgium"/>
    <x v="1"/>
  </r>
  <r>
    <n v="2024003360"/>
    <x v="145"/>
    <n v="2024"/>
    <x v="67"/>
    <s v="PROD_001"/>
    <s v="Laptop Pro"/>
    <s v="Electronics"/>
    <n v="3"/>
    <n v="1142.5899999999999"/>
    <n v="3427.77"/>
    <n v="3427.7699999999995"/>
    <n v="0"/>
    <s v="Austria"/>
    <x v="1"/>
  </r>
  <r>
    <n v="2024003361"/>
    <x v="239"/>
    <n v="2024"/>
    <x v="0"/>
    <s v="PROD_002"/>
    <s v="Wireless Mouse"/>
    <s v="Electronics"/>
    <n v="4"/>
    <n v="45.67"/>
    <n v="182.68"/>
    <n v="182.68"/>
    <n v="0"/>
    <s v="Germany"/>
    <x v="1"/>
  </r>
  <r>
    <n v="2024003362"/>
    <x v="289"/>
    <n v="2024"/>
    <x v="248"/>
    <s v="PROD_005"/>
    <s v="Standing Desk"/>
    <s v="Furniture"/>
    <n v="1"/>
    <n v="563.62"/>
    <n v="563.62"/>
    <n v="563.62"/>
    <n v="0"/>
    <s v="Austria"/>
    <x v="2"/>
  </r>
  <r>
    <n v="2024003363"/>
    <x v="76"/>
    <n v="2024"/>
    <x v="171"/>
    <s v="PROD_010"/>
    <s v="Webcam HD"/>
    <s v="Electronics"/>
    <n v="1"/>
    <n v="76.459999999999994"/>
    <n v="76.459999999999994"/>
    <n v="76.459999999999994"/>
    <n v="0"/>
    <s v="Netherlands"/>
    <x v="0"/>
  </r>
  <r>
    <n v="2024003364"/>
    <x v="232"/>
    <n v="2024"/>
    <x v="147"/>
    <s v="PROD_005"/>
    <s v="Standing Desk"/>
    <s v="Furniture"/>
    <n v="1"/>
    <n v="602.88"/>
    <n v="602.88"/>
    <n v="602.88"/>
    <n v="0"/>
    <s v="France"/>
    <x v="1"/>
  </r>
  <r>
    <n v="2024003365"/>
    <x v="197"/>
    <n v="2024"/>
    <x v="50"/>
    <s v="PROD_008"/>
    <s v="Desk Lamp"/>
    <s v="Furniture"/>
    <n v="1"/>
    <n v="80.81"/>
    <n v="80.81"/>
    <n v="80.81"/>
    <n v="0"/>
    <s v="Belgium"/>
    <x v="0"/>
  </r>
  <r>
    <n v="2024003366"/>
    <x v="151"/>
    <n v="2024"/>
    <x v="31"/>
    <s v="PROD_004"/>
    <s v="Desk Chair"/>
    <s v="Furniture"/>
    <n v="1"/>
    <n v="331.52"/>
    <n v="331.52"/>
    <n v="331.52"/>
    <n v="0"/>
    <s v="Switzerland"/>
    <x v="1"/>
  </r>
  <r>
    <n v="2024003367"/>
    <x v="79"/>
    <n v="2024"/>
    <x v="129"/>
    <s v="PROD_001"/>
    <s v="Laptop Pro"/>
    <s v="Electronics"/>
    <n v="2"/>
    <n v="1066"/>
    <n v="2132"/>
    <n v="2132"/>
    <n v="0"/>
    <s v="Netherlands"/>
    <x v="3"/>
  </r>
  <r>
    <n v="2024003368"/>
    <x v="255"/>
    <n v="2024"/>
    <x v="9"/>
    <s v="PROD_005"/>
    <s v="Standing Desk"/>
    <s v="Furniture"/>
    <n v="3"/>
    <n v="583.53"/>
    <n v="1750.59"/>
    <n v="1750.59"/>
    <n v="0"/>
    <s v="Switzerland"/>
    <x v="2"/>
  </r>
  <r>
    <n v="2024003369"/>
    <x v="263"/>
    <n v="2024"/>
    <x v="299"/>
    <s v="PROD_003"/>
    <s v="USB-C Cable"/>
    <s v="Electronics"/>
    <n v="1"/>
    <n v="14.55"/>
    <n v="14.55"/>
    <n v="14.55"/>
    <n v="0"/>
    <s v="Sweden"/>
    <x v="2"/>
  </r>
  <r>
    <n v="2024003370"/>
    <x v="230"/>
    <n v="2024"/>
    <x v="57"/>
    <s v="PROD_008"/>
    <s v="Desk Lamp"/>
    <s v="Furniture"/>
    <n v="3"/>
    <n v="78.48"/>
    <n v="235.44"/>
    <n v="235.44"/>
    <n v="0"/>
    <s v="Italy"/>
    <x v="2"/>
  </r>
  <r>
    <n v="2024003371"/>
    <x v="169"/>
    <n v="2024"/>
    <x v="62"/>
    <s v="PROD_007"/>
    <s v="Keyboard Mechanical"/>
    <s v="Electronics"/>
    <n v="1"/>
    <n v="118.76"/>
    <n v="118.76"/>
    <n v="118.76"/>
    <n v="0"/>
    <s v="Spain"/>
    <x v="3"/>
  </r>
  <r>
    <n v="2024003372"/>
    <x v="227"/>
    <n v="2024"/>
    <x v="223"/>
    <s v="PROD_002"/>
    <s v="Wireless Mouse"/>
    <s v="Electronics"/>
    <n v="2"/>
    <n v="47.52"/>
    <n v="95.04"/>
    <n v="95.04"/>
    <n v="0"/>
    <s v="Germany"/>
    <x v="0"/>
  </r>
  <r>
    <n v="2024003373"/>
    <x v="114"/>
    <n v="2024"/>
    <x v="25"/>
    <s v="PROD_001"/>
    <s v="Laptop Pro"/>
    <s v="Electronics"/>
    <n v="1"/>
    <n v="1245.05"/>
    <n v="1245.05"/>
    <n v="1245.05"/>
    <n v="0"/>
    <s v="Sweden"/>
    <x v="1"/>
  </r>
  <r>
    <n v="2024003374"/>
    <x v="200"/>
    <n v="2024"/>
    <x v="144"/>
    <s v="PROD_001"/>
    <s v="Laptop Pro"/>
    <s v="Electronics"/>
    <n v="1"/>
    <n v="1197"/>
    <n v="1197"/>
    <n v="1197"/>
    <n v="0"/>
    <s v="Italy"/>
    <x v="3"/>
  </r>
  <r>
    <n v="2024003375"/>
    <x v="10"/>
    <n v="2024"/>
    <x v="0"/>
    <s v="PROD_005"/>
    <s v="Standing Desk"/>
    <s v="Furniture"/>
    <n v="2"/>
    <n v="644.15"/>
    <n v="1288.3"/>
    <n v="1288.3"/>
    <n v="0"/>
    <s v="France"/>
    <x v="3"/>
  </r>
  <r>
    <n v="2024003376"/>
    <x v="58"/>
    <n v="2024"/>
    <x v="0"/>
    <s v="PROD_010"/>
    <s v="Webcam HD"/>
    <s v="Electronics"/>
    <n v="1"/>
    <n v="86.4"/>
    <n v="86.4"/>
    <n v="86.4"/>
    <n v="0"/>
    <s v="France"/>
    <x v="3"/>
  </r>
  <r>
    <n v="2024003377"/>
    <x v="341"/>
    <n v="2024"/>
    <x v="228"/>
    <s v="PROD_003"/>
    <s v="USB-C Cable"/>
    <s v="Electronics"/>
    <n v="1"/>
    <n v="14.34"/>
    <n v="14.34"/>
    <n v="14.34"/>
    <n v="0"/>
    <s v="UK"/>
    <x v="1"/>
  </r>
  <r>
    <n v="2024003378"/>
    <x v="189"/>
    <n v="2024"/>
    <x v="186"/>
    <s v="PROD_002"/>
    <s v="Wireless Mouse"/>
    <s v="Electronics"/>
    <n v="1"/>
    <n v="43.09"/>
    <n v="43.09"/>
    <n v="43.09"/>
    <n v="0"/>
    <s v="Belgium"/>
    <x v="2"/>
  </r>
  <r>
    <n v="2024003379"/>
    <x v="327"/>
    <n v="2024"/>
    <x v="160"/>
    <s v="PROD_010"/>
    <s v="Webcam HD"/>
    <s v="Electronics"/>
    <n v="3"/>
    <n v="86.72"/>
    <n v="260.16000000000003"/>
    <n v="260.15999999999997"/>
    <n v="0"/>
    <s v="Austria"/>
    <x v="3"/>
  </r>
  <r>
    <n v="2024003380"/>
    <x v="325"/>
    <n v="2024"/>
    <x v="270"/>
    <s v="PROD_002"/>
    <s v="Wireless Mouse"/>
    <s v="Electronics"/>
    <n v="1"/>
    <n v="47.46"/>
    <n v="47.46"/>
    <n v="47.46"/>
    <n v="0"/>
    <s v="Netherlands"/>
    <x v="1"/>
  </r>
  <r>
    <n v="2024003381"/>
    <x v="136"/>
    <n v="2024"/>
    <x v="219"/>
    <s v="PROD_009"/>
    <s v="Phone Stand"/>
    <s v="Accessories"/>
    <n v="1"/>
    <n v="25.37"/>
    <n v="25.37"/>
    <n v="25.37"/>
    <n v="0"/>
    <s v="Italy"/>
    <x v="3"/>
  </r>
  <r>
    <n v="2024003382"/>
    <x v="197"/>
    <n v="2024"/>
    <x v="99"/>
    <s v="PROD_010"/>
    <s v="Webcam HD"/>
    <s v="Electronics"/>
    <n v="1"/>
    <n v="89.65"/>
    <n v="89.65"/>
    <n v="89.65"/>
    <n v="0"/>
    <s v="UK"/>
    <x v="0"/>
  </r>
  <r>
    <n v="2024003383"/>
    <x v="333"/>
    <n v="2024"/>
    <x v="95"/>
    <s v="PROD_006"/>
    <s v="Monitor 27&quot;"/>
    <s v="Electronics"/>
    <n v="3"/>
    <n v="417.75"/>
    <n v="1253.25"/>
    <n v="1253.25"/>
    <n v="0"/>
    <s v="Spain"/>
    <x v="0"/>
  </r>
  <r>
    <n v="2024003384"/>
    <x v="326"/>
    <n v="2024"/>
    <x v="15"/>
    <s v="PROD_002"/>
    <s v="Wireless Mouse"/>
    <s v="Electronics"/>
    <n v="1"/>
    <n v="43.78"/>
    <n v="43.78"/>
    <n v="43.78"/>
    <n v="0"/>
    <s v="Italy"/>
    <x v="3"/>
  </r>
  <r>
    <n v="2024003385"/>
    <x v="2"/>
    <n v="2024"/>
    <x v="117"/>
    <s v="PROD_006"/>
    <s v="Monitor 27&quot;"/>
    <s v="Electronics"/>
    <n v="3"/>
    <n v="386.06"/>
    <n v="1158.18"/>
    <n v="1158.18"/>
    <n v="0"/>
    <s v="Spain"/>
    <x v="0"/>
  </r>
  <r>
    <n v="2024003386"/>
    <x v="336"/>
    <n v="2024"/>
    <x v="136"/>
    <s v="PROD_007"/>
    <s v="Keyboard Mechanical"/>
    <s v="Electronics"/>
    <n v="2"/>
    <n v="122.37"/>
    <n v="244.74"/>
    <n v="244.74"/>
    <n v="0"/>
    <s v="Austria"/>
    <x v="3"/>
  </r>
  <r>
    <n v="2024003387"/>
    <x v="219"/>
    <n v="2024"/>
    <x v="17"/>
    <s v="PROD_003"/>
    <s v="USB-C Cable"/>
    <s v="Electronics"/>
    <n v="1"/>
    <n v="15.08"/>
    <n v="15.08"/>
    <n v="15.08"/>
    <n v="0"/>
    <s v="UK"/>
    <x v="1"/>
  </r>
  <r>
    <n v="2024003388"/>
    <x v="77"/>
    <n v="2024"/>
    <x v="55"/>
    <s v="PROD_007"/>
    <s v="Keyboard Mechanical"/>
    <s v="Electronics"/>
    <n v="1"/>
    <n v="122.39"/>
    <n v="122.39"/>
    <n v="122.39"/>
    <n v="0"/>
    <s v="Italy"/>
    <x v="3"/>
  </r>
  <r>
    <n v="2024003389"/>
    <x v="14"/>
    <n v="2024"/>
    <x v="40"/>
    <s v="PROD_007"/>
    <s v="Keyboard Mechanical"/>
    <s v="Electronics"/>
    <n v="3"/>
    <n v="115.57"/>
    <n v="346.71"/>
    <n v="346.71"/>
    <n v="0"/>
    <s v="Sweden"/>
    <x v="2"/>
  </r>
  <r>
    <n v="2024003390"/>
    <x v="74"/>
    <n v="2024"/>
    <x v="12"/>
    <s v="PROD_001"/>
    <s v="Laptop Pro"/>
    <s v="Electronics"/>
    <n v="1"/>
    <n v="1204.79"/>
    <n v="1204.79"/>
    <n v="1204.79"/>
    <n v="0"/>
    <s v="Spain"/>
    <x v="1"/>
  </r>
  <r>
    <n v="2024003391"/>
    <x v="347"/>
    <n v="2024"/>
    <x v="103"/>
    <s v="PROD_008"/>
    <s v="Desk Lamp"/>
    <s v="Furniture"/>
    <n v="3"/>
    <n v="72.7"/>
    <n v="218.1"/>
    <n v="218.10000000000002"/>
    <n v="0"/>
    <s v="Belgium"/>
    <x v="3"/>
  </r>
  <r>
    <n v="2024003392"/>
    <x v="302"/>
    <n v="2024"/>
    <x v="147"/>
    <s v="PROD_010"/>
    <s v="Webcam HD"/>
    <s v="Electronics"/>
    <n v="1"/>
    <n v="86.6"/>
    <n v="86.6"/>
    <n v="86.6"/>
    <n v="0"/>
    <s v="Netherlands"/>
    <x v="3"/>
  </r>
  <r>
    <n v="2024003393"/>
    <x v="44"/>
    <n v="2024"/>
    <x v="280"/>
    <s v="PROD_001"/>
    <s v="Laptop Pro"/>
    <s v="Electronics"/>
    <n v="2"/>
    <n v="1333.99"/>
    <n v="2667.98"/>
    <n v="2667.98"/>
    <n v="0"/>
    <s v="Italy"/>
    <x v="3"/>
  </r>
  <r>
    <n v="2024003394"/>
    <x v="241"/>
    <n v="2024"/>
    <x v="119"/>
    <s v="PROD_010"/>
    <s v="Webcam HD"/>
    <s v="Electronics"/>
    <n v="1"/>
    <n v="87.12"/>
    <n v="87.12"/>
    <n v="87.12"/>
    <n v="0"/>
    <s v="UK"/>
    <x v="3"/>
  </r>
  <r>
    <n v="2024003395"/>
    <x v="308"/>
    <n v="2024"/>
    <x v="148"/>
    <s v="PROD_007"/>
    <s v="Keyboard Mechanical"/>
    <s v="Electronics"/>
    <n v="3"/>
    <n v="110.33"/>
    <n v="330.99"/>
    <n v="330.99"/>
    <n v="0"/>
    <s v="Sweden"/>
    <x v="0"/>
  </r>
  <r>
    <n v="2024003396"/>
    <x v="339"/>
    <n v="2024"/>
    <x v="0"/>
    <s v="PROD_001"/>
    <s v="Laptop Pro"/>
    <s v="Electronics"/>
    <n v="1"/>
    <n v="1238.1099999999999"/>
    <n v="1238.1099999999999"/>
    <n v="1238.1099999999999"/>
    <n v="0"/>
    <s v="Sweden"/>
    <x v="2"/>
  </r>
  <r>
    <n v="2024003397"/>
    <x v="367"/>
    <n v="2024"/>
    <x v="259"/>
    <s v="PROD_004"/>
    <s v="Desk Chair"/>
    <s v="Furniture"/>
    <n v="2"/>
    <n v="332.04"/>
    <n v="664.08"/>
    <n v="664.08"/>
    <n v="0"/>
    <s v="France"/>
    <x v="1"/>
  </r>
  <r>
    <n v="2024003398"/>
    <x v="1"/>
    <n v="2024"/>
    <x v="270"/>
    <s v="PROD_010"/>
    <s v="Webcam HD"/>
    <s v="Electronics"/>
    <n v="4"/>
    <n v="88.4"/>
    <n v="353.6"/>
    <n v="353.6"/>
    <n v="0"/>
    <s v="Germany"/>
    <x v="2"/>
  </r>
  <r>
    <n v="2024003399"/>
    <x v="159"/>
    <n v="2024"/>
    <x v="274"/>
    <s v="PROD_010"/>
    <s v="Webcam HD"/>
    <s v="Electronics"/>
    <n v="1"/>
    <n v="87.55"/>
    <n v="87.55"/>
    <n v="87.55"/>
    <n v="0"/>
    <s v="Germany"/>
    <x v="2"/>
  </r>
  <r>
    <n v="2024003400"/>
    <x v="39"/>
    <n v="2024"/>
    <x v="0"/>
    <s v="PROD_003"/>
    <s v="USB-C Cable"/>
    <s v="Electronics"/>
    <n v="3"/>
    <n v="15.42"/>
    <n v="46.26"/>
    <n v="46.26"/>
    <n v="0"/>
    <s v="Netherlands"/>
    <x v="2"/>
  </r>
  <r>
    <n v="2024003401"/>
    <x v="274"/>
    <n v="2024"/>
    <x v="61"/>
    <s v="PROD_004"/>
    <s v="Desk Chair"/>
    <s v="Furniture"/>
    <n v="1"/>
    <n v="342.39"/>
    <n v="342.39"/>
    <n v="342.39"/>
    <n v="0"/>
    <s v="Austria"/>
    <x v="2"/>
  </r>
  <r>
    <n v="2024003402"/>
    <x v="88"/>
    <n v="2024"/>
    <x v="0"/>
    <s v="PROD_005"/>
    <s v="Standing Desk"/>
    <s v="Furniture"/>
    <n v="4"/>
    <n v="561.99"/>
    <n v="2247.96"/>
    <n v="2247.96"/>
    <n v="0"/>
    <s v="Germany"/>
    <x v="2"/>
  </r>
  <r>
    <n v="2024003403"/>
    <x v="44"/>
    <n v="2024"/>
    <x v="72"/>
    <s v="PROD_006"/>
    <s v="Monitor 27&quot;"/>
    <s v="Electronics"/>
    <n v="1"/>
    <n v="395.88"/>
    <n v="395.88"/>
    <n v="395.88"/>
    <n v="0"/>
    <s v="Italy"/>
    <x v="3"/>
  </r>
  <r>
    <n v="2024003404"/>
    <x v="256"/>
    <n v="2024"/>
    <x v="92"/>
    <s v="PROD_006"/>
    <s v="Monitor 27&quot;"/>
    <s v="Electronics"/>
    <n v="1"/>
    <n v="376.8"/>
    <n v="376.8"/>
    <n v="376.8"/>
    <n v="0"/>
    <s v="Germany"/>
    <x v="0"/>
  </r>
  <r>
    <n v="2024003405"/>
    <x v="280"/>
    <n v="2024"/>
    <x v="201"/>
    <s v="PROD_002"/>
    <s v="Wireless Mouse"/>
    <s v="Electronics"/>
    <n v="1"/>
    <n v="46.36"/>
    <n v="46.36"/>
    <n v="46.36"/>
    <n v="0"/>
    <s v="Austria"/>
    <x v="3"/>
  </r>
  <r>
    <n v="2024003406"/>
    <x v="64"/>
    <n v="2024"/>
    <x v="163"/>
    <s v="PROD_005"/>
    <s v="Standing Desk"/>
    <s v="Furniture"/>
    <n v="1"/>
    <n v="598.32000000000005"/>
    <n v="598.32000000000005"/>
    <n v="598.32000000000005"/>
    <n v="0"/>
    <s v="Italy"/>
    <x v="0"/>
  </r>
  <r>
    <n v="2024003407"/>
    <x v="126"/>
    <n v="2024"/>
    <x v="0"/>
    <s v="PROD_007"/>
    <s v="Keyboard Mechanical"/>
    <s v="Electronics"/>
    <n v="1"/>
    <n v="119.53"/>
    <n v="119.53"/>
    <n v="119.53"/>
    <n v="0"/>
    <s v="Belgium"/>
    <x v="3"/>
  </r>
  <r>
    <n v="2024003408"/>
    <x v="340"/>
    <n v="2024"/>
    <x v="73"/>
    <s v="PROD_003"/>
    <s v="USB-C Cable"/>
    <s v="Electronics"/>
    <n v="1"/>
    <n v="15.26"/>
    <n v="15.26"/>
    <n v="15.26"/>
    <n v="0"/>
    <s v="Switzerland"/>
    <x v="2"/>
  </r>
  <r>
    <n v="2024003409"/>
    <x v="88"/>
    <n v="2024"/>
    <x v="12"/>
    <s v="PROD_003"/>
    <s v="USB-C Cable"/>
    <s v="Electronics"/>
    <n v="1"/>
    <n v="14.53"/>
    <n v="14.53"/>
    <n v="14.53"/>
    <n v="0"/>
    <s v="Italy"/>
    <x v="2"/>
  </r>
  <r>
    <n v="2024003410"/>
    <x v="213"/>
    <n v="2024"/>
    <x v="122"/>
    <s v="PROD_007"/>
    <s v="Keyboard Mechanical"/>
    <s v="Electronics"/>
    <n v="1"/>
    <n v="111.81"/>
    <n v="111.81"/>
    <n v="111.81"/>
    <n v="0"/>
    <s v="Sweden"/>
    <x v="3"/>
  </r>
  <r>
    <n v="2024003411"/>
    <x v="235"/>
    <n v="2024"/>
    <x v="120"/>
    <s v="PROD_005"/>
    <s v="Standing Desk"/>
    <s v="Furniture"/>
    <n v="2"/>
    <n v="664.1"/>
    <n v="1328.2"/>
    <n v="1328.2"/>
    <n v="0"/>
    <s v="UK"/>
    <x v="1"/>
  </r>
  <r>
    <n v="2024003412"/>
    <x v="260"/>
    <n v="2024"/>
    <x v="81"/>
    <s v="PROD_009"/>
    <s v="Phone Stand"/>
    <s v="Accessories"/>
    <n v="2"/>
    <n v="26.96"/>
    <n v="53.92"/>
    <n v="53.92"/>
    <n v="0"/>
    <s v="Sweden"/>
    <x v="1"/>
  </r>
  <r>
    <n v="2024003413"/>
    <x v="159"/>
    <n v="2024"/>
    <x v="9"/>
    <s v="PROD_008"/>
    <s v="Desk Lamp"/>
    <s v="Furniture"/>
    <n v="1"/>
    <n v="73.91"/>
    <n v="73.91"/>
    <n v="73.91"/>
    <n v="0"/>
    <s v="Germany"/>
    <x v="1"/>
  </r>
  <r>
    <n v="2024003414"/>
    <x v="5"/>
    <n v="2024"/>
    <x v="212"/>
    <s v="PROD_007"/>
    <s v="Keyboard Mechanical"/>
    <s v="Electronics"/>
    <n v="1"/>
    <n v="120.98"/>
    <n v="120.98"/>
    <n v="120.98"/>
    <n v="0"/>
    <s v="UK"/>
    <x v="1"/>
  </r>
  <r>
    <n v="2024003415"/>
    <x v="255"/>
    <n v="2024"/>
    <x v="27"/>
    <s v="PROD_004"/>
    <s v="Desk Chair"/>
    <s v="Furniture"/>
    <n v="4"/>
    <n v="337"/>
    <n v="1348"/>
    <n v="1348"/>
    <n v="0"/>
    <s v="Sweden"/>
    <x v="2"/>
  </r>
  <r>
    <n v="2024003416"/>
    <x v="220"/>
    <n v="2024"/>
    <x v="0"/>
    <s v="PROD_008"/>
    <s v="Desk Lamp"/>
    <s v="Furniture"/>
    <n v="3"/>
    <n v="79.25"/>
    <n v="237.75"/>
    <n v="237.75"/>
    <n v="0"/>
    <s v="Sweden"/>
    <x v="2"/>
  </r>
  <r>
    <n v="2024003417"/>
    <x v="357"/>
    <n v="2024"/>
    <x v="0"/>
    <s v="PROD_006"/>
    <s v="Monitor 27&quot;"/>
    <s v="Electronics"/>
    <n v="4"/>
    <n v="443.42"/>
    <n v="1773.68"/>
    <n v="1773.68"/>
    <n v="0"/>
    <s v="Austria"/>
    <x v="3"/>
  </r>
  <r>
    <n v="2024003418"/>
    <x v="79"/>
    <n v="2024"/>
    <x v="0"/>
    <s v="PROD_005"/>
    <s v="Standing Desk"/>
    <s v="Furniture"/>
    <n v="4"/>
    <n v="626.62"/>
    <n v="2506.48"/>
    <n v="2506.48"/>
    <n v="0"/>
    <s v="Austria"/>
    <x v="0"/>
  </r>
  <r>
    <n v="2024003419"/>
    <x v="145"/>
    <n v="2024"/>
    <x v="38"/>
    <s v="PROD_007"/>
    <s v="Keyboard Mechanical"/>
    <s v="Electronics"/>
    <n v="4"/>
    <n v="126.5"/>
    <n v="506"/>
    <n v="506"/>
    <n v="0"/>
    <s v="Sweden"/>
    <x v="0"/>
  </r>
  <r>
    <n v="2024003420"/>
    <x v="248"/>
    <n v="2024"/>
    <x v="254"/>
    <s v="PROD_005"/>
    <s v="Standing Desk"/>
    <s v="Furniture"/>
    <n v="0"/>
    <n v="630.37"/>
    <n v="0"/>
    <n v="0"/>
    <n v="0"/>
    <s v="Sweden"/>
    <x v="2"/>
  </r>
  <r>
    <n v="2024003421"/>
    <x v="135"/>
    <n v="2024"/>
    <x v="38"/>
    <s v="PROD_001"/>
    <s v="Laptop Pro"/>
    <s v="Electronics"/>
    <n v="1"/>
    <n v="1339.38"/>
    <n v="1339.38"/>
    <n v="1339.38"/>
    <n v="0"/>
    <s v="France"/>
    <x v="0"/>
  </r>
  <r>
    <n v="2024003422"/>
    <x v="282"/>
    <n v="2024"/>
    <x v="32"/>
    <s v="PROD_010"/>
    <s v="Webcam HD"/>
    <s v="Electronics"/>
    <n v="1"/>
    <n v="98.07"/>
    <n v="98.07"/>
    <n v="98.07"/>
    <n v="0"/>
    <s v="Italy"/>
    <x v="1"/>
  </r>
  <r>
    <n v="2024003423"/>
    <x v="191"/>
    <n v="2024"/>
    <x v="161"/>
    <s v="PROD_002"/>
    <s v="Wireless Mouse"/>
    <s v="Electronics"/>
    <n v="1"/>
    <n v="41.54"/>
    <n v="41.54"/>
    <n v="41.54"/>
    <n v="0"/>
    <s v="Austria"/>
    <x v="0"/>
  </r>
  <r>
    <n v="2024003424"/>
    <x v="149"/>
    <n v="2024"/>
    <x v="0"/>
    <s v="PROD_010"/>
    <s v="Webcam HD"/>
    <s v="Electronics"/>
    <n v="2"/>
    <n v="87.34"/>
    <n v="174.68"/>
    <n v="174.68"/>
    <n v="0"/>
    <s v="Spain"/>
    <x v="2"/>
  </r>
  <r>
    <n v="2024003425"/>
    <x v="116"/>
    <n v="2024"/>
    <x v="53"/>
    <s v="PROD_009"/>
    <s v="Phone Stand"/>
    <s v="Accessories"/>
    <n v="1"/>
    <n v="24.72"/>
    <n v="24.72"/>
    <n v="24.72"/>
    <n v="0"/>
    <s v="France"/>
    <x v="2"/>
  </r>
  <r>
    <n v="2024003426"/>
    <x v="5"/>
    <n v="2024"/>
    <x v="175"/>
    <s v="PROD_006"/>
    <s v="Monitor 27&quot;"/>
    <s v="Electronics"/>
    <n v="3"/>
    <n v="426.47"/>
    <n v="1279.4100000000001"/>
    <n v="1279.4100000000001"/>
    <n v="0"/>
    <s v="France"/>
    <x v="3"/>
  </r>
  <r>
    <n v="2024003427"/>
    <x v="368"/>
    <n v="2023"/>
    <x v="267"/>
    <s v="PROD_006"/>
    <s v="Monitor 27&quot;"/>
    <s v="Electronics"/>
    <n v="1"/>
    <n v="399.34"/>
    <n v="399.34"/>
    <n v="399.34"/>
    <n v="0"/>
    <s v="UK"/>
    <x v="3"/>
  </r>
  <r>
    <n v="2024003428"/>
    <x v="103"/>
    <n v="2024"/>
    <x v="21"/>
    <s v="PROD_002"/>
    <s v="Wireless Mouse"/>
    <s v="Electronics"/>
    <n v="4"/>
    <n v="47.35"/>
    <n v="189.4"/>
    <n v="189.4"/>
    <n v="0"/>
    <s v="Netherlands"/>
    <x v="3"/>
  </r>
  <r>
    <n v="2024003429"/>
    <x v="283"/>
    <n v="2024"/>
    <x v="132"/>
    <s v="PROD_002"/>
    <s v="Wireless Mouse"/>
    <s v="Electronics"/>
    <n v="2"/>
    <n v="43.62"/>
    <n v="87.24"/>
    <n v="87.24"/>
    <n v="0"/>
    <s v="Switzerland"/>
    <x v="0"/>
  </r>
  <r>
    <n v="2024003430"/>
    <x v="132"/>
    <n v="2024"/>
    <x v="109"/>
    <s v="PROD_004"/>
    <s v="Desk Chair"/>
    <s v="Furniture"/>
    <n v="2"/>
    <n v="343.79"/>
    <n v="687.58"/>
    <n v="687.58"/>
    <n v="0"/>
    <s v="Spain"/>
    <x v="0"/>
  </r>
  <r>
    <n v="2024003431"/>
    <x v="233"/>
    <n v="2024"/>
    <x v="0"/>
    <s v="PROD_008"/>
    <s v="Desk Lamp"/>
    <s v="Furniture"/>
    <n v="1"/>
    <n v="76.91"/>
    <n v="76.91"/>
    <n v="76.91"/>
    <n v="0"/>
    <s v="UK"/>
    <x v="0"/>
  </r>
  <r>
    <n v="2024003432"/>
    <x v="157"/>
    <n v="2024"/>
    <x v="161"/>
    <s v="PROD_006"/>
    <s v="Monitor 27&quot;"/>
    <s v="Electronics"/>
    <n v="2"/>
    <n v="411.73"/>
    <n v="823.46"/>
    <n v="823.46"/>
    <n v="0"/>
    <s v="Switzerland"/>
    <x v="2"/>
  </r>
  <r>
    <n v="2024003433"/>
    <x v="361"/>
    <n v="2024"/>
    <x v="201"/>
    <s v="PROD_008"/>
    <s v="Desk Lamp"/>
    <s v="Furniture"/>
    <n v="2"/>
    <n v="80.209999999999994"/>
    <n v="160.41999999999999"/>
    <n v="160.41999999999999"/>
    <n v="0"/>
    <s v="UK"/>
    <x v="1"/>
  </r>
  <r>
    <n v="2024003434"/>
    <x v="136"/>
    <n v="2024"/>
    <x v="173"/>
    <s v="PROD_001"/>
    <s v="Laptop Pro"/>
    <s v="Electronics"/>
    <n v="1"/>
    <n v="1096.3"/>
    <n v="1096.3"/>
    <n v="1096.3"/>
    <n v="0"/>
    <s v="Germany"/>
    <x v="3"/>
  </r>
  <r>
    <n v="2024003435"/>
    <x v="330"/>
    <n v="2024"/>
    <x v="277"/>
    <s v="PROD_004"/>
    <s v="Desk Chair"/>
    <s v="Furniture"/>
    <n v="0"/>
    <n v="328.15"/>
    <n v="0"/>
    <n v="0"/>
    <n v="0"/>
    <s v="Italy"/>
    <x v="0"/>
  </r>
  <r>
    <n v="2024003436"/>
    <x v="276"/>
    <n v="2024"/>
    <x v="22"/>
    <s v="PROD_005"/>
    <s v="Standing Desk"/>
    <s v="Furniture"/>
    <n v="3"/>
    <n v="563.19000000000005"/>
    <n v="1689.57"/>
    <n v="1689.5700000000002"/>
    <n v="0"/>
    <s v="Netherlands"/>
    <x v="0"/>
  </r>
  <r>
    <n v="2024003437"/>
    <x v="144"/>
    <n v="2024"/>
    <x v="141"/>
    <s v="PROD_003"/>
    <s v="USB-C Cable"/>
    <s v="Electronics"/>
    <n v="2"/>
    <n v="15.3"/>
    <n v="30.6"/>
    <n v="30.6"/>
    <n v="0"/>
    <s v="Sweden"/>
    <x v="2"/>
  </r>
  <r>
    <n v="2024003438"/>
    <x v="104"/>
    <n v="2024"/>
    <x v="0"/>
    <s v="PROD_006"/>
    <s v="Monitor 27&quot;"/>
    <s v="Electronics"/>
    <n v="1"/>
    <n v="376.69"/>
    <n v="376.69"/>
    <n v="376.69"/>
    <n v="0"/>
    <s v="Italy"/>
    <x v="1"/>
  </r>
  <r>
    <n v="2024003439"/>
    <x v="255"/>
    <n v="2024"/>
    <x v="65"/>
    <s v="PROD_004"/>
    <s v="Desk Chair"/>
    <s v="Furniture"/>
    <n v="2"/>
    <n v="375.74"/>
    <n v="751.48"/>
    <n v="751.48"/>
    <n v="0"/>
    <s v="Sweden"/>
    <x v="2"/>
  </r>
  <r>
    <n v="2024003440"/>
    <x v="132"/>
    <n v="2024"/>
    <x v="4"/>
    <s v="PROD_005"/>
    <s v="Standing Desk"/>
    <s v="Furniture"/>
    <n v="1"/>
    <n v="604.02"/>
    <n v="604.02"/>
    <n v="604.02"/>
    <n v="0"/>
    <s v="France"/>
    <x v="3"/>
  </r>
  <r>
    <n v="2024003441"/>
    <x v="270"/>
    <n v="2024"/>
    <x v="222"/>
    <s v="PROD_006"/>
    <s v="Monitor 27&quot;"/>
    <s v="Electronics"/>
    <n v="2"/>
    <n v="432.53"/>
    <n v="865.06"/>
    <n v="865.06"/>
    <n v="0"/>
    <s v="Spain"/>
    <x v="1"/>
  </r>
  <r>
    <n v="2024003442"/>
    <x v="211"/>
    <n v="2024"/>
    <x v="128"/>
    <s v="PROD_002"/>
    <s v="Wireless Mouse"/>
    <s v="Electronics"/>
    <n v="2"/>
    <n v="45.13"/>
    <n v="90.26"/>
    <n v="90.26"/>
    <n v="0"/>
    <s v="Netherlands"/>
    <x v="0"/>
  </r>
  <r>
    <n v="2024003443"/>
    <x v="206"/>
    <n v="2024"/>
    <x v="212"/>
    <s v="PROD_005"/>
    <s v="Standing Desk"/>
    <s v="Furniture"/>
    <n v="5"/>
    <n v="553.75"/>
    <n v="2768.75"/>
    <n v="2768.75"/>
    <n v="0"/>
    <s v="Switzerland"/>
    <x v="2"/>
  </r>
  <r>
    <n v="2024003444"/>
    <x v="312"/>
    <n v="2024"/>
    <x v="194"/>
    <s v="PROD_009"/>
    <s v="Phone Stand"/>
    <s v="Accessories"/>
    <n v="1"/>
    <n v="25.29"/>
    <n v="25.29"/>
    <n v="25.29"/>
    <n v="0"/>
    <s v="Sweden"/>
    <x v="1"/>
  </r>
  <r>
    <n v="2024003445"/>
    <x v="151"/>
    <n v="2024"/>
    <x v="4"/>
    <s v="PROD_003"/>
    <s v="USB-C Cable"/>
    <s v="Electronics"/>
    <n v="2"/>
    <n v="14.74"/>
    <n v="29.48"/>
    <n v="29.48"/>
    <n v="0"/>
    <s v="UK"/>
    <x v="2"/>
  </r>
  <r>
    <n v="2024003446"/>
    <x v="369"/>
    <n v="2023"/>
    <x v="0"/>
    <s v="PROD_004"/>
    <s v="Desk Chair"/>
    <s v="Furniture"/>
    <n v="1"/>
    <n v="343.67"/>
    <n v="343.67"/>
    <n v="343.67"/>
    <n v="0"/>
    <s v="Germany"/>
    <x v="1"/>
  </r>
  <r>
    <n v="2024003447"/>
    <x v="269"/>
    <n v="2024"/>
    <x v="0"/>
    <s v="PROD_009"/>
    <s v="Phone Stand"/>
    <s v="Accessories"/>
    <n v="3"/>
    <n v="25.22"/>
    <n v="75.66"/>
    <n v="75.66"/>
    <n v="0"/>
    <s v="Switzerland"/>
    <x v="2"/>
  </r>
  <r>
    <n v="2024003448"/>
    <x v="295"/>
    <n v="2024"/>
    <x v="216"/>
    <s v="PROD_004"/>
    <s v="Desk Chair"/>
    <s v="Furniture"/>
    <n v="4"/>
    <n v="341.83"/>
    <n v="1367.32"/>
    <n v="1367.32"/>
    <n v="0"/>
    <s v="Austria"/>
    <x v="0"/>
  </r>
  <r>
    <n v="2024003449"/>
    <x v="109"/>
    <n v="2024"/>
    <x v="102"/>
    <s v="PROD_009"/>
    <s v="Phone Stand"/>
    <s v="Accessories"/>
    <n v="5"/>
    <n v="24.54"/>
    <n v="122.7"/>
    <n v="122.69999999999999"/>
    <n v="0"/>
    <s v="Spain"/>
    <x v="1"/>
  </r>
  <r>
    <n v="2024003450"/>
    <x v="362"/>
    <n v="2024"/>
    <x v="263"/>
    <s v="PROD_009"/>
    <s v="Phone Stand"/>
    <s v="Accessories"/>
    <n v="1"/>
    <n v="22.61"/>
    <n v="22.61"/>
    <n v="22.61"/>
    <n v="0"/>
    <s v="UK"/>
    <x v="3"/>
  </r>
  <r>
    <n v="2024003451"/>
    <x v="96"/>
    <n v="2024"/>
    <x v="199"/>
    <s v="PROD_001"/>
    <s v="Laptop Pro"/>
    <s v="Electronics"/>
    <n v="1"/>
    <n v="1306.6400000000001"/>
    <n v="1306.6400000000001"/>
    <n v="1306.6400000000001"/>
    <n v="0"/>
    <s v="Belgium"/>
    <x v="2"/>
  </r>
  <r>
    <n v="2024003452"/>
    <x v="157"/>
    <n v="2024"/>
    <x v="0"/>
    <s v="PROD_010"/>
    <s v="Webcam HD"/>
    <s v="Electronics"/>
    <n v="1"/>
    <n v="87.69"/>
    <n v="87.69"/>
    <n v="87.69"/>
    <n v="0"/>
    <s v="France"/>
    <x v="3"/>
  </r>
  <r>
    <n v="2024003453"/>
    <x v="128"/>
    <n v="2024"/>
    <x v="28"/>
    <s v="PROD_008"/>
    <s v="Desk Lamp"/>
    <s v="Furniture"/>
    <n v="1"/>
    <n v="81.040000000000006"/>
    <n v="81.040000000000006"/>
    <n v="81.040000000000006"/>
    <n v="0"/>
    <s v="France"/>
    <x v="3"/>
  </r>
  <r>
    <n v="2024003454"/>
    <x v="115"/>
    <n v="2024"/>
    <x v="253"/>
    <s v="PROD_007"/>
    <s v="Keyboard Mechanical"/>
    <s v="Electronics"/>
    <n v="1"/>
    <n v="112.22"/>
    <n v="112.22"/>
    <n v="112.22"/>
    <n v="0"/>
    <s v="UK"/>
    <x v="2"/>
  </r>
  <r>
    <n v="2024003455"/>
    <x v="43"/>
    <n v="2024"/>
    <x v="19"/>
    <s v="PROD_003"/>
    <s v="USB-C Cable"/>
    <s v="Electronics"/>
    <n v="1"/>
    <n v="14.42"/>
    <n v="14.42"/>
    <n v="14.42"/>
    <n v="0"/>
    <s v="Netherlands"/>
    <x v="0"/>
  </r>
  <r>
    <n v="2024003456"/>
    <x v="175"/>
    <n v="2024"/>
    <x v="194"/>
    <s v="PROD_004"/>
    <s v="Desk Chair"/>
    <s v="Furniture"/>
    <n v="1"/>
    <n v="383.28"/>
    <n v="383.28"/>
    <n v="383.28"/>
    <n v="0"/>
    <s v="France"/>
    <x v="1"/>
  </r>
  <r>
    <n v="2024003457"/>
    <x v="277"/>
    <n v="2024"/>
    <x v="21"/>
    <s v="PROD_007"/>
    <s v="Keyboard Mechanical"/>
    <s v="Electronics"/>
    <n v="2"/>
    <n v="119.35"/>
    <n v="238.7"/>
    <n v="238.7"/>
    <n v="0"/>
    <s v="UK"/>
    <x v="0"/>
  </r>
  <r>
    <n v="2024003458"/>
    <x v="23"/>
    <n v="2024"/>
    <x v="0"/>
    <s v="PROD_009"/>
    <s v="Phone Stand"/>
    <s v="Accessories"/>
    <n v="2"/>
    <n v="25.95"/>
    <n v="51.9"/>
    <n v="51.9"/>
    <n v="0"/>
    <s v="Italy"/>
    <x v="0"/>
  </r>
  <r>
    <n v="2024001518"/>
    <x v="119"/>
    <n v="2024"/>
    <x v="79"/>
    <s v="PROD_009"/>
    <s v="Phone Stand"/>
    <s v="Accessories"/>
    <n v="5"/>
    <n v="22.76"/>
    <n v="113.8"/>
    <n v="113.80000000000001"/>
    <n v="0"/>
    <s v="Spain"/>
    <x v="0"/>
  </r>
  <r>
    <n v="2024003460"/>
    <x v="138"/>
    <n v="2024"/>
    <x v="0"/>
    <s v="PROD_008"/>
    <s v="Desk Lamp"/>
    <s v="Furniture"/>
    <n v="3"/>
    <n v="74.19"/>
    <n v="222.57"/>
    <n v="222.57"/>
    <n v="0"/>
    <s v="Netherlands"/>
    <x v="3"/>
  </r>
  <r>
    <n v="2024003461"/>
    <x v="259"/>
    <n v="2024"/>
    <x v="0"/>
    <s v="PROD_003"/>
    <s v="USB-C Cable"/>
    <s v="Electronics"/>
    <n v="1"/>
    <n v="14.87"/>
    <n v="14.87"/>
    <n v="14.87"/>
    <n v="0"/>
    <s v="Spain"/>
    <x v="0"/>
  </r>
  <r>
    <n v="2024003462"/>
    <x v="193"/>
    <n v="2024"/>
    <x v="245"/>
    <s v="PROD_007"/>
    <s v="Keyboard Mechanical"/>
    <s v="Electronics"/>
    <n v="0"/>
    <n v="125.64"/>
    <n v="0"/>
    <n v="0"/>
    <n v="0"/>
    <s v="Sweden"/>
    <x v="2"/>
  </r>
  <r>
    <n v="2024003463"/>
    <x v="54"/>
    <n v="2024"/>
    <x v="283"/>
    <s v="PROD_008"/>
    <s v="Desk Lamp"/>
    <s v="Furniture"/>
    <n v="1"/>
    <n v="79.28"/>
    <n v="79.28"/>
    <n v="79.28"/>
    <n v="0"/>
    <s v="Netherlands"/>
    <x v="3"/>
  </r>
  <r>
    <n v="2024003464"/>
    <x v="112"/>
    <n v="2024"/>
    <x v="275"/>
    <s v="PROD_008"/>
    <s v="Desk Lamp"/>
    <s v="Furniture"/>
    <n v="3"/>
    <n v="85.13"/>
    <n v="255.39"/>
    <n v="255.39"/>
    <n v="0"/>
    <s v="UK"/>
    <x v="1"/>
  </r>
  <r>
    <n v="2024003465"/>
    <x v="226"/>
    <n v="2024"/>
    <x v="52"/>
    <s v="PROD_003"/>
    <s v="USB-C Cable"/>
    <s v="Electronics"/>
    <n v="1"/>
    <n v="14.92"/>
    <n v="14.92"/>
    <n v="14.92"/>
    <n v="0"/>
    <s v="Sweden"/>
    <x v="2"/>
  </r>
  <r>
    <n v="2024003466"/>
    <x v="26"/>
    <n v="2024"/>
    <x v="141"/>
    <s v="PROD_007"/>
    <s v="Keyboard Mechanical"/>
    <s v="Electronics"/>
    <n v="2"/>
    <n v="120.38"/>
    <n v="240.76"/>
    <n v="240.76"/>
    <n v="0"/>
    <s v="Switzerland"/>
    <x v="0"/>
  </r>
  <r>
    <n v="2024003467"/>
    <x v="236"/>
    <n v="2024"/>
    <x v="93"/>
    <s v="PROD_007"/>
    <s v="Keyboard Mechanical"/>
    <s v="Electronics"/>
    <n v="2"/>
    <n v="131.72"/>
    <n v="263.44"/>
    <n v="263.44"/>
    <n v="0"/>
    <s v="Switzerland"/>
    <x v="0"/>
  </r>
  <r>
    <n v="2024003468"/>
    <x v="270"/>
    <n v="2024"/>
    <x v="1"/>
    <s v="PROD_001"/>
    <s v="Laptop Pro"/>
    <s v="Electronics"/>
    <n v="5"/>
    <n v="1251.19"/>
    <n v="6255.95"/>
    <n v="6255.9500000000007"/>
    <n v="0"/>
    <s v="Belgium"/>
    <x v="0"/>
  </r>
  <r>
    <n v="2024003469"/>
    <x v="258"/>
    <n v="2024"/>
    <x v="157"/>
    <s v="PROD_007"/>
    <s v="Keyboard Mechanical"/>
    <s v="Electronics"/>
    <n v="1"/>
    <n v="123.15"/>
    <n v="123.15"/>
    <n v="123.15"/>
    <n v="0"/>
    <s v="UK"/>
    <x v="3"/>
  </r>
  <r>
    <n v="2024003470"/>
    <x v="330"/>
    <n v="2024"/>
    <x v="10"/>
    <s v="PROD_005"/>
    <s v="Standing Desk"/>
    <s v="Furniture"/>
    <n v="2"/>
    <n v="569.80999999999995"/>
    <n v="1139.6199999999999"/>
    <n v="1139.6199999999999"/>
    <n v="0"/>
    <s v="Germany"/>
    <x v="3"/>
  </r>
  <r>
    <n v="2024003471"/>
    <x v="168"/>
    <n v="2024"/>
    <x v="248"/>
    <s v="PROD_008"/>
    <s v="Desk Lamp"/>
    <s v="Furniture"/>
    <n v="3"/>
    <n v="79.23"/>
    <n v="237.69"/>
    <n v="237.69"/>
    <n v="0"/>
    <s v="Netherlands"/>
    <x v="0"/>
  </r>
  <r>
    <n v="2024003472"/>
    <x v="181"/>
    <n v="2024"/>
    <x v="92"/>
    <s v="PROD_009"/>
    <s v="Phone Stand"/>
    <s v="Accessories"/>
    <n v="1"/>
    <n v="24.02"/>
    <n v="24.02"/>
    <n v="24.02"/>
    <n v="0"/>
    <s v="Switzerland"/>
    <x v="1"/>
  </r>
  <r>
    <n v="2024003473"/>
    <x v="173"/>
    <n v="2024"/>
    <x v="245"/>
    <s v="PROD_004"/>
    <s v="Desk Chair"/>
    <s v="Furniture"/>
    <n v="2"/>
    <n v="384.11"/>
    <n v="768.22"/>
    <n v="768.22"/>
    <n v="0"/>
    <s v="Sweden"/>
    <x v="3"/>
  </r>
  <r>
    <n v="2024003474"/>
    <x v="155"/>
    <n v="2024"/>
    <x v="144"/>
    <s v="PROD_004"/>
    <s v="Desk Chair"/>
    <s v="Furniture"/>
    <n v="1"/>
    <n v="370.6"/>
    <n v="370.6"/>
    <n v="370.6"/>
    <n v="0"/>
    <s v="UK"/>
    <x v="0"/>
  </r>
  <r>
    <n v="2024003475"/>
    <x v="88"/>
    <n v="2024"/>
    <x v="121"/>
    <s v="PROD_008"/>
    <s v="Desk Lamp"/>
    <s v="Furniture"/>
    <n v="1"/>
    <n v="87.34"/>
    <n v="87.34"/>
    <n v="87.34"/>
    <n v="0"/>
    <s v="Belgium"/>
    <x v="1"/>
  </r>
  <r>
    <n v="2024003476"/>
    <x v="367"/>
    <n v="2024"/>
    <x v="0"/>
    <s v="PROD_002"/>
    <s v="Wireless Mouse"/>
    <s v="Electronics"/>
    <n v="1"/>
    <n v="44.32"/>
    <n v="44.32"/>
    <n v="44.32"/>
    <n v="0"/>
    <s v="UK"/>
    <x v="0"/>
  </r>
  <r>
    <n v="2024003477"/>
    <x v="187"/>
    <n v="2024"/>
    <x v="170"/>
    <s v="PROD_006"/>
    <s v="Monitor 27&quot;"/>
    <s v="Electronics"/>
    <n v="5"/>
    <n v="391.06"/>
    <n v="1955.3"/>
    <n v="1955.3"/>
    <n v="0"/>
    <s v="Netherlands"/>
    <x v="3"/>
  </r>
  <r>
    <n v="2024003478"/>
    <x v="202"/>
    <n v="2024"/>
    <x v="241"/>
    <s v="PROD_004"/>
    <s v="Desk Chair"/>
    <s v="Furniture"/>
    <n v="5"/>
    <n v="360.7"/>
    <n v="1803.5"/>
    <n v="1803.5"/>
    <n v="0"/>
    <s v="Spain"/>
    <x v="3"/>
  </r>
  <r>
    <n v="2024003479"/>
    <x v="220"/>
    <n v="2024"/>
    <x v="290"/>
    <s v="PROD_004"/>
    <s v="Desk Chair"/>
    <s v="Furniture"/>
    <n v="1"/>
    <n v="365.69"/>
    <n v="365.69"/>
    <n v="365.69"/>
    <n v="0"/>
    <s v="Spain"/>
    <x v="3"/>
  </r>
  <r>
    <n v="2024003480"/>
    <x v="321"/>
    <n v="2024"/>
    <x v="265"/>
    <s v="PROD_007"/>
    <s v="Keyboard Mechanical"/>
    <s v="Electronics"/>
    <n v="3"/>
    <n v="116.18"/>
    <n v="348.54"/>
    <n v="348.54"/>
    <n v="0"/>
    <s v="Germany"/>
    <x v="3"/>
  </r>
  <r>
    <n v="2024003481"/>
    <x v="54"/>
    <n v="2024"/>
    <x v="123"/>
    <s v="PROD_010"/>
    <s v="Webcam HD"/>
    <s v="Electronics"/>
    <n v="1"/>
    <n v="93.59"/>
    <n v="93.59"/>
    <n v="93.59"/>
    <n v="0"/>
    <s v="Austria"/>
    <x v="1"/>
  </r>
  <r>
    <n v="2024003482"/>
    <x v="339"/>
    <n v="2024"/>
    <x v="16"/>
    <s v="PROD_004"/>
    <s v="Desk Chair"/>
    <s v="Furniture"/>
    <n v="4"/>
    <n v="340.54"/>
    <n v="1362.16"/>
    <n v="1362.16"/>
    <n v="0"/>
    <s v="UK"/>
    <x v="1"/>
  </r>
  <r>
    <n v="2024003483"/>
    <x v="26"/>
    <n v="2024"/>
    <x v="167"/>
    <s v="PROD_005"/>
    <s v="Standing Desk"/>
    <s v="Furniture"/>
    <n v="2"/>
    <n v="578.09"/>
    <n v="1156.18"/>
    <n v="1156.18"/>
    <n v="0"/>
    <s v="Switzerland"/>
    <x v="2"/>
  </r>
  <r>
    <n v="2024003484"/>
    <x v="0"/>
    <n v="2024"/>
    <x v="99"/>
    <s v="PROD_010"/>
    <s v="Webcam HD"/>
    <s v="Electronics"/>
    <n v="3"/>
    <n v="92.07"/>
    <n v="276.20999999999998"/>
    <n v="276.20999999999998"/>
    <n v="0"/>
    <s v="Spain"/>
    <x v="2"/>
  </r>
  <r>
    <n v="2024003485"/>
    <x v="133"/>
    <n v="2024"/>
    <x v="284"/>
    <s v="PROD_003"/>
    <s v="USB-C Cable"/>
    <s v="Electronics"/>
    <n v="2"/>
    <n v="15.69"/>
    <n v="31.38"/>
    <n v="31.38"/>
    <n v="0"/>
    <s v="Belgium"/>
    <x v="2"/>
  </r>
  <r>
    <n v="2024003486"/>
    <x v="2"/>
    <n v="2024"/>
    <x v="114"/>
    <s v="PROD_009"/>
    <s v="Phone Stand"/>
    <s v="Accessories"/>
    <n v="4"/>
    <n v="24.72"/>
    <n v="98.88"/>
    <n v="98.88"/>
    <n v="0"/>
    <s v="UK"/>
    <x v="0"/>
  </r>
  <r>
    <n v="2024003487"/>
    <x v="10"/>
    <n v="2024"/>
    <x v="178"/>
    <s v="PROD_007"/>
    <s v="Keyboard Mechanical"/>
    <s v="Electronics"/>
    <n v="1"/>
    <n v="122.63"/>
    <n v="122.63"/>
    <n v="122.63"/>
    <n v="0"/>
    <s v="Spain"/>
    <x v="2"/>
  </r>
  <r>
    <n v="2024003488"/>
    <x v="99"/>
    <n v="2024"/>
    <x v="238"/>
    <s v="PROD_008"/>
    <s v="Desk Lamp"/>
    <s v="Furniture"/>
    <n v="2"/>
    <n v="74.569999999999993"/>
    <n v="149.13999999999999"/>
    <n v="149.13999999999999"/>
    <n v="0"/>
    <s v="France"/>
    <x v="0"/>
  </r>
  <r>
    <n v="2024003489"/>
    <x v="211"/>
    <n v="2024"/>
    <x v="0"/>
    <s v="PROD_010"/>
    <s v="Webcam HD"/>
    <s v="Electronics"/>
    <n v="1"/>
    <n v="94.54"/>
    <n v="94.54"/>
    <n v="94.54"/>
    <n v="0"/>
    <s v="Germany"/>
    <x v="3"/>
  </r>
  <r>
    <n v="2024003490"/>
    <x v="51"/>
    <n v="2024"/>
    <x v="157"/>
    <s v="PROD_009"/>
    <s v="Phone Stand"/>
    <s v="Accessories"/>
    <n v="2"/>
    <n v="25.68"/>
    <n v="51.36"/>
    <n v="51.36"/>
    <n v="0"/>
    <s v="UK"/>
    <x v="3"/>
  </r>
  <r>
    <n v="2024003491"/>
    <x v="319"/>
    <n v="2024"/>
    <x v="137"/>
    <s v="PROD_005"/>
    <s v="Standing Desk"/>
    <s v="Furniture"/>
    <n v="4"/>
    <n v="560.02"/>
    <n v="2240.08"/>
    <n v="2240.08"/>
    <n v="0"/>
    <s v="Sweden"/>
    <x v="1"/>
  </r>
  <r>
    <n v="2024003492"/>
    <x v="51"/>
    <n v="2024"/>
    <x v="133"/>
    <s v="PROD_010"/>
    <s v="Webcam HD"/>
    <s v="Electronics"/>
    <n v="1"/>
    <n v="95.98"/>
    <n v="95.98"/>
    <n v="95.98"/>
    <n v="0"/>
    <s v="UK"/>
    <x v="0"/>
  </r>
  <r>
    <n v="2024003493"/>
    <x v="143"/>
    <n v="2024"/>
    <x v="223"/>
    <s v="PROD_008"/>
    <s v="Desk Lamp"/>
    <s v="Furniture"/>
    <n v="5"/>
    <n v="77.64"/>
    <n v="388.2"/>
    <n v="388.2"/>
    <n v="0"/>
    <s v="Netherlands"/>
    <x v="1"/>
  </r>
  <r>
    <n v="2024003494"/>
    <x v="54"/>
    <n v="2024"/>
    <x v="7"/>
    <s v="PROD_009"/>
    <s v="Phone Stand"/>
    <s v="Accessories"/>
    <n v="1"/>
    <n v="24.43"/>
    <n v="24.43"/>
    <n v="24.43"/>
    <n v="0"/>
    <s v="Germany"/>
    <x v="1"/>
  </r>
  <r>
    <n v="2024003495"/>
    <x v="33"/>
    <n v="2024"/>
    <x v="128"/>
    <s v="PROD_002"/>
    <s v="Wireless Mouse"/>
    <s v="Electronics"/>
    <n v="3"/>
    <n v="48.87"/>
    <n v="146.61000000000001"/>
    <n v="146.60999999999999"/>
    <n v="0"/>
    <s v="Spain"/>
    <x v="1"/>
  </r>
  <r>
    <n v="2024003496"/>
    <x v="156"/>
    <n v="2024"/>
    <x v="279"/>
    <s v="PROD_008"/>
    <s v="Desk Lamp"/>
    <s v="Furniture"/>
    <n v="2"/>
    <n v="79.59"/>
    <n v="159.18"/>
    <n v="159.18"/>
    <n v="0"/>
    <s v="Belgium"/>
    <x v="1"/>
  </r>
  <r>
    <n v="2024003497"/>
    <x v="136"/>
    <n v="2024"/>
    <x v="0"/>
    <s v="PROD_005"/>
    <s v="Standing Desk"/>
    <s v="Furniture"/>
    <n v="1"/>
    <n v="561.67999999999995"/>
    <n v="561.67999999999995"/>
    <n v="561.67999999999995"/>
    <n v="0"/>
    <s v="Italy"/>
    <x v="2"/>
  </r>
  <r>
    <n v="2024003498"/>
    <x v="2"/>
    <n v="2024"/>
    <x v="163"/>
    <s v="PROD_006"/>
    <s v="Monitor 27&quot;"/>
    <s v="Electronics"/>
    <n v="1"/>
    <n v="407.27"/>
    <n v="407.27"/>
    <n v="407.27"/>
    <n v="0"/>
    <s v="Italy"/>
    <x v="1"/>
  </r>
  <r>
    <n v="2024003499"/>
    <x v="2"/>
    <n v="2024"/>
    <x v="212"/>
    <s v="PROD_003"/>
    <s v="USB-C Cable"/>
    <s v="Electronics"/>
    <n v="1"/>
    <n v="15.76"/>
    <n v="15.76"/>
    <n v="15.76"/>
    <n v="0"/>
    <s v="Netherlands"/>
    <x v="3"/>
  </r>
  <r>
    <n v="2024003500"/>
    <x v="204"/>
    <n v="2024"/>
    <x v="67"/>
    <s v="PROD_002"/>
    <s v="Wireless Mouse"/>
    <s v="Electronics"/>
    <n v="1"/>
    <n v="44.18"/>
    <n v="44.18"/>
    <n v="44.18"/>
    <n v="0"/>
    <s v="Italy"/>
    <x v="3"/>
  </r>
  <r>
    <n v="2024003501"/>
    <x v="24"/>
    <n v="2024"/>
    <x v="0"/>
    <s v="PROD_002"/>
    <s v="Wireless Mouse"/>
    <s v="Electronics"/>
    <n v="1"/>
    <n v="45.69"/>
    <n v="45.69"/>
    <n v="45.69"/>
    <n v="0"/>
    <s v="Belgium"/>
    <x v="1"/>
  </r>
  <r>
    <n v="2024003502"/>
    <x v="306"/>
    <n v="2024"/>
    <x v="184"/>
    <s v="PROD_009"/>
    <s v="Phone Stand"/>
    <s v="Accessories"/>
    <n v="1"/>
    <n v="24.43"/>
    <n v="24.43"/>
    <n v="24.43"/>
    <n v="0"/>
    <s v="Switzerland"/>
    <x v="2"/>
  </r>
  <r>
    <n v="2024003503"/>
    <x v="191"/>
    <n v="2024"/>
    <x v="127"/>
    <s v="PROD_006"/>
    <s v="Monitor 27&quot;"/>
    <s v="Electronics"/>
    <n v="1"/>
    <n v="410.48"/>
    <n v="410.48"/>
    <n v="410.48"/>
    <n v="0"/>
    <s v="UK"/>
    <x v="1"/>
  </r>
  <r>
    <n v="2024003504"/>
    <x v="188"/>
    <n v="2024"/>
    <x v="147"/>
    <s v="PROD_009"/>
    <s v="Phone Stand"/>
    <s v="Accessories"/>
    <n v="3"/>
    <n v="22.51"/>
    <n v="67.53"/>
    <n v="67.53"/>
    <n v="0"/>
    <s v="Belgium"/>
    <x v="0"/>
  </r>
  <r>
    <n v="2024003505"/>
    <x v="354"/>
    <n v="2024"/>
    <x v="0"/>
    <s v="PROD_005"/>
    <s v="Standing Desk"/>
    <s v="Furniture"/>
    <n v="1"/>
    <n v="578.76"/>
    <n v="578.76"/>
    <n v="578.76"/>
    <n v="0"/>
    <s v="UK"/>
    <x v="1"/>
  </r>
  <r>
    <n v="2024003506"/>
    <x v="243"/>
    <n v="2024"/>
    <x v="0"/>
    <s v="PROD_005"/>
    <s v="Standing Desk"/>
    <s v="Furniture"/>
    <n v="1"/>
    <n v="590.92999999999995"/>
    <n v="590.92999999999995"/>
    <n v="590.92999999999995"/>
    <n v="0"/>
    <s v="UK"/>
    <x v="2"/>
  </r>
  <r>
    <n v="2024003507"/>
    <x v="104"/>
    <n v="2024"/>
    <x v="46"/>
    <s v="PROD_006"/>
    <s v="Monitor 27&quot;"/>
    <s v="Electronics"/>
    <n v="1"/>
    <n v="416.83"/>
    <n v="416.83"/>
    <n v="416.83"/>
    <n v="0"/>
    <s v="Germany"/>
    <x v="3"/>
  </r>
  <r>
    <n v="2024003508"/>
    <x v="348"/>
    <n v="2024"/>
    <x v="128"/>
    <s v="PROD_002"/>
    <s v="Wireless Mouse"/>
    <s v="Electronics"/>
    <n v="1"/>
    <n v="42.91"/>
    <n v="42.91"/>
    <n v="42.91"/>
    <n v="0"/>
    <s v="Netherlands"/>
    <x v="2"/>
  </r>
  <r>
    <n v="2024003509"/>
    <x v="38"/>
    <n v="2024"/>
    <x v="159"/>
    <s v="PROD_006"/>
    <s v="Monitor 27&quot;"/>
    <s v="Electronics"/>
    <n v="2"/>
    <n v="422.13"/>
    <n v="844.26"/>
    <n v="844.26"/>
    <n v="0"/>
    <s v="UK"/>
    <x v="2"/>
  </r>
  <r>
    <n v="2024003510"/>
    <x v="118"/>
    <n v="2024"/>
    <x v="105"/>
    <s v="PROD_005"/>
    <s v="Standing Desk"/>
    <s v="Furniture"/>
    <n v="2"/>
    <n v="646.44000000000005"/>
    <n v="1292.8800000000001"/>
    <n v="1292.8800000000001"/>
    <n v="0"/>
    <s v="France"/>
    <x v="0"/>
  </r>
  <r>
    <n v="2024003511"/>
    <x v="145"/>
    <n v="2024"/>
    <x v="159"/>
    <s v="PROD_005"/>
    <s v="Standing Desk"/>
    <s v="Furniture"/>
    <n v="1"/>
    <n v="597.96"/>
    <n v="597.96"/>
    <n v="597.96"/>
    <n v="0"/>
    <s v="Italy"/>
    <x v="1"/>
  </r>
  <r>
    <n v="2024003512"/>
    <x v="5"/>
    <n v="2024"/>
    <x v="294"/>
    <s v="PROD_006"/>
    <s v="Monitor 27&quot;"/>
    <s v="Electronics"/>
    <n v="1"/>
    <n v="439.87"/>
    <n v="439.87"/>
    <n v="439.87"/>
    <n v="0"/>
    <s v="Netherlands"/>
    <x v="3"/>
  </r>
  <r>
    <n v="2024003513"/>
    <x v="57"/>
    <n v="2024"/>
    <x v="164"/>
    <s v="PROD_004"/>
    <s v="Desk Chair"/>
    <s v="Furniture"/>
    <n v="4"/>
    <n v="354.94"/>
    <n v="1419.76"/>
    <n v="1419.76"/>
    <n v="0"/>
    <s v="Germany"/>
    <x v="2"/>
  </r>
  <r>
    <n v="2024003514"/>
    <x v="338"/>
    <n v="2024"/>
    <x v="11"/>
    <s v="PROD_010"/>
    <s v="Webcam HD"/>
    <s v="Electronics"/>
    <n v="2"/>
    <n v="98.22"/>
    <n v="196.44"/>
    <n v="196.44"/>
    <n v="0"/>
    <s v="Belgium"/>
    <x v="0"/>
  </r>
  <r>
    <n v="2024003515"/>
    <x v="159"/>
    <n v="2024"/>
    <x v="17"/>
    <s v="PROD_008"/>
    <s v="Desk Lamp"/>
    <s v="Furniture"/>
    <n v="2"/>
    <n v="71.87"/>
    <n v="143.74"/>
    <n v="143.74"/>
    <n v="0"/>
    <s v="Sweden"/>
    <x v="1"/>
  </r>
  <r>
    <n v="2024003516"/>
    <x v="110"/>
    <n v="2024"/>
    <x v="221"/>
    <s v="PROD_008"/>
    <s v="Desk Lamp"/>
    <s v="Furniture"/>
    <n v="1"/>
    <n v="78.14"/>
    <n v="78.14"/>
    <n v="78.14"/>
    <n v="0"/>
    <s v="Spain"/>
    <x v="2"/>
  </r>
  <r>
    <n v="2024003517"/>
    <x v="310"/>
    <n v="2024"/>
    <x v="61"/>
    <s v="PROD_006"/>
    <s v="Monitor 27&quot;"/>
    <s v="Electronics"/>
    <n v="1"/>
    <n v="428.48"/>
    <n v="428.48"/>
    <n v="428.48"/>
    <n v="0"/>
    <s v="France"/>
    <x v="2"/>
  </r>
  <r>
    <n v="2024003518"/>
    <x v="273"/>
    <n v="2024"/>
    <x v="208"/>
    <s v="PROD_007"/>
    <s v="Keyboard Mechanical"/>
    <s v="Electronics"/>
    <n v="1"/>
    <n v="116.24"/>
    <n v="116.24"/>
    <n v="116.24"/>
    <n v="0"/>
    <s v="Sweden"/>
    <x v="2"/>
  </r>
  <r>
    <n v="2024003519"/>
    <x v="356"/>
    <n v="2024"/>
    <x v="239"/>
    <s v="PROD_002"/>
    <s v="Wireless Mouse"/>
    <s v="Electronics"/>
    <n v="3"/>
    <n v="47.72"/>
    <n v="143.16"/>
    <n v="143.16"/>
    <n v="0"/>
    <s v="Switzerland"/>
    <x v="0"/>
  </r>
  <r>
    <n v="2024003520"/>
    <x v="118"/>
    <n v="2024"/>
    <x v="191"/>
    <s v="PROD_003"/>
    <s v="USB-C Cable"/>
    <s v="Electronics"/>
    <n v="2"/>
    <n v="14.75"/>
    <n v="29.5"/>
    <n v="29.5"/>
    <n v="0"/>
    <s v="France"/>
    <x v="2"/>
  </r>
  <r>
    <n v="2024003521"/>
    <x v="352"/>
    <n v="2024"/>
    <x v="24"/>
    <s v="PROD_001"/>
    <s v="Laptop Pro"/>
    <s v="Electronics"/>
    <n v="1"/>
    <n v="1185"/>
    <n v="1185"/>
    <n v="1185"/>
    <n v="0"/>
    <s v="Austria"/>
    <x v="1"/>
  </r>
  <r>
    <n v="2024003522"/>
    <x v="152"/>
    <n v="2024"/>
    <x v="95"/>
    <s v="PROD_007"/>
    <s v="Keyboard Mechanical"/>
    <s v="Electronics"/>
    <n v="2"/>
    <n v="131.18"/>
    <n v="262.36"/>
    <n v="262.36"/>
    <n v="0"/>
    <s v="Switzerland"/>
    <x v="0"/>
  </r>
  <r>
    <n v="2024003523"/>
    <x v="270"/>
    <n v="2024"/>
    <x v="0"/>
    <s v="PROD_004"/>
    <s v="Desk Chair"/>
    <s v="Furniture"/>
    <n v="1"/>
    <n v="352.18"/>
    <n v="352.18"/>
    <n v="352.18"/>
    <n v="0"/>
    <s v="Sweden"/>
    <x v="3"/>
  </r>
  <r>
    <n v="2024003524"/>
    <x v="284"/>
    <n v="2024"/>
    <x v="35"/>
    <s v="PROD_003"/>
    <s v="USB-C Cable"/>
    <s v="Electronics"/>
    <n v="1"/>
    <n v="15.63"/>
    <n v="15.63"/>
    <n v="15.63"/>
    <n v="0"/>
    <s v="Germany"/>
    <x v="2"/>
  </r>
  <r>
    <n v="2024003525"/>
    <x v="137"/>
    <n v="2024"/>
    <x v="202"/>
    <s v="PROD_005"/>
    <s v="Standing Desk"/>
    <s v="Furniture"/>
    <n v="1"/>
    <n v="591.49"/>
    <n v="591.49"/>
    <n v="591.49"/>
    <n v="0"/>
    <s v="Netherlands"/>
    <x v="3"/>
  </r>
  <r>
    <n v="2024003526"/>
    <x v="294"/>
    <n v="2024"/>
    <x v="237"/>
    <s v="PROD_008"/>
    <s v="Desk Lamp"/>
    <s v="Furniture"/>
    <n v="2"/>
    <n v="75.13"/>
    <n v="150.26"/>
    <n v="150.26"/>
    <n v="0"/>
    <s v="Belgium"/>
    <x v="1"/>
  </r>
  <r>
    <n v="2024003527"/>
    <x v="59"/>
    <n v="2024"/>
    <x v="184"/>
    <s v="PROD_001"/>
    <s v="Laptop Pro"/>
    <s v="Electronics"/>
    <n v="2"/>
    <n v="1223.78"/>
    <n v="2447.56"/>
    <n v="2447.56"/>
    <n v="0"/>
    <s v="Sweden"/>
    <x v="1"/>
  </r>
  <r>
    <n v="2024003528"/>
    <x v="264"/>
    <n v="2024"/>
    <x v="299"/>
    <s v="PROD_006"/>
    <s v="Monitor 27&quot;"/>
    <s v="Electronics"/>
    <n v="3"/>
    <n v="415.76"/>
    <n v="1247.28"/>
    <n v="1247.28"/>
    <n v="0"/>
    <s v="Sweden"/>
    <x v="2"/>
  </r>
  <r>
    <n v="2024003529"/>
    <x v="340"/>
    <n v="2024"/>
    <x v="48"/>
    <s v="PROD_005"/>
    <s v="Standing Desk"/>
    <s v="Furniture"/>
    <n v="1"/>
    <n v="589.72"/>
    <n v="589.72"/>
    <n v="589.72"/>
    <n v="0"/>
    <s v="Austria"/>
    <x v="0"/>
  </r>
  <r>
    <n v="2024003530"/>
    <x v="10"/>
    <n v="2024"/>
    <x v="296"/>
    <s v="PROD_004"/>
    <s v="Desk Chair"/>
    <s v="Furniture"/>
    <n v="2"/>
    <n v="300.70999999999998"/>
    <n v="601.41999999999996"/>
    <n v="601.41999999999996"/>
    <n v="0"/>
    <s v="Austria"/>
    <x v="2"/>
  </r>
  <r>
    <n v="2024003531"/>
    <x v="15"/>
    <n v="2024"/>
    <x v="179"/>
    <s v="PROD_004"/>
    <s v="Desk Chair"/>
    <s v="Furniture"/>
    <n v="2"/>
    <n v="336.38"/>
    <n v="672.76"/>
    <n v="672.76"/>
    <n v="0"/>
    <s v="Netherlands"/>
    <x v="0"/>
  </r>
  <r>
    <n v="2024003532"/>
    <x v="89"/>
    <n v="2024"/>
    <x v="0"/>
    <s v="PROD_004"/>
    <s v="Desk Chair"/>
    <s v="Furniture"/>
    <n v="2"/>
    <n v="349.43"/>
    <n v="698.86"/>
    <n v="698.86"/>
    <n v="0"/>
    <s v="Spain"/>
    <x v="2"/>
  </r>
  <r>
    <n v="2024003533"/>
    <x v="310"/>
    <n v="2024"/>
    <x v="98"/>
    <s v="PROD_002"/>
    <s v="Wireless Mouse"/>
    <s v="Electronics"/>
    <n v="3"/>
    <n v="39.46"/>
    <n v="118.38"/>
    <n v="118.38"/>
    <n v="0"/>
    <s v="France"/>
    <x v="1"/>
  </r>
  <r>
    <n v="2024003534"/>
    <x v="1"/>
    <n v="2024"/>
    <x v="57"/>
    <s v="PROD_010"/>
    <s v="Webcam HD"/>
    <s v="Electronics"/>
    <n v="2"/>
    <n v="92.53"/>
    <n v="185.06"/>
    <n v="185.06"/>
    <n v="0"/>
    <s v="Belgium"/>
    <x v="1"/>
  </r>
  <r>
    <n v="2024003535"/>
    <x v="276"/>
    <n v="2024"/>
    <x v="174"/>
    <s v="PROD_008"/>
    <s v="Desk Lamp"/>
    <s v="Furniture"/>
    <n v="1"/>
    <n v="72.709999999999994"/>
    <n v="72.709999999999994"/>
    <n v="72.709999999999994"/>
    <n v="0"/>
    <s v="UK"/>
    <x v="0"/>
  </r>
  <r>
    <n v="2024003536"/>
    <x v="347"/>
    <n v="2024"/>
    <x v="13"/>
    <s v="PROD_007"/>
    <s v="Keyboard Mechanical"/>
    <s v="Electronics"/>
    <n v="3"/>
    <n v="122.9"/>
    <n v="368.7"/>
    <n v="368.70000000000005"/>
    <n v="0"/>
    <s v="Spain"/>
    <x v="1"/>
  </r>
  <r>
    <n v="2024003537"/>
    <x v="358"/>
    <n v="2024"/>
    <x v="225"/>
    <s v="PROD_008"/>
    <s v="Desk Lamp"/>
    <s v="Furniture"/>
    <n v="5"/>
    <n v="84.75"/>
    <n v="423.75"/>
    <n v="423.75"/>
    <n v="0"/>
    <s v="Sweden"/>
    <x v="1"/>
  </r>
  <r>
    <n v="2024003538"/>
    <x v="231"/>
    <n v="2024"/>
    <x v="0"/>
    <s v="PROD_009"/>
    <s v="Phone Stand"/>
    <s v="Accessories"/>
    <n v="2"/>
    <n v="25.02"/>
    <n v="50.04"/>
    <n v="50.04"/>
    <n v="0"/>
    <s v="Spain"/>
    <x v="2"/>
  </r>
  <r>
    <n v="2024003539"/>
    <x v="305"/>
    <n v="2024"/>
    <x v="80"/>
    <s v="PROD_003"/>
    <s v="USB-C Cable"/>
    <s v="Electronics"/>
    <n v="4"/>
    <n v="15.65"/>
    <n v="62.6"/>
    <n v="62.6"/>
    <n v="0"/>
    <s v="Switzerland"/>
    <x v="2"/>
  </r>
  <r>
    <n v="2024003540"/>
    <x v="131"/>
    <n v="2024"/>
    <x v="130"/>
    <s v="PROD_008"/>
    <s v="Desk Lamp"/>
    <s v="Furniture"/>
    <n v="1"/>
    <n v="77.819999999999993"/>
    <n v="77.819999999999993"/>
    <n v="77.819999999999993"/>
    <n v="0"/>
    <s v="Sweden"/>
    <x v="0"/>
  </r>
  <r>
    <n v="2024003541"/>
    <x v="208"/>
    <n v="2024"/>
    <x v="176"/>
    <s v="PROD_005"/>
    <s v="Standing Desk"/>
    <s v="Furniture"/>
    <n v="1"/>
    <n v="567.66999999999996"/>
    <n v="567.66999999999996"/>
    <n v="567.66999999999996"/>
    <n v="0"/>
    <s v="Spain"/>
    <x v="0"/>
  </r>
  <r>
    <n v="2024003542"/>
    <x v="33"/>
    <n v="2024"/>
    <x v="181"/>
    <s v="PROD_007"/>
    <s v="Keyboard Mechanical"/>
    <s v="Electronics"/>
    <n v="4"/>
    <n v="122.76"/>
    <n v="491.04"/>
    <n v="491.04"/>
    <n v="0"/>
    <s v="Italy"/>
    <x v="3"/>
  </r>
  <r>
    <n v="2024003543"/>
    <x v="21"/>
    <n v="2024"/>
    <x v="216"/>
    <s v="PROD_006"/>
    <s v="Monitor 27&quot;"/>
    <s v="Electronics"/>
    <n v="3"/>
    <n v="439.2"/>
    <n v="1317.6"/>
    <n v="1317.6"/>
    <n v="0"/>
    <s v="Germany"/>
    <x v="2"/>
  </r>
  <r>
    <n v="2024003544"/>
    <x v="319"/>
    <n v="2024"/>
    <x v="15"/>
    <s v="PROD_005"/>
    <s v="Standing Desk"/>
    <s v="Furniture"/>
    <n v="4"/>
    <n v="618.15"/>
    <n v="2472.6"/>
    <n v="2472.6"/>
    <n v="0"/>
    <s v="Italy"/>
    <x v="0"/>
  </r>
  <r>
    <n v="2024003545"/>
    <x v="347"/>
    <n v="2024"/>
    <x v="205"/>
    <s v="PROD_008"/>
    <s v="Desk Lamp"/>
    <s v="Furniture"/>
    <n v="2"/>
    <n v="78.28"/>
    <n v="156.56"/>
    <n v="156.56"/>
    <n v="0"/>
    <s v="Austria"/>
    <x v="0"/>
  </r>
  <r>
    <n v="2024003546"/>
    <x v="295"/>
    <n v="2024"/>
    <x v="298"/>
    <s v="PROD_008"/>
    <s v="Desk Lamp"/>
    <s v="Furniture"/>
    <n v="2"/>
    <n v="85.98"/>
    <n v="171.96"/>
    <n v="171.96"/>
    <n v="0"/>
    <s v="Sweden"/>
    <x v="2"/>
  </r>
  <r>
    <n v="2024003547"/>
    <x v="323"/>
    <n v="2024"/>
    <x v="98"/>
    <s v="PROD_001"/>
    <s v="Laptop Pro"/>
    <s v="Electronics"/>
    <n v="3"/>
    <n v="1180.1600000000001"/>
    <n v="3540.48"/>
    <n v="3540.4800000000005"/>
    <n v="0"/>
    <s v="Netherlands"/>
    <x v="1"/>
  </r>
  <r>
    <n v="2024003548"/>
    <x v="164"/>
    <n v="2024"/>
    <x v="212"/>
    <s v="PROD_007"/>
    <s v="Keyboard Mechanical"/>
    <s v="Electronics"/>
    <n v="2"/>
    <n v="130.6"/>
    <n v="261.2"/>
    <n v="261.2"/>
    <n v="0"/>
    <s v="Germany"/>
    <x v="0"/>
  </r>
  <r>
    <n v="2024003549"/>
    <x v="22"/>
    <n v="2024"/>
    <x v="201"/>
    <s v="PROD_005"/>
    <s v="Standing Desk"/>
    <s v="Furniture"/>
    <n v="3"/>
    <n v="613.04"/>
    <n v="1839.12"/>
    <n v="1839.12"/>
    <n v="0"/>
    <s v="Sweden"/>
    <x v="1"/>
  </r>
  <r>
    <n v="2024003550"/>
    <x v="169"/>
    <n v="2024"/>
    <x v="203"/>
    <s v="PROD_009"/>
    <s v="Phone Stand"/>
    <s v="Accessories"/>
    <n v="2"/>
    <n v="26.43"/>
    <n v="52.86"/>
    <n v="52.86"/>
    <n v="0"/>
    <s v="Germany"/>
    <x v="1"/>
  </r>
  <r>
    <n v="2024003551"/>
    <x v="68"/>
    <n v="2024"/>
    <x v="242"/>
    <s v="PROD_009"/>
    <s v="Phone Stand"/>
    <s v="Accessories"/>
    <n v="2"/>
    <n v="24.92"/>
    <n v="49.84"/>
    <n v="49.84"/>
    <n v="0"/>
    <s v="UK"/>
    <x v="0"/>
  </r>
  <r>
    <n v="2024003552"/>
    <x v="290"/>
    <n v="2024"/>
    <x v="72"/>
    <s v="PROD_001"/>
    <s v="Laptop Pro"/>
    <s v="Electronics"/>
    <n v="1"/>
    <n v="1195.1099999999999"/>
    <n v="1195.1099999999999"/>
    <n v="1195.1099999999999"/>
    <n v="0"/>
    <s v="Spain"/>
    <x v="1"/>
  </r>
  <r>
    <n v="2024003553"/>
    <x v="315"/>
    <n v="2024"/>
    <x v="211"/>
    <s v="PROD_007"/>
    <s v="Keyboard Mechanical"/>
    <s v="Electronics"/>
    <n v="3"/>
    <n v="124.69"/>
    <n v="374.07"/>
    <n v="374.07"/>
    <n v="0"/>
    <s v="Austria"/>
    <x v="1"/>
  </r>
  <r>
    <n v="2024003554"/>
    <x v="208"/>
    <n v="2024"/>
    <x v="65"/>
    <s v="PROD_010"/>
    <s v="Webcam HD"/>
    <s v="Electronics"/>
    <n v="2"/>
    <n v="90.46"/>
    <n v="180.92"/>
    <n v="180.92"/>
    <n v="0"/>
    <s v="Sweden"/>
    <x v="1"/>
  </r>
  <r>
    <n v="2024003555"/>
    <x v="147"/>
    <n v="2024"/>
    <x v="189"/>
    <s v="PROD_008"/>
    <s v="Desk Lamp"/>
    <s v="Furniture"/>
    <n v="1"/>
    <n v="76.989999999999995"/>
    <n v="76.989999999999995"/>
    <n v="76.989999999999995"/>
    <n v="0"/>
    <s v="UK"/>
    <x v="1"/>
  </r>
  <r>
    <n v="2024003556"/>
    <x v="248"/>
    <n v="2024"/>
    <x v="127"/>
    <s v="PROD_008"/>
    <s v="Desk Lamp"/>
    <s v="Furniture"/>
    <n v="1"/>
    <n v="78.89"/>
    <n v="78.89"/>
    <n v="78.89"/>
    <n v="0"/>
    <s v="Germany"/>
    <x v="1"/>
  </r>
  <r>
    <n v="2024003557"/>
    <x v="76"/>
    <n v="2024"/>
    <x v="0"/>
    <s v="PROD_004"/>
    <s v="Desk Chair"/>
    <s v="Furniture"/>
    <n v="1"/>
    <n v="359.55"/>
    <n v="359.55"/>
    <n v="359.55"/>
    <n v="0"/>
    <s v="Italy"/>
    <x v="0"/>
  </r>
  <r>
    <n v="2024003558"/>
    <x v="124"/>
    <n v="2024"/>
    <x v="169"/>
    <s v="PROD_004"/>
    <s v="Desk Chair"/>
    <s v="Furniture"/>
    <n v="1"/>
    <n v="367.36"/>
    <n v="367.36"/>
    <n v="367.36"/>
    <n v="0"/>
    <s v="Austria"/>
    <x v="2"/>
  </r>
  <r>
    <n v="2024003559"/>
    <x v="232"/>
    <n v="2024"/>
    <x v="234"/>
    <s v="PROD_005"/>
    <s v="Standing Desk"/>
    <s v="Furniture"/>
    <n v="3"/>
    <n v="598.85"/>
    <n v="1796.55"/>
    <n v="1796.5500000000002"/>
    <n v="0"/>
    <s v="Spain"/>
    <x v="2"/>
  </r>
  <r>
    <n v="2024003560"/>
    <x v="2"/>
    <n v="2024"/>
    <x v="27"/>
    <s v="PROD_002"/>
    <s v="Wireless Mouse"/>
    <s v="Electronics"/>
    <n v="1"/>
    <n v="43.58"/>
    <n v="43.58"/>
    <n v="43.58"/>
    <n v="0"/>
    <s v="Spain"/>
    <x v="1"/>
  </r>
  <r>
    <n v="2024003561"/>
    <x v="297"/>
    <n v="2024"/>
    <x v="0"/>
    <s v="PROD_002"/>
    <s v="Wireless Mouse"/>
    <s v="Electronics"/>
    <n v="2"/>
    <n v="42.23"/>
    <n v="84.46"/>
    <n v="84.46"/>
    <n v="0"/>
    <s v="Italy"/>
    <x v="1"/>
  </r>
  <r>
    <n v="2024003562"/>
    <x v="226"/>
    <n v="2024"/>
    <x v="246"/>
    <s v="PROD_009"/>
    <s v="Phone Stand"/>
    <s v="Accessories"/>
    <n v="2"/>
    <n v="24.05"/>
    <n v="48.1"/>
    <n v="48.1"/>
    <n v="0"/>
    <s v="Netherlands"/>
    <x v="1"/>
  </r>
  <r>
    <n v="2024003563"/>
    <x v="119"/>
    <n v="2024"/>
    <x v="74"/>
    <s v="PROD_001"/>
    <s v="Laptop Pro"/>
    <s v="Electronics"/>
    <n v="1"/>
    <n v="1237.3399999999999"/>
    <n v="1237.3399999999999"/>
    <n v="1237.3399999999999"/>
    <n v="0"/>
    <s v="Belgium"/>
    <x v="2"/>
  </r>
  <r>
    <n v="2024003564"/>
    <x v="72"/>
    <n v="2024"/>
    <x v="243"/>
    <s v="PROD_003"/>
    <s v="USB-C Cable"/>
    <s v="Electronics"/>
    <n v="1"/>
    <n v="14.35"/>
    <n v="14.35"/>
    <n v="14.35"/>
    <n v="0"/>
    <s v="Sweden"/>
    <x v="0"/>
  </r>
  <r>
    <n v="2024003565"/>
    <x v="15"/>
    <n v="2024"/>
    <x v="82"/>
    <s v="PROD_002"/>
    <s v="Wireless Mouse"/>
    <s v="Electronics"/>
    <n v="2"/>
    <n v="43.98"/>
    <n v="87.96"/>
    <n v="87.96"/>
    <n v="0"/>
    <s v="UK"/>
    <x v="1"/>
  </r>
  <r>
    <n v="2024003566"/>
    <x v="1"/>
    <n v="2024"/>
    <x v="243"/>
    <s v="PROD_005"/>
    <s v="Standing Desk"/>
    <s v="Furniture"/>
    <n v="1"/>
    <n v="615.57000000000005"/>
    <n v="615.57000000000005"/>
    <n v="615.57000000000005"/>
    <n v="0"/>
    <s v="Spain"/>
    <x v="1"/>
  </r>
  <r>
    <n v="2024003567"/>
    <x v="330"/>
    <n v="2024"/>
    <x v="0"/>
    <s v="PROD_008"/>
    <s v="Desk Lamp"/>
    <s v="Furniture"/>
    <n v="2"/>
    <n v="78.06"/>
    <n v="156.12"/>
    <n v="156.12"/>
    <n v="0"/>
    <s v="Austria"/>
    <x v="2"/>
  </r>
  <r>
    <n v="2024003568"/>
    <x v="250"/>
    <n v="2024"/>
    <x v="183"/>
    <s v="PROD_004"/>
    <s v="Desk Chair"/>
    <s v="Furniture"/>
    <n v="1"/>
    <n v="366.39"/>
    <n v="366.39"/>
    <n v="366.39"/>
    <n v="0"/>
    <s v="Belgium"/>
    <x v="3"/>
  </r>
  <r>
    <n v="2024003569"/>
    <x v="66"/>
    <n v="2024"/>
    <x v="24"/>
    <s v="PROD_004"/>
    <s v="Desk Chair"/>
    <s v="Furniture"/>
    <n v="4"/>
    <n v="346.63"/>
    <n v="1386.52"/>
    <n v="1386.52"/>
    <n v="0"/>
    <s v="Austria"/>
    <x v="0"/>
  </r>
  <r>
    <n v="2024003570"/>
    <x v="105"/>
    <n v="2024"/>
    <x v="54"/>
    <s v="PROD_002"/>
    <s v="Wireless Mouse"/>
    <s v="Electronics"/>
    <n v="1"/>
    <n v="44.96"/>
    <n v="44.96"/>
    <n v="44.96"/>
    <n v="0"/>
    <s v="Netherlands"/>
    <x v="3"/>
  </r>
  <r>
    <n v="2024003571"/>
    <x v="241"/>
    <n v="2024"/>
    <x v="231"/>
    <s v="PROD_007"/>
    <s v="Keyboard Mechanical"/>
    <s v="Electronics"/>
    <n v="2"/>
    <n v="119.3"/>
    <n v="238.6"/>
    <n v="238.6"/>
    <n v="0"/>
    <s v="Germany"/>
    <x v="0"/>
  </r>
  <r>
    <n v="2024003572"/>
    <x v="345"/>
    <n v="2024"/>
    <x v="0"/>
    <s v="PROD_001"/>
    <s v="Laptop Pro"/>
    <s v="Electronics"/>
    <n v="2"/>
    <n v="1687.46"/>
    <n v="3374.92"/>
    <n v="3374.92"/>
    <n v="0"/>
    <s v="Belgium"/>
    <x v="0"/>
  </r>
  <r>
    <n v="2024001089"/>
    <x v="44"/>
    <n v="2024"/>
    <x v="242"/>
    <s v="PROD_005"/>
    <s v="Standing Desk"/>
    <s v="Furniture"/>
    <n v="2"/>
    <n v="550.33000000000004"/>
    <n v="1100.6600000000001"/>
    <n v="1100.6600000000001"/>
    <n v="0"/>
    <s v="Spain"/>
    <x v="2"/>
  </r>
  <r>
    <n v="2024003574"/>
    <x v="281"/>
    <n v="2024"/>
    <x v="280"/>
    <s v="PROD_008"/>
    <s v="Desk Lamp"/>
    <s v="Furniture"/>
    <n v="2"/>
    <n v="77.209999999999994"/>
    <n v="154.41999999999999"/>
    <n v="154.41999999999999"/>
    <n v="0"/>
    <s v="Belgium"/>
    <x v="0"/>
  </r>
  <r>
    <n v="2024003575"/>
    <x v="117"/>
    <n v="2024"/>
    <x v="153"/>
    <s v="PROD_010"/>
    <s v="Webcam HD"/>
    <s v="Electronics"/>
    <n v="1"/>
    <n v="90.55"/>
    <n v="90.55"/>
    <n v="90.55"/>
    <n v="0"/>
    <s v="Netherlands"/>
    <x v="2"/>
  </r>
  <r>
    <n v="2024003576"/>
    <x v="33"/>
    <n v="2024"/>
    <x v="294"/>
    <s v="PROD_002"/>
    <s v="Wireless Mouse"/>
    <s v="Electronics"/>
    <n v="4"/>
    <n v="46.51"/>
    <n v="186.04"/>
    <n v="186.04"/>
    <n v="0"/>
    <s v="Spain"/>
    <x v="2"/>
  </r>
  <r>
    <n v="2024003577"/>
    <x v="109"/>
    <n v="2024"/>
    <x v="0"/>
    <s v="PROD_003"/>
    <s v="USB-C Cable"/>
    <s v="Electronics"/>
    <n v="1"/>
    <n v="15.19"/>
    <n v="15.19"/>
    <n v="15.19"/>
    <n v="0"/>
    <s v="Spain"/>
    <x v="1"/>
  </r>
  <r>
    <n v="2024003578"/>
    <x v="80"/>
    <n v="2024"/>
    <x v="4"/>
    <s v="PROD_001"/>
    <s v="Laptop Pro"/>
    <s v="Electronics"/>
    <n v="4"/>
    <n v="1235.4100000000001"/>
    <n v="4941.6400000000003"/>
    <n v="4941.6400000000003"/>
    <n v="0"/>
    <s v="France"/>
    <x v="2"/>
  </r>
  <r>
    <n v="2024003579"/>
    <x v="316"/>
    <n v="2024"/>
    <x v="49"/>
    <s v="PROD_010"/>
    <s v="Webcam HD"/>
    <s v="Electronics"/>
    <n v="1"/>
    <n v="91.56"/>
    <n v="91.56"/>
    <n v="91.56"/>
    <n v="0"/>
    <s v="Spain"/>
    <x v="0"/>
  </r>
  <r>
    <n v="2024003580"/>
    <x v="93"/>
    <n v="2024"/>
    <x v="220"/>
    <s v="PROD_007"/>
    <s v="Keyboard Mechanical"/>
    <s v="Electronics"/>
    <n v="2"/>
    <n v="126.14"/>
    <n v="252.28"/>
    <n v="252.28"/>
    <n v="0"/>
    <s v="Italy"/>
    <x v="1"/>
  </r>
  <r>
    <n v="2024003581"/>
    <x v="244"/>
    <n v="2024"/>
    <x v="75"/>
    <s v="PROD_002"/>
    <s v="Wireless Mouse"/>
    <s v="Electronics"/>
    <n v="2"/>
    <n v="44.52"/>
    <n v="89.04"/>
    <n v="89.04"/>
    <n v="0"/>
    <s v="Switzerland"/>
    <x v="3"/>
  </r>
  <r>
    <n v="2024003582"/>
    <x v="200"/>
    <n v="2024"/>
    <x v="230"/>
    <s v="PROD_005"/>
    <s v="Standing Desk"/>
    <s v="Furniture"/>
    <n v="3"/>
    <n v="544.01"/>
    <n v="1632.03"/>
    <n v="1632.03"/>
    <n v="0"/>
    <s v="Sweden"/>
    <x v="2"/>
  </r>
  <r>
    <n v="2024003583"/>
    <x v="267"/>
    <n v="2024"/>
    <x v="232"/>
    <s v="PROD_007"/>
    <s v="Keyboard Mechanical"/>
    <s v="Electronics"/>
    <n v="1"/>
    <n v="115.44"/>
    <n v="115.44"/>
    <n v="115.44"/>
    <n v="0"/>
    <s v="Switzerland"/>
    <x v="3"/>
  </r>
  <r>
    <n v="2024003584"/>
    <x v="88"/>
    <n v="2024"/>
    <x v="14"/>
    <s v="PROD_002"/>
    <s v="Wireless Mouse"/>
    <s v="Electronics"/>
    <n v="2"/>
    <n v="44.13"/>
    <n v="88.26"/>
    <n v="88.26"/>
    <n v="0"/>
    <s v="Austria"/>
    <x v="1"/>
  </r>
  <r>
    <n v="2024003585"/>
    <x v="137"/>
    <n v="2024"/>
    <x v="50"/>
    <s v="PROD_006"/>
    <s v="Monitor 27&quot;"/>
    <s v="Electronics"/>
    <n v="1"/>
    <n v="419.65"/>
    <n v="419.65"/>
    <n v="419.65"/>
    <n v="0"/>
    <s v="Spain"/>
    <x v="2"/>
  </r>
  <r>
    <n v="2024003586"/>
    <x v="66"/>
    <n v="2024"/>
    <x v="57"/>
    <s v="PROD_005"/>
    <s v="Standing Desk"/>
    <s v="Furniture"/>
    <n v="3"/>
    <n v="661.06"/>
    <n v="1983.18"/>
    <n v="1983.1799999999998"/>
    <n v="0"/>
    <s v="UK"/>
    <x v="3"/>
  </r>
  <r>
    <n v="2024003587"/>
    <x v="98"/>
    <n v="2024"/>
    <x v="256"/>
    <s v="PROD_001"/>
    <s v="Laptop Pro"/>
    <s v="Electronics"/>
    <n v="1"/>
    <n v="1288.53"/>
    <n v="1288.53"/>
    <n v="1288.53"/>
    <n v="0"/>
    <s v="Netherlands"/>
    <x v="2"/>
  </r>
  <r>
    <n v="2024003588"/>
    <x v="285"/>
    <n v="2024"/>
    <x v="254"/>
    <s v="PROD_003"/>
    <s v="USB-C Cable"/>
    <s v="Electronics"/>
    <n v="1"/>
    <n v="14.66"/>
    <n v="14.66"/>
    <n v="14.66"/>
    <n v="0"/>
    <s v="Netherlands"/>
    <x v="2"/>
  </r>
  <r>
    <n v="2024003589"/>
    <x v="343"/>
    <n v="2024"/>
    <x v="126"/>
    <s v="PROD_004"/>
    <s v="Desk Chair"/>
    <s v="Furniture"/>
    <n v="1"/>
    <n v="372.54"/>
    <n v="372.54"/>
    <n v="372.54"/>
    <n v="0"/>
    <s v="Belgium"/>
    <x v="0"/>
  </r>
  <r>
    <n v="2024003590"/>
    <x v="355"/>
    <n v="2024"/>
    <x v="194"/>
    <s v="PROD_006"/>
    <s v="Monitor 27&quot;"/>
    <s v="Electronics"/>
    <n v="2"/>
    <n v="422"/>
    <n v="844"/>
    <n v="844"/>
    <n v="0"/>
    <s v="France"/>
    <x v="3"/>
  </r>
  <r>
    <n v="2024003591"/>
    <x v="296"/>
    <n v="2024"/>
    <x v="0"/>
    <s v="PROD_001"/>
    <s v="Laptop Pro"/>
    <s v="Electronics"/>
    <n v="2"/>
    <n v="1194.3499999999999"/>
    <n v="2388.6999999999998"/>
    <n v="2388.6999999999998"/>
    <n v="0"/>
    <s v="Belgium"/>
    <x v="2"/>
  </r>
  <r>
    <n v="2024003592"/>
    <x v="252"/>
    <n v="2024"/>
    <x v="28"/>
    <s v="PROD_008"/>
    <s v="Desk Lamp"/>
    <s v="Furniture"/>
    <n v="3"/>
    <n v="80.290000000000006"/>
    <n v="240.87"/>
    <n v="240.87"/>
    <n v="0"/>
    <s v="Netherlands"/>
    <x v="3"/>
  </r>
  <r>
    <n v="2024003593"/>
    <x v="362"/>
    <n v="2024"/>
    <x v="232"/>
    <s v="PROD_010"/>
    <s v="Webcam HD"/>
    <s v="Electronics"/>
    <n v="2"/>
    <n v="89.51"/>
    <n v="179.02"/>
    <n v="179.02"/>
    <n v="0"/>
    <s v="Sweden"/>
    <x v="1"/>
  </r>
  <r>
    <n v="2024003594"/>
    <x v="188"/>
    <n v="2024"/>
    <x v="0"/>
    <s v="PROD_009"/>
    <s v="Phone Stand"/>
    <s v="Accessories"/>
    <n v="1"/>
    <n v="26.46"/>
    <n v="26.46"/>
    <n v="26.46"/>
    <n v="0"/>
    <s v="Sweden"/>
    <x v="1"/>
  </r>
  <r>
    <n v="2024003595"/>
    <x v="181"/>
    <n v="2024"/>
    <x v="0"/>
    <s v="PROD_006"/>
    <s v="Monitor 27&quot;"/>
    <s v="Electronics"/>
    <n v="1"/>
    <n v="418.22"/>
    <n v="418.22"/>
    <n v="418.22"/>
    <n v="0"/>
    <s v="Switzerland"/>
    <x v="1"/>
  </r>
  <r>
    <n v="2024003596"/>
    <x v="123"/>
    <n v="2024"/>
    <x v="0"/>
    <s v="PROD_009"/>
    <s v="Phone Stand"/>
    <s v="Accessories"/>
    <n v="1"/>
    <n v="24.51"/>
    <n v="24.51"/>
    <n v="24.51"/>
    <n v="0"/>
    <s v="France"/>
    <x v="0"/>
  </r>
  <r>
    <n v="2024003597"/>
    <x v="36"/>
    <n v="2024"/>
    <x v="189"/>
    <s v="PROD_003"/>
    <s v="USB-C Cable"/>
    <s v="Electronics"/>
    <n v="2"/>
    <n v="15.02"/>
    <n v="30.04"/>
    <n v="30.04"/>
    <n v="0"/>
    <s v="Belgium"/>
    <x v="0"/>
  </r>
  <r>
    <n v="2024003598"/>
    <x v="261"/>
    <n v="2024"/>
    <x v="267"/>
    <s v="PROD_004"/>
    <s v="Desk Chair"/>
    <s v="Furniture"/>
    <n v="3"/>
    <n v="387.41"/>
    <n v="1162.23"/>
    <n v="1162.23"/>
    <n v="0"/>
    <s v="Italy"/>
    <x v="1"/>
  </r>
  <r>
    <n v="2024003599"/>
    <x v="277"/>
    <n v="2024"/>
    <x v="138"/>
    <s v="PROD_002"/>
    <s v="Wireless Mouse"/>
    <s v="Electronics"/>
    <n v="1"/>
    <n v="43.3"/>
    <n v="43.3"/>
    <n v="43.3"/>
    <n v="0"/>
    <s v="UK"/>
    <x v="1"/>
  </r>
  <r>
    <n v="2024003600"/>
    <x v="227"/>
    <n v="2024"/>
    <x v="234"/>
    <s v="PROD_001"/>
    <s v="Laptop Pro"/>
    <s v="Electronics"/>
    <n v="1"/>
    <n v="1182.7"/>
    <n v="1182.7"/>
    <n v="1182.7"/>
    <n v="0"/>
    <s v="Italy"/>
    <x v="2"/>
  </r>
  <r>
    <n v="2024003601"/>
    <x v="118"/>
    <n v="2024"/>
    <x v="131"/>
    <s v="PROD_008"/>
    <s v="Desk Lamp"/>
    <s v="Furniture"/>
    <n v="2"/>
    <n v="76.7"/>
    <n v="153.4"/>
    <n v="153.4"/>
    <n v="0"/>
    <s v="France"/>
    <x v="0"/>
  </r>
  <r>
    <n v="2024003602"/>
    <x v="151"/>
    <n v="2024"/>
    <x v="128"/>
    <s v="PROD_007"/>
    <s v="Keyboard Mechanical"/>
    <s v="Electronics"/>
    <n v="1"/>
    <n v="113.42"/>
    <n v="113.42"/>
    <n v="113.42"/>
    <n v="0"/>
    <s v="Sweden"/>
    <x v="0"/>
  </r>
  <r>
    <n v="2024003603"/>
    <x v="150"/>
    <n v="2024"/>
    <x v="33"/>
    <s v="PROD_002"/>
    <s v="Wireless Mouse"/>
    <s v="Electronics"/>
    <n v="1"/>
    <n v="48.03"/>
    <n v="48.03"/>
    <n v="48.03"/>
    <n v="0"/>
    <s v="Austria"/>
    <x v="2"/>
  </r>
  <r>
    <n v="2024003604"/>
    <x v="252"/>
    <n v="2024"/>
    <x v="175"/>
    <s v="PROD_009"/>
    <s v="Phone Stand"/>
    <s v="Accessories"/>
    <n v="1"/>
    <n v="23.86"/>
    <n v="23.86"/>
    <n v="23.86"/>
    <n v="0"/>
    <s v="Spain"/>
    <x v="0"/>
  </r>
  <r>
    <n v="2024003605"/>
    <x v="117"/>
    <n v="2024"/>
    <x v="114"/>
    <s v="PROD_004"/>
    <s v="Desk Chair"/>
    <s v="Furniture"/>
    <n v="1"/>
    <n v="345.12"/>
    <n v="345.12"/>
    <n v="345.12"/>
    <n v="0"/>
    <s v="Germany"/>
    <x v="1"/>
  </r>
  <r>
    <n v="2024003606"/>
    <x v="328"/>
    <n v="2024"/>
    <x v="0"/>
    <s v="PROD_008"/>
    <s v="Desk Lamp"/>
    <s v="Furniture"/>
    <n v="1"/>
    <n v="80.88"/>
    <n v="80.88"/>
    <n v="80.88"/>
    <n v="0"/>
    <s v="Italy"/>
    <x v="2"/>
  </r>
  <r>
    <n v="2024003607"/>
    <x v="219"/>
    <n v="2024"/>
    <x v="0"/>
    <s v="PROD_005"/>
    <s v="Standing Desk"/>
    <s v="Furniture"/>
    <n v="2"/>
    <n v="581.95000000000005"/>
    <n v="1163.9000000000001"/>
    <n v="1163.9000000000001"/>
    <n v="0"/>
    <s v="Netherlands"/>
    <x v="1"/>
  </r>
  <r>
    <n v="2024003608"/>
    <x v="13"/>
    <n v="2024"/>
    <x v="43"/>
    <s v="PROD_010"/>
    <s v="Webcam HD"/>
    <s v="Electronics"/>
    <n v="3"/>
    <n v="90.66"/>
    <n v="271.98"/>
    <n v="271.98"/>
    <n v="0"/>
    <s v="Belgium"/>
    <x v="3"/>
  </r>
  <r>
    <n v="2024003609"/>
    <x v="23"/>
    <n v="2024"/>
    <x v="208"/>
    <s v="PROD_006"/>
    <s v="Monitor 27&quot;"/>
    <s v="Electronics"/>
    <n v="1"/>
    <n v="369.26"/>
    <n v="369.26"/>
    <n v="369.26"/>
    <n v="0"/>
    <s v="France"/>
    <x v="1"/>
  </r>
  <r>
    <n v="2024003610"/>
    <x v="370"/>
    <n v="2023"/>
    <x v="0"/>
    <s v="PROD_002"/>
    <s v="Wireless Mouse"/>
    <s v="Electronics"/>
    <n v="1"/>
    <n v="46.15"/>
    <n v="46.15"/>
    <n v="46.15"/>
    <n v="0"/>
    <s v="Sweden"/>
    <x v="2"/>
  </r>
  <r>
    <n v="2024003611"/>
    <x v="338"/>
    <n v="2024"/>
    <x v="9"/>
    <s v="PROD_010"/>
    <s v="Webcam HD"/>
    <s v="Electronics"/>
    <n v="1"/>
    <n v="94.4"/>
    <n v="94.4"/>
    <n v="94.4"/>
    <n v="0"/>
    <s v="Spain"/>
    <x v="0"/>
  </r>
  <r>
    <n v="2024003612"/>
    <x v="39"/>
    <n v="2024"/>
    <x v="115"/>
    <s v="PROD_001"/>
    <s v="Laptop Pro"/>
    <s v="Electronics"/>
    <n v="2"/>
    <n v="1259.97"/>
    <n v="2519.94"/>
    <n v="2519.94"/>
    <n v="0"/>
    <s v="France"/>
    <x v="3"/>
  </r>
  <r>
    <n v="2024003613"/>
    <x v="153"/>
    <n v="2024"/>
    <x v="283"/>
    <s v="PROD_010"/>
    <s v="Webcam HD"/>
    <s v="Electronics"/>
    <n v="2"/>
    <n v="93.93"/>
    <n v="187.86"/>
    <n v="187.86"/>
    <n v="0"/>
    <s v="Netherlands"/>
    <x v="2"/>
  </r>
  <r>
    <n v="2024003614"/>
    <x v="110"/>
    <n v="2024"/>
    <x v="62"/>
    <s v="PROD_010"/>
    <s v="Webcam HD"/>
    <s v="Electronics"/>
    <n v="4"/>
    <n v="88.64"/>
    <n v="354.56"/>
    <n v="354.56"/>
    <n v="0"/>
    <s v="France"/>
    <x v="0"/>
  </r>
  <r>
    <n v="2024003615"/>
    <x v="30"/>
    <n v="2024"/>
    <x v="209"/>
    <s v="PROD_008"/>
    <s v="Desk Lamp"/>
    <s v="Furniture"/>
    <n v="5"/>
    <n v="80.91"/>
    <n v="404.55"/>
    <n v="404.54999999999995"/>
    <n v="0"/>
    <s v="Italy"/>
    <x v="3"/>
  </r>
  <r>
    <n v="2024003616"/>
    <x v="86"/>
    <n v="2024"/>
    <x v="81"/>
    <s v="PROD_010"/>
    <s v="Webcam HD"/>
    <s v="Electronics"/>
    <n v="1"/>
    <n v="93.54"/>
    <n v="93.54"/>
    <n v="93.54"/>
    <n v="0"/>
    <s v="France"/>
    <x v="2"/>
  </r>
  <r>
    <n v="2024003617"/>
    <x v="307"/>
    <n v="2024"/>
    <x v="272"/>
    <s v="PROD_001"/>
    <s v="Laptop Pro"/>
    <s v="Electronics"/>
    <n v="1"/>
    <n v="1227.57"/>
    <n v="1227.57"/>
    <n v="1227.57"/>
    <n v="0"/>
    <s v="Belgium"/>
    <x v="2"/>
  </r>
  <r>
    <n v="2024003618"/>
    <x v="65"/>
    <n v="2024"/>
    <x v="244"/>
    <s v="PROD_008"/>
    <s v="Desk Lamp"/>
    <s v="Furniture"/>
    <n v="2"/>
    <n v="76.77"/>
    <n v="153.54"/>
    <n v="153.54"/>
    <n v="0"/>
    <s v="UK"/>
    <x v="2"/>
  </r>
  <r>
    <n v="2024003619"/>
    <x v="2"/>
    <n v="2024"/>
    <x v="0"/>
    <s v="PROD_003"/>
    <s v="USB-C Cable"/>
    <s v="Electronics"/>
    <n v="0"/>
    <n v="14.73"/>
    <n v="0"/>
    <n v="0"/>
    <n v="0"/>
    <s v="Germany"/>
    <x v="2"/>
  </r>
  <r>
    <n v="2024003620"/>
    <x v="2"/>
    <n v="2024"/>
    <x v="283"/>
    <s v="PROD_009"/>
    <s v="Phone Stand"/>
    <s v="Accessories"/>
    <n v="5"/>
    <n v="26.75"/>
    <n v="133.75"/>
    <n v="133.75"/>
    <n v="0"/>
    <s v="Belgium"/>
    <x v="0"/>
  </r>
  <r>
    <n v="2024003621"/>
    <x v="274"/>
    <n v="2024"/>
    <x v="182"/>
    <s v="PROD_005"/>
    <s v="Standing Desk"/>
    <s v="Furniture"/>
    <n v="2"/>
    <n v="597.59"/>
    <n v="1195.18"/>
    <n v="1195.18"/>
    <n v="0"/>
    <s v="Spain"/>
    <x v="3"/>
  </r>
  <r>
    <n v="2024003622"/>
    <x v="219"/>
    <n v="2024"/>
    <x v="259"/>
    <s v="PROD_003"/>
    <s v="USB-C Cable"/>
    <s v="Electronics"/>
    <n v="2"/>
    <n v="14.33"/>
    <n v="28.66"/>
    <n v="28.66"/>
    <n v="0"/>
    <s v="Belgium"/>
    <x v="1"/>
  </r>
  <r>
    <n v="2024003623"/>
    <x v="298"/>
    <n v="2024"/>
    <x v="81"/>
    <s v="PROD_007"/>
    <s v="Keyboard Mechanical"/>
    <s v="Electronics"/>
    <n v="2"/>
    <n v="115.9"/>
    <n v="231.8"/>
    <n v="231.8"/>
    <n v="0"/>
    <s v="UK"/>
    <x v="1"/>
  </r>
  <r>
    <n v="2024003624"/>
    <x v="91"/>
    <n v="2024"/>
    <x v="235"/>
    <s v="PROD_006"/>
    <s v="Monitor 27&quot;"/>
    <s v="Electronics"/>
    <n v="3"/>
    <n v="405.78"/>
    <n v="1217.3399999999999"/>
    <n v="1217.3399999999999"/>
    <n v="0"/>
    <s v="Switzerland"/>
    <x v="3"/>
  </r>
  <r>
    <n v="2024003625"/>
    <x v="184"/>
    <n v="2024"/>
    <x v="33"/>
    <s v="PROD_007"/>
    <s v="Keyboard Mechanical"/>
    <s v="Electronics"/>
    <n v="2"/>
    <n v="121.26"/>
    <n v="242.52"/>
    <n v="242.52"/>
    <n v="0"/>
    <s v="Netherlands"/>
    <x v="3"/>
  </r>
  <r>
    <n v="2024003626"/>
    <x v="150"/>
    <n v="2024"/>
    <x v="92"/>
    <s v="PROD_004"/>
    <s v="Desk Chair"/>
    <s v="Furniture"/>
    <n v="1"/>
    <n v="361.25"/>
    <n v="361.25"/>
    <n v="361.25"/>
    <n v="0"/>
    <s v="UK"/>
    <x v="2"/>
  </r>
  <r>
    <n v="2024003627"/>
    <x v="351"/>
    <n v="2024"/>
    <x v="198"/>
    <s v="PROD_004"/>
    <s v="Desk Chair"/>
    <s v="Furniture"/>
    <n v="3"/>
    <n v="362.61"/>
    <n v="1087.83"/>
    <n v="1087.83"/>
    <n v="0"/>
    <s v="Sweden"/>
    <x v="2"/>
  </r>
  <r>
    <n v="2024003628"/>
    <x v="231"/>
    <n v="2024"/>
    <x v="206"/>
    <s v="PROD_004"/>
    <s v="Desk Chair"/>
    <s v="Furniture"/>
    <n v="1"/>
    <n v="357.61"/>
    <n v="357.61"/>
    <n v="357.61"/>
    <n v="0"/>
    <s v="Austria"/>
    <x v="1"/>
  </r>
  <r>
    <n v="2024003629"/>
    <x v="171"/>
    <n v="2024"/>
    <x v="276"/>
    <s v="PROD_010"/>
    <s v="Webcam HD"/>
    <s v="Electronics"/>
    <n v="1"/>
    <n v="94.71"/>
    <n v="94.71"/>
    <n v="94.71"/>
    <n v="0"/>
    <s v="Spain"/>
    <x v="3"/>
  </r>
  <r>
    <n v="2024003630"/>
    <x v="126"/>
    <n v="2024"/>
    <x v="135"/>
    <s v="PROD_003"/>
    <s v="USB-C Cable"/>
    <s v="Electronics"/>
    <n v="1"/>
    <n v="16.98"/>
    <n v="16.98"/>
    <n v="16.98"/>
    <n v="0"/>
    <s v="Spain"/>
    <x v="1"/>
  </r>
  <r>
    <n v="2024003631"/>
    <x v="214"/>
    <n v="2024"/>
    <x v="228"/>
    <s v="PROD_008"/>
    <s v="Desk Lamp"/>
    <s v="Furniture"/>
    <n v="1"/>
    <n v="84.97"/>
    <n v="84.97"/>
    <n v="84.97"/>
    <n v="0"/>
    <s v="Sweden"/>
    <x v="2"/>
  </r>
  <r>
    <n v="2024003632"/>
    <x v="31"/>
    <n v="2024"/>
    <x v="84"/>
    <s v="PROD_005"/>
    <s v="Standing Desk"/>
    <s v="Furniture"/>
    <n v="3"/>
    <n v="641.54"/>
    <n v="1924.62"/>
    <n v="1924.62"/>
    <n v="0"/>
    <s v="France"/>
    <x v="1"/>
  </r>
  <r>
    <n v="2024003633"/>
    <x v="11"/>
    <n v="2024"/>
    <x v="196"/>
    <s v="PROD_007"/>
    <s v="Keyboard Mechanical"/>
    <s v="Electronics"/>
    <n v="1"/>
    <n v="117.55"/>
    <n v="117.55"/>
    <n v="117.55"/>
    <n v="0"/>
    <s v="Spain"/>
    <x v="2"/>
  </r>
  <r>
    <n v="2024003634"/>
    <x v="307"/>
    <n v="2024"/>
    <x v="291"/>
    <s v="PROD_001"/>
    <s v="Laptop Pro"/>
    <s v="Electronics"/>
    <n v="1"/>
    <n v="1173.17"/>
    <n v="1173.17"/>
    <n v="1173.17"/>
    <n v="0"/>
    <s v="Italy"/>
    <x v="1"/>
  </r>
  <r>
    <n v="2024003635"/>
    <x v="193"/>
    <n v="2024"/>
    <x v="273"/>
    <s v="PROD_005"/>
    <s v="Standing Desk"/>
    <s v="Furniture"/>
    <n v="4"/>
    <n v="573.09"/>
    <n v="2292.36"/>
    <n v="2292.36"/>
    <n v="0"/>
    <s v="Germany"/>
    <x v="1"/>
  </r>
  <r>
    <n v="2024003636"/>
    <x v="44"/>
    <n v="2024"/>
    <x v="145"/>
    <s v="PROD_003"/>
    <s v="USB-C Cable"/>
    <s v="Electronics"/>
    <n v="1"/>
    <n v="16.63"/>
    <n v="16.63"/>
    <n v="16.63"/>
    <n v="0"/>
    <s v="Italy"/>
    <x v="0"/>
  </r>
  <r>
    <n v="2024003637"/>
    <x v="89"/>
    <n v="2024"/>
    <x v="11"/>
    <s v="PROD_009"/>
    <s v="Phone Stand"/>
    <s v="Accessories"/>
    <n v="1"/>
    <n v="24.98"/>
    <n v="24.98"/>
    <n v="24.98"/>
    <n v="0"/>
    <s v="Netherlands"/>
    <x v="1"/>
  </r>
  <r>
    <n v="2024003638"/>
    <x v="76"/>
    <n v="2024"/>
    <x v="37"/>
    <s v="PROD_006"/>
    <s v="Monitor 27&quot;"/>
    <s v="Electronics"/>
    <n v="1"/>
    <n v="367.8"/>
    <n v="367.8"/>
    <n v="367.8"/>
    <n v="0"/>
    <s v="Netherlands"/>
    <x v="0"/>
  </r>
  <r>
    <n v="2024003639"/>
    <x v="179"/>
    <n v="2024"/>
    <x v="295"/>
    <s v="PROD_001"/>
    <s v="Laptop Pro"/>
    <s v="Electronics"/>
    <n v="1"/>
    <n v="1275.9000000000001"/>
    <n v="1275.9000000000001"/>
    <n v="1275.9000000000001"/>
    <n v="0"/>
    <s v="Spain"/>
    <x v="1"/>
  </r>
  <r>
    <n v="2024003640"/>
    <x v="220"/>
    <n v="2024"/>
    <x v="255"/>
    <s v="PROD_010"/>
    <s v="Webcam HD"/>
    <s v="Electronics"/>
    <n v="2"/>
    <n v="83.84"/>
    <n v="167.68"/>
    <n v="167.68"/>
    <n v="0"/>
    <s v="France"/>
    <x v="0"/>
  </r>
  <r>
    <n v="2024003641"/>
    <x v="170"/>
    <n v="2024"/>
    <x v="23"/>
    <s v="PROD_005"/>
    <s v="Standing Desk"/>
    <s v="Furniture"/>
    <n v="3"/>
    <n v="551.66999999999996"/>
    <n v="1655.01"/>
    <n v="1655.0099999999998"/>
    <n v="0"/>
    <s v="Belgium"/>
    <x v="2"/>
  </r>
  <r>
    <n v="2024003642"/>
    <x v="259"/>
    <n v="2024"/>
    <x v="76"/>
    <s v="PROD_005"/>
    <s v="Standing Desk"/>
    <s v="Furniture"/>
    <n v="3"/>
    <n v="632.26"/>
    <n v="1896.78"/>
    <n v="1896.78"/>
    <n v="0"/>
    <s v="Spain"/>
    <x v="3"/>
  </r>
  <r>
    <n v="2024003643"/>
    <x v="87"/>
    <n v="2024"/>
    <x v="162"/>
    <s v="PROD_005"/>
    <s v="Standing Desk"/>
    <s v="Furniture"/>
    <n v="2"/>
    <n v="633.30999999999995"/>
    <n v="1266.6199999999999"/>
    <n v="1266.6199999999999"/>
    <n v="0"/>
    <s v="Austria"/>
    <x v="3"/>
  </r>
  <r>
    <n v="2024003644"/>
    <x v="134"/>
    <n v="2024"/>
    <x v="45"/>
    <s v="PROD_009"/>
    <s v="Phone Stand"/>
    <s v="Accessories"/>
    <n v="1"/>
    <n v="24.24"/>
    <n v="24.24"/>
    <n v="24.24"/>
    <n v="0"/>
    <s v="Germany"/>
    <x v="0"/>
  </r>
  <r>
    <n v="2024003645"/>
    <x v="14"/>
    <n v="2024"/>
    <x v="156"/>
    <s v="PROD_001"/>
    <s v="Laptop Pro"/>
    <s v="Electronics"/>
    <n v="2"/>
    <n v="1213.1500000000001"/>
    <n v="2426.3000000000002"/>
    <n v="2426.3000000000002"/>
    <n v="0"/>
    <s v="Sweden"/>
    <x v="2"/>
  </r>
  <r>
    <n v="2024003646"/>
    <x v="107"/>
    <n v="2024"/>
    <x v="171"/>
    <s v="PROD_004"/>
    <s v="Desk Chair"/>
    <s v="Furniture"/>
    <n v="1"/>
    <n v="363.29"/>
    <n v="363.29"/>
    <n v="363.29"/>
    <n v="0"/>
    <s v="Austria"/>
    <x v="3"/>
  </r>
  <r>
    <n v="2024003647"/>
    <x v="129"/>
    <n v="2024"/>
    <x v="171"/>
    <s v="PROD_004"/>
    <s v="Desk Chair"/>
    <s v="Furniture"/>
    <n v="1"/>
    <n v="336.22"/>
    <n v="336.22"/>
    <n v="336.22"/>
    <n v="0"/>
    <s v="Spain"/>
    <x v="1"/>
  </r>
  <r>
    <n v="2024003210"/>
    <x v="177"/>
    <n v="2024"/>
    <x v="265"/>
    <s v="PROD_001"/>
    <s v="Laptop Pro"/>
    <s v="Electronics"/>
    <n v="2"/>
    <n v="1137.32"/>
    <n v="2274.64"/>
    <n v="2274.64"/>
    <n v="0"/>
    <s v="Austria"/>
    <x v="0"/>
  </r>
  <r>
    <n v="2024003649"/>
    <x v="242"/>
    <n v="2024"/>
    <x v="259"/>
    <s v="PROD_001"/>
    <s v="Laptop Pro"/>
    <s v="Electronics"/>
    <n v="1"/>
    <n v="1227.29"/>
    <n v="1227.29"/>
    <n v="1227.29"/>
    <n v="0"/>
    <s v="Belgium"/>
    <x v="2"/>
  </r>
  <r>
    <n v="2024003650"/>
    <x v="308"/>
    <n v="2024"/>
    <x v="26"/>
    <s v="PROD_006"/>
    <s v="Monitor 27&quot;"/>
    <s v="Electronics"/>
    <n v="3"/>
    <n v="399.15"/>
    <n v="1197.45"/>
    <n v="1197.4499999999998"/>
    <n v="0"/>
    <s v="Belgium"/>
    <x v="3"/>
  </r>
  <r>
    <n v="2024003651"/>
    <x v="278"/>
    <n v="2024"/>
    <x v="91"/>
    <s v="PROD_003"/>
    <s v="USB-C Cable"/>
    <s v="Electronics"/>
    <n v="1"/>
    <n v="14.77"/>
    <n v="14.77"/>
    <n v="14.77"/>
    <n v="0"/>
    <s v="Sweden"/>
    <x v="0"/>
  </r>
  <r>
    <n v="2024003652"/>
    <x v="240"/>
    <n v="2024"/>
    <x v="201"/>
    <s v="PROD_007"/>
    <s v="Keyboard Mechanical"/>
    <s v="Electronics"/>
    <n v="2"/>
    <n v="123.53"/>
    <n v="247.06"/>
    <n v="247.06"/>
    <n v="0"/>
    <s v="France"/>
    <x v="0"/>
  </r>
  <r>
    <n v="2024003653"/>
    <x v="247"/>
    <n v="2024"/>
    <x v="165"/>
    <s v="PROD_010"/>
    <s v="Webcam HD"/>
    <s v="Electronics"/>
    <n v="4"/>
    <n v="84.1"/>
    <n v="336.4"/>
    <n v="336.4"/>
    <n v="0"/>
    <s v="Netherlands"/>
    <x v="0"/>
  </r>
  <r>
    <n v="2024003654"/>
    <x v="128"/>
    <n v="2024"/>
    <x v="195"/>
    <s v="PROD_007"/>
    <s v="Keyboard Mechanical"/>
    <s v="Electronics"/>
    <n v="2"/>
    <n v="138.16999999999999"/>
    <n v="276.33999999999997"/>
    <n v="276.33999999999997"/>
    <n v="0"/>
    <s v="Belgium"/>
    <x v="3"/>
  </r>
  <r>
    <n v="2024003655"/>
    <x v="94"/>
    <n v="2024"/>
    <x v="175"/>
    <s v="PROD_001"/>
    <s v="Laptop Pro"/>
    <s v="Electronics"/>
    <n v="3"/>
    <n v="1270.9100000000001"/>
    <n v="3812.73"/>
    <n v="3812.7300000000005"/>
    <n v="0"/>
    <s v="France"/>
    <x v="0"/>
  </r>
  <r>
    <n v="2024003656"/>
    <x v="350"/>
    <n v="2024"/>
    <x v="0"/>
    <s v="PROD_005"/>
    <s v="Standing Desk"/>
    <s v="Furniture"/>
    <n v="1"/>
    <n v="562.87"/>
    <n v="562.87"/>
    <n v="562.87"/>
    <n v="0"/>
    <s v="Germany"/>
    <x v="3"/>
  </r>
  <r>
    <n v="2024003657"/>
    <x v="30"/>
    <n v="2024"/>
    <x v="0"/>
    <s v="PROD_005"/>
    <s v="Standing Desk"/>
    <s v="Furniture"/>
    <n v="1"/>
    <n v="588.34"/>
    <n v="588.34"/>
    <n v="588.34"/>
    <n v="0"/>
    <s v="Austria"/>
    <x v="2"/>
  </r>
  <r>
    <n v="2024003658"/>
    <x v="349"/>
    <n v="2024"/>
    <x v="169"/>
    <s v="PROD_004"/>
    <s v="Desk Chair"/>
    <s v="Furniture"/>
    <n v="2"/>
    <n v="357.74"/>
    <n v="715.48"/>
    <n v="715.48"/>
    <n v="0"/>
    <s v="Austria"/>
    <x v="1"/>
  </r>
  <r>
    <n v="2024003659"/>
    <x v="174"/>
    <n v="2024"/>
    <x v="209"/>
    <s v="PROD_006"/>
    <s v="Monitor 27&quot;"/>
    <s v="Electronics"/>
    <n v="1"/>
    <n v="404.34"/>
    <n v="404.34"/>
    <n v="404.34"/>
    <n v="0"/>
    <s v="Italy"/>
    <x v="2"/>
  </r>
  <r>
    <n v="2024003660"/>
    <x v="360"/>
    <n v="2024"/>
    <x v="257"/>
    <s v="PROD_005"/>
    <s v="Standing Desk"/>
    <s v="Furniture"/>
    <n v="1"/>
    <n v="547.30999999999995"/>
    <n v="547.30999999999995"/>
    <n v="547.30999999999995"/>
    <n v="0"/>
    <s v="Sweden"/>
    <x v="3"/>
  </r>
  <r>
    <n v="2024003661"/>
    <x v="319"/>
    <n v="2024"/>
    <x v="0"/>
    <s v="PROD_003"/>
    <s v="USB-C Cable"/>
    <s v="Electronics"/>
    <n v="2"/>
    <n v="15.33"/>
    <n v="30.66"/>
    <n v="30.66"/>
    <n v="0"/>
    <s v="Belgium"/>
    <x v="1"/>
  </r>
  <r>
    <n v="2024003662"/>
    <x v="290"/>
    <n v="2024"/>
    <x v="2"/>
    <s v="PROD_010"/>
    <s v="Webcam HD"/>
    <s v="Electronics"/>
    <n v="2"/>
    <n v="88.4"/>
    <n v="176.8"/>
    <n v="176.8"/>
    <n v="0"/>
    <s v="Sweden"/>
    <x v="1"/>
  </r>
  <r>
    <n v="2024003663"/>
    <x v="337"/>
    <n v="2024"/>
    <x v="0"/>
    <s v="PROD_006"/>
    <s v="Monitor 27&quot;"/>
    <s v="Electronics"/>
    <n v="1"/>
    <n v="369.92"/>
    <n v="369.92"/>
    <n v="369.92"/>
    <n v="0"/>
    <s v="Belgium"/>
    <x v="1"/>
  </r>
  <r>
    <n v="2024003664"/>
    <x v="131"/>
    <n v="2024"/>
    <x v="5"/>
    <s v="PROD_008"/>
    <s v="Desk Lamp"/>
    <s v="Furniture"/>
    <n v="1"/>
    <n v="78.52"/>
    <n v="78.52"/>
    <n v="78.52"/>
    <n v="0"/>
    <s v="Netherlands"/>
    <x v="2"/>
  </r>
  <r>
    <n v="2024003665"/>
    <x v="213"/>
    <n v="2024"/>
    <x v="143"/>
    <s v="PROD_002"/>
    <s v="Wireless Mouse"/>
    <s v="Electronics"/>
    <n v="3"/>
    <n v="44.72"/>
    <n v="134.16"/>
    <n v="134.16"/>
    <n v="0"/>
    <s v="France"/>
    <x v="0"/>
  </r>
  <r>
    <n v="2024003666"/>
    <x v="315"/>
    <n v="2024"/>
    <x v="213"/>
    <s v="PROD_004"/>
    <s v="Desk Chair"/>
    <s v="Furniture"/>
    <n v="2"/>
    <n v="361.26"/>
    <n v="722.52"/>
    <n v="722.52"/>
    <n v="0"/>
    <s v="France"/>
    <x v="2"/>
  </r>
  <r>
    <n v="2024003667"/>
    <x v="355"/>
    <n v="2024"/>
    <x v="263"/>
    <s v="PROD_007"/>
    <s v="Keyboard Mechanical"/>
    <s v="Electronics"/>
    <n v="1"/>
    <n v="121.54"/>
    <n v="121.54"/>
    <n v="121.54"/>
    <n v="0"/>
    <s v="Italy"/>
    <x v="2"/>
  </r>
  <r>
    <n v="2024003668"/>
    <x v="301"/>
    <n v="2024"/>
    <x v="243"/>
    <s v="PROD_003"/>
    <s v="USB-C Cable"/>
    <s v="Electronics"/>
    <n v="2"/>
    <n v="15.04"/>
    <n v="30.08"/>
    <n v="30.08"/>
    <n v="0"/>
    <s v="Spain"/>
    <x v="2"/>
  </r>
  <r>
    <n v="2024003669"/>
    <x v="14"/>
    <n v="2024"/>
    <x v="0"/>
    <s v="PROD_009"/>
    <s v="Phone Stand"/>
    <s v="Accessories"/>
    <n v="1"/>
    <n v="23.46"/>
    <n v="23.46"/>
    <n v="23.46"/>
    <n v="0"/>
    <s v="UK"/>
    <x v="0"/>
  </r>
  <r>
    <n v="2024003670"/>
    <x v="267"/>
    <n v="2024"/>
    <x v="0"/>
    <s v="PROD_002"/>
    <s v="Wireless Mouse"/>
    <s v="Electronics"/>
    <n v="1"/>
    <n v="44.99"/>
    <n v="44.99"/>
    <n v="44.99"/>
    <n v="0"/>
    <s v="Sweden"/>
    <x v="0"/>
  </r>
  <r>
    <n v="2024003671"/>
    <x v="108"/>
    <n v="2024"/>
    <x v="0"/>
    <s v="PROD_006"/>
    <s v="Monitor 27&quot;"/>
    <s v="Electronics"/>
    <n v="3"/>
    <n v="404.46"/>
    <n v="1213.3800000000001"/>
    <n v="1213.3799999999999"/>
    <n v="0"/>
    <s v="Germany"/>
    <x v="2"/>
  </r>
  <r>
    <n v="2024003672"/>
    <x v="284"/>
    <n v="2024"/>
    <x v="115"/>
    <s v="PROD_010"/>
    <s v="Webcam HD"/>
    <s v="Electronics"/>
    <n v="4"/>
    <n v="94.52"/>
    <n v="378.08"/>
    <n v="378.08"/>
    <n v="0"/>
    <s v="Switzerland"/>
    <x v="1"/>
  </r>
  <r>
    <n v="2024003673"/>
    <x v="331"/>
    <n v="2024"/>
    <x v="65"/>
    <s v="PROD_009"/>
    <s v="Phone Stand"/>
    <s v="Accessories"/>
    <n v="3"/>
    <n v="25.95"/>
    <n v="77.849999999999994"/>
    <n v="77.849999999999994"/>
    <n v="0"/>
    <s v="Sweden"/>
    <x v="1"/>
  </r>
  <r>
    <n v="2024003674"/>
    <x v="9"/>
    <n v="2024"/>
    <x v="55"/>
    <s v="PROD_001"/>
    <s v="Laptop Pro"/>
    <s v="Electronics"/>
    <n v="2"/>
    <n v="1232.82"/>
    <n v="2465.64"/>
    <n v="2465.64"/>
    <n v="0"/>
    <s v="Sweden"/>
    <x v="0"/>
  </r>
  <r>
    <n v="2024003675"/>
    <x v="153"/>
    <n v="2024"/>
    <x v="126"/>
    <s v="PROD_009"/>
    <s v="Phone Stand"/>
    <s v="Accessories"/>
    <n v="1"/>
    <n v="26.66"/>
    <n v="26.66"/>
    <n v="26.66"/>
    <n v="0"/>
    <s v="Switzerland"/>
    <x v="2"/>
  </r>
  <r>
    <n v="2024003676"/>
    <x v="93"/>
    <n v="2024"/>
    <x v="0"/>
    <s v="PROD_007"/>
    <s v="Keyboard Mechanical"/>
    <s v="Electronics"/>
    <n v="2"/>
    <n v="125"/>
    <n v="250"/>
    <n v="250"/>
    <n v="0"/>
    <s v="Austria"/>
    <x v="3"/>
  </r>
  <r>
    <n v="2024003677"/>
    <x v="245"/>
    <n v="2024"/>
    <x v="55"/>
    <s v="PROD_008"/>
    <s v="Desk Lamp"/>
    <s v="Furniture"/>
    <n v="2"/>
    <n v="82.35"/>
    <n v="164.7"/>
    <n v="164.7"/>
    <n v="0"/>
    <s v="Austria"/>
    <x v="2"/>
  </r>
  <r>
    <n v="2024003678"/>
    <x v="22"/>
    <n v="2024"/>
    <x v="13"/>
    <s v="PROD_007"/>
    <s v="Keyboard Mechanical"/>
    <s v="Electronics"/>
    <n v="1"/>
    <n v="116.35"/>
    <n v="116.35"/>
    <n v="116.35"/>
    <n v="0"/>
    <s v="Italy"/>
    <x v="2"/>
  </r>
  <r>
    <n v="2024003679"/>
    <x v="49"/>
    <n v="2024"/>
    <x v="0"/>
    <s v="PROD_001"/>
    <s v="Laptop Pro"/>
    <s v="Electronics"/>
    <n v="1"/>
    <n v="1143.05"/>
    <n v="1143.05"/>
    <n v="1143.05"/>
    <n v="0"/>
    <s v="Netherlands"/>
    <x v="1"/>
  </r>
  <r>
    <n v="2024003680"/>
    <x v="355"/>
    <n v="2024"/>
    <x v="225"/>
    <s v="PROD_010"/>
    <s v="Webcam HD"/>
    <s v="Electronics"/>
    <n v="1"/>
    <n v="84.48"/>
    <n v="84.48"/>
    <n v="84.48"/>
    <n v="0"/>
    <s v="Belgium"/>
    <x v="0"/>
  </r>
  <r>
    <n v="2024003681"/>
    <x v="173"/>
    <n v="2024"/>
    <x v="244"/>
    <s v="PROD_008"/>
    <s v="Desk Lamp"/>
    <s v="Furniture"/>
    <n v="1"/>
    <n v="82.7"/>
    <n v="82.7"/>
    <n v="82.7"/>
    <n v="0"/>
    <s v="Belgium"/>
    <x v="2"/>
  </r>
  <r>
    <n v="2024003682"/>
    <x v="310"/>
    <n v="2024"/>
    <x v="87"/>
    <s v="PROD_001"/>
    <s v="Laptop Pro"/>
    <s v="Electronics"/>
    <n v="1"/>
    <n v="1190.6099999999999"/>
    <n v="1190.6099999999999"/>
    <n v="1190.6099999999999"/>
    <n v="0"/>
    <s v="Spain"/>
    <x v="2"/>
  </r>
  <r>
    <n v="2024003683"/>
    <x v="361"/>
    <n v="2024"/>
    <x v="184"/>
    <s v="PROD_009"/>
    <s v="Phone Stand"/>
    <s v="Accessories"/>
    <n v="3"/>
    <n v="24.31"/>
    <n v="72.930000000000007"/>
    <n v="72.929999999999993"/>
    <n v="0"/>
    <s v="Switzerland"/>
    <x v="1"/>
  </r>
  <r>
    <n v="2024003684"/>
    <x v="109"/>
    <n v="2024"/>
    <x v="152"/>
    <s v="PROD_003"/>
    <s v="USB-C Cable"/>
    <s v="Electronics"/>
    <n v="3"/>
    <n v="14.59"/>
    <n v="43.77"/>
    <n v="43.769999999999996"/>
    <n v="0"/>
    <s v="UK"/>
    <x v="3"/>
  </r>
  <r>
    <n v="2024003685"/>
    <x v="53"/>
    <n v="2024"/>
    <x v="84"/>
    <s v="PROD_007"/>
    <s v="Keyboard Mechanical"/>
    <s v="Electronics"/>
    <n v="2"/>
    <n v="111.81"/>
    <n v="223.62"/>
    <n v="223.62"/>
    <n v="0"/>
    <s v="Austria"/>
    <x v="3"/>
  </r>
  <r>
    <n v="2024003686"/>
    <x v="306"/>
    <n v="2024"/>
    <x v="57"/>
    <s v="PROD_002"/>
    <s v="Wireless Mouse"/>
    <s v="Electronics"/>
    <n v="1"/>
    <n v="45.35"/>
    <n v="45.35"/>
    <n v="45.35"/>
    <n v="0"/>
    <s v="Belgium"/>
    <x v="0"/>
  </r>
  <r>
    <n v="2024003687"/>
    <x v="245"/>
    <n v="2024"/>
    <x v="253"/>
    <s v="PROD_010"/>
    <s v="Webcam HD"/>
    <s v="Electronics"/>
    <n v="1"/>
    <n v="84.7"/>
    <n v="84.7"/>
    <n v="84.7"/>
    <n v="0"/>
    <s v="Spain"/>
    <x v="3"/>
  </r>
  <r>
    <n v="2024003688"/>
    <x v="127"/>
    <n v="2024"/>
    <x v="238"/>
    <s v="PROD_001"/>
    <s v="Laptop Pro"/>
    <s v="Electronics"/>
    <n v="2"/>
    <n v="1123.67"/>
    <n v="2247.34"/>
    <n v="2247.34"/>
    <n v="0"/>
    <s v="Germany"/>
    <x v="3"/>
  </r>
  <r>
    <n v="2024003689"/>
    <x v="214"/>
    <n v="2024"/>
    <x v="182"/>
    <s v="PROD_006"/>
    <s v="Monitor 27&quot;"/>
    <s v="Electronics"/>
    <n v="1"/>
    <n v="414.26"/>
    <n v="414.26"/>
    <n v="414.26"/>
    <n v="0"/>
    <s v="France"/>
    <x v="1"/>
  </r>
  <r>
    <n v="2024003690"/>
    <x v="131"/>
    <n v="2024"/>
    <x v="10"/>
    <s v="PROD_001"/>
    <s v="Laptop Pro"/>
    <s v="Electronics"/>
    <n v="3"/>
    <n v="1109.58"/>
    <n v="3328.74"/>
    <n v="3328.74"/>
    <n v="0"/>
    <s v="Italy"/>
    <x v="1"/>
  </r>
  <r>
    <n v="2024003691"/>
    <x v="253"/>
    <n v="2024"/>
    <x v="8"/>
    <s v="PROD_010"/>
    <s v="Webcam HD"/>
    <s v="Electronics"/>
    <n v="2"/>
    <n v="90.66"/>
    <n v="181.32"/>
    <n v="181.32"/>
    <n v="0"/>
    <s v="Austria"/>
    <x v="1"/>
  </r>
  <r>
    <n v="2024003692"/>
    <x v="367"/>
    <n v="2024"/>
    <x v="260"/>
    <s v="PROD_006"/>
    <s v="Monitor 27&quot;"/>
    <s v="Electronics"/>
    <n v="3"/>
    <n v="420.12"/>
    <n v="1260.3599999999999"/>
    <n v="1260.3600000000001"/>
    <n v="0"/>
    <s v="UK"/>
    <x v="2"/>
  </r>
  <r>
    <n v="2024003693"/>
    <x v="248"/>
    <n v="2024"/>
    <x v="138"/>
    <s v="PROD_003"/>
    <s v="USB-C Cable"/>
    <s v="Electronics"/>
    <n v="2"/>
    <n v="15.14"/>
    <n v="30.28"/>
    <n v="30.28"/>
    <n v="0"/>
    <s v="Germany"/>
    <x v="0"/>
  </r>
  <r>
    <n v="2024003694"/>
    <x v="236"/>
    <n v="2024"/>
    <x v="136"/>
    <s v="PROD_005"/>
    <s v="Standing Desk"/>
    <s v="Furniture"/>
    <n v="2"/>
    <n v="506.98"/>
    <n v="1013.96"/>
    <n v="1013.96"/>
    <n v="0"/>
    <s v="Spain"/>
    <x v="2"/>
  </r>
  <r>
    <n v="2024003695"/>
    <x v="220"/>
    <n v="2024"/>
    <x v="179"/>
    <s v="PROD_002"/>
    <s v="Wireless Mouse"/>
    <s v="Electronics"/>
    <n v="2"/>
    <n v="45.6"/>
    <n v="91.2"/>
    <n v="91.2"/>
    <n v="0"/>
    <s v="Austria"/>
    <x v="1"/>
  </r>
  <r>
    <n v="2024003696"/>
    <x v="280"/>
    <n v="2024"/>
    <x v="146"/>
    <s v="PROD_003"/>
    <s v="USB-C Cable"/>
    <s v="Electronics"/>
    <n v="1"/>
    <n v="14.42"/>
    <n v="14.42"/>
    <n v="14.42"/>
    <n v="0"/>
    <s v="UK"/>
    <x v="0"/>
  </r>
  <r>
    <n v="2024003697"/>
    <x v="347"/>
    <n v="2024"/>
    <x v="165"/>
    <s v="PROD_002"/>
    <s v="Wireless Mouse"/>
    <s v="Electronics"/>
    <n v="1"/>
    <n v="46.45"/>
    <n v="46.45"/>
    <n v="46.45"/>
    <n v="0"/>
    <s v="Switzerland"/>
    <x v="0"/>
  </r>
  <r>
    <n v="2024003698"/>
    <x v="114"/>
    <n v="2024"/>
    <x v="155"/>
    <s v="PROD_009"/>
    <s v="Phone Stand"/>
    <s v="Accessories"/>
    <n v="1"/>
    <n v="26.05"/>
    <n v="26.05"/>
    <n v="26.05"/>
    <n v="0"/>
    <s v="Netherlands"/>
    <x v="0"/>
  </r>
  <r>
    <n v="2024003699"/>
    <x v="124"/>
    <n v="2024"/>
    <x v="74"/>
    <s v="PROD_007"/>
    <s v="Keyboard Mechanical"/>
    <s v="Electronics"/>
    <n v="5"/>
    <n v="131.30000000000001"/>
    <n v="656.5"/>
    <n v="656.5"/>
    <n v="0"/>
    <s v="UK"/>
    <x v="2"/>
  </r>
  <r>
    <n v="2024003700"/>
    <x v="222"/>
    <n v="2024"/>
    <x v="0"/>
    <s v="PROD_004"/>
    <s v="Desk Chair"/>
    <s v="Furniture"/>
    <n v="4"/>
    <n v="371.55"/>
    <n v="1486.2"/>
    <n v="1486.2"/>
    <n v="0"/>
    <s v="Spain"/>
    <x v="2"/>
  </r>
  <r>
    <n v="2024003701"/>
    <x v="305"/>
    <n v="2024"/>
    <x v="204"/>
    <s v="PROD_004"/>
    <s v="Desk Chair"/>
    <s v="Furniture"/>
    <n v="1"/>
    <n v="349.38"/>
    <n v="349.38"/>
    <n v="349.38"/>
    <n v="0"/>
    <s v="Italy"/>
    <x v="1"/>
  </r>
  <r>
    <n v="2024003702"/>
    <x v="147"/>
    <n v="2024"/>
    <x v="196"/>
    <s v="PROD_004"/>
    <s v="Desk Chair"/>
    <s v="Furniture"/>
    <n v="2"/>
    <n v="344.23"/>
    <n v="688.46"/>
    <n v="688.46"/>
    <n v="0"/>
    <s v="Belgium"/>
    <x v="3"/>
  </r>
  <r>
    <n v="2024003703"/>
    <x v="256"/>
    <n v="2024"/>
    <x v="127"/>
    <s v="PROD_002"/>
    <s v="Wireless Mouse"/>
    <s v="Electronics"/>
    <n v="1"/>
    <n v="42.39"/>
    <n v="42.39"/>
    <n v="42.39"/>
    <n v="0"/>
    <s v="France"/>
    <x v="1"/>
  </r>
  <r>
    <n v="2024003704"/>
    <x v="60"/>
    <n v="2024"/>
    <x v="110"/>
    <s v="PROD_009"/>
    <s v="Phone Stand"/>
    <s v="Accessories"/>
    <n v="3"/>
    <n v="24.52"/>
    <n v="73.56"/>
    <n v="73.56"/>
    <n v="0"/>
    <s v="UK"/>
    <x v="2"/>
  </r>
  <r>
    <n v="2024003705"/>
    <x v="297"/>
    <n v="2024"/>
    <x v="138"/>
    <s v="PROD_007"/>
    <s v="Keyboard Mechanical"/>
    <s v="Electronics"/>
    <n v="1"/>
    <n v="118.03"/>
    <n v="118.03"/>
    <n v="118.03"/>
    <n v="0"/>
    <s v="Germany"/>
    <x v="0"/>
  </r>
  <r>
    <n v="2024003706"/>
    <x v="274"/>
    <n v="2024"/>
    <x v="278"/>
    <s v="PROD_001"/>
    <s v="Laptop Pro"/>
    <s v="Electronics"/>
    <n v="1"/>
    <n v="1161.1400000000001"/>
    <n v="1161.1400000000001"/>
    <n v="1161.1400000000001"/>
    <n v="0"/>
    <s v="Switzerland"/>
    <x v="3"/>
  </r>
  <r>
    <n v="2024003707"/>
    <x v="273"/>
    <n v="2024"/>
    <x v="114"/>
    <s v="PROD_004"/>
    <s v="Desk Chair"/>
    <s v="Furniture"/>
    <n v="3"/>
    <n v="344.22"/>
    <n v="1032.6600000000001"/>
    <n v="1032.6600000000001"/>
    <n v="0"/>
    <s v="Germany"/>
    <x v="2"/>
  </r>
  <r>
    <n v="2024003708"/>
    <x v="220"/>
    <n v="2024"/>
    <x v="275"/>
    <s v="PROD_010"/>
    <s v="Webcam HD"/>
    <s v="Electronics"/>
    <n v="2"/>
    <n v="85.5"/>
    <n v="171"/>
    <n v="171"/>
    <n v="0"/>
    <s v="France"/>
    <x v="2"/>
  </r>
  <r>
    <n v="2024003709"/>
    <x v="171"/>
    <n v="2024"/>
    <x v="0"/>
    <s v="PROD_005"/>
    <s v="Standing Desk"/>
    <s v="Furniture"/>
    <n v="3"/>
    <n v="618.38"/>
    <n v="1855.14"/>
    <n v="1855.1399999999999"/>
    <n v="0"/>
    <s v="Switzerland"/>
    <x v="2"/>
  </r>
  <r>
    <n v="2024003710"/>
    <x v="364"/>
    <n v="2024"/>
    <x v="100"/>
    <s v="PROD_005"/>
    <s v="Standing Desk"/>
    <s v="Furniture"/>
    <n v="1"/>
    <n v="611.92999999999995"/>
    <n v="611.92999999999995"/>
    <n v="611.92999999999995"/>
    <n v="0"/>
    <s v="Netherlands"/>
    <x v="0"/>
  </r>
  <r>
    <n v="2024003711"/>
    <x v="162"/>
    <n v="2024"/>
    <x v="110"/>
    <s v="PROD_003"/>
    <s v="USB-C Cable"/>
    <s v="Electronics"/>
    <n v="1"/>
    <n v="14.01"/>
    <n v="14.01"/>
    <n v="14.01"/>
    <n v="0"/>
    <s v="Austria"/>
    <x v="3"/>
  </r>
  <r>
    <n v="2024003712"/>
    <x v="7"/>
    <n v="2024"/>
    <x v="290"/>
    <s v="PROD_008"/>
    <s v="Desk Lamp"/>
    <s v="Furniture"/>
    <n v="1"/>
    <n v="80.69"/>
    <n v="80.69"/>
    <n v="80.69"/>
    <n v="0"/>
    <s v="Switzerland"/>
    <x v="0"/>
  </r>
  <r>
    <n v="2024003713"/>
    <x v="296"/>
    <n v="2024"/>
    <x v="8"/>
    <s v="PROD_007"/>
    <s v="Keyboard Mechanical"/>
    <s v="Electronics"/>
    <n v="1"/>
    <n v="109.05"/>
    <n v="109.05"/>
    <n v="109.05"/>
    <n v="0"/>
    <s v="Italy"/>
    <x v="1"/>
  </r>
  <r>
    <n v="2024003714"/>
    <x v="245"/>
    <n v="2024"/>
    <x v="273"/>
    <s v="PROD_010"/>
    <s v="Webcam HD"/>
    <s v="Electronics"/>
    <n v="1"/>
    <n v="88.52"/>
    <n v="88.52"/>
    <n v="88.52"/>
    <n v="0"/>
    <s v="France"/>
    <x v="0"/>
  </r>
  <r>
    <n v="2024003715"/>
    <x v="225"/>
    <n v="2024"/>
    <x v="211"/>
    <s v="PROD_008"/>
    <s v="Desk Lamp"/>
    <s v="Furniture"/>
    <n v="1"/>
    <n v="74.37"/>
    <n v="74.37"/>
    <n v="74.37"/>
    <n v="0"/>
    <s v="Austria"/>
    <x v="1"/>
  </r>
  <r>
    <n v="2024003716"/>
    <x v="196"/>
    <n v="2024"/>
    <x v="203"/>
    <s v="PROD_004"/>
    <s v="Desk Chair"/>
    <s v="Furniture"/>
    <n v="1"/>
    <n v="337.89"/>
    <n v="337.89"/>
    <n v="337.89"/>
    <n v="0"/>
    <s v="Germany"/>
    <x v="1"/>
  </r>
  <r>
    <n v="2024003717"/>
    <x v="220"/>
    <n v="2024"/>
    <x v="222"/>
    <s v="PROD_003"/>
    <s v="USB-C Cable"/>
    <s v="Electronics"/>
    <n v="3"/>
    <n v="15.97"/>
    <n v="47.91"/>
    <n v="47.910000000000004"/>
    <n v="0"/>
    <s v="Austria"/>
    <x v="0"/>
  </r>
  <r>
    <n v="2024003718"/>
    <x v="229"/>
    <n v="2024"/>
    <x v="0"/>
    <s v="PROD_009"/>
    <s v="Phone Stand"/>
    <s v="Accessories"/>
    <n v="1"/>
    <n v="25.56"/>
    <n v="25.56"/>
    <n v="25.56"/>
    <n v="0"/>
    <s v="Switzerland"/>
    <x v="3"/>
  </r>
  <r>
    <n v="2024003719"/>
    <x v="278"/>
    <n v="2024"/>
    <x v="7"/>
    <s v="PROD_008"/>
    <s v="Desk Lamp"/>
    <s v="Furniture"/>
    <n v="1"/>
    <n v="86.1"/>
    <n v="86.1"/>
    <n v="86.1"/>
    <n v="0"/>
    <s v="Sweden"/>
    <x v="2"/>
  </r>
  <r>
    <n v="2024003720"/>
    <x v="190"/>
    <n v="2024"/>
    <x v="166"/>
    <s v="PROD_005"/>
    <s v="Standing Desk"/>
    <s v="Furniture"/>
    <n v="1"/>
    <n v="576.76"/>
    <n v="576.76"/>
    <n v="576.76"/>
    <n v="0"/>
    <s v="Sweden"/>
    <x v="0"/>
  </r>
  <r>
    <n v="2024003721"/>
    <x v="134"/>
    <n v="2024"/>
    <x v="109"/>
    <s v="PROD_008"/>
    <s v="Desk Lamp"/>
    <s v="Furniture"/>
    <n v="2"/>
    <n v="84.85"/>
    <n v="169.7"/>
    <n v="169.7"/>
    <n v="0"/>
    <s v="Italy"/>
    <x v="2"/>
  </r>
  <r>
    <n v="2024003722"/>
    <x v="311"/>
    <n v="2024"/>
    <x v="117"/>
    <s v="PROD_010"/>
    <s v="Webcam HD"/>
    <s v="Electronics"/>
    <n v="1"/>
    <n v="89.27"/>
    <n v="89.27"/>
    <n v="89.27"/>
    <n v="0"/>
    <s v="Austria"/>
    <x v="3"/>
  </r>
  <r>
    <n v="2024003723"/>
    <x v="355"/>
    <n v="2024"/>
    <x v="37"/>
    <s v="PROD_009"/>
    <s v="Phone Stand"/>
    <s v="Accessories"/>
    <n v="3"/>
    <n v="23.99"/>
    <n v="71.97"/>
    <n v="71.97"/>
    <n v="0"/>
    <s v="Austria"/>
    <x v="3"/>
  </r>
  <r>
    <n v="2024003724"/>
    <x v="309"/>
    <n v="2024"/>
    <x v="191"/>
    <s v="PROD_003"/>
    <s v="USB-C Cable"/>
    <s v="Electronics"/>
    <n v="3"/>
    <n v="14.23"/>
    <n v="42.69"/>
    <n v="42.69"/>
    <n v="0"/>
    <s v="Sweden"/>
    <x v="3"/>
  </r>
  <r>
    <n v="2024003725"/>
    <x v="30"/>
    <n v="2024"/>
    <x v="135"/>
    <s v="PROD_006"/>
    <s v="Monitor 27&quot;"/>
    <s v="Electronics"/>
    <n v="1"/>
    <n v="426.56"/>
    <n v="426.56"/>
    <n v="426.56"/>
    <n v="0"/>
    <s v="Italy"/>
    <x v="2"/>
  </r>
  <r>
    <n v="2024003726"/>
    <x v="337"/>
    <n v="2024"/>
    <x v="215"/>
    <s v="PROD_006"/>
    <s v="Monitor 27&quot;"/>
    <s v="Electronics"/>
    <n v="1"/>
    <n v="396.4"/>
    <n v="396.4"/>
    <n v="396.4"/>
    <n v="0"/>
    <s v="Switzerland"/>
    <x v="1"/>
  </r>
  <r>
    <n v="2024003727"/>
    <x v="133"/>
    <n v="2024"/>
    <x v="0"/>
    <s v="PROD_003"/>
    <s v="USB-C Cable"/>
    <s v="Electronics"/>
    <n v="4"/>
    <n v="14.8"/>
    <n v="59.2"/>
    <n v="59.2"/>
    <n v="0"/>
    <s v="Belgium"/>
    <x v="0"/>
  </r>
  <r>
    <n v="2024003728"/>
    <x v="322"/>
    <n v="2024"/>
    <x v="172"/>
    <s v="PROD_002"/>
    <s v="Wireless Mouse"/>
    <s v="Electronics"/>
    <n v="1"/>
    <n v="48.14"/>
    <n v="48.14"/>
    <n v="48.14"/>
    <n v="0"/>
    <s v="Austria"/>
    <x v="1"/>
  </r>
  <r>
    <n v="2024003729"/>
    <x v="89"/>
    <n v="2024"/>
    <x v="78"/>
    <s v="PROD_003"/>
    <s v="USB-C Cable"/>
    <s v="Electronics"/>
    <n v="4"/>
    <n v="15.57"/>
    <n v="62.28"/>
    <n v="62.28"/>
    <n v="0"/>
    <s v="Switzerland"/>
    <x v="0"/>
  </r>
  <r>
    <n v="2024003730"/>
    <x v="281"/>
    <n v="2024"/>
    <x v="162"/>
    <s v="PROD_010"/>
    <s v="Webcam HD"/>
    <s v="Electronics"/>
    <n v="3"/>
    <n v="88.09"/>
    <n v="264.27"/>
    <n v="264.27"/>
    <n v="0"/>
    <s v="Germany"/>
    <x v="1"/>
  </r>
  <r>
    <n v="2024003731"/>
    <x v="174"/>
    <n v="2024"/>
    <x v="215"/>
    <s v="PROD_001"/>
    <s v="Laptop Pro"/>
    <s v="Electronics"/>
    <n v="1"/>
    <n v="1169.8399999999999"/>
    <n v="1169.8399999999999"/>
    <n v="1169.8399999999999"/>
    <n v="0"/>
    <s v="Netherlands"/>
    <x v="0"/>
  </r>
  <r>
    <n v="2024003732"/>
    <x v="154"/>
    <n v="2024"/>
    <x v="281"/>
    <s v="PROD_007"/>
    <s v="Keyboard Mechanical"/>
    <s v="Electronics"/>
    <n v="1"/>
    <n v="117.49"/>
    <n v="117.49"/>
    <n v="117.49"/>
    <n v="0"/>
    <s v="Germany"/>
    <x v="2"/>
  </r>
  <r>
    <n v="2024003733"/>
    <x v="110"/>
    <n v="2024"/>
    <x v="0"/>
    <s v="PROD_004"/>
    <s v="Desk Chair"/>
    <s v="Furniture"/>
    <n v="3"/>
    <n v="344.98"/>
    <n v="1034.94"/>
    <n v="1034.94"/>
    <n v="0"/>
    <s v="France"/>
    <x v="0"/>
  </r>
  <r>
    <n v="2024003734"/>
    <x v="328"/>
    <n v="2024"/>
    <x v="8"/>
    <s v="PROD_001"/>
    <s v="Laptop Pro"/>
    <s v="Electronics"/>
    <n v="1"/>
    <n v="1218.53"/>
    <n v="1218.53"/>
    <n v="1218.53"/>
    <n v="0"/>
    <s v="Netherlands"/>
    <x v="1"/>
  </r>
  <r>
    <n v="2024003735"/>
    <x v="217"/>
    <n v="2024"/>
    <x v="82"/>
    <s v="PROD_004"/>
    <s v="Desk Chair"/>
    <s v="Furniture"/>
    <n v="1"/>
    <n v="356.8"/>
    <n v="356.8"/>
    <n v="356.8"/>
    <n v="0"/>
    <s v="Spain"/>
    <x v="2"/>
  </r>
  <r>
    <n v="2024003736"/>
    <x v="42"/>
    <n v="2024"/>
    <x v="174"/>
    <s v="PROD_004"/>
    <s v="Desk Chair"/>
    <s v="Furniture"/>
    <n v="1"/>
    <n v="331.41"/>
    <n v="331.41"/>
    <n v="331.41"/>
    <n v="0"/>
    <s v="Italy"/>
    <x v="1"/>
  </r>
  <r>
    <n v="2024003737"/>
    <x v="110"/>
    <n v="2024"/>
    <x v="168"/>
    <s v="PROD_001"/>
    <s v="Laptop Pro"/>
    <s v="Electronics"/>
    <n v="1"/>
    <n v="1191.8499999999999"/>
    <n v="1191.8499999999999"/>
    <n v="1191.8499999999999"/>
    <n v="0"/>
    <s v="UK"/>
    <x v="3"/>
  </r>
  <r>
    <n v="2024003738"/>
    <x v="105"/>
    <n v="2024"/>
    <x v="80"/>
    <s v="PROD_008"/>
    <s v="Desk Lamp"/>
    <s v="Furniture"/>
    <n v="1"/>
    <n v="90.08"/>
    <n v="90.08"/>
    <n v="90.08"/>
    <n v="0"/>
    <s v="France"/>
    <x v="0"/>
  </r>
  <r>
    <n v="2024003739"/>
    <x v="348"/>
    <n v="2024"/>
    <x v="201"/>
    <s v="PROD_009"/>
    <s v="Phone Stand"/>
    <s v="Accessories"/>
    <n v="4"/>
    <n v="26.71"/>
    <n v="106.84"/>
    <n v="106.84"/>
    <n v="0"/>
    <s v="Spain"/>
    <x v="0"/>
  </r>
  <r>
    <n v="2024003740"/>
    <x v="177"/>
    <n v="2024"/>
    <x v="42"/>
    <s v="PROD_005"/>
    <s v="Standing Desk"/>
    <s v="Furniture"/>
    <n v="1"/>
    <n v="595.30999999999995"/>
    <n v="595.30999999999995"/>
    <n v="595.30999999999995"/>
    <n v="0"/>
    <s v="Switzerland"/>
    <x v="3"/>
  </r>
  <r>
    <n v="2024003741"/>
    <x v="23"/>
    <n v="2024"/>
    <x v="0"/>
    <s v="PROD_004"/>
    <s v="Desk Chair"/>
    <s v="Furniture"/>
    <n v="1"/>
    <n v="361.08"/>
    <n v="361.08"/>
    <n v="361.08"/>
    <n v="0"/>
    <s v="Germany"/>
    <x v="1"/>
  </r>
  <r>
    <n v="2024003742"/>
    <x v="217"/>
    <n v="2024"/>
    <x v="161"/>
    <s v="PROD_006"/>
    <s v="Monitor 27&quot;"/>
    <s v="Electronics"/>
    <n v="4"/>
    <n v="397.63"/>
    <n v="1590.52"/>
    <n v="1590.52"/>
    <n v="0"/>
    <s v="Netherlands"/>
    <x v="0"/>
  </r>
  <r>
    <n v="2024003743"/>
    <x v="143"/>
    <n v="2024"/>
    <x v="0"/>
    <s v="PROD_008"/>
    <s v="Desk Lamp"/>
    <s v="Furniture"/>
    <n v="1"/>
    <n v="84.25"/>
    <n v="84.25"/>
    <n v="84.25"/>
    <n v="0"/>
    <s v="Spain"/>
    <x v="0"/>
  </r>
  <r>
    <n v="2024003744"/>
    <x v="12"/>
    <n v="2024"/>
    <x v="274"/>
    <s v="PROD_004"/>
    <s v="Desk Chair"/>
    <s v="Furniture"/>
    <n v="1"/>
    <n v="315.19"/>
    <n v="315.19"/>
    <n v="315.19"/>
    <n v="0"/>
    <s v="Spain"/>
    <x v="2"/>
  </r>
  <r>
    <n v="2024003745"/>
    <x v="166"/>
    <n v="2024"/>
    <x v="96"/>
    <s v="PROD_002"/>
    <s v="Wireless Mouse"/>
    <s v="Electronics"/>
    <n v="1"/>
    <n v="45.07"/>
    <n v="45.07"/>
    <n v="45.07"/>
    <n v="0"/>
    <s v="France"/>
    <x v="2"/>
  </r>
  <r>
    <n v="2024003746"/>
    <x v="306"/>
    <n v="2024"/>
    <x v="201"/>
    <s v="PROD_003"/>
    <s v="USB-C Cable"/>
    <s v="Electronics"/>
    <n v="2"/>
    <n v="15.2"/>
    <n v="30.4"/>
    <n v="30.4"/>
    <n v="0"/>
    <s v="Italy"/>
    <x v="3"/>
  </r>
  <r>
    <n v="2024003747"/>
    <x v="270"/>
    <n v="2024"/>
    <x v="29"/>
    <s v="PROD_008"/>
    <s v="Desk Lamp"/>
    <s v="Furniture"/>
    <n v="1"/>
    <n v="84.35"/>
    <n v="84.35"/>
    <n v="84.35"/>
    <n v="0"/>
    <s v="Sweden"/>
    <x v="0"/>
  </r>
  <r>
    <n v="2024003748"/>
    <x v="328"/>
    <n v="2024"/>
    <x v="169"/>
    <s v="PROD_008"/>
    <s v="Desk Lamp"/>
    <s v="Furniture"/>
    <n v="1"/>
    <n v="78.709999999999994"/>
    <n v="78.709999999999994"/>
    <n v="78.709999999999994"/>
    <n v="0"/>
    <s v="France"/>
    <x v="3"/>
  </r>
  <r>
    <n v="2024003749"/>
    <x v="69"/>
    <n v="2024"/>
    <x v="10"/>
    <s v="PROD_001"/>
    <s v="Laptop Pro"/>
    <s v="Electronics"/>
    <n v="4"/>
    <n v="1184.01"/>
    <n v="4736.04"/>
    <n v="4736.04"/>
    <n v="0"/>
    <s v="Belgium"/>
    <x v="3"/>
  </r>
  <r>
    <n v="2024003750"/>
    <x v="309"/>
    <n v="2024"/>
    <x v="115"/>
    <s v="PROD_006"/>
    <s v="Monitor 27&quot;"/>
    <s v="Electronics"/>
    <n v="1"/>
    <n v="398.97"/>
    <n v="398.97"/>
    <n v="398.97"/>
    <n v="0"/>
    <s v="Switzerland"/>
    <x v="2"/>
  </r>
  <r>
    <n v="2024003751"/>
    <x v="134"/>
    <n v="2024"/>
    <x v="0"/>
    <s v="PROD_001"/>
    <s v="Laptop Pro"/>
    <s v="Electronics"/>
    <n v="2"/>
    <n v="1173.8"/>
    <n v="2347.6"/>
    <n v="2347.6"/>
    <n v="0"/>
    <s v="Italy"/>
    <x v="2"/>
  </r>
  <r>
    <n v="2024003752"/>
    <x v="326"/>
    <n v="2024"/>
    <x v="11"/>
    <s v="PROD_005"/>
    <s v="Standing Desk"/>
    <s v="Furniture"/>
    <n v="1"/>
    <n v="598.34"/>
    <n v="598.34"/>
    <n v="598.34"/>
    <n v="0"/>
    <s v="Sweden"/>
    <x v="1"/>
  </r>
  <r>
    <n v="2024003753"/>
    <x v="77"/>
    <n v="2024"/>
    <x v="10"/>
    <s v="PROD_002"/>
    <s v="Wireless Mouse"/>
    <s v="Electronics"/>
    <n v="1"/>
    <n v="40.83"/>
    <n v="40.83"/>
    <n v="40.83"/>
    <n v="0"/>
    <s v="Spain"/>
    <x v="2"/>
  </r>
  <r>
    <n v="2024003754"/>
    <x v="333"/>
    <n v="2024"/>
    <x v="281"/>
    <s v="PROD_003"/>
    <s v="USB-C Cable"/>
    <s v="Electronics"/>
    <n v="2"/>
    <n v="14.18"/>
    <n v="28.36"/>
    <n v="28.36"/>
    <n v="0"/>
    <s v="UK"/>
    <x v="0"/>
  </r>
  <r>
    <n v="2024003755"/>
    <x v="268"/>
    <n v="2024"/>
    <x v="140"/>
    <s v="PROD_002"/>
    <s v="Wireless Mouse"/>
    <s v="Electronics"/>
    <n v="2"/>
    <n v="47.84"/>
    <n v="95.68"/>
    <n v="95.68"/>
    <n v="0"/>
    <s v="Germany"/>
    <x v="0"/>
  </r>
  <r>
    <n v="2024003756"/>
    <x v="86"/>
    <n v="2024"/>
    <x v="0"/>
    <s v="PROD_006"/>
    <s v="Monitor 27&quot;"/>
    <s v="Electronics"/>
    <n v="1"/>
    <n v="393.32"/>
    <n v="393.32"/>
    <n v="393.32"/>
    <n v="0"/>
    <s v="France"/>
    <x v="3"/>
  </r>
  <r>
    <n v="2024003757"/>
    <x v="342"/>
    <n v="2024"/>
    <x v="67"/>
    <s v="PROD_002"/>
    <s v="Wireless Mouse"/>
    <s v="Electronics"/>
    <n v="1"/>
    <n v="43.25"/>
    <n v="43.25"/>
    <n v="43.25"/>
    <n v="0"/>
    <s v="Switzerland"/>
    <x v="0"/>
  </r>
  <r>
    <n v="2024003758"/>
    <x v="246"/>
    <n v="2024"/>
    <x v="124"/>
    <s v="PROD_009"/>
    <s v="Phone Stand"/>
    <s v="Accessories"/>
    <n v="2"/>
    <n v="25.44"/>
    <n v="50.88"/>
    <n v="50.88"/>
    <n v="0"/>
    <s v="Italy"/>
    <x v="3"/>
  </r>
  <r>
    <n v="2024003759"/>
    <x v="323"/>
    <n v="2024"/>
    <x v="237"/>
    <s v="PROD_001"/>
    <s v="Laptop Pro"/>
    <s v="Electronics"/>
    <n v="1"/>
    <n v="1282.99"/>
    <n v="1282.99"/>
    <n v="1282.99"/>
    <n v="0"/>
    <s v="Netherlands"/>
    <x v="0"/>
  </r>
  <r>
    <n v="2024003760"/>
    <x v="343"/>
    <n v="2024"/>
    <x v="0"/>
    <s v="PROD_004"/>
    <s v="Desk Chair"/>
    <s v="Furniture"/>
    <n v="1"/>
    <n v="348.4"/>
    <n v="348.4"/>
    <n v="348.4"/>
    <n v="0"/>
    <s v="Sweden"/>
    <x v="2"/>
  </r>
  <r>
    <n v="2024003761"/>
    <x v="284"/>
    <n v="2024"/>
    <x v="0"/>
    <s v="PROD_006"/>
    <s v="Monitor 27&quot;"/>
    <s v="Electronics"/>
    <n v="1"/>
    <n v="391.26"/>
    <n v="391.26"/>
    <n v="391.26"/>
    <n v="0"/>
    <s v="Netherlands"/>
    <x v="0"/>
  </r>
  <r>
    <n v="2024003762"/>
    <x v="341"/>
    <n v="2024"/>
    <x v="121"/>
    <s v="PROD_006"/>
    <s v="Monitor 27&quot;"/>
    <s v="Electronics"/>
    <n v="1"/>
    <n v="408.7"/>
    <n v="408.7"/>
    <n v="408.7"/>
    <n v="0"/>
    <s v="Netherlands"/>
    <x v="1"/>
  </r>
  <r>
    <n v="2024003763"/>
    <x v="129"/>
    <n v="2024"/>
    <x v="0"/>
    <s v="PROD_006"/>
    <s v="Monitor 27&quot;"/>
    <s v="Electronics"/>
    <n v="2"/>
    <n v="431.74"/>
    <n v="863.48"/>
    <n v="863.48"/>
    <n v="0"/>
    <s v="UK"/>
    <x v="2"/>
  </r>
  <r>
    <n v="2024003764"/>
    <x v="75"/>
    <n v="2024"/>
    <x v="222"/>
    <s v="PROD_010"/>
    <s v="Webcam HD"/>
    <s v="Electronics"/>
    <n v="1"/>
    <n v="94.59"/>
    <n v="94.59"/>
    <n v="94.59"/>
    <n v="0"/>
    <s v="Austria"/>
    <x v="2"/>
  </r>
  <r>
    <n v="2024003765"/>
    <x v="69"/>
    <n v="2024"/>
    <x v="277"/>
    <s v="PROD_004"/>
    <s v="Desk Chair"/>
    <s v="Furniture"/>
    <n v="1"/>
    <n v="384.26"/>
    <n v="384.26"/>
    <n v="384.26"/>
    <n v="0"/>
    <s v="Belgium"/>
    <x v="3"/>
  </r>
  <r>
    <n v="2024003766"/>
    <x v="336"/>
    <n v="2024"/>
    <x v="258"/>
    <s v="PROD_005"/>
    <s v="Standing Desk"/>
    <s v="Furniture"/>
    <n v="5"/>
    <n v="595.52"/>
    <n v="2977.6"/>
    <n v="2977.6"/>
    <n v="0"/>
    <s v="Netherlands"/>
    <x v="0"/>
  </r>
  <r>
    <n v="2024003767"/>
    <x v="48"/>
    <n v="2024"/>
    <x v="273"/>
    <s v="PROD_003"/>
    <s v="USB-C Cable"/>
    <s v="Electronics"/>
    <n v="1"/>
    <n v="13.86"/>
    <n v="13.86"/>
    <n v="13.86"/>
    <n v="0"/>
    <s v="Sweden"/>
    <x v="1"/>
  </r>
  <r>
    <n v="2024003768"/>
    <x v="52"/>
    <n v="2024"/>
    <x v="105"/>
    <s v="PROD_001"/>
    <s v="Laptop Pro"/>
    <s v="Electronics"/>
    <n v="2"/>
    <n v="1315.76"/>
    <n v="2631.52"/>
    <n v="2631.52"/>
    <n v="0"/>
    <s v="Sweden"/>
    <x v="3"/>
  </r>
  <r>
    <n v="2024003769"/>
    <x v="73"/>
    <n v="2024"/>
    <x v="239"/>
    <s v="PROD_009"/>
    <s v="Phone Stand"/>
    <s v="Accessories"/>
    <n v="2"/>
    <n v="24.87"/>
    <n v="49.74"/>
    <n v="49.74"/>
    <n v="0"/>
    <s v="Germany"/>
    <x v="0"/>
  </r>
  <r>
    <n v="2024003770"/>
    <x v="274"/>
    <n v="2024"/>
    <x v="0"/>
    <s v="PROD_006"/>
    <s v="Monitor 27&quot;"/>
    <s v="Electronics"/>
    <n v="1"/>
    <n v="382.92"/>
    <n v="382.92"/>
    <n v="382.92"/>
    <n v="0"/>
    <s v="Germany"/>
    <x v="1"/>
  </r>
  <r>
    <n v="2024003771"/>
    <x v="272"/>
    <n v="2024"/>
    <x v="213"/>
    <s v="PROD_008"/>
    <s v="Desk Lamp"/>
    <s v="Furniture"/>
    <n v="3"/>
    <n v="76.7"/>
    <n v="230.1"/>
    <n v="230.10000000000002"/>
    <n v="0"/>
    <s v="France"/>
    <x v="0"/>
  </r>
  <r>
    <n v="2024003772"/>
    <x v="206"/>
    <n v="2024"/>
    <x v="131"/>
    <s v="PROD_006"/>
    <s v="Monitor 27&quot;"/>
    <s v="Electronics"/>
    <n v="1"/>
    <n v="376.3"/>
    <n v="376.3"/>
    <n v="376.3"/>
    <n v="0"/>
    <s v="Italy"/>
    <x v="2"/>
  </r>
  <r>
    <n v="2024003773"/>
    <x v="150"/>
    <n v="2024"/>
    <x v="53"/>
    <s v="PROD_003"/>
    <s v="USB-C Cable"/>
    <s v="Electronics"/>
    <n v="1"/>
    <n v="15.16"/>
    <n v="15.16"/>
    <n v="15.16"/>
    <n v="0"/>
    <s v="Spain"/>
    <x v="1"/>
  </r>
  <r>
    <n v="2024003774"/>
    <x v="94"/>
    <n v="2024"/>
    <x v="91"/>
    <s v="PROD_009"/>
    <s v="Phone Stand"/>
    <s v="Accessories"/>
    <n v="2"/>
    <n v="25.79"/>
    <n v="51.58"/>
    <n v="51.58"/>
    <n v="0"/>
    <s v="UK"/>
    <x v="2"/>
  </r>
  <r>
    <n v="2024003775"/>
    <x v="6"/>
    <n v="2024"/>
    <x v="259"/>
    <s v="PROD_010"/>
    <s v="Webcam HD"/>
    <s v="Electronics"/>
    <n v="1"/>
    <n v="92.15"/>
    <n v="92.15"/>
    <n v="92.15"/>
    <n v="0"/>
    <s v="France"/>
    <x v="3"/>
  </r>
  <r>
    <n v="2024003776"/>
    <x v="360"/>
    <n v="2024"/>
    <x v="112"/>
    <s v="PROD_010"/>
    <s v="Webcam HD"/>
    <s v="Electronics"/>
    <n v="4"/>
    <n v="98.04"/>
    <n v="392.16"/>
    <n v="392.16"/>
    <n v="0"/>
    <s v="Germany"/>
    <x v="1"/>
  </r>
  <r>
    <n v="2024003777"/>
    <x v="163"/>
    <n v="2024"/>
    <x v="295"/>
    <s v="PROD_007"/>
    <s v="Keyboard Mechanical"/>
    <s v="Electronics"/>
    <n v="2"/>
    <n v="108.35"/>
    <n v="216.7"/>
    <n v="216.7"/>
    <n v="0"/>
    <s v="UK"/>
    <x v="3"/>
  </r>
  <r>
    <n v="2024003778"/>
    <x v="294"/>
    <n v="2024"/>
    <x v="22"/>
    <s v="PROD_002"/>
    <s v="Wireless Mouse"/>
    <s v="Electronics"/>
    <n v="2"/>
    <n v="44.27"/>
    <n v="88.54"/>
    <n v="88.54"/>
    <n v="0"/>
    <s v="Switzerland"/>
    <x v="0"/>
  </r>
  <r>
    <n v="2024003779"/>
    <x v="160"/>
    <n v="2024"/>
    <x v="0"/>
    <s v="PROD_005"/>
    <s v="Standing Desk"/>
    <s v="Furniture"/>
    <n v="1"/>
    <n v="624.91999999999996"/>
    <n v="624.91999999999996"/>
    <n v="624.91999999999996"/>
    <n v="0"/>
    <s v="Austria"/>
    <x v="3"/>
  </r>
  <r>
    <n v="2024003780"/>
    <x v="220"/>
    <n v="2024"/>
    <x v="21"/>
    <s v="PROD_005"/>
    <s v="Standing Desk"/>
    <s v="Furniture"/>
    <n v="5"/>
    <n v="619.42999999999995"/>
    <n v="3097.15"/>
    <n v="3097.1499999999996"/>
    <n v="0"/>
    <s v="Germany"/>
    <x v="2"/>
  </r>
  <r>
    <n v="2024003781"/>
    <x v="65"/>
    <n v="2024"/>
    <x v="167"/>
    <s v="PROD_010"/>
    <s v="Webcam HD"/>
    <s v="Electronics"/>
    <n v="3"/>
    <n v="92.22"/>
    <n v="276.66000000000003"/>
    <n v="276.65999999999997"/>
    <n v="0"/>
    <s v="Switzerland"/>
    <x v="0"/>
  </r>
  <r>
    <n v="2024003782"/>
    <x v="172"/>
    <n v="2024"/>
    <x v="78"/>
    <s v="PROD_003"/>
    <s v="USB-C Cable"/>
    <s v="Electronics"/>
    <n v="1"/>
    <n v="14.42"/>
    <n v="14.42"/>
    <n v="14.42"/>
    <n v="0"/>
    <s v="UK"/>
    <x v="3"/>
  </r>
  <r>
    <n v="2024003783"/>
    <x v="0"/>
    <n v="2024"/>
    <x v="80"/>
    <s v="PROD_008"/>
    <s v="Desk Lamp"/>
    <s v="Furniture"/>
    <n v="2"/>
    <n v="78.11"/>
    <n v="156.22"/>
    <n v="156.22"/>
    <n v="0"/>
    <s v="France"/>
    <x v="2"/>
  </r>
  <r>
    <n v="2024003784"/>
    <x v="315"/>
    <n v="2024"/>
    <x v="140"/>
    <s v="PROD_010"/>
    <s v="Webcam HD"/>
    <s v="Electronics"/>
    <n v="1"/>
    <n v="88.5"/>
    <n v="88.5"/>
    <n v="88.5"/>
    <n v="0"/>
    <s v="Belgium"/>
    <x v="1"/>
  </r>
  <r>
    <n v="2024003785"/>
    <x v="94"/>
    <n v="2024"/>
    <x v="291"/>
    <s v="PROD_008"/>
    <s v="Desk Lamp"/>
    <s v="Furniture"/>
    <n v="1"/>
    <n v="75.540000000000006"/>
    <n v="75.540000000000006"/>
    <n v="75.540000000000006"/>
    <n v="0"/>
    <s v="Spain"/>
    <x v="2"/>
  </r>
  <r>
    <n v="2024003786"/>
    <x v="125"/>
    <n v="2024"/>
    <x v="118"/>
    <s v="PROD_001"/>
    <s v="Laptop Pro"/>
    <s v="Electronics"/>
    <n v="1"/>
    <n v="1237.97"/>
    <n v="1237.97"/>
    <n v="1237.97"/>
    <n v="0"/>
    <s v="France"/>
    <x v="1"/>
  </r>
  <r>
    <n v="2024003787"/>
    <x v="203"/>
    <n v="2024"/>
    <x v="117"/>
    <s v="PROD_004"/>
    <s v="Desk Chair"/>
    <s v="Furniture"/>
    <n v="2"/>
    <n v="341.08"/>
    <n v="682.16"/>
    <n v="682.16"/>
    <n v="0"/>
    <s v="Spain"/>
    <x v="3"/>
  </r>
  <r>
    <n v="2024003788"/>
    <x v="311"/>
    <n v="2024"/>
    <x v="0"/>
    <s v="PROD_009"/>
    <s v="Phone Stand"/>
    <s v="Accessories"/>
    <n v="1"/>
    <n v="24.84"/>
    <n v="24.84"/>
    <n v="24.84"/>
    <n v="0"/>
    <s v="Sweden"/>
    <x v="1"/>
  </r>
  <r>
    <n v="2024003789"/>
    <x v="23"/>
    <n v="2024"/>
    <x v="248"/>
    <s v="PROD_010"/>
    <s v="Webcam HD"/>
    <s v="Electronics"/>
    <n v="1"/>
    <n v="93.9"/>
    <n v="93.9"/>
    <n v="93.9"/>
    <n v="0"/>
    <s v="Sweden"/>
    <x v="1"/>
  </r>
  <r>
    <n v="2024003790"/>
    <x v="330"/>
    <n v="2024"/>
    <x v="273"/>
    <s v="PROD_003"/>
    <s v="USB-C Cable"/>
    <s v="Electronics"/>
    <n v="1"/>
    <n v="15.01"/>
    <n v="15.01"/>
    <n v="15.01"/>
    <n v="0"/>
    <s v="Sweden"/>
    <x v="1"/>
  </r>
  <r>
    <n v="2024003791"/>
    <x v="90"/>
    <n v="2024"/>
    <x v="149"/>
    <s v="PROD_010"/>
    <s v="Webcam HD"/>
    <s v="Electronics"/>
    <n v="3"/>
    <n v="89.94"/>
    <n v="269.82"/>
    <n v="269.82"/>
    <n v="0"/>
    <s v="Austria"/>
    <x v="2"/>
  </r>
  <r>
    <n v="2024003792"/>
    <x v="82"/>
    <n v="2024"/>
    <x v="119"/>
    <s v="PROD_006"/>
    <s v="Monitor 27&quot;"/>
    <s v="Electronics"/>
    <n v="4"/>
    <n v="392.75"/>
    <n v="1571"/>
    <n v="1571"/>
    <n v="0"/>
    <s v="Italy"/>
    <x v="0"/>
  </r>
  <r>
    <n v="2024003793"/>
    <x v="143"/>
    <n v="2024"/>
    <x v="278"/>
    <s v="PROD_003"/>
    <s v="USB-C Cable"/>
    <s v="Electronics"/>
    <n v="1"/>
    <n v="14.7"/>
    <n v="14.7"/>
    <n v="14.7"/>
    <n v="0"/>
    <s v="Belgium"/>
    <x v="0"/>
  </r>
  <r>
    <n v="2024003794"/>
    <x v="295"/>
    <n v="2024"/>
    <x v="45"/>
    <s v="PROD_004"/>
    <s v="Desk Chair"/>
    <s v="Furniture"/>
    <n v="2"/>
    <n v="322.89"/>
    <n v="645.78"/>
    <n v="645.78"/>
    <n v="0"/>
    <s v="Sweden"/>
    <x v="1"/>
  </r>
  <r>
    <n v="2024003795"/>
    <x v="151"/>
    <n v="2024"/>
    <x v="191"/>
    <s v="PROD_002"/>
    <s v="Wireless Mouse"/>
    <s v="Electronics"/>
    <n v="1"/>
    <n v="48.38"/>
    <n v="48.38"/>
    <n v="48.38"/>
    <n v="0"/>
    <s v="Netherlands"/>
    <x v="0"/>
  </r>
  <r>
    <n v="2024003796"/>
    <x v="202"/>
    <n v="2024"/>
    <x v="250"/>
    <s v="PROD_005"/>
    <s v="Standing Desk"/>
    <s v="Furniture"/>
    <n v="2"/>
    <n v="557.01"/>
    <n v="1114.02"/>
    <n v="1114.02"/>
    <n v="0"/>
    <s v="Sweden"/>
    <x v="2"/>
  </r>
  <r>
    <n v="2024003797"/>
    <x v="151"/>
    <n v="2024"/>
    <x v="58"/>
    <s v="PROD_006"/>
    <s v="Monitor 27&quot;"/>
    <s v="Electronics"/>
    <n v="1"/>
    <n v="443.83"/>
    <n v="443.83"/>
    <n v="443.83"/>
    <n v="0"/>
    <s v="Sweden"/>
    <x v="3"/>
  </r>
  <r>
    <n v="2024003798"/>
    <x v="203"/>
    <n v="2024"/>
    <x v="195"/>
    <s v="PROD_009"/>
    <s v="Phone Stand"/>
    <s v="Accessories"/>
    <n v="2"/>
    <n v="24.26"/>
    <n v="48.52"/>
    <n v="48.52"/>
    <n v="0"/>
    <s v="Sweden"/>
    <x v="1"/>
  </r>
  <r>
    <n v="2024003799"/>
    <x v="185"/>
    <n v="2024"/>
    <x v="0"/>
    <s v="PROD_009"/>
    <s v="Phone Stand"/>
    <s v="Accessories"/>
    <n v="1"/>
    <n v="24.54"/>
    <n v="24.54"/>
    <n v="24.54"/>
    <n v="0"/>
    <s v="Austria"/>
    <x v="3"/>
  </r>
  <r>
    <n v="2024003800"/>
    <x v="107"/>
    <n v="2024"/>
    <x v="234"/>
    <s v="PROD_003"/>
    <s v="USB-C Cable"/>
    <s v="Electronics"/>
    <n v="3"/>
    <n v="14.12"/>
    <n v="42.36"/>
    <n v="42.36"/>
    <n v="0"/>
    <s v="Belgium"/>
    <x v="0"/>
  </r>
  <r>
    <n v="2024003738"/>
    <x v="44"/>
    <n v="2024"/>
    <x v="105"/>
    <s v="PROD_004"/>
    <s v="Desk Chair"/>
    <s v="Furniture"/>
    <n v="5"/>
    <n v="352.31"/>
    <n v="1761.55"/>
    <n v="1761.55"/>
    <n v="0"/>
    <s v="Sweden"/>
    <x v="3"/>
  </r>
  <r>
    <n v="2024003802"/>
    <x v="213"/>
    <n v="2024"/>
    <x v="43"/>
    <s v="PROD_004"/>
    <s v="Desk Chair"/>
    <s v="Furniture"/>
    <n v="1"/>
    <n v="369.2"/>
    <n v="369.2"/>
    <n v="369.2"/>
    <n v="0"/>
    <s v="Netherlands"/>
    <x v="3"/>
  </r>
  <r>
    <n v="2024003803"/>
    <x v="161"/>
    <n v="2024"/>
    <x v="269"/>
    <s v="PROD_008"/>
    <s v="Desk Lamp"/>
    <s v="Furniture"/>
    <n v="1"/>
    <n v="89.03"/>
    <n v="89.03"/>
    <n v="89.03"/>
    <n v="0"/>
    <s v="Belgium"/>
    <x v="3"/>
  </r>
  <r>
    <n v="2024003804"/>
    <x v="345"/>
    <n v="2024"/>
    <x v="252"/>
    <s v="PROD_006"/>
    <s v="Monitor 27&quot;"/>
    <s v="Electronics"/>
    <n v="5"/>
    <n v="407.39"/>
    <n v="2036.95"/>
    <n v="2036.9499999999998"/>
    <n v="0"/>
    <s v="Netherlands"/>
    <x v="2"/>
  </r>
  <r>
    <n v="2024003805"/>
    <x v="132"/>
    <n v="2024"/>
    <x v="0"/>
    <s v="PROD_009"/>
    <s v="Phone Stand"/>
    <s v="Accessories"/>
    <n v="2"/>
    <n v="25.39"/>
    <n v="50.78"/>
    <n v="50.78"/>
    <n v="0"/>
    <s v="Netherlands"/>
    <x v="2"/>
  </r>
  <r>
    <n v="2024003806"/>
    <x v="153"/>
    <n v="2024"/>
    <x v="14"/>
    <s v="PROD_003"/>
    <s v="USB-C Cable"/>
    <s v="Electronics"/>
    <n v="1"/>
    <n v="15.07"/>
    <n v="15.07"/>
    <n v="15.07"/>
    <n v="0"/>
    <s v="Netherlands"/>
    <x v="1"/>
  </r>
  <r>
    <n v="2024003807"/>
    <x v="203"/>
    <n v="2024"/>
    <x v="60"/>
    <s v="PROD_004"/>
    <s v="Desk Chair"/>
    <s v="Furniture"/>
    <n v="1"/>
    <n v="357.4"/>
    <n v="357.4"/>
    <n v="357.4"/>
    <n v="0"/>
    <s v="Sweden"/>
    <x v="3"/>
  </r>
  <r>
    <n v="2024003808"/>
    <x v="239"/>
    <n v="2024"/>
    <x v="94"/>
    <s v="PROD_003"/>
    <s v="USB-C Cable"/>
    <s v="Electronics"/>
    <n v="2"/>
    <n v="13.81"/>
    <n v="27.62"/>
    <n v="27.62"/>
    <n v="0"/>
    <s v="Italy"/>
    <x v="2"/>
  </r>
  <r>
    <n v="2024003809"/>
    <x v="28"/>
    <n v="2024"/>
    <x v="189"/>
    <s v="PROD_006"/>
    <s v="Monitor 27&quot;"/>
    <s v="Electronics"/>
    <n v="1"/>
    <n v="416.8"/>
    <n v="416.8"/>
    <n v="416.8"/>
    <n v="0"/>
    <s v="France"/>
    <x v="1"/>
  </r>
  <r>
    <n v="2024003810"/>
    <x v="344"/>
    <n v="2024"/>
    <x v="125"/>
    <s v="PROD_010"/>
    <s v="Webcam HD"/>
    <s v="Electronics"/>
    <n v="1"/>
    <n v="86.15"/>
    <n v="86.15"/>
    <n v="86.15"/>
    <n v="0"/>
    <s v="Italy"/>
    <x v="0"/>
  </r>
  <r>
    <n v="2024003811"/>
    <x v="230"/>
    <n v="2024"/>
    <x v="105"/>
    <s v="PROD_007"/>
    <s v="Keyboard Mechanical"/>
    <s v="Electronics"/>
    <n v="2"/>
    <n v="118.88"/>
    <n v="237.76"/>
    <n v="237.76"/>
    <n v="0"/>
    <s v="Switzerland"/>
    <x v="3"/>
  </r>
  <r>
    <n v="2024003812"/>
    <x v="197"/>
    <n v="2024"/>
    <x v="194"/>
    <s v="PROD_003"/>
    <s v="USB-C Cable"/>
    <s v="Electronics"/>
    <n v="1"/>
    <n v="14.07"/>
    <n v="14.07"/>
    <n v="14.07"/>
    <n v="0"/>
    <s v="Netherlands"/>
    <x v="1"/>
  </r>
  <r>
    <n v="2024003813"/>
    <x v="315"/>
    <n v="2024"/>
    <x v="39"/>
    <s v="PROD_005"/>
    <s v="Standing Desk"/>
    <s v="Furniture"/>
    <n v="1"/>
    <n v="611.77"/>
    <n v="611.77"/>
    <n v="611.77"/>
    <n v="0"/>
    <s v="Italy"/>
    <x v="0"/>
  </r>
  <r>
    <n v="2024003814"/>
    <x v="218"/>
    <n v="2024"/>
    <x v="239"/>
    <s v="PROD_002"/>
    <s v="Wireless Mouse"/>
    <s v="Electronics"/>
    <n v="2"/>
    <n v="45.44"/>
    <n v="90.88"/>
    <n v="90.88"/>
    <n v="0"/>
    <s v="Netherlands"/>
    <x v="0"/>
  </r>
  <r>
    <n v="2024003815"/>
    <x v="305"/>
    <n v="2024"/>
    <x v="191"/>
    <s v="PROD_008"/>
    <s v="Desk Lamp"/>
    <s v="Furniture"/>
    <n v="2"/>
    <n v="82.57"/>
    <n v="165.14"/>
    <n v="165.14"/>
    <n v="0"/>
    <s v="Switzerland"/>
    <x v="1"/>
  </r>
  <r>
    <n v="2024003816"/>
    <x v="192"/>
    <n v="2024"/>
    <x v="2"/>
    <s v="PROD_008"/>
    <s v="Desk Lamp"/>
    <s v="Furniture"/>
    <n v="2"/>
    <n v="75.94"/>
    <n v="151.88"/>
    <n v="151.88"/>
    <n v="0"/>
    <s v="Italy"/>
    <x v="3"/>
  </r>
  <r>
    <n v="2024003817"/>
    <x v="6"/>
    <n v="2024"/>
    <x v="15"/>
    <s v="PROD_001"/>
    <s v="Laptop Pro"/>
    <s v="Electronics"/>
    <n v="1"/>
    <n v="1164.04"/>
    <n v="1164.04"/>
    <n v="1164.04"/>
    <n v="0"/>
    <s v="France"/>
    <x v="1"/>
  </r>
  <r>
    <n v="2024003818"/>
    <x v="229"/>
    <n v="2024"/>
    <x v="87"/>
    <s v="PROD_002"/>
    <s v="Wireless Mouse"/>
    <s v="Electronics"/>
    <n v="1"/>
    <n v="43.08"/>
    <n v="43.08"/>
    <n v="43.08"/>
    <n v="0"/>
    <s v="Belgium"/>
    <x v="1"/>
  </r>
  <r>
    <n v="2024003819"/>
    <x v="252"/>
    <n v="2024"/>
    <x v="80"/>
    <s v="PROD_003"/>
    <s v="USB-C Cable"/>
    <s v="Electronics"/>
    <n v="1"/>
    <n v="16.149999999999999"/>
    <n v="16.149999999999999"/>
    <n v="16.149999999999999"/>
    <n v="0"/>
    <s v="Sweden"/>
    <x v="3"/>
  </r>
  <r>
    <n v="2024003820"/>
    <x v="13"/>
    <n v="2024"/>
    <x v="237"/>
    <s v="PROD_010"/>
    <s v="Webcam HD"/>
    <s v="Electronics"/>
    <n v="1"/>
    <n v="93.23"/>
    <n v="93.23"/>
    <n v="93.23"/>
    <n v="0"/>
    <s v="UK"/>
    <x v="2"/>
  </r>
  <r>
    <n v="2024003821"/>
    <x v="154"/>
    <n v="2024"/>
    <x v="222"/>
    <s v="PROD_005"/>
    <s v="Standing Desk"/>
    <s v="Furniture"/>
    <n v="1"/>
    <n v="606.69000000000005"/>
    <n v="606.69000000000005"/>
    <n v="606.69000000000005"/>
    <n v="0"/>
    <s v="Sweden"/>
    <x v="1"/>
  </r>
  <r>
    <n v="2024003822"/>
    <x v="342"/>
    <n v="2024"/>
    <x v="143"/>
    <s v="PROD_003"/>
    <s v="USB-C Cable"/>
    <s v="Electronics"/>
    <n v="4"/>
    <n v="14.57"/>
    <n v="58.28"/>
    <n v="58.28"/>
    <n v="0"/>
    <s v="Spain"/>
    <x v="2"/>
  </r>
  <r>
    <n v="2024003823"/>
    <x v="12"/>
    <n v="2024"/>
    <x v="26"/>
    <s v="PROD_007"/>
    <s v="Keyboard Mechanical"/>
    <s v="Electronics"/>
    <n v="3"/>
    <n v="123.29"/>
    <n v="369.87"/>
    <n v="369.87"/>
    <n v="0"/>
    <s v="Spain"/>
    <x v="0"/>
  </r>
  <r>
    <n v="2024003824"/>
    <x v="364"/>
    <n v="2024"/>
    <x v="255"/>
    <s v="PROD_006"/>
    <s v="Monitor 27&quot;"/>
    <s v="Electronics"/>
    <n v="1"/>
    <n v="410.01"/>
    <n v="410.01"/>
    <n v="410.01"/>
    <n v="0"/>
    <s v="Spain"/>
    <x v="3"/>
  </r>
  <r>
    <n v="2024003825"/>
    <x v="246"/>
    <n v="2024"/>
    <x v="0"/>
    <s v="PROD_002"/>
    <s v="Wireless Mouse"/>
    <s v="Electronics"/>
    <n v="1"/>
    <n v="41.01"/>
    <n v="41.01"/>
    <n v="41.01"/>
    <n v="0"/>
    <s v="Italy"/>
    <x v="3"/>
  </r>
  <r>
    <n v="2024001809"/>
    <x v="269"/>
    <n v="2024"/>
    <x v="241"/>
    <s v="PROD_008"/>
    <s v="Desk Lamp"/>
    <s v="Furniture"/>
    <n v="2"/>
    <n v="81.23"/>
    <n v="162.46"/>
    <n v="162.46"/>
    <n v="0"/>
    <s v="Germany"/>
    <x v="2"/>
  </r>
  <r>
    <n v="2024003827"/>
    <x v="22"/>
    <n v="2024"/>
    <x v="210"/>
    <s v="PROD_010"/>
    <s v="Webcam HD"/>
    <s v="Electronics"/>
    <n v="1"/>
    <n v="80.400000000000006"/>
    <n v="80.400000000000006"/>
    <n v="80.400000000000006"/>
    <n v="0"/>
    <s v="Germany"/>
    <x v="2"/>
  </r>
  <r>
    <n v="2024003828"/>
    <x v="164"/>
    <n v="2024"/>
    <x v="262"/>
    <s v="PROD_001"/>
    <s v="Laptop Pro"/>
    <s v="Electronics"/>
    <n v="1"/>
    <n v="1232.78"/>
    <n v="1232.78"/>
    <n v="1232.78"/>
    <n v="0"/>
    <s v="Sweden"/>
    <x v="1"/>
  </r>
  <r>
    <n v="2024003829"/>
    <x v="228"/>
    <n v="2024"/>
    <x v="175"/>
    <s v="PROD_006"/>
    <s v="Monitor 27&quot;"/>
    <s v="Electronics"/>
    <n v="3"/>
    <n v="395.04"/>
    <n v="1185.1199999999999"/>
    <n v="1185.1200000000001"/>
    <n v="0"/>
    <s v="France"/>
    <x v="0"/>
  </r>
  <r>
    <n v="2024003830"/>
    <x v="143"/>
    <n v="2024"/>
    <x v="46"/>
    <s v="PROD_002"/>
    <s v="Wireless Mouse"/>
    <s v="Electronics"/>
    <n v="1"/>
    <n v="48.61"/>
    <n v="48.61"/>
    <n v="48.61"/>
    <n v="0"/>
    <s v="Germany"/>
    <x v="3"/>
  </r>
  <r>
    <n v="2024003831"/>
    <x v="195"/>
    <n v="2024"/>
    <x v="43"/>
    <s v="PROD_004"/>
    <s v="Desk Chair"/>
    <s v="Furniture"/>
    <n v="1"/>
    <n v="330.04"/>
    <n v="330.04"/>
    <n v="330.04"/>
    <n v="0"/>
    <s v="Spain"/>
    <x v="3"/>
  </r>
  <r>
    <n v="2024003832"/>
    <x v="271"/>
    <n v="2024"/>
    <x v="273"/>
    <s v="PROD_010"/>
    <s v="Webcam HD"/>
    <s v="Electronics"/>
    <n v="1"/>
    <n v="89.35"/>
    <n v="89.35"/>
    <n v="89.35"/>
    <n v="0"/>
    <s v="Germany"/>
    <x v="0"/>
  </r>
  <r>
    <n v="2024003833"/>
    <x v="33"/>
    <n v="2024"/>
    <x v="177"/>
    <s v="PROD_005"/>
    <s v="Standing Desk"/>
    <s v="Furniture"/>
    <n v="2"/>
    <n v="606.84"/>
    <n v="1213.68"/>
    <n v="1213.68"/>
    <n v="0"/>
    <s v="Sweden"/>
    <x v="3"/>
  </r>
  <r>
    <n v="2024003834"/>
    <x v="112"/>
    <n v="2024"/>
    <x v="58"/>
    <s v="PROD_004"/>
    <s v="Desk Chair"/>
    <s v="Furniture"/>
    <n v="1"/>
    <n v="370.03"/>
    <n v="370.03"/>
    <n v="370.03"/>
    <n v="0"/>
    <s v="Sweden"/>
    <x v="1"/>
  </r>
  <r>
    <n v="2024003835"/>
    <x v="38"/>
    <n v="2024"/>
    <x v="120"/>
    <s v="PROD_001"/>
    <s v="Laptop Pro"/>
    <s v="Electronics"/>
    <n v="1"/>
    <n v="1306.02"/>
    <n v="1306.02"/>
    <n v="1306.02"/>
    <n v="0"/>
    <s v="Netherlands"/>
    <x v="3"/>
  </r>
  <r>
    <n v="2024003836"/>
    <x v="332"/>
    <n v="2024"/>
    <x v="255"/>
    <s v="PROD_004"/>
    <s v="Desk Chair"/>
    <s v="Furniture"/>
    <n v="1"/>
    <n v="376.74"/>
    <n v="376.74"/>
    <n v="376.74"/>
    <n v="0"/>
    <s v="Netherlands"/>
    <x v="2"/>
  </r>
  <r>
    <n v="2024003837"/>
    <x v="332"/>
    <n v="2024"/>
    <x v="88"/>
    <s v="PROD_008"/>
    <s v="Desk Lamp"/>
    <s v="Furniture"/>
    <n v="3"/>
    <n v="76.53"/>
    <n v="229.59"/>
    <n v="229.59"/>
    <n v="0"/>
    <s v="UK"/>
    <x v="3"/>
  </r>
  <r>
    <n v="2024003838"/>
    <x v="193"/>
    <n v="2024"/>
    <x v="265"/>
    <s v="PROD_006"/>
    <s v="Monitor 27&quot;"/>
    <s v="Electronics"/>
    <n v="1"/>
    <n v="394.09"/>
    <n v="394.09"/>
    <n v="394.09"/>
    <n v="0"/>
    <s v="Sweden"/>
    <x v="0"/>
  </r>
  <r>
    <n v="2024003839"/>
    <x v="173"/>
    <n v="2024"/>
    <x v="248"/>
    <s v="PROD_001"/>
    <s v="Laptop Pro"/>
    <s v="Electronics"/>
    <n v="2"/>
    <n v="1239.93"/>
    <n v="2479.86"/>
    <n v="2479.86"/>
    <n v="0"/>
    <s v="Netherlands"/>
    <x v="2"/>
  </r>
  <r>
    <n v="2024003840"/>
    <x v="289"/>
    <n v="2024"/>
    <x v="106"/>
    <s v="PROD_004"/>
    <s v="Desk Chair"/>
    <s v="Furniture"/>
    <n v="2"/>
    <n v="372.79"/>
    <n v="745.58"/>
    <n v="745.58"/>
    <n v="0"/>
    <s v="Netherlands"/>
    <x v="2"/>
  </r>
  <r>
    <n v="2024003841"/>
    <x v="122"/>
    <n v="2024"/>
    <x v="141"/>
    <s v="PROD_004"/>
    <s v="Desk Chair"/>
    <s v="Furniture"/>
    <n v="2"/>
    <n v="329.22"/>
    <n v="658.44"/>
    <n v="658.44"/>
    <n v="0"/>
    <s v="UK"/>
    <x v="2"/>
  </r>
  <r>
    <n v="2024003842"/>
    <x v="285"/>
    <n v="2024"/>
    <x v="250"/>
    <s v="PROD_001"/>
    <s v="Laptop Pro"/>
    <s v="Electronics"/>
    <n v="2"/>
    <n v="1261.49"/>
    <n v="2522.98"/>
    <n v="2522.98"/>
    <n v="0"/>
    <s v="Austria"/>
    <x v="2"/>
  </r>
  <r>
    <n v="2024003843"/>
    <x v="318"/>
    <n v="2024"/>
    <x v="280"/>
    <s v="PROD_008"/>
    <s v="Desk Lamp"/>
    <s v="Furniture"/>
    <n v="2"/>
    <n v="76.02"/>
    <n v="152.04"/>
    <n v="152.04"/>
    <n v="0"/>
    <s v="Sweden"/>
    <x v="0"/>
  </r>
  <r>
    <n v="2024003844"/>
    <x v="0"/>
    <n v="2024"/>
    <x v="0"/>
    <s v="PROD_006"/>
    <s v="Monitor 27&quot;"/>
    <s v="Electronics"/>
    <n v="1"/>
    <n v="390.77"/>
    <n v="390.77"/>
    <n v="390.77"/>
    <n v="0"/>
    <s v="Sweden"/>
    <x v="0"/>
  </r>
  <r>
    <n v="2024003845"/>
    <x v="157"/>
    <n v="2024"/>
    <x v="89"/>
    <s v="PROD_005"/>
    <s v="Standing Desk"/>
    <s v="Furniture"/>
    <n v="1"/>
    <n v="593.88"/>
    <n v="593.88"/>
    <n v="593.88"/>
    <n v="0"/>
    <s v="Netherlands"/>
    <x v="3"/>
  </r>
  <r>
    <n v="2024003846"/>
    <x v="304"/>
    <n v="2024"/>
    <x v="245"/>
    <s v="PROD_006"/>
    <s v="Monitor 27&quot;"/>
    <s v="Electronics"/>
    <n v="1"/>
    <n v="400.97"/>
    <n v="400.97"/>
    <n v="400.97"/>
    <n v="0"/>
    <s v="Italy"/>
    <x v="1"/>
  </r>
  <r>
    <n v="2024003847"/>
    <x v="313"/>
    <n v="2024"/>
    <x v="96"/>
    <s v="PROD_002"/>
    <s v="Wireless Mouse"/>
    <s v="Electronics"/>
    <n v="2"/>
    <n v="50.54"/>
    <n v="101.08"/>
    <n v="101.08"/>
    <n v="0"/>
    <s v="Sweden"/>
    <x v="3"/>
  </r>
  <r>
    <n v="2024003848"/>
    <x v="315"/>
    <n v="2024"/>
    <x v="251"/>
    <s v="PROD_005"/>
    <s v="Standing Desk"/>
    <s v="Furniture"/>
    <n v="3"/>
    <n v="615.74"/>
    <n v="1847.22"/>
    <n v="1847.22"/>
    <n v="0"/>
    <s v="Belgium"/>
    <x v="1"/>
  </r>
  <r>
    <n v="2024003849"/>
    <x v="323"/>
    <n v="2024"/>
    <x v="112"/>
    <s v="PROD_003"/>
    <s v="USB-C Cable"/>
    <s v="Electronics"/>
    <n v="3"/>
    <n v="14.34"/>
    <n v="43.02"/>
    <n v="43.019999999999996"/>
    <n v="0"/>
    <s v="Belgium"/>
    <x v="3"/>
  </r>
  <r>
    <n v="2024003850"/>
    <x v="169"/>
    <n v="2024"/>
    <x v="222"/>
    <s v="PROD_002"/>
    <s v="Wireless Mouse"/>
    <s v="Electronics"/>
    <n v="1"/>
    <n v="43.96"/>
    <n v="43.96"/>
    <n v="43.96"/>
    <n v="0"/>
    <s v="UK"/>
    <x v="2"/>
  </r>
  <r>
    <n v="2024003851"/>
    <x v="138"/>
    <n v="2024"/>
    <x v="0"/>
    <s v="PROD_010"/>
    <s v="Webcam HD"/>
    <s v="Electronics"/>
    <n v="4"/>
    <n v="92.05"/>
    <n v="368.2"/>
    <n v="368.2"/>
    <n v="0"/>
    <s v="UK"/>
    <x v="0"/>
  </r>
  <r>
    <n v="2024003852"/>
    <x v="356"/>
    <n v="2024"/>
    <x v="199"/>
    <s v="PROD_010"/>
    <s v="Webcam HD"/>
    <s v="Electronics"/>
    <n v="1"/>
    <n v="86.96"/>
    <n v="86.96"/>
    <n v="86.96"/>
    <n v="0"/>
    <s v="Spain"/>
    <x v="1"/>
  </r>
  <r>
    <n v="2024003853"/>
    <x v="317"/>
    <n v="2024"/>
    <x v="0"/>
    <s v="PROD_005"/>
    <s v="Standing Desk"/>
    <s v="Furniture"/>
    <n v="2"/>
    <n v="613.78"/>
    <n v="1227.56"/>
    <n v="1227.56"/>
    <n v="0"/>
    <s v="Sweden"/>
    <x v="2"/>
  </r>
  <r>
    <n v="2024003854"/>
    <x v="114"/>
    <n v="2024"/>
    <x v="259"/>
    <s v="PROD_001"/>
    <s v="Laptop Pro"/>
    <s v="Electronics"/>
    <n v="4"/>
    <n v="1279.95"/>
    <n v="5119.8"/>
    <n v="5119.8"/>
    <n v="0"/>
    <s v="Switzerland"/>
    <x v="0"/>
  </r>
  <r>
    <n v="2024003855"/>
    <x v="55"/>
    <n v="2024"/>
    <x v="0"/>
    <s v="PROD_007"/>
    <s v="Keyboard Mechanical"/>
    <s v="Electronics"/>
    <n v="1"/>
    <n v="126.95"/>
    <n v="126.95"/>
    <n v="126.95"/>
    <n v="0"/>
    <s v="Netherlands"/>
    <x v="3"/>
  </r>
  <r>
    <n v="2024003856"/>
    <x v="50"/>
    <n v="2024"/>
    <x v="30"/>
    <s v="PROD_005"/>
    <s v="Standing Desk"/>
    <s v="Furniture"/>
    <n v="1"/>
    <n v="636.83000000000004"/>
    <n v="636.83000000000004"/>
    <n v="636.83000000000004"/>
    <n v="0"/>
    <s v="Germany"/>
    <x v="2"/>
  </r>
  <r>
    <n v="2024003857"/>
    <x v="201"/>
    <n v="2024"/>
    <x v="80"/>
    <s v="PROD_001"/>
    <s v="Laptop Pro"/>
    <s v="Electronics"/>
    <n v="2"/>
    <n v="1095.26"/>
    <n v="2190.52"/>
    <n v="2190.52"/>
    <n v="0"/>
    <s v="Spain"/>
    <x v="0"/>
  </r>
  <r>
    <n v="2024003858"/>
    <x v="258"/>
    <n v="2024"/>
    <x v="92"/>
    <s v="PROD_003"/>
    <s v="USB-C Cable"/>
    <s v="Electronics"/>
    <n v="2"/>
    <n v="15.4"/>
    <n v="30.8"/>
    <n v="30.8"/>
    <n v="0"/>
    <s v="Switzerland"/>
    <x v="0"/>
  </r>
  <r>
    <n v="2024003859"/>
    <x v="165"/>
    <n v="2024"/>
    <x v="42"/>
    <s v="PROD_007"/>
    <s v="Keyboard Mechanical"/>
    <s v="Electronics"/>
    <n v="1"/>
    <n v="110.65"/>
    <n v="110.65"/>
    <n v="110.65"/>
    <n v="0"/>
    <s v="Spain"/>
    <x v="1"/>
  </r>
  <r>
    <n v="2024003860"/>
    <x v="136"/>
    <n v="2024"/>
    <x v="240"/>
    <s v="PROD_006"/>
    <s v="Monitor 27&quot;"/>
    <s v="Electronics"/>
    <n v="1"/>
    <n v="386"/>
    <n v="386"/>
    <n v="386"/>
    <n v="0"/>
    <s v="Sweden"/>
    <x v="1"/>
  </r>
  <r>
    <n v="2024003861"/>
    <x v="324"/>
    <n v="2024"/>
    <x v="230"/>
    <s v="PROD_008"/>
    <s v="Desk Lamp"/>
    <s v="Furniture"/>
    <n v="3"/>
    <n v="81.290000000000006"/>
    <n v="243.87"/>
    <n v="243.87"/>
    <n v="0"/>
    <s v="Sweden"/>
    <x v="2"/>
  </r>
  <r>
    <n v="2024003862"/>
    <x v="221"/>
    <n v="2024"/>
    <x v="104"/>
    <s v="PROD_007"/>
    <s v="Keyboard Mechanical"/>
    <s v="Electronics"/>
    <n v="1"/>
    <n v="127.18"/>
    <n v="127.18"/>
    <n v="127.18"/>
    <n v="0"/>
    <s v="Netherlands"/>
    <x v="2"/>
  </r>
  <r>
    <n v="2024003863"/>
    <x v="201"/>
    <n v="2024"/>
    <x v="0"/>
    <s v="PROD_009"/>
    <s v="Phone Stand"/>
    <s v="Accessories"/>
    <n v="1"/>
    <n v="25.54"/>
    <n v="25.54"/>
    <n v="25.54"/>
    <n v="0"/>
    <s v="Spain"/>
    <x v="0"/>
  </r>
  <r>
    <n v="2024003864"/>
    <x v="90"/>
    <n v="2024"/>
    <x v="0"/>
    <s v="PROD_009"/>
    <s v="Phone Stand"/>
    <s v="Accessories"/>
    <n v="2"/>
    <n v="25.34"/>
    <n v="50.68"/>
    <n v="50.68"/>
    <n v="0"/>
    <s v="Belgium"/>
    <x v="2"/>
  </r>
  <r>
    <n v="2024003865"/>
    <x v="285"/>
    <n v="2024"/>
    <x v="94"/>
    <s v="PROD_003"/>
    <s v="USB-C Cable"/>
    <s v="Electronics"/>
    <n v="1"/>
    <n v="13.49"/>
    <n v="13.49"/>
    <n v="13.49"/>
    <n v="0"/>
    <s v="Switzerland"/>
    <x v="2"/>
  </r>
  <r>
    <n v="2024003866"/>
    <x v="172"/>
    <n v="2024"/>
    <x v="25"/>
    <s v="PROD_006"/>
    <s v="Monitor 27&quot;"/>
    <s v="Electronics"/>
    <n v="1"/>
    <n v="409.57"/>
    <n v="409.57"/>
    <n v="409.57"/>
    <n v="0"/>
    <s v="Switzerland"/>
    <x v="0"/>
  </r>
  <r>
    <n v="2024003867"/>
    <x v="175"/>
    <n v="2024"/>
    <x v="294"/>
    <s v="PROD_002"/>
    <s v="Wireless Mouse"/>
    <s v="Electronics"/>
    <n v="5"/>
    <n v="43.44"/>
    <n v="217.2"/>
    <n v="217.2"/>
    <n v="0"/>
    <s v="Netherlands"/>
    <x v="2"/>
  </r>
  <r>
    <n v="2024003868"/>
    <x v="191"/>
    <n v="2024"/>
    <x v="32"/>
    <s v="PROD_006"/>
    <s v="Monitor 27&quot;"/>
    <s v="Electronics"/>
    <n v="1"/>
    <n v="390.49"/>
    <n v="390.49"/>
    <n v="390.49"/>
    <n v="0"/>
    <s v="Italy"/>
    <x v="2"/>
  </r>
  <r>
    <n v="2024003869"/>
    <x v="325"/>
    <n v="2024"/>
    <x v="123"/>
    <s v="PROD_006"/>
    <s v="Monitor 27&quot;"/>
    <s v="Electronics"/>
    <n v="3"/>
    <n v="383.4"/>
    <n v="1150.2"/>
    <n v="1150.1999999999998"/>
    <n v="0"/>
    <s v="Belgium"/>
    <x v="0"/>
  </r>
  <r>
    <n v="2024003870"/>
    <x v="265"/>
    <n v="2024"/>
    <x v="281"/>
    <s v="PROD_004"/>
    <s v="Desk Chair"/>
    <s v="Furniture"/>
    <n v="1"/>
    <n v="356.32"/>
    <n v="356.32"/>
    <n v="356.32"/>
    <n v="0"/>
    <s v="Italy"/>
    <x v="1"/>
  </r>
  <r>
    <n v="2024003871"/>
    <x v="2"/>
    <n v="2024"/>
    <x v="33"/>
    <s v="PROD_005"/>
    <s v="Standing Desk"/>
    <s v="Furniture"/>
    <n v="2"/>
    <n v="630.44000000000005"/>
    <n v="1260.8800000000001"/>
    <n v="1260.8800000000001"/>
    <n v="0"/>
    <s v="UK"/>
    <x v="3"/>
  </r>
  <r>
    <n v="2024003872"/>
    <x v="354"/>
    <n v="2024"/>
    <x v="24"/>
    <s v="PROD_003"/>
    <s v="USB-C Cable"/>
    <s v="Electronics"/>
    <n v="2"/>
    <n v="14.8"/>
    <n v="29.6"/>
    <n v="29.6"/>
    <n v="0"/>
    <s v="Belgium"/>
    <x v="1"/>
  </r>
  <r>
    <n v="2024003873"/>
    <x v="350"/>
    <n v="2024"/>
    <x v="141"/>
    <s v="PROD_003"/>
    <s v="USB-C Cable"/>
    <s v="Electronics"/>
    <n v="1"/>
    <n v="14.9"/>
    <n v="14.9"/>
    <n v="14.9"/>
    <n v="0"/>
    <s v="Sweden"/>
    <x v="1"/>
  </r>
  <r>
    <n v="2024003874"/>
    <x v="33"/>
    <n v="2024"/>
    <x v="96"/>
    <s v="PROD_007"/>
    <s v="Keyboard Mechanical"/>
    <s v="Electronics"/>
    <n v="5"/>
    <n v="120.67"/>
    <n v="603.35"/>
    <n v="603.35"/>
    <n v="0"/>
    <s v="Netherlands"/>
    <x v="3"/>
  </r>
  <r>
    <n v="2024003875"/>
    <x v="331"/>
    <n v="2024"/>
    <x v="108"/>
    <s v="PROD_003"/>
    <s v="USB-C Cable"/>
    <s v="Electronics"/>
    <n v="2"/>
    <n v="13.93"/>
    <n v="27.86"/>
    <n v="27.86"/>
    <n v="0"/>
    <s v="Austria"/>
    <x v="3"/>
  </r>
  <r>
    <n v="2024003876"/>
    <x v="239"/>
    <n v="2024"/>
    <x v="162"/>
    <s v="PROD_009"/>
    <s v="Phone Stand"/>
    <s v="Accessories"/>
    <n v="2"/>
    <n v="24.61"/>
    <n v="49.22"/>
    <n v="49.22"/>
    <n v="0"/>
    <s v="UK"/>
    <x v="3"/>
  </r>
  <r>
    <n v="2024003877"/>
    <x v="119"/>
    <n v="2024"/>
    <x v="0"/>
    <s v="PROD_009"/>
    <s v="Phone Stand"/>
    <s v="Accessories"/>
    <n v="1"/>
    <n v="26.6"/>
    <n v="26.6"/>
    <n v="26.6"/>
    <n v="0"/>
    <s v="France"/>
    <x v="0"/>
  </r>
  <r>
    <n v="2024003878"/>
    <x v="134"/>
    <n v="2024"/>
    <x v="111"/>
    <s v="PROD_002"/>
    <s v="Wireless Mouse"/>
    <s v="Electronics"/>
    <n v="2"/>
    <n v="42.93"/>
    <n v="85.86"/>
    <n v="85.86"/>
    <n v="0"/>
    <s v="Spain"/>
    <x v="3"/>
  </r>
  <r>
    <n v="2024003879"/>
    <x v="268"/>
    <n v="2024"/>
    <x v="242"/>
    <s v="PROD_001"/>
    <s v="Laptop Pro"/>
    <s v="Electronics"/>
    <n v="1"/>
    <n v="1198.52"/>
    <n v="1198.52"/>
    <n v="1198.52"/>
    <n v="0"/>
    <s v="Belgium"/>
    <x v="0"/>
  </r>
  <r>
    <n v="2024003880"/>
    <x v="70"/>
    <n v="2024"/>
    <x v="89"/>
    <s v="PROD_007"/>
    <s v="Keyboard Mechanical"/>
    <s v="Electronics"/>
    <n v="1"/>
    <n v="133.97"/>
    <n v="133.97"/>
    <n v="133.97"/>
    <n v="0"/>
    <s v="Austria"/>
    <x v="0"/>
  </r>
  <r>
    <n v="2024003881"/>
    <x v="186"/>
    <n v="2024"/>
    <x v="0"/>
    <s v="PROD_004"/>
    <s v="Desk Chair"/>
    <s v="Furniture"/>
    <n v="1"/>
    <n v="342.02"/>
    <n v="342.02"/>
    <n v="342.02"/>
    <n v="0"/>
    <s v="Italy"/>
    <x v="2"/>
  </r>
  <r>
    <n v="2024003882"/>
    <x v="208"/>
    <n v="2024"/>
    <x v="101"/>
    <s v="PROD_008"/>
    <s v="Desk Lamp"/>
    <s v="Furniture"/>
    <n v="4"/>
    <n v="80.13"/>
    <n v="320.52"/>
    <n v="320.52"/>
    <n v="0"/>
    <s v="Sweden"/>
    <x v="2"/>
  </r>
  <r>
    <n v="2024003883"/>
    <x v="197"/>
    <n v="2024"/>
    <x v="0"/>
    <s v="PROD_009"/>
    <s v="Phone Stand"/>
    <s v="Accessories"/>
    <n v="2"/>
    <n v="26.36"/>
    <n v="52.72"/>
    <n v="52.72"/>
    <n v="0"/>
    <s v="UK"/>
    <x v="0"/>
  </r>
  <r>
    <n v="2024003884"/>
    <x v="266"/>
    <n v="2024"/>
    <x v="42"/>
    <s v="PROD_003"/>
    <s v="USB-C Cable"/>
    <s v="Electronics"/>
    <n v="2"/>
    <n v="14.57"/>
    <n v="29.14"/>
    <n v="29.14"/>
    <n v="0"/>
    <s v="Germany"/>
    <x v="0"/>
  </r>
  <r>
    <n v="2024003885"/>
    <x v="209"/>
    <n v="2024"/>
    <x v="158"/>
    <s v="PROD_006"/>
    <s v="Monitor 27&quot;"/>
    <s v="Electronics"/>
    <n v="2"/>
    <n v="390.84"/>
    <n v="781.68"/>
    <n v="781.68"/>
    <n v="0"/>
    <s v="France"/>
    <x v="0"/>
  </r>
  <r>
    <n v="2024003886"/>
    <x v="322"/>
    <n v="2024"/>
    <x v="298"/>
    <s v="PROD_007"/>
    <s v="Keyboard Mechanical"/>
    <s v="Electronics"/>
    <n v="2"/>
    <n v="119.12"/>
    <n v="238.24"/>
    <n v="238.24"/>
    <n v="0"/>
    <s v="Belgium"/>
    <x v="2"/>
  </r>
  <r>
    <n v="2024003887"/>
    <x v="117"/>
    <n v="2024"/>
    <x v="211"/>
    <s v="PROD_004"/>
    <s v="Desk Chair"/>
    <s v="Furniture"/>
    <n v="2"/>
    <n v="349.14"/>
    <n v="698.28"/>
    <n v="698.28"/>
    <n v="0"/>
    <s v="Spain"/>
    <x v="2"/>
  </r>
  <r>
    <n v="2024003888"/>
    <x v="298"/>
    <n v="2024"/>
    <x v="184"/>
    <s v="PROD_004"/>
    <s v="Desk Chair"/>
    <s v="Furniture"/>
    <n v="2"/>
    <n v="375.4"/>
    <n v="750.8"/>
    <n v="750.8"/>
    <n v="0"/>
    <s v="Germany"/>
    <x v="3"/>
  </r>
  <r>
    <n v="2024003889"/>
    <x v="135"/>
    <n v="2024"/>
    <x v="203"/>
    <s v="PROD_003"/>
    <s v="USB-C Cable"/>
    <s v="Electronics"/>
    <n v="3"/>
    <n v="14.07"/>
    <n v="42.21"/>
    <n v="42.21"/>
    <n v="0"/>
    <s v="Netherlands"/>
    <x v="0"/>
  </r>
  <r>
    <n v="2024003890"/>
    <x v="179"/>
    <n v="2024"/>
    <x v="29"/>
    <s v="PROD_006"/>
    <s v="Monitor 27&quot;"/>
    <s v="Electronics"/>
    <n v="1"/>
    <n v="381.41"/>
    <n v="381.41"/>
    <n v="381.41"/>
    <n v="0"/>
    <s v="Spain"/>
    <x v="2"/>
  </r>
  <r>
    <n v="2024003891"/>
    <x v="346"/>
    <n v="2024"/>
    <x v="245"/>
    <s v="PROD_001"/>
    <s v="Laptop Pro"/>
    <s v="Electronics"/>
    <n v="2"/>
    <n v="1160.2"/>
    <n v="2320.4"/>
    <n v="2320.4"/>
    <n v="0"/>
    <s v="Sweden"/>
    <x v="0"/>
  </r>
  <r>
    <n v="2024003892"/>
    <x v="28"/>
    <n v="2024"/>
    <x v="133"/>
    <s v="PROD_002"/>
    <s v="Wireless Mouse"/>
    <s v="Electronics"/>
    <n v="4"/>
    <n v="43.05"/>
    <n v="172.2"/>
    <n v="172.2"/>
    <n v="0"/>
    <s v="France"/>
    <x v="3"/>
  </r>
  <r>
    <n v="2024003893"/>
    <x v="61"/>
    <n v="2024"/>
    <x v="141"/>
    <s v="PROD_004"/>
    <s v="Desk Chair"/>
    <s v="Furniture"/>
    <n v="1"/>
    <n v="336.56"/>
    <n v="336.56"/>
    <n v="336.56"/>
    <n v="0"/>
    <s v="Sweden"/>
    <x v="2"/>
  </r>
  <r>
    <n v="2024003894"/>
    <x v="4"/>
    <n v="2024"/>
    <x v="115"/>
    <s v="PROD_005"/>
    <s v="Standing Desk"/>
    <s v="Furniture"/>
    <n v="3"/>
    <n v="642.69000000000005"/>
    <n v="1928.07"/>
    <n v="1928.0700000000002"/>
    <n v="0"/>
    <s v="Netherlands"/>
    <x v="2"/>
  </r>
  <r>
    <n v="2024003895"/>
    <x v="27"/>
    <n v="2024"/>
    <x v="97"/>
    <s v="PROD_006"/>
    <s v="Monitor 27&quot;"/>
    <s v="Electronics"/>
    <n v="3"/>
    <n v="397.78"/>
    <n v="1193.3399999999999"/>
    <n v="1193.3399999999999"/>
    <n v="0"/>
    <s v="Italy"/>
    <x v="3"/>
  </r>
  <r>
    <n v="2024003896"/>
    <x v="344"/>
    <n v="2024"/>
    <x v="248"/>
    <s v="PROD_010"/>
    <s v="Webcam HD"/>
    <s v="Electronics"/>
    <n v="3"/>
    <n v="95.81"/>
    <n v="287.43"/>
    <n v="287.43"/>
    <n v="0"/>
    <s v="Spain"/>
    <x v="1"/>
  </r>
  <r>
    <n v="2024003897"/>
    <x v="180"/>
    <n v="2024"/>
    <x v="89"/>
    <s v="PROD_002"/>
    <s v="Wireless Mouse"/>
    <s v="Electronics"/>
    <n v="3"/>
    <n v="51.49"/>
    <n v="154.47"/>
    <n v="154.47"/>
    <n v="0"/>
    <s v="Austria"/>
    <x v="1"/>
  </r>
  <r>
    <n v="2024003898"/>
    <x v="103"/>
    <n v="2024"/>
    <x v="263"/>
    <s v="PROD_006"/>
    <s v="Monitor 27&quot;"/>
    <s v="Electronics"/>
    <n v="2"/>
    <n v="397.59"/>
    <n v="795.18"/>
    <n v="795.18"/>
    <n v="0"/>
    <s v="Belgium"/>
    <x v="3"/>
  </r>
  <r>
    <n v="2024003899"/>
    <x v="216"/>
    <n v="2024"/>
    <x v="130"/>
    <s v="PROD_003"/>
    <s v="USB-C Cable"/>
    <s v="Electronics"/>
    <n v="2"/>
    <n v="13.96"/>
    <n v="27.92"/>
    <n v="27.92"/>
    <n v="0"/>
    <s v="Netherlands"/>
    <x v="3"/>
  </r>
  <r>
    <n v="2024003900"/>
    <x v="97"/>
    <n v="2024"/>
    <x v="0"/>
    <s v="PROD_005"/>
    <s v="Standing Desk"/>
    <s v="Furniture"/>
    <n v="2"/>
    <n v="582.41"/>
    <n v="1164.82"/>
    <n v="1164.82"/>
    <n v="0"/>
    <s v="Germany"/>
    <x v="0"/>
  </r>
  <r>
    <n v="2024003901"/>
    <x v="261"/>
    <n v="2024"/>
    <x v="56"/>
    <s v="PROD_002"/>
    <s v="Wireless Mouse"/>
    <s v="Electronics"/>
    <n v="1"/>
    <n v="46.41"/>
    <n v="46.41"/>
    <n v="46.41"/>
    <n v="0"/>
    <s v="Spain"/>
    <x v="1"/>
  </r>
  <r>
    <n v="2024003902"/>
    <x v="256"/>
    <n v="2024"/>
    <x v="287"/>
    <s v="PROD_007"/>
    <s v="Keyboard Mechanical"/>
    <s v="Electronics"/>
    <n v="1"/>
    <n v="124.23"/>
    <n v="124.23"/>
    <n v="124.23"/>
    <n v="0"/>
    <s v="Spain"/>
    <x v="0"/>
  </r>
  <r>
    <n v="2024003903"/>
    <x v="324"/>
    <n v="2024"/>
    <x v="17"/>
    <s v="PROD_003"/>
    <s v="USB-C Cable"/>
    <s v="Electronics"/>
    <n v="1"/>
    <n v="15.19"/>
    <n v="15.19"/>
    <n v="15.19"/>
    <n v="0"/>
    <s v="Belgium"/>
    <x v="0"/>
  </r>
  <r>
    <n v="2024003904"/>
    <x v="229"/>
    <n v="2024"/>
    <x v="81"/>
    <s v="PROD_006"/>
    <s v="Monitor 27&quot;"/>
    <s v="Electronics"/>
    <n v="1"/>
    <n v="418.63"/>
    <n v="418.63"/>
    <n v="418.63"/>
    <n v="0"/>
    <s v="Spain"/>
    <x v="3"/>
  </r>
  <r>
    <n v="2024003905"/>
    <x v="14"/>
    <n v="2024"/>
    <x v="154"/>
    <s v="PROD_010"/>
    <s v="Webcam HD"/>
    <s v="Electronics"/>
    <n v="1"/>
    <n v="91.25"/>
    <n v="91.25"/>
    <n v="91.25"/>
    <n v="0"/>
    <s v="Belgium"/>
    <x v="0"/>
  </r>
  <r>
    <n v="2024003906"/>
    <x v="39"/>
    <n v="2024"/>
    <x v="110"/>
    <s v="PROD_007"/>
    <s v="Keyboard Mechanical"/>
    <s v="Electronics"/>
    <n v="1"/>
    <n v="120.56"/>
    <n v="120.56"/>
    <n v="120.56"/>
    <n v="0"/>
    <s v="France"/>
    <x v="2"/>
  </r>
  <r>
    <n v="2024003907"/>
    <x v="134"/>
    <n v="2024"/>
    <x v="218"/>
    <s v="PROD_009"/>
    <s v="Phone Stand"/>
    <s v="Accessories"/>
    <n v="4"/>
    <n v="26.15"/>
    <n v="104.6"/>
    <n v="104.6"/>
    <n v="0"/>
    <s v="France"/>
    <x v="1"/>
  </r>
  <r>
    <n v="2024003908"/>
    <x v="12"/>
    <n v="2024"/>
    <x v="295"/>
    <s v="PROD_004"/>
    <s v="Desk Chair"/>
    <s v="Furniture"/>
    <n v="2"/>
    <n v="345.79"/>
    <n v="691.58"/>
    <n v="691.58"/>
    <n v="0"/>
    <s v="Austria"/>
    <x v="2"/>
  </r>
  <r>
    <n v="2024003909"/>
    <x v="174"/>
    <n v="2024"/>
    <x v="96"/>
    <s v="PROD_006"/>
    <s v="Monitor 27&quot;"/>
    <s v="Electronics"/>
    <n v="1"/>
    <n v="415.36"/>
    <n v="415.36"/>
    <n v="415.36"/>
    <n v="0"/>
    <s v="UK"/>
    <x v="0"/>
  </r>
  <r>
    <n v="2024003910"/>
    <x v="174"/>
    <n v="2024"/>
    <x v="266"/>
    <s v="PROD_005"/>
    <s v="Standing Desk"/>
    <s v="Furniture"/>
    <n v="3"/>
    <n v="609.15"/>
    <n v="1827.45"/>
    <n v="1827.4499999999998"/>
    <n v="0"/>
    <s v="Italy"/>
    <x v="3"/>
  </r>
  <r>
    <n v="2024003911"/>
    <x v="98"/>
    <n v="2024"/>
    <x v="100"/>
    <s v="PROD_004"/>
    <s v="Desk Chair"/>
    <s v="Furniture"/>
    <n v="1"/>
    <n v="352.19"/>
    <n v="352.19"/>
    <n v="352.19"/>
    <n v="0"/>
    <s v="Sweden"/>
    <x v="1"/>
  </r>
  <r>
    <n v="2024003912"/>
    <x v="294"/>
    <n v="2024"/>
    <x v="0"/>
    <s v="PROD_004"/>
    <s v="Desk Chair"/>
    <s v="Furniture"/>
    <n v="3"/>
    <n v="358.02"/>
    <n v="1074.06"/>
    <n v="1074.06"/>
    <n v="0"/>
    <s v="Austria"/>
    <x v="2"/>
  </r>
  <r>
    <n v="2024003913"/>
    <x v="37"/>
    <n v="2024"/>
    <x v="0"/>
    <s v="PROD_007"/>
    <s v="Keyboard Mechanical"/>
    <s v="Electronics"/>
    <n v="1"/>
    <n v="122.03"/>
    <n v="122.03"/>
    <n v="122.03"/>
    <n v="0"/>
    <s v="Austria"/>
    <x v="0"/>
  </r>
  <r>
    <n v="2024003914"/>
    <x v="334"/>
    <n v="2024"/>
    <x v="56"/>
    <s v="PROD_005"/>
    <s v="Standing Desk"/>
    <s v="Furniture"/>
    <n v="1"/>
    <n v="578.83000000000004"/>
    <n v="578.83000000000004"/>
    <n v="578.83000000000004"/>
    <n v="0"/>
    <s v="Switzerland"/>
    <x v="3"/>
  </r>
  <r>
    <n v="2024003915"/>
    <x v="132"/>
    <n v="2024"/>
    <x v="0"/>
    <s v="PROD_001"/>
    <s v="Laptop Pro"/>
    <s v="Electronics"/>
    <n v="3"/>
    <n v="1187.52"/>
    <n v="3562.56"/>
    <n v="3562.56"/>
    <n v="0"/>
    <s v="France"/>
    <x v="0"/>
  </r>
  <r>
    <n v="2024003916"/>
    <x v="30"/>
    <n v="2024"/>
    <x v="146"/>
    <s v="PROD_009"/>
    <s v="Phone Stand"/>
    <s v="Accessories"/>
    <n v="5"/>
    <n v="24.32"/>
    <n v="121.6"/>
    <n v="121.6"/>
    <n v="0"/>
    <s v="Belgium"/>
    <x v="2"/>
  </r>
  <r>
    <n v="2024003917"/>
    <x v="262"/>
    <n v="2024"/>
    <x v="205"/>
    <s v="PROD_002"/>
    <s v="Wireless Mouse"/>
    <s v="Electronics"/>
    <n v="1"/>
    <n v="46.86"/>
    <n v="46.86"/>
    <n v="46.86"/>
    <n v="0"/>
    <s v="France"/>
    <x v="3"/>
  </r>
  <r>
    <n v="2024003918"/>
    <x v="367"/>
    <n v="2024"/>
    <x v="0"/>
    <s v="PROD_010"/>
    <s v="Webcam HD"/>
    <s v="Electronics"/>
    <n v="1"/>
    <n v="92.91"/>
    <n v="92.91"/>
    <n v="92.91"/>
    <n v="0"/>
    <s v="Belgium"/>
    <x v="1"/>
  </r>
  <r>
    <n v="2024003919"/>
    <x v="198"/>
    <n v="2024"/>
    <x v="36"/>
    <s v="PROD_002"/>
    <s v="Wireless Mouse"/>
    <s v="Electronics"/>
    <n v="2"/>
    <n v="42.51"/>
    <n v="85.02"/>
    <n v="85.02"/>
    <n v="0"/>
    <s v="Spain"/>
    <x v="3"/>
  </r>
  <r>
    <n v="2024003920"/>
    <x v="337"/>
    <n v="2024"/>
    <x v="40"/>
    <s v="PROD_010"/>
    <s v="Webcam HD"/>
    <s v="Electronics"/>
    <n v="1"/>
    <n v="92.1"/>
    <n v="92.1"/>
    <n v="92.1"/>
    <n v="0"/>
    <s v="Belgium"/>
    <x v="1"/>
  </r>
  <r>
    <n v="2024003921"/>
    <x v="267"/>
    <n v="2024"/>
    <x v="284"/>
    <s v="PROD_003"/>
    <s v="USB-C Cable"/>
    <s v="Electronics"/>
    <n v="1"/>
    <n v="15.13"/>
    <n v="15.13"/>
    <n v="15.13"/>
    <n v="0"/>
    <s v="Germany"/>
    <x v="1"/>
  </r>
  <r>
    <n v="2024003922"/>
    <x v="278"/>
    <n v="2024"/>
    <x v="282"/>
    <s v="PROD_010"/>
    <s v="Webcam HD"/>
    <s v="Electronics"/>
    <n v="2"/>
    <n v="88.92"/>
    <n v="177.84"/>
    <n v="177.84"/>
    <n v="0"/>
    <s v="Netherlands"/>
    <x v="2"/>
  </r>
  <r>
    <n v="2024003923"/>
    <x v="365"/>
    <n v="2024"/>
    <x v="215"/>
    <s v="PROD_008"/>
    <s v="Desk Lamp"/>
    <s v="Furniture"/>
    <n v="1"/>
    <n v="80.040000000000006"/>
    <n v="80.040000000000006"/>
    <n v="80.040000000000006"/>
    <n v="0"/>
    <s v="France"/>
    <x v="1"/>
  </r>
  <r>
    <n v="2024003924"/>
    <x v="247"/>
    <n v="2024"/>
    <x v="214"/>
    <s v="PROD_008"/>
    <s v="Desk Lamp"/>
    <s v="Furniture"/>
    <n v="2"/>
    <n v="79.13"/>
    <n v="158.26"/>
    <n v="158.26"/>
    <n v="0"/>
    <s v="UK"/>
    <x v="1"/>
  </r>
  <r>
    <n v="2024003925"/>
    <x v="2"/>
    <n v="2024"/>
    <x v="5"/>
    <s v="PROD_008"/>
    <s v="Desk Lamp"/>
    <s v="Furniture"/>
    <n v="1"/>
    <n v="73.180000000000007"/>
    <n v="73.180000000000007"/>
    <n v="73.180000000000007"/>
    <n v="0"/>
    <s v="Spain"/>
    <x v="3"/>
  </r>
  <r>
    <n v="2024003926"/>
    <x v="162"/>
    <n v="2024"/>
    <x v="269"/>
    <s v="PROD_010"/>
    <s v="Webcam HD"/>
    <s v="Electronics"/>
    <n v="1"/>
    <n v="81.16"/>
    <n v="81.16"/>
    <n v="81.16"/>
    <n v="0"/>
    <s v="Netherlands"/>
    <x v="1"/>
  </r>
  <r>
    <n v="2024003927"/>
    <x v="339"/>
    <n v="2024"/>
    <x v="57"/>
    <s v="PROD_010"/>
    <s v="Webcam HD"/>
    <s v="Electronics"/>
    <n v="3"/>
    <n v="87.41"/>
    <n v="262.23"/>
    <n v="262.23"/>
    <n v="0"/>
    <s v="Germany"/>
    <x v="3"/>
  </r>
  <r>
    <n v="2024003928"/>
    <x v="335"/>
    <n v="2024"/>
    <x v="72"/>
    <s v="PROD_002"/>
    <s v="Wireless Mouse"/>
    <s v="Electronics"/>
    <n v="4"/>
    <n v="43.83"/>
    <n v="175.32"/>
    <n v="175.32"/>
    <n v="0"/>
    <s v="Spain"/>
    <x v="3"/>
  </r>
  <r>
    <n v="2024003929"/>
    <x v="346"/>
    <n v="2024"/>
    <x v="60"/>
    <s v="PROD_004"/>
    <s v="Desk Chair"/>
    <s v="Furniture"/>
    <n v="2"/>
    <n v="336.93"/>
    <n v="673.86"/>
    <n v="673.86"/>
    <n v="0"/>
    <s v="Belgium"/>
    <x v="0"/>
  </r>
  <r>
    <n v="2024003930"/>
    <x v="159"/>
    <n v="2024"/>
    <x v="235"/>
    <s v="PROD_009"/>
    <s v="Phone Stand"/>
    <s v="Accessories"/>
    <n v="1"/>
    <n v="25.71"/>
    <n v="25.71"/>
    <n v="25.71"/>
    <n v="0"/>
    <s v="Italy"/>
    <x v="1"/>
  </r>
  <r>
    <n v="2024003931"/>
    <x v="246"/>
    <n v="2024"/>
    <x v="6"/>
    <s v="PROD_002"/>
    <s v="Wireless Mouse"/>
    <s v="Electronics"/>
    <n v="4"/>
    <n v="44.18"/>
    <n v="176.72"/>
    <n v="176.72"/>
    <n v="0"/>
    <s v="Sweden"/>
    <x v="2"/>
  </r>
  <r>
    <n v="2024003932"/>
    <x v="274"/>
    <n v="2024"/>
    <x v="0"/>
    <s v="PROD_009"/>
    <s v="Phone Stand"/>
    <s v="Accessories"/>
    <n v="4"/>
    <n v="26.57"/>
    <n v="106.28"/>
    <n v="106.28"/>
    <n v="0"/>
    <s v="Spain"/>
    <x v="2"/>
  </r>
  <r>
    <n v="2024003933"/>
    <x v="85"/>
    <n v="2024"/>
    <x v="0"/>
    <s v="PROD_008"/>
    <s v="Desk Lamp"/>
    <s v="Furniture"/>
    <n v="2"/>
    <n v="82.24"/>
    <n v="164.48"/>
    <n v="164.48"/>
    <n v="0"/>
    <s v="France"/>
    <x v="0"/>
  </r>
  <r>
    <n v="2024003117"/>
    <x v="106"/>
    <n v="2024"/>
    <x v="238"/>
    <s v="PROD_007"/>
    <s v="Keyboard Mechanical"/>
    <s v="Electronics"/>
    <n v="2"/>
    <n v="119.97"/>
    <n v="239.94"/>
    <n v="239.94"/>
    <n v="0"/>
    <s v="Spain"/>
    <x v="1"/>
  </r>
  <r>
    <n v="2024003935"/>
    <x v="44"/>
    <n v="2024"/>
    <x v="201"/>
    <s v="PROD_003"/>
    <s v="USB-C Cable"/>
    <s v="Electronics"/>
    <n v="2"/>
    <n v="14.38"/>
    <n v="28.76"/>
    <n v="28.76"/>
    <n v="0"/>
    <s v="Belgium"/>
    <x v="0"/>
  </r>
  <r>
    <n v="2024003936"/>
    <x v="106"/>
    <n v="2024"/>
    <x v="88"/>
    <s v="PROD_008"/>
    <s v="Desk Lamp"/>
    <s v="Furniture"/>
    <n v="1"/>
    <n v="85.19"/>
    <n v="85.19"/>
    <n v="85.19"/>
    <n v="0"/>
    <s v="UK"/>
    <x v="2"/>
  </r>
  <r>
    <n v="2024003937"/>
    <x v="175"/>
    <n v="2024"/>
    <x v="84"/>
    <s v="PROD_002"/>
    <s v="Wireless Mouse"/>
    <s v="Electronics"/>
    <n v="4"/>
    <n v="48.96"/>
    <n v="195.84"/>
    <n v="195.84"/>
    <n v="0"/>
    <s v="Austria"/>
    <x v="2"/>
  </r>
  <r>
    <n v="2024003938"/>
    <x v="25"/>
    <n v="2024"/>
    <x v="20"/>
    <s v="PROD_003"/>
    <s v="USB-C Cable"/>
    <s v="Electronics"/>
    <n v="1"/>
    <n v="14.77"/>
    <n v="14.77"/>
    <n v="14.77"/>
    <n v="0"/>
    <s v="Sweden"/>
    <x v="0"/>
  </r>
  <r>
    <n v="2024003939"/>
    <x v="342"/>
    <n v="2024"/>
    <x v="233"/>
    <s v="PROD_005"/>
    <s v="Standing Desk"/>
    <s v="Furniture"/>
    <n v="1"/>
    <n v="611.08000000000004"/>
    <n v="611.08000000000004"/>
    <n v="611.08000000000004"/>
    <n v="0"/>
    <s v="Sweden"/>
    <x v="0"/>
  </r>
  <r>
    <n v="2024003940"/>
    <x v="5"/>
    <n v="2024"/>
    <x v="70"/>
    <s v="PROD_001"/>
    <s v="Laptop Pro"/>
    <s v="Electronics"/>
    <n v="1"/>
    <n v="1225.53"/>
    <n v="1225.53"/>
    <n v="1225.53"/>
    <n v="0"/>
    <s v="Sweden"/>
    <x v="1"/>
  </r>
  <r>
    <n v="2024003941"/>
    <x v="59"/>
    <n v="2024"/>
    <x v="158"/>
    <s v="PROD_007"/>
    <s v="Keyboard Mechanical"/>
    <s v="Electronics"/>
    <n v="2"/>
    <n v="125.83"/>
    <n v="251.66"/>
    <n v="251.66"/>
    <n v="0"/>
    <s v="Netherlands"/>
    <x v="3"/>
  </r>
  <r>
    <n v="2024003942"/>
    <x v="123"/>
    <n v="2024"/>
    <x v="13"/>
    <s v="PROD_007"/>
    <s v="Keyboard Mechanical"/>
    <s v="Electronics"/>
    <n v="3"/>
    <n v="118.91"/>
    <n v="356.73"/>
    <n v="356.73"/>
    <n v="0"/>
    <s v="Italy"/>
    <x v="0"/>
  </r>
  <r>
    <n v="2024003943"/>
    <x v="280"/>
    <n v="2024"/>
    <x v="0"/>
    <s v="PROD_010"/>
    <s v="Webcam HD"/>
    <s v="Electronics"/>
    <n v="2"/>
    <n v="94.85"/>
    <n v="189.7"/>
    <n v="189.7"/>
    <n v="0"/>
    <s v="Austria"/>
    <x v="0"/>
  </r>
  <r>
    <n v="2024003944"/>
    <x v="175"/>
    <n v="2024"/>
    <x v="136"/>
    <s v="PROD_007"/>
    <s v="Keyboard Mechanical"/>
    <s v="Electronics"/>
    <n v="1"/>
    <n v="116.26"/>
    <n v="116.26"/>
    <n v="116.26"/>
    <n v="0"/>
    <s v="Switzerland"/>
    <x v="1"/>
  </r>
  <r>
    <n v="2024003945"/>
    <x v="41"/>
    <n v="2024"/>
    <x v="281"/>
    <s v="PROD_004"/>
    <s v="Desk Chair"/>
    <s v="Furniture"/>
    <n v="1"/>
    <n v="345.15"/>
    <n v="345.15"/>
    <n v="345.15"/>
    <n v="0"/>
    <s v="France"/>
    <x v="3"/>
  </r>
  <r>
    <n v="2024003946"/>
    <x v="38"/>
    <n v="2024"/>
    <x v="74"/>
    <s v="PROD_005"/>
    <s v="Standing Desk"/>
    <s v="Furniture"/>
    <n v="1"/>
    <n v="637.16999999999996"/>
    <n v="637.16999999999996"/>
    <n v="637.16999999999996"/>
    <n v="0"/>
    <s v="Austria"/>
    <x v="3"/>
  </r>
  <r>
    <n v="2024003947"/>
    <x v="193"/>
    <n v="2024"/>
    <x v="98"/>
    <s v="PROD_001"/>
    <s v="Laptop Pro"/>
    <s v="Electronics"/>
    <n v="3"/>
    <n v="1210.29"/>
    <n v="3630.87"/>
    <n v="3630.87"/>
    <n v="0"/>
    <s v="Germany"/>
    <x v="1"/>
  </r>
  <r>
    <n v="2024003948"/>
    <x v="2"/>
    <n v="2024"/>
    <x v="274"/>
    <s v="PROD_010"/>
    <s v="Webcam HD"/>
    <s v="Electronics"/>
    <n v="2"/>
    <n v="84.72"/>
    <n v="169.44"/>
    <n v="169.44"/>
    <n v="0"/>
    <s v="Italy"/>
    <x v="0"/>
  </r>
  <r>
    <n v="2024003949"/>
    <x v="230"/>
    <n v="2024"/>
    <x v="178"/>
    <s v="PROD_003"/>
    <s v="USB-C Cable"/>
    <s v="Electronics"/>
    <n v="1"/>
    <n v="14.67"/>
    <n v="14.67"/>
    <n v="14.67"/>
    <n v="0"/>
    <s v="France"/>
    <x v="0"/>
  </r>
  <r>
    <n v="2024003950"/>
    <x v="253"/>
    <n v="2024"/>
    <x v="230"/>
    <s v="PROD_008"/>
    <s v="Desk Lamp"/>
    <s v="Furniture"/>
    <n v="1"/>
    <n v="76.599999999999994"/>
    <n v="76.599999999999994"/>
    <n v="76.599999999999994"/>
    <n v="0"/>
    <s v="Austria"/>
    <x v="3"/>
  </r>
  <r>
    <n v="2024003951"/>
    <x v="90"/>
    <n v="2024"/>
    <x v="273"/>
    <s v="PROD_009"/>
    <s v="Phone Stand"/>
    <s v="Accessories"/>
    <n v="5"/>
    <n v="25.19"/>
    <n v="125.95"/>
    <n v="125.95"/>
    <n v="0"/>
    <s v="Belgium"/>
    <x v="0"/>
  </r>
  <r>
    <n v="2024003952"/>
    <x v="263"/>
    <n v="2024"/>
    <x v="122"/>
    <s v="PROD_001"/>
    <s v="Laptop Pro"/>
    <s v="Electronics"/>
    <n v="1"/>
    <n v="1201.77"/>
    <n v="1201.77"/>
    <n v="1201.77"/>
    <n v="0"/>
    <s v="Austria"/>
    <x v="2"/>
  </r>
  <r>
    <n v="2024003953"/>
    <x v="191"/>
    <n v="2024"/>
    <x v="15"/>
    <s v="PROD_002"/>
    <s v="Wireless Mouse"/>
    <s v="Electronics"/>
    <n v="1"/>
    <n v="44.58"/>
    <n v="44.58"/>
    <n v="44.58"/>
    <n v="0"/>
    <s v="Belgium"/>
    <x v="2"/>
  </r>
  <r>
    <n v="2024003954"/>
    <x v="154"/>
    <n v="2024"/>
    <x v="117"/>
    <s v="PROD_004"/>
    <s v="Desk Chair"/>
    <s v="Furniture"/>
    <n v="1"/>
    <n v="352.84"/>
    <n v="352.84"/>
    <n v="352.84"/>
    <n v="0"/>
    <s v="Italy"/>
    <x v="3"/>
  </r>
  <r>
    <n v="2024003955"/>
    <x v="165"/>
    <n v="2024"/>
    <x v="71"/>
    <s v="PROD_009"/>
    <s v="Phone Stand"/>
    <s v="Accessories"/>
    <n v="4"/>
    <n v="26.64"/>
    <n v="106.56"/>
    <n v="106.56"/>
    <n v="0"/>
    <s v="Sweden"/>
    <x v="2"/>
  </r>
  <r>
    <n v="2024003956"/>
    <x v="30"/>
    <n v="2024"/>
    <x v="59"/>
    <s v="PROD_005"/>
    <s v="Standing Desk"/>
    <s v="Furniture"/>
    <n v="4"/>
    <n v="607.99"/>
    <n v="2431.96"/>
    <n v="2431.96"/>
    <n v="0"/>
    <s v="UK"/>
    <x v="2"/>
  </r>
  <r>
    <n v="2024003957"/>
    <x v="127"/>
    <n v="2024"/>
    <x v="247"/>
    <s v="PROD_002"/>
    <s v="Wireless Mouse"/>
    <s v="Electronics"/>
    <n v="2"/>
    <n v="43.66"/>
    <n v="87.32"/>
    <n v="87.32"/>
    <n v="0"/>
    <s v="UK"/>
    <x v="0"/>
  </r>
  <r>
    <n v="2024003958"/>
    <x v="87"/>
    <n v="2024"/>
    <x v="0"/>
    <s v="PROD_002"/>
    <s v="Wireless Mouse"/>
    <s v="Electronics"/>
    <n v="1"/>
    <n v="42.78"/>
    <n v="42.78"/>
    <n v="42.78"/>
    <n v="0"/>
    <s v="Belgium"/>
    <x v="3"/>
  </r>
  <r>
    <n v="2024003959"/>
    <x v="48"/>
    <n v="2024"/>
    <x v="117"/>
    <s v="PROD_003"/>
    <s v="USB-C Cable"/>
    <s v="Electronics"/>
    <n v="1"/>
    <n v="14.36"/>
    <n v="14.36"/>
    <n v="14.36"/>
    <n v="0"/>
    <s v="Germany"/>
    <x v="0"/>
  </r>
  <r>
    <n v="2024003960"/>
    <x v="202"/>
    <n v="2024"/>
    <x v="0"/>
    <s v="PROD_004"/>
    <s v="Desk Chair"/>
    <s v="Furniture"/>
    <n v="1"/>
    <n v="310.49"/>
    <n v="310.49"/>
    <n v="310.49"/>
    <n v="0"/>
    <s v="Austria"/>
    <x v="1"/>
  </r>
  <r>
    <n v="2024003961"/>
    <x v="267"/>
    <n v="2024"/>
    <x v="161"/>
    <s v="PROD_010"/>
    <s v="Webcam HD"/>
    <s v="Electronics"/>
    <n v="2"/>
    <n v="89.56"/>
    <n v="179.12"/>
    <n v="179.12"/>
    <n v="0"/>
    <s v="UK"/>
    <x v="1"/>
  </r>
  <r>
    <n v="2024003962"/>
    <x v="73"/>
    <n v="2024"/>
    <x v="202"/>
    <s v="PROD_006"/>
    <s v="Monitor 27&quot;"/>
    <s v="Electronics"/>
    <n v="5"/>
    <n v="409.37"/>
    <n v="2046.85"/>
    <n v="2046.85"/>
    <n v="0"/>
    <s v="UK"/>
    <x v="3"/>
  </r>
  <r>
    <n v="2024003963"/>
    <x v="5"/>
    <n v="2024"/>
    <x v="119"/>
    <s v="PROD_004"/>
    <s v="Desk Chair"/>
    <s v="Furniture"/>
    <n v="2"/>
    <n v="340.57"/>
    <n v="681.14"/>
    <n v="681.14"/>
    <n v="0"/>
    <s v="Italy"/>
    <x v="3"/>
  </r>
  <r>
    <n v="2024003964"/>
    <x v="315"/>
    <n v="2024"/>
    <x v="83"/>
    <s v="PROD_001"/>
    <s v="Laptop Pro"/>
    <s v="Electronics"/>
    <n v="2"/>
    <n v="860.26"/>
    <n v="1720.52"/>
    <n v="1720.52"/>
    <n v="0"/>
    <s v="Netherlands"/>
    <x v="1"/>
  </r>
  <r>
    <n v="2024003965"/>
    <x v="194"/>
    <n v="2024"/>
    <x v="0"/>
    <s v="PROD_003"/>
    <s v="USB-C Cable"/>
    <s v="Electronics"/>
    <n v="1"/>
    <n v="14.86"/>
    <n v="14.86"/>
    <n v="14.86"/>
    <n v="0"/>
    <s v="Netherlands"/>
    <x v="3"/>
  </r>
  <r>
    <n v="2024003966"/>
    <x v="89"/>
    <n v="2024"/>
    <x v="118"/>
    <s v="PROD_003"/>
    <s v="USB-C Cable"/>
    <s v="Electronics"/>
    <n v="1"/>
    <n v="14.25"/>
    <n v="14.25"/>
    <n v="14.25"/>
    <n v="0"/>
    <s v="Netherlands"/>
    <x v="1"/>
  </r>
  <r>
    <n v="2024003967"/>
    <x v="312"/>
    <n v="2024"/>
    <x v="199"/>
    <s v="PROD_003"/>
    <s v="USB-C Cable"/>
    <s v="Electronics"/>
    <n v="2"/>
    <n v="14.72"/>
    <n v="29.44"/>
    <n v="29.44"/>
    <n v="0"/>
    <s v="Belgium"/>
    <x v="1"/>
  </r>
  <r>
    <n v="2024003968"/>
    <x v="301"/>
    <n v="2024"/>
    <x v="63"/>
    <s v="PROD_007"/>
    <s v="Keyboard Mechanical"/>
    <s v="Electronics"/>
    <n v="1"/>
    <n v="116.86"/>
    <n v="116.86"/>
    <n v="116.86"/>
    <n v="0"/>
    <s v="Germany"/>
    <x v="0"/>
  </r>
  <r>
    <n v="2024002209"/>
    <x v="33"/>
    <n v="2024"/>
    <x v="262"/>
    <s v="PROD_003"/>
    <s v="USB-C Cable"/>
    <s v="Electronics"/>
    <n v="3"/>
    <n v="14.94"/>
    <n v="44.82"/>
    <n v="44.82"/>
    <n v="0"/>
    <s v="Belgium"/>
    <x v="1"/>
  </r>
  <r>
    <n v="2024003970"/>
    <x v="220"/>
    <n v="2024"/>
    <x v="170"/>
    <s v="PROD_007"/>
    <s v="Keyboard Mechanical"/>
    <s v="Electronics"/>
    <n v="1"/>
    <n v="109.37"/>
    <n v="109.37"/>
    <n v="109.37"/>
    <n v="0"/>
    <s v="Germany"/>
    <x v="2"/>
  </r>
  <r>
    <n v="2024003971"/>
    <x v="337"/>
    <n v="2024"/>
    <x v="2"/>
    <s v="PROD_003"/>
    <s v="USB-C Cable"/>
    <s v="Electronics"/>
    <n v="2"/>
    <n v="14.47"/>
    <n v="28.94"/>
    <n v="28.94"/>
    <n v="0"/>
    <s v="Spain"/>
    <x v="1"/>
  </r>
  <r>
    <n v="2024003972"/>
    <x v="195"/>
    <n v="2024"/>
    <x v="239"/>
    <s v="PROD_003"/>
    <s v="USB-C Cable"/>
    <s v="Electronics"/>
    <n v="1"/>
    <n v="14.53"/>
    <n v="14.53"/>
    <n v="14.53"/>
    <n v="0"/>
    <s v="UK"/>
    <x v="1"/>
  </r>
  <r>
    <n v="2024003973"/>
    <x v="120"/>
    <n v="2024"/>
    <x v="160"/>
    <s v="PROD_004"/>
    <s v="Desk Chair"/>
    <s v="Furniture"/>
    <n v="1"/>
    <n v="335.56"/>
    <n v="335.56"/>
    <n v="335.56"/>
    <n v="0"/>
    <s v="Sweden"/>
    <x v="1"/>
  </r>
  <r>
    <n v="2024003974"/>
    <x v="302"/>
    <n v="2024"/>
    <x v="288"/>
    <s v="PROD_006"/>
    <s v="Monitor 27&quot;"/>
    <s v="Electronics"/>
    <n v="1"/>
    <n v="395.56"/>
    <n v="395.56"/>
    <n v="395.56"/>
    <n v="0"/>
    <s v="Germany"/>
    <x v="2"/>
  </r>
  <r>
    <n v="2024003975"/>
    <x v="286"/>
    <n v="2024"/>
    <x v="189"/>
    <s v="PROD_007"/>
    <s v="Keyboard Mechanical"/>
    <s v="Electronics"/>
    <n v="1"/>
    <n v="121.77"/>
    <n v="121.77"/>
    <n v="121.77"/>
    <n v="0"/>
    <s v="Italy"/>
    <x v="2"/>
  </r>
  <r>
    <n v="2024003976"/>
    <x v="261"/>
    <n v="2024"/>
    <x v="151"/>
    <s v="PROD_010"/>
    <s v="Webcam HD"/>
    <s v="Electronics"/>
    <n v="1"/>
    <n v="85.61"/>
    <n v="85.61"/>
    <n v="85.61"/>
    <n v="0"/>
    <s v="Belgium"/>
    <x v="1"/>
  </r>
  <r>
    <n v="2024003977"/>
    <x v="353"/>
    <n v="2024"/>
    <x v="0"/>
    <s v="PROD_007"/>
    <s v="Keyboard Mechanical"/>
    <s v="Electronics"/>
    <n v="1"/>
    <n v="118.03"/>
    <n v="118.03"/>
    <n v="118.03"/>
    <n v="0"/>
    <s v="Sweden"/>
    <x v="1"/>
  </r>
  <r>
    <n v="2024003978"/>
    <x v="134"/>
    <n v="2024"/>
    <x v="78"/>
    <s v="PROD_003"/>
    <s v="USB-C Cable"/>
    <s v="Electronics"/>
    <n v="1"/>
    <n v="15.03"/>
    <n v="15.03"/>
    <n v="15.03"/>
    <n v="0"/>
    <s v="Germany"/>
    <x v="3"/>
  </r>
  <r>
    <n v="2024003979"/>
    <x v="322"/>
    <n v="2024"/>
    <x v="161"/>
    <s v="PROD_007"/>
    <s v="Keyboard Mechanical"/>
    <s v="Electronics"/>
    <n v="4"/>
    <n v="117.06"/>
    <n v="468.24"/>
    <n v="468.24"/>
    <n v="0"/>
    <s v="Germany"/>
    <x v="2"/>
  </r>
  <r>
    <n v="2024003980"/>
    <x v="160"/>
    <n v="2024"/>
    <x v="269"/>
    <s v="PROD_008"/>
    <s v="Desk Lamp"/>
    <s v="Furniture"/>
    <n v="2"/>
    <n v="83.64"/>
    <n v="167.28"/>
    <n v="167.28"/>
    <n v="0"/>
    <s v="UK"/>
    <x v="3"/>
  </r>
  <r>
    <n v="2024003981"/>
    <x v="105"/>
    <n v="2024"/>
    <x v="20"/>
    <s v="PROD_006"/>
    <s v="Monitor 27&quot;"/>
    <s v="Electronics"/>
    <n v="1"/>
    <n v="415.91"/>
    <n v="415.91"/>
    <n v="415.91"/>
    <n v="0"/>
    <s v="Germany"/>
    <x v="0"/>
  </r>
  <r>
    <n v="2024003982"/>
    <x v="330"/>
    <n v="2024"/>
    <x v="298"/>
    <s v="PROD_009"/>
    <s v="Phone Stand"/>
    <s v="Accessories"/>
    <n v="1"/>
    <n v="26.87"/>
    <n v="26.87"/>
    <n v="26.87"/>
    <n v="0"/>
    <s v="UK"/>
    <x v="1"/>
  </r>
  <r>
    <n v="2024003983"/>
    <x v="306"/>
    <n v="2024"/>
    <x v="89"/>
    <s v="PROD_002"/>
    <s v="Wireless Mouse"/>
    <s v="Electronics"/>
    <n v="1"/>
    <n v="43.6"/>
    <n v="43.6"/>
    <n v="43.6"/>
    <n v="0"/>
    <s v="Sweden"/>
    <x v="0"/>
  </r>
  <r>
    <n v="2024003984"/>
    <x v="322"/>
    <n v="2024"/>
    <x v="39"/>
    <s v="PROD_007"/>
    <s v="Keyboard Mechanical"/>
    <s v="Electronics"/>
    <n v="2"/>
    <n v="115.05"/>
    <n v="230.1"/>
    <n v="230.1"/>
    <n v="0"/>
    <s v="Austria"/>
    <x v="3"/>
  </r>
  <r>
    <n v="2024003985"/>
    <x v="21"/>
    <n v="2024"/>
    <x v="57"/>
    <s v="PROD_002"/>
    <s v="Wireless Mouse"/>
    <s v="Electronics"/>
    <n v="1"/>
    <n v="46.43"/>
    <n v="46.43"/>
    <n v="46.43"/>
    <n v="0"/>
    <s v="Spain"/>
    <x v="3"/>
  </r>
  <r>
    <n v="2024003986"/>
    <x v="118"/>
    <n v="2024"/>
    <x v="100"/>
    <s v="PROD_002"/>
    <s v="Wireless Mouse"/>
    <s v="Electronics"/>
    <n v="3"/>
    <n v="43.75"/>
    <n v="131.25"/>
    <n v="131.25"/>
    <n v="0"/>
    <s v="France"/>
    <x v="0"/>
  </r>
  <r>
    <n v="2024001272"/>
    <x v="279"/>
    <n v="2024"/>
    <x v="31"/>
    <s v="PROD_003"/>
    <s v="USB-C Cable"/>
    <s v="Electronics"/>
    <n v="3"/>
    <n v="14.35"/>
    <n v="43.05"/>
    <n v="43.05"/>
    <n v="0"/>
    <s v="France"/>
    <x v="0"/>
  </r>
  <r>
    <n v="2024003988"/>
    <x v="168"/>
    <n v="2024"/>
    <x v="213"/>
    <s v="PROD_007"/>
    <s v="Keyboard Mechanical"/>
    <s v="Electronics"/>
    <n v="1"/>
    <n v="116.63"/>
    <n v="116.63"/>
    <n v="116.63"/>
    <n v="0"/>
    <s v="Switzerland"/>
    <x v="2"/>
  </r>
  <r>
    <n v="2024003989"/>
    <x v="66"/>
    <n v="2024"/>
    <x v="71"/>
    <s v="PROD_007"/>
    <s v="Keyboard Mechanical"/>
    <s v="Electronics"/>
    <n v="1"/>
    <n v="112.21"/>
    <n v="112.21"/>
    <n v="112.21"/>
    <n v="0"/>
    <s v="Spain"/>
    <x v="0"/>
  </r>
  <r>
    <n v="2024003990"/>
    <x v="2"/>
    <n v="2024"/>
    <x v="63"/>
    <s v="PROD_004"/>
    <s v="Desk Chair"/>
    <s v="Furniture"/>
    <n v="1"/>
    <n v="356.61"/>
    <n v="356.61"/>
    <n v="356.61"/>
    <n v="0"/>
    <s v="Germany"/>
    <x v="0"/>
  </r>
  <r>
    <n v="2024003991"/>
    <x v="85"/>
    <n v="2024"/>
    <x v="81"/>
    <s v="PROD_002"/>
    <s v="Wireless Mouse"/>
    <s v="Electronics"/>
    <n v="3"/>
    <n v="48.95"/>
    <n v="146.85"/>
    <n v="146.85000000000002"/>
    <n v="0"/>
    <s v="Italy"/>
    <x v="3"/>
  </r>
  <r>
    <n v="2024003992"/>
    <x v="146"/>
    <n v="2024"/>
    <x v="268"/>
    <s v="PROD_001"/>
    <s v="Laptop Pro"/>
    <s v="Electronics"/>
    <n v="1"/>
    <n v="1176.53"/>
    <n v="1176.53"/>
    <n v="1176.53"/>
    <n v="0"/>
    <s v="Sweden"/>
    <x v="3"/>
  </r>
  <r>
    <n v="2024003993"/>
    <x v="29"/>
    <n v="2024"/>
    <x v="125"/>
    <s v="PROD_003"/>
    <s v="USB-C Cable"/>
    <s v="Electronics"/>
    <n v="3"/>
    <n v="13.3"/>
    <n v="39.9"/>
    <n v="39.900000000000006"/>
    <n v="0"/>
    <s v="Sweden"/>
    <x v="1"/>
  </r>
  <r>
    <n v="2024003994"/>
    <x v="247"/>
    <n v="2024"/>
    <x v="242"/>
    <s v="PROD_006"/>
    <s v="Monitor 27&quot;"/>
    <s v="Electronics"/>
    <n v="2"/>
    <n v="427.64"/>
    <n v="855.28"/>
    <n v="855.28"/>
    <n v="0"/>
    <s v="Belgium"/>
    <x v="0"/>
  </r>
  <r>
    <n v="2024003995"/>
    <x v="6"/>
    <n v="2024"/>
    <x v="66"/>
    <s v="PROD_007"/>
    <s v="Keyboard Mechanical"/>
    <s v="Electronics"/>
    <n v="1"/>
    <n v="122.86"/>
    <n v="122.86"/>
    <n v="122.86"/>
    <n v="0"/>
    <s v="Belgium"/>
    <x v="1"/>
  </r>
  <r>
    <n v="2024003996"/>
    <x v="195"/>
    <n v="2024"/>
    <x v="164"/>
    <s v="PROD_010"/>
    <s v="Webcam HD"/>
    <s v="Electronics"/>
    <n v="1"/>
    <n v="86.02"/>
    <n v="86.02"/>
    <n v="86.02"/>
    <n v="0"/>
    <s v="Germany"/>
    <x v="3"/>
  </r>
  <r>
    <n v="2024003997"/>
    <x v="80"/>
    <n v="2024"/>
    <x v="239"/>
    <s v="PROD_001"/>
    <s v="Laptop Pro"/>
    <s v="Electronics"/>
    <n v="1"/>
    <n v="1217.27"/>
    <n v="1217.27"/>
    <n v="1217.27"/>
    <n v="0"/>
    <s v="Switzerland"/>
    <x v="1"/>
  </r>
  <r>
    <n v="2024003998"/>
    <x v="190"/>
    <n v="2024"/>
    <x v="1"/>
    <s v="PROD_010"/>
    <s v="Webcam HD"/>
    <s v="Electronics"/>
    <n v="1"/>
    <n v="95.88"/>
    <n v="95.88"/>
    <n v="95.88"/>
    <n v="0"/>
    <s v="Switzerland"/>
    <x v="3"/>
  </r>
  <r>
    <n v="2024003999"/>
    <x v="9"/>
    <n v="2024"/>
    <x v="64"/>
    <s v="PROD_005"/>
    <s v="Standing Desk"/>
    <s v="Furniture"/>
    <n v="1"/>
    <n v="572.74"/>
    <n v="572.74"/>
    <n v="572.74"/>
    <n v="0"/>
    <s v="Sweden"/>
    <x v="2"/>
  </r>
  <r>
    <n v="2024003032"/>
    <x v="357"/>
    <n v="2024"/>
    <x v="17"/>
    <s v="PROD_005"/>
    <s v="Standing Desk"/>
    <s v="Furniture"/>
    <n v="2"/>
    <n v="579.92999999999995"/>
    <n v="1159.8599999999999"/>
    <n v="1159.8599999999999"/>
    <n v="0"/>
    <s v="Italy"/>
    <x v="0"/>
  </r>
  <r>
    <n v="2024004001"/>
    <x v="151"/>
    <n v="2024"/>
    <x v="80"/>
    <s v="PROD_004"/>
    <s v="Desk Chair"/>
    <s v="Furniture"/>
    <n v="2"/>
    <n v="364.07"/>
    <n v="728.14"/>
    <n v="728.14"/>
    <n v="0"/>
    <s v="France"/>
    <x v="0"/>
  </r>
  <r>
    <n v="2024004002"/>
    <x v="310"/>
    <n v="2024"/>
    <x v="41"/>
    <s v="PROD_007"/>
    <s v="Keyboard Mechanical"/>
    <s v="Electronics"/>
    <n v="2"/>
    <n v="114.23"/>
    <n v="228.46"/>
    <n v="228.46"/>
    <n v="0"/>
    <s v="France"/>
    <x v="2"/>
  </r>
  <r>
    <n v="2024004003"/>
    <x v="323"/>
    <n v="2024"/>
    <x v="16"/>
    <s v="PROD_001"/>
    <s v="Laptop Pro"/>
    <s v="Electronics"/>
    <n v="1"/>
    <n v="1226.07"/>
    <n v="1226.07"/>
    <n v="1226.07"/>
    <n v="0"/>
    <s v="Sweden"/>
    <x v="2"/>
  </r>
  <r>
    <n v="2024004004"/>
    <x v="84"/>
    <n v="2024"/>
    <x v="268"/>
    <s v="PROD_001"/>
    <s v="Laptop Pro"/>
    <s v="Electronics"/>
    <n v="3"/>
    <n v="1161.1600000000001"/>
    <n v="3483.48"/>
    <n v="3483.4800000000005"/>
    <n v="0"/>
    <s v="France"/>
    <x v="1"/>
  </r>
  <r>
    <n v="2024004005"/>
    <x v="0"/>
    <n v="2024"/>
    <x v="81"/>
    <s v="PROD_002"/>
    <s v="Wireless Mouse"/>
    <s v="Electronics"/>
    <n v="1"/>
    <n v="43.61"/>
    <n v="43.61"/>
    <n v="43.61"/>
    <n v="0"/>
    <s v="Netherlands"/>
    <x v="3"/>
  </r>
  <r>
    <n v="2024004006"/>
    <x v="52"/>
    <n v="2024"/>
    <x v="187"/>
    <s v="PROD_007"/>
    <s v="Keyboard Mechanical"/>
    <s v="Electronics"/>
    <n v="3"/>
    <n v="120.03"/>
    <n v="360.09"/>
    <n v="360.09000000000003"/>
    <n v="0"/>
    <s v="Belgium"/>
    <x v="2"/>
  </r>
  <r>
    <n v="2024004007"/>
    <x v="277"/>
    <n v="2024"/>
    <x v="199"/>
    <s v="PROD_002"/>
    <s v="Wireless Mouse"/>
    <s v="Electronics"/>
    <n v="1"/>
    <n v="41.56"/>
    <n v="41.56"/>
    <n v="41.56"/>
    <n v="0"/>
    <s v="France"/>
    <x v="1"/>
  </r>
  <r>
    <n v="2024004008"/>
    <x v="338"/>
    <n v="2024"/>
    <x v="106"/>
    <s v="PROD_002"/>
    <s v="Wireless Mouse"/>
    <s v="Electronics"/>
    <n v="3"/>
    <n v="44"/>
    <n v="132"/>
    <n v="132"/>
    <n v="0"/>
    <s v="Netherlands"/>
    <x v="2"/>
  </r>
  <r>
    <n v="2024004009"/>
    <x v="168"/>
    <n v="2024"/>
    <x v="121"/>
    <s v="PROD_003"/>
    <s v="USB-C Cable"/>
    <s v="Electronics"/>
    <n v="1"/>
    <n v="16.03"/>
    <n v="16.03"/>
    <n v="16.03"/>
    <n v="0"/>
    <s v="Spain"/>
    <x v="0"/>
  </r>
  <r>
    <n v="2024004010"/>
    <x v="88"/>
    <n v="2024"/>
    <x v="251"/>
    <s v="PROD_008"/>
    <s v="Desk Lamp"/>
    <s v="Furniture"/>
    <n v="1"/>
    <n v="79.11"/>
    <n v="79.11"/>
    <n v="79.11"/>
    <n v="0"/>
    <s v="Switzerland"/>
    <x v="2"/>
  </r>
  <r>
    <n v="2024004011"/>
    <x v="213"/>
    <n v="2024"/>
    <x v="216"/>
    <s v="PROD_009"/>
    <s v="Phone Stand"/>
    <s v="Accessories"/>
    <n v="1"/>
    <n v="26.19"/>
    <n v="26.19"/>
    <n v="26.19"/>
    <n v="0"/>
    <s v="UK"/>
    <x v="3"/>
  </r>
  <r>
    <n v="2024004012"/>
    <x v="52"/>
    <n v="2024"/>
    <x v="167"/>
    <s v="PROD_004"/>
    <s v="Desk Chair"/>
    <s v="Furniture"/>
    <n v="1"/>
    <n v="334.19"/>
    <n v="334.19"/>
    <n v="334.19"/>
    <n v="0"/>
    <s v="Netherlands"/>
    <x v="0"/>
  </r>
  <r>
    <n v="2024004013"/>
    <x v="171"/>
    <n v="2024"/>
    <x v="250"/>
    <s v="PROD_005"/>
    <s v="Standing Desk"/>
    <s v="Furniture"/>
    <n v="1"/>
    <n v="634.27"/>
    <n v="634.27"/>
    <n v="634.27"/>
    <n v="0"/>
    <s v="Belgium"/>
    <x v="1"/>
  </r>
  <r>
    <n v="2024004014"/>
    <x v="29"/>
    <n v="2024"/>
    <x v="137"/>
    <s v="PROD_004"/>
    <s v="Desk Chair"/>
    <s v="Furniture"/>
    <n v="3"/>
    <n v="364.59"/>
    <n v="1093.77"/>
    <n v="1093.77"/>
    <n v="0"/>
    <s v="UK"/>
    <x v="3"/>
  </r>
  <r>
    <n v="2024004015"/>
    <x v="224"/>
    <n v="2024"/>
    <x v="243"/>
    <s v="PROD_008"/>
    <s v="Desk Lamp"/>
    <s v="Furniture"/>
    <n v="3"/>
    <n v="83.38"/>
    <n v="250.14"/>
    <n v="250.14"/>
    <n v="0"/>
    <s v="Austria"/>
    <x v="1"/>
  </r>
  <r>
    <n v="2024004016"/>
    <x v="78"/>
    <n v="2024"/>
    <x v="0"/>
    <s v="PROD_004"/>
    <s v="Desk Chair"/>
    <s v="Furniture"/>
    <n v="1"/>
    <n v="337.16"/>
    <n v="337.16"/>
    <n v="337.16"/>
    <n v="0"/>
    <s v="Belgium"/>
    <x v="2"/>
  </r>
  <r>
    <n v="2024004017"/>
    <x v="182"/>
    <n v="2024"/>
    <x v="273"/>
    <s v="PROD_008"/>
    <s v="Desk Lamp"/>
    <s v="Furniture"/>
    <n v="3"/>
    <n v="79.45"/>
    <n v="238.35"/>
    <n v="238.35000000000002"/>
    <n v="0"/>
    <s v="Switzerland"/>
    <x v="0"/>
  </r>
  <r>
    <n v="2024004018"/>
    <x v="327"/>
    <n v="2024"/>
    <x v="176"/>
    <s v="PROD_005"/>
    <s v="Standing Desk"/>
    <s v="Furniture"/>
    <n v="1"/>
    <n v="568.80999999999995"/>
    <n v="568.80999999999995"/>
    <n v="568.80999999999995"/>
    <n v="0"/>
    <s v="Austria"/>
    <x v="2"/>
  </r>
  <r>
    <n v="2024004019"/>
    <x v="151"/>
    <n v="2024"/>
    <x v="228"/>
    <s v="PROD_004"/>
    <s v="Desk Chair"/>
    <s v="Furniture"/>
    <n v="2"/>
    <n v="344.26"/>
    <n v="688.52"/>
    <n v="688.52"/>
    <n v="0"/>
    <s v="Belgium"/>
    <x v="1"/>
  </r>
  <r>
    <n v="2024004020"/>
    <x v="67"/>
    <n v="2024"/>
    <x v="0"/>
    <s v="PROD_003"/>
    <s v="USB-C Cable"/>
    <s v="Electronics"/>
    <n v="5"/>
    <n v="14.87"/>
    <n v="74.349999999999994"/>
    <n v="74.349999999999994"/>
    <n v="0"/>
    <s v="Austria"/>
    <x v="1"/>
  </r>
  <r>
    <n v="2024004021"/>
    <x v="284"/>
    <n v="2024"/>
    <x v="34"/>
    <s v="PROD_003"/>
    <s v="USB-C Cable"/>
    <s v="Electronics"/>
    <n v="1"/>
    <n v="14.91"/>
    <n v="14.91"/>
    <n v="14.91"/>
    <n v="0"/>
    <s v="Spain"/>
    <x v="2"/>
  </r>
  <r>
    <n v="2024004022"/>
    <x v="38"/>
    <n v="2024"/>
    <x v="264"/>
    <s v="PROD_001"/>
    <s v="Laptop Pro"/>
    <s v="Electronics"/>
    <n v="3"/>
    <n v="1074.96"/>
    <n v="3224.88"/>
    <n v="3224.88"/>
    <n v="0"/>
    <s v="Austria"/>
    <x v="1"/>
  </r>
  <r>
    <n v="2024004023"/>
    <x v="320"/>
    <n v="2024"/>
    <x v="229"/>
    <s v="PROD_006"/>
    <s v="Monitor 27&quot;"/>
    <s v="Electronics"/>
    <n v="3"/>
    <n v="400.24"/>
    <n v="1200.72"/>
    <n v="1200.72"/>
    <n v="0"/>
    <s v="Austria"/>
    <x v="3"/>
  </r>
  <r>
    <n v="2024004024"/>
    <x v="300"/>
    <n v="2024"/>
    <x v="116"/>
    <s v="PROD_008"/>
    <s v="Desk Lamp"/>
    <s v="Furniture"/>
    <n v="4"/>
    <n v="68.91"/>
    <n v="275.64"/>
    <n v="275.64"/>
    <n v="0"/>
    <s v="Germany"/>
    <x v="1"/>
  </r>
  <r>
    <n v="2024004025"/>
    <x v="161"/>
    <n v="2024"/>
    <x v="277"/>
    <s v="PROD_001"/>
    <s v="Laptop Pro"/>
    <s v="Electronics"/>
    <n v="1"/>
    <n v="1324.22"/>
    <n v="1324.22"/>
    <n v="1324.22"/>
    <n v="0"/>
    <s v="Sweden"/>
    <x v="3"/>
  </r>
  <r>
    <n v="2024004026"/>
    <x v="2"/>
    <n v="2024"/>
    <x v="40"/>
    <s v="PROD_007"/>
    <s v="Keyboard Mechanical"/>
    <s v="Electronics"/>
    <n v="2"/>
    <n v="125.11"/>
    <n v="250.22"/>
    <n v="250.22"/>
    <n v="0"/>
    <s v="Switzerland"/>
    <x v="3"/>
  </r>
  <r>
    <n v="2024004027"/>
    <x v="236"/>
    <n v="2024"/>
    <x v="130"/>
    <s v="PROD_008"/>
    <s v="Desk Lamp"/>
    <s v="Furniture"/>
    <n v="1"/>
    <n v="90.02"/>
    <n v="90.02"/>
    <n v="90.02"/>
    <n v="0"/>
    <s v="Italy"/>
    <x v="2"/>
  </r>
  <r>
    <n v="2024004028"/>
    <x v="332"/>
    <n v="2024"/>
    <x v="71"/>
    <s v="PROD_005"/>
    <s v="Standing Desk"/>
    <s v="Furniture"/>
    <n v="4"/>
    <n v="608.63"/>
    <n v="2434.52"/>
    <n v="2434.52"/>
    <n v="0"/>
    <s v="France"/>
    <x v="2"/>
  </r>
  <r>
    <n v="2024004029"/>
    <x v="361"/>
    <n v="2024"/>
    <x v="196"/>
    <s v="PROD_010"/>
    <s v="Webcam HD"/>
    <s v="Electronics"/>
    <n v="0"/>
    <n v="97.54"/>
    <n v="0"/>
    <n v="0"/>
    <n v="0"/>
    <s v="Spain"/>
    <x v="0"/>
  </r>
  <r>
    <n v="2024004030"/>
    <x v="329"/>
    <n v="2024"/>
    <x v="0"/>
    <s v="PROD_010"/>
    <s v="Webcam HD"/>
    <s v="Electronics"/>
    <n v="1"/>
    <n v="90.2"/>
    <n v="90.2"/>
    <n v="90.2"/>
    <n v="0"/>
    <s v="Austria"/>
    <x v="1"/>
  </r>
  <r>
    <n v="2024002590"/>
    <x v="47"/>
    <n v="2024"/>
    <x v="160"/>
    <s v="PROD_004"/>
    <s v="Desk Chair"/>
    <s v="Furniture"/>
    <n v="3"/>
    <n v="351.12"/>
    <n v="1053.3599999999999"/>
    <n v="1053.3600000000001"/>
    <n v="0"/>
    <s v="Belgium"/>
    <x v="1"/>
  </r>
  <r>
    <n v="2024004032"/>
    <x v="290"/>
    <n v="2024"/>
    <x v="37"/>
    <s v="PROD_009"/>
    <s v="Phone Stand"/>
    <s v="Accessories"/>
    <n v="1"/>
    <n v="25.72"/>
    <n v="25.72"/>
    <n v="25.72"/>
    <n v="0"/>
    <s v="Netherlands"/>
    <x v="1"/>
  </r>
  <r>
    <n v="2024004033"/>
    <x v="162"/>
    <n v="2024"/>
    <x v="145"/>
    <s v="PROD_004"/>
    <s v="Desk Chair"/>
    <s v="Furniture"/>
    <n v="3"/>
    <n v="324.76"/>
    <n v="974.28"/>
    <n v="974.28"/>
    <n v="0"/>
    <s v="France"/>
    <x v="2"/>
  </r>
  <r>
    <n v="2024004034"/>
    <x v="285"/>
    <n v="2024"/>
    <x v="276"/>
    <s v="PROD_002"/>
    <s v="Wireless Mouse"/>
    <s v="Electronics"/>
    <n v="2"/>
    <n v="42.97"/>
    <n v="85.94"/>
    <n v="85.94"/>
    <n v="0"/>
    <s v="Italy"/>
    <x v="3"/>
  </r>
  <r>
    <n v="2024004035"/>
    <x v="173"/>
    <n v="2024"/>
    <x v="145"/>
    <s v="PROD_005"/>
    <s v="Standing Desk"/>
    <s v="Furniture"/>
    <n v="1"/>
    <n v="535.35"/>
    <n v="535.35"/>
    <n v="535.35"/>
    <n v="0"/>
    <s v="Switzerland"/>
    <x v="0"/>
  </r>
  <r>
    <n v="2024004036"/>
    <x v="326"/>
    <n v="2024"/>
    <x v="215"/>
    <s v="PROD_001"/>
    <s v="Laptop Pro"/>
    <s v="Electronics"/>
    <n v="2"/>
    <n v="1129.46"/>
    <n v="2258.92"/>
    <n v="2258.92"/>
    <n v="0"/>
    <s v="Switzerland"/>
    <x v="1"/>
  </r>
  <r>
    <n v="2024004037"/>
    <x v="6"/>
    <n v="2024"/>
    <x v="0"/>
    <s v="PROD_009"/>
    <s v="Phone Stand"/>
    <s v="Accessories"/>
    <n v="3"/>
    <n v="25.18"/>
    <n v="75.540000000000006"/>
    <n v="75.539999999999992"/>
    <n v="0"/>
    <s v="Austria"/>
    <x v="0"/>
  </r>
  <r>
    <n v="2024004038"/>
    <x v="255"/>
    <n v="2024"/>
    <x v="212"/>
    <s v="PROD_008"/>
    <s v="Desk Lamp"/>
    <s v="Furniture"/>
    <n v="5"/>
    <n v="76.290000000000006"/>
    <n v="381.45"/>
    <n v="381.45000000000005"/>
    <n v="0"/>
    <s v="UK"/>
    <x v="0"/>
  </r>
  <r>
    <n v="2024004039"/>
    <x v="304"/>
    <n v="2024"/>
    <x v="81"/>
    <s v="PROD_010"/>
    <s v="Webcam HD"/>
    <s v="Electronics"/>
    <n v="1"/>
    <n v="90.87"/>
    <n v="90.87"/>
    <n v="90.87"/>
    <n v="0"/>
    <s v="Switzerland"/>
    <x v="2"/>
  </r>
  <r>
    <n v="2024004040"/>
    <x v="84"/>
    <n v="2024"/>
    <x v="0"/>
    <s v="PROD_008"/>
    <s v="Desk Lamp"/>
    <s v="Furniture"/>
    <n v="1"/>
    <n v="80.709999999999994"/>
    <n v="80.709999999999994"/>
    <n v="80.709999999999994"/>
    <n v="0"/>
    <s v="Italy"/>
    <x v="2"/>
  </r>
  <r>
    <n v="2024004041"/>
    <x v="22"/>
    <n v="2024"/>
    <x v="270"/>
    <s v="PROD_007"/>
    <s v="Keyboard Mechanical"/>
    <s v="Electronics"/>
    <n v="1"/>
    <n v="121.03"/>
    <n v="121.03"/>
    <n v="121.03"/>
    <n v="0"/>
    <s v="Netherlands"/>
    <x v="3"/>
  </r>
  <r>
    <n v="2024004042"/>
    <x v="105"/>
    <n v="2024"/>
    <x v="0"/>
    <s v="PROD_001"/>
    <s v="Laptop Pro"/>
    <s v="Electronics"/>
    <n v="3"/>
    <n v="1165.06"/>
    <n v="3495.18"/>
    <n v="3495.18"/>
    <n v="0"/>
    <s v="Belgium"/>
    <x v="2"/>
  </r>
  <r>
    <n v="2024004043"/>
    <x v="246"/>
    <n v="2024"/>
    <x v="0"/>
    <s v="PROD_005"/>
    <s v="Standing Desk"/>
    <s v="Furniture"/>
    <n v="3"/>
    <n v="586.14"/>
    <n v="1758.42"/>
    <n v="1758.42"/>
    <n v="0"/>
    <s v="Netherlands"/>
    <x v="0"/>
  </r>
  <r>
    <n v="2024004044"/>
    <x v="142"/>
    <n v="2024"/>
    <x v="134"/>
    <s v="PROD_001"/>
    <s v="Laptop Pro"/>
    <s v="Electronics"/>
    <n v="1"/>
    <n v="1158.5899999999999"/>
    <n v="1158.5899999999999"/>
    <n v="1158.5899999999999"/>
    <n v="0"/>
    <s v="Austria"/>
    <x v="2"/>
  </r>
  <r>
    <n v="2024004045"/>
    <x v="128"/>
    <n v="2024"/>
    <x v="237"/>
    <s v="PROD_003"/>
    <s v="USB-C Cable"/>
    <s v="Electronics"/>
    <n v="1"/>
    <n v="15.58"/>
    <n v="15.58"/>
    <n v="15.58"/>
    <n v="0"/>
    <s v="Switzerland"/>
    <x v="1"/>
  </r>
  <r>
    <n v="2024004046"/>
    <x v="265"/>
    <n v="2024"/>
    <x v="125"/>
    <s v="PROD_010"/>
    <s v="Webcam HD"/>
    <s v="Electronics"/>
    <n v="2"/>
    <n v="85.01"/>
    <n v="170.02"/>
    <n v="170.02"/>
    <n v="0"/>
    <s v="Sweden"/>
    <x v="3"/>
  </r>
  <r>
    <n v="2024004047"/>
    <x v="30"/>
    <n v="2024"/>
    <x v="131"/>
    <s v="PROD_010"/>
    <s v="Webcam HD"/>
    <s v="Electronics"/>
    <n v="4"/>
    <n v="81.52"/>
    <n v="326.08"/>
    <n v="326.08"/>
    <n v="0"/>
    <s v="Italy"/>
    <x v="2"/>
  </r>
  <r>
    <n v="2024004048"/>
    <x v="210"/>
    <n v="2024"/>
    <x v="110"/>
    <s v="PROD_009"/>
    <s v="Phone Stand"/>
    <s v="Accessories"/>
    <n v="2"/>
    <n v="27.57"/>
    <n v="55.14"/>
    <n v="55.14"/>
    <n v="0"/>
    <s v="Italy"/>
    <x v="3"/>
  </r>
  <r>
    <n v="2024004049"/>
    <x v="350"/>
    <n v="2024"/>
    <x v="142"/>
    <s v="PROD_009"/>
    <s v="Phone Stand"/>
    <s v="Accessories"/>
    <n v="2"/>
    <n v="26.07"/>
    <n v="52.14"/>
    <n v="52.14"/>
    <n v="0"/>
    <s v="Belgium"/>
    <x v="3"/>
  </r>
  <r>
    <n v="2024004050"/>
    <x v="273"/>
    <n v="2024"/>
    <x v="72"/>
    <s v="PROD_002"/>
    <s v="Wireless Mouse"/>
    <s v="Electronics"/>
    <n v="1"/>
    <n v="42.47"/>
    <n v="42.47"/>
    <n v="42.47"/>
    <n v="0"/>
    <s v="Italy"/>
    <x v="0"/>
  </r>
  <r>
    <n v="2024004051"/>
    <x v="168"/>
    <n v="2024"/>
    <x v="179"/>
    <s v="PROD_001"/>
    <s v="Laptop Pro"/>
    <s v="Electronics"/>
    <n v="1"/>
    <n v="1214.46"/>
    <n v="1214.46"/>
    <n v="1214.46"/>
    <n v="0"/>
    <s v="Belgium"/>
    <x v="1"/>
  </r>
  <r>
    <n v="2024004052"/>
    <x v="327"/>
    <n v="2024"/>
    <x v="275"/>
    <s v="PROD_009"/>
    <s v="Phone Stand"/>
    <s v="Accessories"/>
    <n v="2"/>
    <n v="24.48"/>
    <n v="48.96"/>
    <n v="48.96"/>
    <n v="0"/>
    <s v="Sweden"/>
    <x v="2"/>
  </r>
  <r>
    <n v="2024004053"/>
    <x v="86"/>
    <n v="2024"/>
    <x v="183"/>
    <s v="PROD_002"/>
    <s v="Wireless Mouse"/>
    <s v="Electronics"/>
    <n v="1"/>
    <n v="46.02"/>
    <n v="46.02"/>
    <n v="46.02"/>
    <n v="0"/>
    <s v="UK"/>
    <x v="3"/>
  </r>
  <r>
    <n v="2024004054"/>
    <x v="317"/>
    <n v="2024"/>
    <x v="45"/>
    <s v="PROD_001"/>
    <s v="Laptop Pro"/>
    <s v="Electronics"/>
    <n v="1"/>
    <n v="1207.07"/>
    <n v="1207.07"/>
    <n v="1207.07"/>
    <n v="0"/>
    <s v="France"/>
    <x v="2"/>
  </r>
  <r>
    <n v="2024004055"/>
    <x v="305"/>
    <n v="2024"/>
    <x v="0"/>
    <s v="PROD_009"/>
    <s v="Phone Stand"/>
    <s v="Accessories"/>
    <n v="2"/>
    <n v="26.4"/>
    <n v="52.8"/>
    <n v="52.8"/>
    <n v="0"/>
    <s v="Austria"/>
    <x v="0"/>
  </r>
  <r>
    <n v="2024004056"/>
    <x v="265"/>
    <n v="2024"/>
    <x v="95"/>
    <s v="PROD_005"/>
    <s v="Standing Desk"/>
    <s v="Furniture"/>
    <n v="1"/>
    <n v="653.41999999999996"/>
    <n v="653.41999999999996"/>
    <n v="653.41999999999996"/>
    <n v="0"/>
    <s v="UK"/>
    <x v="0"/>
  </r>
  <r>
    <n v="2024004057"/>
    <x v="350"/>
    <n v="2024"/>
    <x v="172"/>
    <s v="PROD_003"/>
    <s v="USB-C Cable"/>
    <s v="Electronics"/>
    <n v="2"/>
    <n v="16.37"/>
    <n v="32.74"/>
    <n v="32.74"/>
    <n v="0"/>
    <s v="Italy"/>
    <x v="0"/>
  </r>
  <r>
    <n v="2024004058"/>
    <x v="122"/>
    <n v="2024"/>
    <x v="79"/>
    <s v="PROD_004"/>
    <s v="Desk Chair"/>
    <s v="Furniture"/>
    <n v="4"/>
    <n v="351.62"/>
    <n v="1406.48"/>
    <n v="1406.48"/>
    <n v="0"/>
    <s v="Switzerland"/>
    <x v="3"/>
  </r>
  <r>
    <n v="2024004059"/>
    <x v="89"/>
    <n v="2024"/>
    <x v="45"/>
    <s v="PROD_010"/>
    <s v="Webcam HD"/>
    <s v="Electronics"/>
    <n v="4"/>
    <n v="98.62"/>
    <n v="394.48"/>
    <n v="394.48"/>
    <n v="0"/>
    <s v="Netherlands"/>
    <x v="3"/>
  </r>
  <r>
    <n v="2024004060"/>
    <x v="2"/>
    <n v="2024"/>
    <x v="180"/>
    <s v="PROD_006"/>
    <s v="Monitor 27&quot;"/>
    <s v="Electronics"/>
    <n v="3"/>
    <n v="417.61"/>
    <n v="1252.83"/>
    <n v="1252.83"/>
    <n v="0"/>
    <s v="Sweden"/>
    <x v="2"/>
  </r>
  <r>
    <n v="2024004061"/>
    <x v="254"/>
    <n v="2024"/>
    <x v="267"/>
    <s v="PROD_005"/>
    <s v="Standing Desk"/>
    <s v="Furniture"/>
    <n v="1"/>
    <n v="609.99"/>
    <n v="609.99"/>
    <n v="609.99"/>
    <n v="0"/>
    <s v="Switzerland"/>
    <x v="1"/>
  </r>
  <r>
    <n v="2024004062"/>
    <x v="32"/>
    <n v="2024"/>
    <x v="66"/>
    <s v="PROD_006"/>
    <s v="Monitor 27&quot;"/>
    <s v="Electronics"/>
    <n v="1"/>
    <n v="397.82"/>
    <n v="397.82"/>
    <n v="397.82"/>
    <n v="0"/>
    <s v="Spain"/>
    <x v="3"/>
  </r>
  <r>
    <n v="2024004063"/>
    <x v="366"/>
    <n v="2024"/>
    <x v="164"/>
    <s v="PROD_005"/>
    <s v="Standing Desk"/>
    <s v="Furniture"/>
    <n v="1"/>
    <n v="637.19000000000005"/>
    <n v="637.19000000000005"/>
    <n v="637.19000000000005"/>
    <n v="0"/>
    <s v="Switzerland"/>
    <x v="0"/>
  </r>
  <r>
    <n v="2024004064"/>
    <x v="112"/>
    <n v="2024"/>
    <x v="148"/>
    <s v="PROD_009"/>
    <s v="Phone Stand"/>
    <s v="Accessories"/>
    <n v="3"/>
    <n v="23.67"/>
    <n v="71.010000000000005"/>
    <n v="71.010000000000005"/>
    <n v="0"/>
    <s v="Belgium"/>
    <x v="2"/>
  </r>
  <r>
    <n v="2024004065"/>
    <x v="118"/>
    <n v="2024"/>
    <x v="149"/>
    <s v="PROD_008"/>
    <s v="Desk Lamp"/>
    <s v="Furniture"/>
    <n v="2"/>
    <n v="79.260000000000005"/>
    <n v="158.52000000000001"/>
    <n v="158.52000000000001"/>
    <n v="0"/>
    <s v="France"/>
    <x v="2"/>
  </r>
  <r>
    <n v="2024004066"/>
    <x v="258"/>
    <n v="2024"/>
    <x v="136"/>
    <s v="PROD_003"/>
    <s v="USB-C Cable"/>
    <s v="Electronics"/>
    <n v="3"/>
    <n v="13.73"/>
    <n v="41.19"/>
    <n v="41.19"/>
    <n v="0"/>
    <s v="Netherlands"/>
    <x v="3"/>
  </r>
  <r>
    <n v="2024004067"/>
    <x v="119"/>
    <n v="2024"/>
    <x v="33"/>
    <s v="PROD_004"/>
    <s v="Desk Chair"/>
    <s v="Furniture"/>
    <n v="1"/>
    <n v="331.46"/>
    <n v="331.46"/>
    <n v="331.46"/>
    <n v="0"/>
    <s v="Netherlands"/>
    <x v="2"/>
  </r>
  <r>
    <n v="2024004068"/>
    <x v="58"/>
    <n v="2024"/>
    <x v="99"/>
    <s v="PROD_001"/>
    <s v="Laptop Pro"/>
    <s v="Electronics"/>
    <n v="4"/>
    <n v="1142.83"/>
    <n v="4571.32"/>
    <n v="4571.32"/>
    <n v="0"/>
    <s v="Italy"/>
    <x v="2"/>
  </r>
  <r>
    <n v="2024004069"/>
    <x v="38"/>
    <n v="2024"/>
    <x v="121"/>
    <s v="PROD_009"/>
    <s v="Phone Stand"/>
    <s v="Accessories"/>
    <n v="1"/>
    <n v="26.16"/>
    <n v="26.16"/>
    <n v="26.16"/>
    <n v="0"/>
    <s v="Austria"/>
    <x v="1"/>
  </r>
  <r>
    <n v="2024004070"/>
    <x v="89"/>
    <n v="2024"/>
    <x v="15"/>
    <s v="PROD_003"/>
    <s v="USB-C Cable"/>
    <s v="Electronics"/>
    <n v="1"/>
    <n v="14.11"/>
    <n v="14.11"/>
    <n v="14.11"/>
    <n v="0"/>
    <s v="UK"/>
    <x v="3"/>
  </r>
  <r>
    <n v="2024004071"/>
    <x v="0"/>
    <n v="2024"/>
    <x v="29"/>
    <s v="PROD_005"/>
    <s v="Standing Desk"/>
    <s v="Furniture"/>
    <n v="1"/>
    <n v="610.24"/>
    <n v="610.24"/>
    <n v="610.24"/>
    <n v="0"/>
    <s v="UK"/>
    <x v="0"/>
  </r>
  <r>
    <n v="2024004072"/>
    <x v="95"/>
    <n v="2024"/>
    <x v="0"/>
    <s v="PROD_004"/>
    <s v="Desk Chair"/>
    <s v="Furniture"/>
    <n v="5"/>
    <n v="363.97"/>
    <n v="1819.85"/>
    <n v="1819.8500000000001"/>
    <n v="0"/>
    <s v="Austria"/>
    <x v="1"/>
  </r>
  <r>
    <n v="2024004073"/>
    <x v="85"/>
    <n v="2024"/>
    <x v="188"/>
    <s v="PROD_009"/>
    <s v="Phone Stand"/>
    <s v="Accessories"/>
    <n v="1"/>
    <n v="25.65"/>
    <n v="25.65"/>
    <n v="25.65"/>
    <n v="0"/>
    <s v="France"/>
    <x v="2"/>
  </r>
  <r>
    <n v="2024004074"/>
    <x v="218"/>
    <n v="2024"/>
    <x v="43"/>
    <s v="PROD_010"/>
    <s v="Webcam HD"/>
    <s v="Electronics"/>
    <n v="2"/>
    <n v="92.49"/>
    <n v="184.98"/>
    <n v="184.98"/>
    <n v="0"/>
    <s v="Switzerland"/>
    <x v="1"/>
  </r>
  <r>
    <n v="2024004075"/>
    <x v="197"/>
    <n v="2024"/>
    <x v="0"/>
    <s v="PROD_004"/>
    <s v="Desk Chair"/>
    <s v="Furniture"/>
    <n v="1"/>
    <n v="363.97"/>
    <n v="363.97"/>
    <n v="363.97"/>
    <n v="0"/>
    <s v="Belgium"/>
    <x v="0"/>
  </r>
  <r>
    <n v="2024004076"/>
    <x v="120"/>
    <n v="2024"/>
    <x v="108"/>
    <s v="PROD_006"/>
    <s v="Monitor 27&quot;"/>
    <s v="Electronics"/>
    <n v="1"/>
    <n v="392.3"/>
    <n v="392.3"/>
    <n v="392.3"/>
    <n v="0"/>
    <s v="Italy"/>
    <x v="1"/>
  </r>
  <r>
    <n v="2024004077"/>
    <x v="305"/>
    <n v="2024"/>
    <x v="0"/>
    <s v="PROD_010"/>
    <s v="Webcam HD"/>
    <s v="Electronics"/>
    <n v="5"/>
    <n v="88.31"/>
    <n v="441.55"/>
    <n v="441.55"/>
    <n v="0"/>
    <s v="Sweden"/>
    <x v="0"/>
  </r>
  <r>
    <n v="2024004078"/>
    <x v="211"/>
    <n v="2024"/>
    <x v="77"/>
    <s v="PROD_002"/>
    <s v="Wireless Mouse"/>
    <s v="Electronics"/>
    <n v="4"/>
    <n v="41.76"/>
    <n v="167.04"/>
    <n v="167.04"/>
    <n v="0"/>
    <s v="Sweden"/>
    <x v="2"/>
  </r>
  <r>
    <n v="2024004079"/>
    <x v="290"/>
    <n v="2024"/>
    <x v="13"/>
    <s v="PROD_006"/>
    <s v="Monitor 27&quot;"/>
    <s v="Electronics"/>
    <n v="3"/>
    <n v="395.92"/>
    <n v="1187.76"/>
    <n v="1187.76"/>
    <n v="0"/>
    <s v="France"/>
    <x v="3"/>
  </r>
  <r>
    <n v="2024004080"/>
    <x v="187"/>
    <n v="2024"/>
    <x v="147"/>
    <s v="PROD_003"/>
    <s v="USB-C Cable"/>
    <s v="Electronics"/>
    <n v="2"/>
    <n v="14.94"/>
    <n v="29.88"/>
    <n v="29.88"/>
    <n v="0"/>
    <s v="Spain"/>
    <x v="2"/>
  </r>
  <r>
    <n v="2024004081"/>
    <x v="280"/>
    <n v="2024"/>
    <x v="248"/>
    <s v="PROD_004"/>
    <s v="Desk Chair"/>
    <s v="Furniture"/>
    <n v="1"/>
    <n v="331.54"/>
    <n v="331.54"/>
    <n v="331.54"/>
    <n v="0"/>
    <s v="UK"/>
    <x v="2"/>
  </r>
  <r>
    <n v="2024004082"/>
    <x v="128"/>
    <n v="2024"/>
    <x v="244"/>
    <s v="PROD_004"/>
    <s v="Desk Chair"/>
    <s v="Furniture"/>
    <n v="1"/>
    <n v="374.02"/>
    <n v="374.02"/>
    <n v="374.02"/>
    <n v="0"/>
    <s v="Switzerland"/>
    <x v="1"/>
  </r>
  <r>
    <n v="2024004083"/>
    <x v="367"/>
    <n v="2024"/>
    <x v="235"/>
    <s v="PROD_008"/>
    <s v="Desk Lamp"/>
    <s v="Furniture"/>
    <n v="1"/>
    <n v="74.92"/>
    <n v="74.92"/>
    <n v="74.92"/>
    <n v="0"/>
    <s v="Netherlands"/>
    <x v="3"/>
  </r>
  <r>
    <n v="2024004084"/>
    <x v="325"/>
    <n v="2024"/>
    <x v="141"/>
    <s v="PROD_009"/>
    <s v="Phone Stand"/>
    <s v="Accessories"/>
    <n v="3"/>
    <n v="25.9"/>
    <n v="77.7"/>
    <n v="77.699999999999989"/>
    <n v="0"/>
    <s v="Germany"/>
    <x v="0"/>
  </r>
  <r>
    <n v="2024004085"/>
    <x v="320"/>
    <n v="2024"/>
    <x v="67"/>
    <s v="PROD_008"/>
    <s v="Desk Lamp"/>
    <s v="Furniture"/>
    <n v="1"/>
    <n v="81.709999999999994"/>
    <n v="81.709999999999994"/>
    <n v="81.709999999999994"/>
    <n v="0"/>
    <s v="Spain"/>
    <x v="2"/>
  </r>
  <r>
    <n v="2024004086"/>
    <x v="219"/>
    <n v="2024"/>
    <x v="257"/>
    <s v="PROD_001"/>
    <s v="Laptop Pro"/>
    <s v="Electronics"/>
    <n v="1"/>
    <n v="1282.3800000000001"/>
    <n v="1282.3800000000001"/>
    <n v="1282.3800000000001"/>
    <n v="0"/>
    <s v="Spain"/>
    <x v="3"/>
  </r>
  <r>
    <n v="2024004087"/>
    <x v="185"/>
    <n v="2024"/>
    <x v="28"/>
    <s v="PROD_009"/>
    <s v="Phone Stand"/>
    <s v="Accessories"/>
    <n v="1"/>
    <n v="24.83"/>
    <n v="24.83"/>
    <n v="24.83"/>
    <n v="0"/>
    <s v="Spain"/>
    <x v="0"/>
  </r>
  <r>
    <n v="2024004088"/>
    <x v="75"/>
    <n v="2024"/>
    <x v="38"/>
    <s v="PROD_010"/>
    <s v="Webcam HD"/>
    <s v="Electronics"/>
    <n v="1"/>
    <n v="91.79"/>
    <n v="91.79"/>
    <n v="91.79"/>
    <n v="0"/>
    <s v="Spain"/>
    <x v="0"/>
  </r>
  <r>
    <n v="2024004089"/>
    <x v="87"/>
    <n v="2024"/>
    <x v="260"/>
    <s v="PROD_005"/>
    <s v="Standing Desk"/>
    <s v="Furniture"/>
    <n v="2"/>
    <n v="585.79"/>
    <n v="1171.58"/>
    <n v="1171.58"/>
    <n v="0"/>
    <s v="Italy"/>
    <x v="3"/>
  </r>
  <r>
    <n v="2024004090"/>
    <x v="344"/>
    <n v="2024"/>
    <x v="52"/>
    <s v="PROD_009"/>
    <s v="Phone Stand"/>
    <s v="Accessories"/>
    <n v="1"/>
    <n v="24.51"/>
    <n v="24.51"/>
    <n v="24.51"/>
    <n v="0"/>
    <s v="UK"/>
    <x v="2"/>
  </r>
  <r>
    <n v="2024004091"/>
    <x v="214"/>
    <n v="2024"/>
    <x v="0"/>
    <s v="PROD_008"/>
    <s v="Desk Lamp"/>
    <s v="Furniture"/>
    <n v="3"/>
    <n v="79.86"/>
    <n v="239.58"/>
    <n v="239.57999999999998"/>
    <n v="0"/>
    <s v="Netherlands"/>
    <x v="1"/>
  </r>
  <r>
    <n v="2024004092"/>
    <x v="229"/>
    <n v="2024"/>
    <x v="42"/>
    <s v="PROD_006"/>
    <s v="Monitor 27&quot;"/>
    <s v="Electronics"/>
    <n v="4"/>
    <n v="385.96"/>
    <n v="1543.84"/>
    <n v="1543.84"/>
    <n v="0"/>
    <s v="Austria"/>
    <x v="3"/>
  </r>
  <r>
    <n v="2024004093"/>
    <x v="159"/>
    <n v="2024"/>
    <x v="148"/>
    <s v="PROD_008"/>
    <s v="Desk Lamp"/>
    <s v="Furniture"/>
    <n v="2"/>
    <n v="84.4"/>
    <n v="168.8"/>
    <n v="168.8"/>
    <n v="0"/>
    <s v="Germany"/>
    <x v="2"/>
  </r>
  <r>
    <n v="2024004094"/>
    <x v="95"/>
    <n v="2024"/>
    <x v="70"/>
    <s v="PROD_006"/>
    <s v="Monitor 27&quot;"/>
    <s v="Electronics"/>
    <n v="1"/>
    <n v="416.26"/>
    <n v="416.26"/>
    <n v="416.26"/>
    <n v="0"/>
    <s v="UK"/>
    <x v="0"/>
  </r>
  <r>
    <n v="2024004095"/>
    <x v="27"/>
    <n v="2024"/>
    <x v="0"/>
    <s v="PROD_008"/>
    <s v="Desk Lamp"/>
    <s v="Furniture"/>
    <n v="1"/>
    <n v="81.099999999999994"/>
    <n v="81.099999999999994"/>
    <n v="81.099999999999994"/>
    <n v="0"/>
    <s v="Germany"/>
    <x v="2"/>
  </r>
  <r>
    <n v="2024004096"/>
    <x v="2"/>
    <n v="2024"/>
    <x v="0"/>
    <s v="PROD_006"/>
    <s v="Monitor 27&quot;"/>
    <s v="Electronics"/>
    <n v="4"/>
    <n v="379.72"/>
    <n v="1518.88"/>
    <n v="1518.88"/>
    <n v="0"/>
    <s v="Italy"/>
    <x v="0"/>
  </r>
  <r>
    <n v="2024004097"/>
    <x v="140"/>
    <n v="2024"/>
    <x v="86"/>
    <s v="PROD_009"/>
    <s v="Phone Stand"/>
    <s v="Accessories"/>
    <n v="1"/>
    <n v="24"/>
    <n v="24"/>
    <n v="24"/>
    <n v="0"/>
    <s v="Spain"/>
    <x v="3"/>
  </r>
  <r>
    <n v="2024004098"/>
    <x v="18"/>
    <n v="2024"/>
    <x v="204"/>
    <s v="PROD_009"/>
    <s v="Phone Stand"/>
    <s v="Accessories"/>
    <n v="3"/>
    <n v="24.08"/>
    <n v="72.239999999999995"/>
    <n v="72.239999999999995"/>
    <n v="0"/>
    <s v="Austria"/>
    <x v="1"/>
  </r>
  <r>
    <n v="2024004099"/>
    <x v="158"/>
    <n v="2024"/>
    <x v="143"/>
    <s v="PROD_007"/>
    <s v="Keyboard Mechanical"/>
    <s v="Electronics"/>
    <n v="1"/>
    <n v="125.16"/>
    <n v="125.16"/>
    <n v="125.16"/>
    <n v="0"/>
    <s v="France"/>
    <x v="2"/>
  </r>
  <r>
    <n v="2024004100"/>
    <x v="349"/>
    <n v="2024"/>
    <x v="53"/>
    <s v="PROD_010"/>
    <s v="Webcam HD"/>
    <s v="Electronics"/>
    <n v="1"/>
    <n v="87.82"/>
    <n v="87.82"/>
    <n v="87.82"/>
    <n v="0"/>
    <s v="UK"/>
    <x v="2"/>
  </r>
  <r>
    <n v="2024004101"/>
    <x v="345"/>
    <n v="2024"/>
    <x v="289"/>
    <s v="PROD_004"/>
    <s v="Desk Chair"/>
    <s v="Furniture"/>
    <n v="4"/>
    <n v="350.5"/>
    <n v="1402"/>
    <n v="1402"/>
    <n v="0"/>
    <s v="Italy"/>
    <x v="1"/>
  </r>
  <r>
    <n v="2024004102"/>
    <x v="77"/>
    <n v="2024"/>
    <x v="161"/>
    <s v="PROD_005"/>
    <s v="Standing Desk"/>
    <s v="Furniture"/>
    <n v="1"/>
    <n v="613.15"/>
    <n v="613.15"/>
    <n v="613.15"/>
    <n v="0"/>
    <s v="France"/>
    <x v="1"/>
  </r>
  <r>
    <n v="2024004103"/>
    <x v="105"/>
    <n v="2024"/>
    <x v="168"/>
    <s v="PROD_001"/>
    <s v="Laptop Pro"/>
    <s v="Electronics"/>
    <n v="1"/>
    <n v="1217.3699999999999"/>
    <n v="1217.3699999999999"/>
    <n v="1217.3699999999999"/>
    <n v="0"/>
    <s v="Spain"/>
    <x v="2"/>
  </r>
  <r>
    <n v="2024004104"/>
    <x v="181"/>
    <n v="2024"/>
    <x v="26"/>
    <s v="PROD_004"/>
    <s v="Desk Chair"/>
    <s v="Furniture"/>
    <n v="1"/>
    <n v="355.45"/>
    <n v="355.45"/>
    <n v="355.45"/>
    <n v="0"/>
    <s v="Belgium"/>
    <x v="3"/>
  </r>
  <r>
    <n v="2024004105"/>
    <x v="50"/>
    <n v="2024"/>
    <x v="139"/>
    <s v="PROD_010"/>
    <s v="Webcam HD"/>
    <s v="Electronics"/>
    <n v="1"/>
    <n v="92.11"/>
    <n v="92.11"/>
    <n v="92.11"/>
    <n v="0"/>
    <s v="Belgium"/>
    <x v="3"/>
  </r>
  <r>
    <n v="2024004106"/>
    <x v="331"/>
    <n v="2024"/>
    <x v="171"/>
    <s v="PROD_004"/>
    <s v="Desk Chair"/>
    <s v="Furniture"/>
    <n v="1"/>
    <n v="346.98"/>
    <n v="346.98"/>
    <n v="346.98"/>
    <n v="0"/>
    <s v="Italy"/>
    <x v="0"/>
  </r>
  <r>
    <n v="2024004107"/>
    <x v="212"/>
    <n v="2024"/>
    <x v="0"/>
    <s v="PROD_003"/>
    <s v="USB-C Cable"/>
    <s v="Electronics"/>
    <n v="2"/>
    <n v="14.77"/>
    <n v="29.54"/>
    <n v="29.54"/>
    <n v="0"/>
    <s v="Netherlands"/>
    <x v="2"/>
  </r>
  <r>
    <n v="2024004108"/>
    <x v="0"/>
    <n v="2024"/>
    <x v="233"/>
    <s v="PROD_007"/>
    <s v="Keyboard Mechanical"/>
    <s v="Electronics"/>
    <n v="1"/>
    <n v="126.71"/>
    <n v="126.71"/>
    <n v="126.71"/>
    <n v="0"/>
    <s v="Switzerland"/>
    <x v="0"/>
  </r>
  <r>
    <n v="2024004109"/>
    <x v="57"/>
    <n v="2024"/>
    <x v="55"/>
    <s v="PROD_008"/>
    <s v="Desk Lamp"/>
    <s v="Furniture"/>
    <n v="2"/>
    <n v="83.24"/>
    <n v="166.48"/>
    <n v="166.48"/>
    <n v="0"/>
    <s v="Austria"/>
    <x v="3"/>
  </r>
  <r>
    <n v="2024004110"/>
    <x v="56"/>
    <n v="2024"/>
    <x v="263"/>
    <s v="PROD_009"/>
    <s v="Phone Stand"/>
    <s v="Accessories"/>
    <n v="1"/>
    <n v="25.57"/>
    <n v="25.57"/>
    <n v="25.57"/>
    <n v="0"/>
    <s v="UK"/>
    <x v="1"/>
  </r>
  <r>
    <n v="2024004111"/>
    <x v="110"/>
    <n v="2024"/>
    <x v="0"/>
    <s v="PROD_009"/>
    <s v="Phone Stand"/>
    <s v="Accessories"/>
    <n v="3"/>
    <n v="25.97"/>
    <n v="77.91"/>
    <n v="77.91"/>
    <n v="0"/>
    <s v="Sweden"/>
    <x v="0"/>
  </r>
  <r>
    <n v="2024004112"/>
    <x v="279"/>
    <n v="2024"/>
    <x v="292"/>
    <s v="PROD_008"/>
    <s v="Desk Lamp"/>
    <s v="Furniture"/>
    <n v="1"/>
    <n v="85.82"/>
    <n v="85.82"/>
    <n v="85.82"/>
    <n v="0"/>
    <s v="Switzerland"/>
    <x v="2"/>
  </r>
  <r>
    <n v="2024004113"/>
    <x v="357"/>
    <n v="2024"/>
    <x v="207"/>
    <s v="PROD_003"/>
    <s v="USB-C Cable"/>
    <s v="Electronics"/>
    <n v="2"/>
    <n v="16.260000000000002"/>
    <n v="32.520000000000003"/>
    <n v="32.520000000000003"/>
    <n v="0"/>
    <s v="Belgium"/>
    <x v="2"/>
  </r>
  <r>
    <n v="2024004114"/>
    <x v="156"/>
    <n v="2024"/>
    <x v="159"/>
    <s v="PROD_005"/>
    <s v="Standing Desk"/>
    <s v="Furniture"/>
    <n v="4"/>
    <n v="562.5"/>
    <n v="2250"/>
    <n v="2250"/>
    <n v="0"/>
    <s v="UK"/>
    <x v="2"/>
  </r>
  <r>
    <n v="2024004115"/>
    <x v="65"/>
    <n v="2024"/>
    <x v="222"/>
    <s v="PROD_001"/>
    <s v="Laptop Pro"/>
    <s v="Electronics"/>
    <n v="1"/>
    <n v="1218.3399999999999"/>
    <n v="1218.3399999999999"/>
    <n v="1218.3399999999999"/>
    <n v="0"/>
    <s v="Belgium"/>
    <x v="2"/>
  </r>
  <r>
    <n v="2024004116"/>
    <x v="119"/>
    <n v="2024"/>
    <x v="0"/>
    <s v="PROD_009"/>
    <s v="Phone Stand"/>
    <s v="Accessories"/>
    <n v="1"/>
    <n v="26.16"/>
    <n v="26.16"/>
    <n v="26.16"/>
    <n v="0"/>
    <s v="Italy"/>
    <x v="1"/>
  </r>
  <r>
    <n v="2024004117"/>
    <x v="139"/>
    <n v="2024"/>
    <x v="0"/>
    <s v="PROD_003"/>
    <s v="USB-C Cable"/>
    <s v="Electronics"/>
    <n v="4"/>
    <n v="14.26"/>
    <n v="57.04"/>
    <n v="57.04"/>
    <n v="0"/>
    <s v="Italy"/>
    <x v="0"/>
  </r>
  <r>
    <n v="2024004118"/>
    <x v="173"/>
    <n v="2024"/>
    <x v="294"/>
    <s v="PROD_004"/>
    <s v="Desk Chair"/>
    <s v="Furniture"/>
    <n v="2"/>
    <n v="331.73"/>
    <n v="663.46"/>
    <n v="663.46"/>
    <n v="0"/>
    <s v="Spain"/>
    <x v="0"/>
  </r>
  <r>
    <n v="2024004119"/>
    <x v="88"/>
    <n v="2024"/>
    <x v="201"/>
    <s v="PROD_004"/>
    <s v="Desk Chair"/>
    <s v="Furniture"/>
    <n v="1"/>
    <n v="364.84"/>
    <n v="364.84"/>
    <n v="364.84"/>
    <n v="0"/>
    <s v="Sweden"/>
    <x v="3"/>
  </r>
  <r>
    <n v="2024004120"/>
    <x v="233"/>
    <n v="2024"/>
    <x v="0"/>
    <s v="PROD_008"/>
    <s v="Desk Lamp"/>
    <s v="Furniture"/>
    <n v="3"/>
    <n v="77.209999999999994"/>
    <n v="231.63"/>
    <n v="231.63"/>
    <n v="0"/>
    <s v="Sweden"/>
    <x v="3"/>
  </r>
  <r>
    <n v="2024004121"/>
    <x v="160"/>
    <n v="2024"/>
    <x v="166"/>
    <s v="PROD_004"/>
    <s v="Desk Chair"/>
    <s v="Furniture"/>
    <n v="1"/>
    <n v="348.58"/>
    <n v="348.58"/>
    <n v="348.58"/>
    <n v="0"/>
    <s v="Netherlands"/>
    <x v="1"/>
  </r>
  <r>
    <n v="2024004122"/>
    <x v="120"/>
    <n v="2024"/>
    <x v="41"/>
    <s v="PROD_008"/>
    <s v="Desk Lamp"/>
    <s v="Furniture"/>
    <n v="1"/>
    <n v="81.97"/>
    <n v="81.97"/>
    <n v="81.97"/>
    <n v="0"/>
    <s v="Netherlands"/>
    <x v="1"/>
  </r>
  <r>
    <n v="2024004123"/>
    <x v="249"/>
    <n v="2024"/>
    <x v="173"/>
    <s v="PROD_007"/>
    <s v="Keyboard Mechanical"/>
    <s v="Electronics"/>
    <n v="1"/>
    <n v="124.1"/>
    <n v="124.1"/>
    <n v="124.1"/>
    <n v="0"/>
    <s v="Spain"/>
    <x v="2"/>
  </r>
  <r>
    <n v="2024004124"/>
    <x v="277"/>
    <n v="2024"/>
    <x v="247"/>
    <s v="PROD_008"/>
    <s v="Desk Lamp"/>
    <s v="Furniture"/>
    <n v="2"/>
    <n v="83.3"/>
    <n v="166.6"/>
    <n v="166.6"/>
    <n v="0"/>
    <s v="Spain"/>
    <x v="2"/>
  </r>
  <r>
    <n v="2024004125"/>
    <x v="165"/>
    <n v="2024"/>
    <x v="250"/>
    <s v="PROD_006"/>
    <s v="Monitor 27&quot;"/>
    <s v="Electronics"/>
    <n v="4"/>
    <n v="413.3"/>
    <n v="1653.2"/>
    <n v="1653.2"/>
    <n v="0"/>
    <s v="Spain"/>
    <x v="1"/>
  </r>
  <r>
    <n v="2024004126"/>
    <x v="166"/>
    <n v="2024"/>
    <x v="245"/>
    <s v="PROD_008"/>
    <s v="Desk Lamp"/>
    <s v="Furniture"/>
    <n v="3"/>
    <n v="73.66"/>
    <n v="220.98"/>
    <n v="220.98"/>
    <n v="0"/>
    <s v="France"/>
    <x v="2"/>
  </r>
  <r>
    <n v="2024004127"/>
    <x v="114"/>
    <n v="2024"/>
    <x v="19"/>
    <s v="PROD_006"/>
    <s v="Monitor 27&quot;"/>
    <s v="Electronics"/>
    <n v="1"/>
    <n v="428.49"/>
    <n v="428.49"/>
    <n v="428.49"/>
    <n v="0"/>
    <s v="UK"/>
    <x v="3"/>
  </r>
  <r>
    <n v="2024004128"/>
    <x v="108"/>
    <n v="2024"/>
    <x v="210"/>
    <s v="PROD_005"/>
    <s v="Standing Desk"/>
    <s v="Furniture"/>
    <n v="1"/>
    <n v="602.02"/>
    <n v="602.02"/>
    <n v="602.02"/>
    <n v="0"/>
    <s v="Switzerland"/>
    <x v="3"/>
  </r>
  <r>
    <n v="2024004129"/>
    <x v="71"/>
    <n v="2024"/>
    <x v="151"/>
    <s v="PROD_009"/>
    <s v="Phone Stand"/>
    <s v="Accessories"/>
    <n v="2"/>
    <n v="25.54"/>
    <n v="51.08"/>
    <n v="51.08"/>
    <n v="0"/>
    <s v="Italy"/>
    <x v="2"/>
  </r>
  <r>
    <n v="2024004130"/>
    <x v="323"/>
    <n v="2024"/>
    <x v="299"/>
    <s v="PROD_009"/>
    <s v="Phone Stand"/>
    <s v="Accessories"/>
    <n v="1"/>
    <n v="25.8"/>
    <n v="25.8"/>
    <n v="25.8"/>
    <n v="0"/>
    <s v="Spain"/>
    <x v="1"/>
  </r>
  <r>
    <n v="2024004131"/>
    <x v="2"/>
    <n v="2024"/>
    <x v="81"/>
    <s v="PROD_004"/>
    <s v="Desk Chair"/>
    <s v="Furniture"/>
    <n v="1"/>
    <n v="334.05"/>
    <n v="334.05"/>
    <n v="334.05"/>
    <n v="0"/>
    <s v="Switzerland"/>
    <x v="2"/>
  </r>
  <r>
    <n v="2024004132"/>
    <x v="347"/>
    <n v="2024"/>
    <x v="139"/>
    <s v="PROD_010"/>
    <s v="Webcam HD"/>
    <s v="Electronics"/>
    <n v="1"/>
    <n v="96.19"/>
    <n v="96.19"/>
    <n v="96.19"/>
    <n v="0"/>
    <s v="Belgium"/>
    <x v="0"/>
  </r>
  <r>
    <n v="2024004133"/>
    <x v="210"/>
    <n v="2024"/>
    <x v="206"/>
    <s v="PROD_009"/>
    <s v="Phone Stand"/>
    <s v="Accessories"/>
    <n v="1"/>
    <n v="24.78"/>
    <n v="24.78"/>
    <n v="24.78"/>
    <n v="0"/>
    <s v="Switzerland"/>
    <x v="0"/>
  </r>
  <r>
    <n v="2024004134"/>
    <x v="280"/>
    <n v="2024"/>
    <x v="82"/>
    <s v="PROD_002"/>
    <s v="Wireless Mouse"/>
    <s v="Electronics"/>
    <n v="5"/>
    <n v="46.06"/>
    <n v="230.3"/>
    <n v="230.3"/>
    <n v="0"/>
    <s v="Belgium"/>
    <x v="0"/>
  </r>
  <r>
    <n v="2024004135"/>
    <x v="344"/>
    <n v="2024"/>
    <x v="94"/>
    <s v="PROD_002"/>
    <s v="Wireless Mouse"/>
    <s v="Electronics"/>
    <n v="2"/>
    <n v="39.299999999999997"/>
    <n v="78.599999999999994"/>
    <n v="78.599999999999994"/>
    <n v="0"/>
    <s v="France"/>
    <x v="1"/>
  </r>
  <r>
    <n v="2024004136"/>
    <x v="7"/>
    <n v="2024"/>
    <x v="152"/>
    <s v="PROD_001"/>
    <s v="Laptop Pro"/>
    <s v="Electronics"/>
    <n v="1"/>
    <n v="1153.71"/>
    <n v="1153.71"/>
    <n v="1153.71"/>
    <n v="0"/>
    <s v="Italy"/>
    <x v="2"/>
  </r>
  <r>
    <n v="2024004137"/>
    <x v="133"/>
    <n v="2024"/>
    <x v="155"/>
    <s v="PROD_009"/>
    <s v="Phone Stand"/>
    <s v="Accessories"/>
    <n v="2"/>
    <n v="24.59"/>
    <n v="49.18"/>
    <n v="49.18"/>
    <n v="0"/>
    <s v="Germany"/>
    <x v="0"/>
  </r>
  <r>
    <n v="2024004138"/>
    <x v="291"/>
    <n v="2024"/>
    <x v="104"/>
    <s v="PROD_008"/>
    <s v="Desk Lamp"/>
    <s v="Furniture"/>
    <n v="3"/>
    <n v="75.14"/>
    <n v="225.42"/>
    <n v="225.42000000000002"/>
    <n v="0"/>
    <s v="Italy"/>
    <x v="3"/>
  </r>
  <r>
    <n v="2024004139"/>
    <x v="77"/>
    <n v="2024"/>
    <x v="46"/>
    <s v="PROD_003"/>
    <s v="USB-C Cable"/>
    <s v="Electronics"/>
    <n v="1"/>
    <n v="14.82"/>
    <n v="14.82"/>
    <n v="14.82"/>
    <n v="0"/>
    <s v="Netherlands"/>
    <x v="0"/>
  </r>
  <r>
    <n v="2024004140"/>
    <x v="327"/>
    <n v="2024"/>
    <x v="125"/>
    <s v="PROD_007"/>
    <s v="Keyboard Mechanical"/>
    <s v="Electronics"/>
    <n v="3"/>
    <n v="116.31"/>
    <n v="348.93"/>
    <n v="348.93"/>
    <n v="0"/>
    <s v="Spain"/>
    <x v="2"/>
  </r>
  <r>
    <n v="2024004141"/>
    <x v="286"/>
    <n v="2024"/>
    <x v="128"/>
    <s v="PROD_003"/>
    <s v="USB-C Cable"/>
    <s v="Electronics"/>
    <n v="1"/>
    <n v="16.39"/>
    <n v="16.39"/>
    <n v="16.39"/>
    <n v="0"/>
    <s v="Switzerland"/>
    <x v="2"/>
  </r>
  <r>
    <n v="2024004142"/>
    <x v="366"/>
    <n v="2024"/>
    <x v="190"/>
    <s v="PROD_006"/>
    <s v="Monitor 27&quot;"/>
    <s v="Electronics"/>
    <n v="1"/>
    <n v="410.27"/>
    <n v="410.27"/>
    <n v="410.27"/>
    <n v="0"/>
    <s v="Belgium"/>
    <x v="0"/>
  </r>
  <r>
    <n v="2024004143"/>
    <x v="138"/>
    <n v="2024"/>
    <x v="149"/>
    <s v="PROD_001"/>
    <s v="Laptop Pro"/>
    <s v="Electronics"/>
    <n v="3"/>
    <n v="1233.28"/>
    <n v="3699.84"/>
    <n v="3699.84"/>
    <n v="0"/>
    <s v="Netherlands"/>
    <x v="1"/>
  </r>
  <r>
    <n v="2024004144"/>
    <x v="241"/>
    <n v="2024"/>
    <x v="109"/>
    <s v="PROD_005"/>
    <s v="Standing Desk"/>
    <s v="Furniture"/>
    <n v="1"/>
    <n v="580.33000000000004"/>
    <n v="580.33000000000004"/>
    <n v="580.33000000000004"/>
    <n v="0"/>
    <s v="Belgium"/>
    <x v="2"/>
  </r>
  <r>
    <n v="2024004145"/>
    <x v="6"/>
    <n v="2024"/>
    <x v="92"/>
    <s v="PROD_010"/>
    <s v="Webcam HD"/>
    <s v="Electronics"/>
    <n v="1"/>
    <n v="92.25"/>
    <n v="92.25"/>
    <n v="92.25"/>
    <n v="0"/>
    <s v="Switzerland"/>
    <x v="1"/>
  </r>
  <r>
    <n v="2024004146"/>
    <x v="2"/>
    <n v="2024"/>
    <x v="172"/>
    <s v="PROD_009"/>
    <s v="Phone Stand"/>
    <s v="Accessories"/>
    <n v="1"/>
    <n v="27.56"/>
    <n v="27.56"/>
    <n v="27.56"/>
    <n v="0"/>
    <s v="Austria"/>
    <x v="2"/>
  </r>
  <r>
    <n v="2024004147"/>
    <x v="121"/>
    <n v="2024"/>
    <x v="44"/>
    <s v="PROD_003"/>
    <s v="USB-C Cable"/>
    <s v="Electronics"/>
    <n v="2"/>
    <n v="14.61"/>
    <n v="29.22"/>
    <n v="29.22"/>
    <n v="0"/>
    <s v="Italy"/>
    <x v="3"/>
  </r>
  <r>
    <n v="2024004148"/>
    <x v="93"/>
    <n v="2024"/>
    <x v="175"/>
    <s v="PROD_002"/>
    <s v="Wireless Mouse"/>
    <s v="Electronics"/>
    <n v="2"/>
    <n v="43.61"/>
    <n v="87.22"/>
    <n v="87.22"/>
    <n v="0"/>
    <s v="UK"/>
    <x v="2"/>
  </r>
  <r>
    <n v="2024004149"/>
    <x v="56"/>
    <n v="2024"/>
    <x v="0"/>
    <s v="PROD_009"/>
    <s v="Phone Stand"/>
    <s v="Accessories"/>
    <n v="1"/>
    <n v="25.85"/>
    <n v="25.85"/>
    <n v="25.85"/>
    <n v="0"/>
    <s v="Belgium"/>
    <x v="3"/>
  </r>
  <r>
    <n v="2024004150"/>
    <x v="327"/>
    <n v="2024"/>
    <x v="184"/>
    <s v="PROD_001"/>
    <s v="Laptop Pro"/>
    <s v="Electronics"/>
    <n v="2"/>
    <n v="1152.73"/>
    <n v="2305.46"/>
    <n v="2305.46"/>
    <n v="0"/>
    <s v="Italy"/>
    <x v="3"/>
  </r>
  <r>
    <n v="2024004151"/>
    <x v="212"/>
    <n v="2024"/>
    <x v="106"/>
    <s v="PROD_002"/>
    <s v="Wireless Mouse"/>
    <s v="Electronics"/>
    <n v="1"/>
    <n v="44.49"/>
    <n v="44.49"/>
    <n v="44.49"/>
    <n v="0"/>
    <s v="Austria"/>
    <x v="1"/>
  </r>
  <r>
    <n v="2024004152"/>
    <x v="68"/>
    <n v="2024"/>
    <x v="205"/>
    <s v="PROD_006"/>
    <s v="Monitor 27&quot;"/>
    <s v="Electronics"/>
    <n v="5"/>
    <n v="396.04"/>
    <n v="1980.2"/>
    <n v="1980.2"/>
    <n v="0"/>
    <s v="Spain"/>
    <x v="2"/>
  </r>
  <r>
    <n v="2024004153"/>
    <x v="248"/>
    <n v="2024"/>
    <x v="206"/>
    <s v="PROD_007"/>
    <s v="Keyboard Mechanical"/>
    <s v="Electronics"/>
    <n v="3"/>
    <n v="119.35"/>
    <n v="358.05"/>
    <n v="358.04999999999995"/>
    <n v="0"/>
    <s v="Germany"/>
    <x v="2"/>
  </r>
  <r>
    <n v="2024004154"/>
    <x v="361"/>
    <n v="2024"/>
    <x v="267"/>
    <s v="PROD_002"/>
    <s v="Wireless Mouse"/>
    <s v="Electronics"/>
    <n v="1"/>
    <n v="42.73"/>
    <n v="42.73"/>
    <n v="42.73"/>
    <n v="0"/>
    <s v="Austria"/>
    <x v="3"/>
  </r>
  <r>
    <n v="2024004155"/>
    <x v="117"/>
    <n v="2024"/>
    <x v="0"/>
    <s v="PROD_007"/>
    <s v="Keyboard Mechanical"/>
    <s v="Electronics"/>
    <n v="2"/>
    <n v="120.97"/>
    <n v="241.94"/>
    <n v="241.94"/>
    <n v="0"/>
    <s v="Germany"/>
    <x v="1"/>
  </r>
  <r>
    <n v="2024004156"/>
    <x v="242"/>
    <n v="2024"/>
    <x v="55"/>
    <s v="PROD_006"/>
    <s v="Monitor 27&quot;"/>
    <s v="Electronics"/>
    <n v="1"/>
    <n v="420.93"/>
    <n v="420.93"/>
    <n v="420.93"/>
    <n v="0"/>
    <s v="Italy"/>
    <x v="0"/>
  </r>
  <r>
    <n v="2024004157"/>
    <x v="169"/>
    <n v="2024"/>
    <x v="236"/>
    <s v="PROD_008"/>
    <s v="Desk Lamp"/>
    <s v="Furniture"/>
    <n v="1"/>
    <n v="76.95"/>
    <n v="76.95"/>
    <n v="76.95"/>
    <n v="0"/>
    <s v="Italy"/>
    <x v="0"/>
  </r>
  <r>
    <n v="2024004158"/>
    <x v="286"/>
    <n v="2024"/>
    <x v="167"/>
    <s v="PROD_008"/>
    <s v="Desk Lamp"/>
    <s v="Furniture"/>
    <n v="2"/>
    <n v="80.989999999999995"/>
    <n v="161.97999999999999"/>
    <n v="161.97999999999999"/>
    <n v="0"/>
    <s v="Italy"/>
    <x v="1"/>
  </r>
  <r>
    <n v="2024004159"/>
    <x v="203"/>
    <n v="2024"/>
    <x v="147"/>
    <s v="PROD_006"/>
    <s v="Monitor 27&quot;"/>
    <s v="Electronics"/>
    <n v="3"/>
    <n v="385.84"/>
    <n v="1157.52"/>
    <n v="1157.52"/>
    <n v="0"/>
    <s v="UK"/>
    <x v="2"/>
  </r>
  <r>
    <n v="2024004160"/>
    <x v="7"/>
    <n v="2024"/>
    <x v="211"/>
    <s v="PROD_002"/>
    <s v="Wireless Mouse"/>
    <s v="Electronics"/>
    <n v="2"/>
    <n v="44.88"/>
    <n v="89.76"/>
    <n v="89.76"/>
    <n v="0"/>
    <s v="Netherlands"/>
    <x v="2"/>
  </r>
  <r>
    <n v="2024004161"/>
    <x v="355"/>
    <n v="2024"/>
    <x v="218"/>
    <s v="PROD_003"/>
    <s v="USB-C Cable"/>
    <s v="Electronics"/>
    <n v="5"/>
    <n v="14.35"/>
    <n v="71.75"/>
    <n v="71.75"/>
    <n v="0"/>
    <s v="Netherlands"/>
    <x v="1"/>
  </r>
  <r>
    <n v="2024004162"/>
    <x v="246"/>
    <n v="2024"/>
    <x v="25"/>
    <s v="PROD_001"/>
    <s v="Laptop Pro"/>
    <s v="Electronics"/>
    <n v="2"/>
    <n v="1177.6199999999999"/>
    <n v="2355.2399999999998"/>
    <n v="2355.2399999999998"/>
    <n v="0"/>
    <s v="Switzerland"/>
    <x v="2"/>
  </r>
  <r>
    <n v="2024004163"/>
    <x v="35"/>
    <n v="2024"/>
    <x v="52"/>
    <s v="PROD_001"/>
    <s v="Laptop Pro"/>
    <s v="Electronics"/>
    <n v="4"/>
    <n v="1147.74"/>
    <n v="4590.96"/>
    <n v="4590.96"/>
    <n v="0"/>
    <s v="Switzerland"/>
    <x v="1"/>
  </r>
  <r>
    <n v="2024004164"/>
    <x v="205"/>
    <n v="2024"/>
    <x v="252"/>
    <s v="PROD_003"/>
    <s v="USB-C Cable"/>
    <s v="Electronics"/>
    <n v="1"/>
    <n v="14.8"/>
    <n v="14.8"/>
    <n v="14.8"/>
    <n v="0"/>
    <s v="Germany"/>
    <x v="0"/>
  </r>
  <r>
    <n v="2024004165"/>
    <x v="131"/>
    <n v="2024"/>
    <x v="145"/>
    <s v="PROD_005"/>
    <s v="Standing Desk"/>
    <s v="Furniture"/>
    <n v="1"/>
    <n v="595.08000000000004"/>
    <n v="595.08000000000004"/>
    <n v="595.08000000000004"/>
    <n v="0"/>
    <s v="Belgium"/>
    <x v="0"/>
  </r>
  <r>
    <n v="2024004166"/>
    <x v="69"/>
    <n v="2024"/>
    <x v="143"/>
    <s v="PROD_001"/>
    <s v="Laptop Pro"/>
    <s v="Electronics"/>
    <n v="1"/>
    <n v="1188.18"/>
    <n v="1188.18"/>
    <n v="1188.18"/>
    <n v="0"/>
    <s v="Switzerland"/>
    <x v="2"/>
  </r>
  <r>
    <n v="2024004167"/>
    <x v="332"/>
    <n v="2024"/>
    <x v="172"/>
    <s v="PROD_006"/>
    <s v="Monitor 27&quot;"/>
    <s v="Electronics"/>
    <n v="1"/>
    <n v="381.46"/>
    <n v="381.46"/>
    <n v="381.46"/>
    <n v="0"/>
    <s v="France"/>
    <x v="3"/>
  </r>
  <r>
    <n v="2024004168"/>
    <x v="152"/>
    <n v="2024"/>
    <x v="158"/>
    <s v="PROD_006"/>
    <s v="Monitor 27&quot;"/>
    <s v="Electronics"/>
    <n v="1"/>
    <n v="394.95"/>
    <n v="394.95"/>
    <n v="394.95"/>
    <n v="0"/>
    <s v="Austria"/>
    <x v="2"/>
  </r>
  <r>
    <n v="2024004169"/>
    <x v="292"/>
    <n v="2024"/>
    <x v="249"/>
    <s v="PROD_003"/>
    <s v="USB-C Cable"/>
    <s v="Electronics"/>
    <n v="1"/>
    <n v="14.58"/>
    <n v="14.58"/>
    <n v="14.58"/>
    <n v="0"/>
    <s v="Switzerland"/>
    <x v="2"/>
  </r>
  <r>
    <n v="2024004170"/>
    <x v="296"/>
    <n v="2024"/>
    <x v="96"/>
    <s v="PROD_007"/>
    <s v="Keyboard Mechanical"/>
    <s v="Electronics"/>
    <n v="1"/>
    <n v="125.04"/>
    <n v="125.04"/>
    <n v="125.04"/>
    <n v="0"/>
    <s v="Switzerland"/>
    <x v="3"/>
  </r>
  <r>
    <n v="2024004171"/>
    <x v="89"/>
    <n v="2024"/>
    <x v="46"/>
    <s v="PROD_009"/>
    <s v="Phone Stand"/>
    <s v="Accessories"/>
    <n v="2"/>
    <n v="22.24"/>
    <n v="44.48"/>
    <n v="44.48"/>
    <n v="0"/>
    <s v="Austria"/>
    <x v="2"/>
  </r>
  <r>
    <n v="2024004172"/>
    <x v="187"/>
    <n v="2024"/>
    <x v="211"/>
    <s v="PROD_006"/>
    <s v="Monitor 27&quot;"/>
    <s v="Electronics"/>
    <n v="1"/>
    <n v="410.78"/>
    <n v="410.78"/>
    <n v="410.78"/>
    <n v="0"/>
    <s v="Belgium"/>
    <x v="2"/>
  </r>
  <r>
    <n v="2024004173"/>
    <x v="278"/>
    <n v="2024"/>
    <x v="84"/>
    <s v="PROD_003"/>
    <s v="USB-C Cable"/>
    <s v="Electronics"/>
    <n v="2"/>
    <n v="14.76"/>
    <n v="29.52"/>
    <n v="29.52"/>
    <n v="0"/>
    <s v="UK"/>
    <x v="2"/>
  </r>
  <r>
    <n v="2024004174"/>
    <x v="45"/>
    <n v="2024"/>
    <x v="126"/>
    <s v="PROD_009"/>
    <s v="Phone Stand"/>
    <s v="Accessories"/>
    <n v="1"/>
    <n v="24.01"/>
    <n v="24.01"/>
    <n v="24.01"/>
    <n v="0"/>
    <s v="Austria"/>
    <x v="2"/>
  </r>
  <r>
    <n v="2024004175"/>
    <x v="68"/>
    <n v="2024"/>
    <x v="292"/>
    <s v="PROD_010"/>
    <s v="Webcam HD"/>
    <s v="Electronics"/>
    <n v="1"/>
    <n v="88.73"/>
    <n v="88.73"/>
    <n v="88.73"/>
    <n v="0"/>
    <s v="Belgium"/>
    <x v="3"/>
  </r>
  <r>
    <n v="2024004176"/>
    <x v="23"/>
    <n v="2024"/>
    <x v="218"/>
    <s v="PROD_010"/>
    <s v="Webcam HD"/>
    <s v="Electronics"/>
    <n v="2"/>
    <n v="97.87"/>
    <n v="195.74"/>
    <n v="195.74"/>
    <n v="0"/>
    <s v="Italy"/>
    <x v="1"/>
  </r>
  <r>
    <n v="2024004177"/>
    <x v="143"/>
    <n v="2024"/>
    <x v="271"/>
    <s v="PROD_009"/>
    <s v="Phone Stand"/>
    <s v="Accessories"/>
    <n v="1"/>
    <n v="26.2"/>
    <n v="26.2"/>
    <n v="26.2"/>
    <n v="0"/>
    <s v="UK"/>
    <x v="0"/>
  </r>
  <r>
    <n v="2024004178"/>
    <x v="218"/>
    <n v="2024"/>
    <x v="214"/>
    <s v="PROD_010"/>
    <s v="Webcam HD"/>
    <s v="Electronics"/>
    <n v="3"/>
    <n v="88.57"/>
    <n v="265.70999999999998"/>
    <n v="265.70999999999998"/>
    <n v="0"/>
    <s v="Italy"/>
    <x v="1"/>
  </r>
  <r>
    <n v="2024004179"/>
    <x v="152"/>
    <n v="2024"/>
    <x v="8"/>
    <s v="PROD_002"/>
    <s v="Wireless Mouse"/>
    <s v="Electronics"/>
    <n v="4"/>
    <n v="45.04"/>
    <n v="180.16"/>
    <n v="180.16"/>
    <n v="0"/>
    <s v="Italy"/>
    <x v="3"/>
  </r>
  <r>
    <n v="2024004180"/>
    <x v="343"/>
    <n v="2024"/>
    <x v="114"/>
    <s v="PROD_006"/>
    <s v="Monitor 27&quot;"/>
    <s v="Electronics"/>
    <n v="2"/>
    <n v="370.2"/>
    <n v="740.4"/>
    <n v="740.4"/>
    <n v="0"/>
    <s v="Sweden"/>
    <x v="0"/>
  </r>
  <r>
    <n v="2024004181"/>
    <x v="97"/>
    <n v="2024"/>
    <x v="279"/>
    <s v="PROD_006"/>
    <s v="Monitor 27&quot;"/>
    <s v="Electronics"/>
    <n v="2"/>
    <n v="374.72"/>
    <n v="749.44"/>
    <n v="749.44"/>
    <n v="0"/>
    <s v="France"/>
    <x v="3"/>
  </r>
  <r>
    <n v="2024004182"/>
    <x v="212"/>
    <n v="2024"/>
    <x v="226"/>
    <s v="PROD_004"/>
    <s v="Desk Chair"/>
    <s v="Furniture"/>
    <n v="2"/>
    <n v="333"/>
    <n v="666"/>
    <n v="666"/>
    <n v="0"/>
    <s v="Spain"/>
    <x v="0"/>
  </r>
  <r>
    <n v="2024004183"/>
    <x v="246"/>
    <n v="2024"/>
    <x v="45"/>
    <s v="PROD_004"/>
    <s v="Desk Chair"/>
    <s v="Furniture"/>
    <n v="1"/>
    <n v="324.41000000000003"/>
    <n v="324.41000000000003"/>
    <n v="324.41000000000003"/>
    <n v="0"/>
    <s v="France"/>
    <x v="2"/>
  </r>
  <r>
    <n v="2024004184"/>
    <x v="360"/>
    <n v="2024"/>
    <x v="48"/>
    <s v="PROD_005"/>
    <s v="Standing Desk"/>
    <s v="Furniture"/>
    <n v="3"/>
    <n v="575.46"/>
    <n v="1726.38"/>
    <n v="1726.38"/>
    <n v="0"/>
    <s v="Switzerland"/>
    <x v="3"/>
  </r>
  <r>
    <n v="2024004185"/>
    <x v="179"/>
    <n v="2024"/>
    <x v="0"/>
    <s v="PROD_003"/>
    <s v="USB-C Cable"/>
    <s v="Electronics"/>
    <n v="2"/>
    <n v="15.11"/>
    <n v="30.22"/>
    <n v="30.22"/>
    <n v="0"/>
    <s v="Sweden"/>
    <x v="3"/>
  </r>
  <r>
    <n v="2024004186"/>
    <x v="318"/>
    <n v="2024"/>
    <x v="121"/>
    <s v="PROD_009"/>
    <s v="Phone Stand"/>
    <s v="Accessories"/>
    <n v="1"/>
    <n v="24.37"/>
    <n v="24.37"/>
    <n v="24.37"/>
    <n v="0"/>
    <s v="Spain"/>
    <x v="2"/>
  </r>
  <r>
    <n v="2024004187"/>
    <x v="38"/>
    <n v="2024"/>
    <x v="124"/>
    <s v="PROD_007"/>
    <s v="Keyboard Mechanical"/>
    <s v="Electronics"/>
    <n v="1"/>
    <n v="122.64"/>
    <n v="122.64"/>
    <n v="122.64"/>
    <n v="0"/>
    <s v="Austria"/>
    <x v="2"/>
  </r>
  <r>
    <n v="2024004188"/>
    <x v="141"/>
    <n v="2024"/>
    <x v="189"/>
    <s v="PROD_008"/>
    <s v="Desk Lamp"/>
    <s v="Furniture"/>
    <n v="1"/>
    <n v="77.11"/>
    <n v="77.11"/>
    <n v="77.11"/>
    <n v="0"/>
    <s v="UK"/>
    <x v="1"/>
  </r>
  <r>
    <n v="2024004189"/>
    <x v="38"/>
    <n v="2024"/>
    <x v="125"/>
    <s v="PROD_005"/>
    <s v="Standing Desk"/>
    <s v="Furniture"/>
    <n v="3"/>
    <n v="613.22"/>
    <n v="1839.66"/>
    <n v="1839.66"/>
    <n v="0"/>
    <s v="Germany"/>
    <x v="0"/>
  </r>
  <r>
    <n v="2024004190"/>
    <x v="203"/>
    <n v="2024"/>
    <x v="128"/>
    <s v="PROD_005"/>
    <s v="Standing Desk"/>
    <s v="Furniture"/>
    <n v="3"/>
    <n v="592.69000000000005"/>
    <n v="1778.07"/>
    <n v="1778.0700000000002"/>
    <n v="0"/>
    <s v="UK"/>
    <x v="1"/>
  </r>
  <r>
    <n v="2024004191"/>
    <x v="359"/>
    <n v="2024"/>
    <x v="37"/>
    <s v="PROD_005"/>
    <s v="Standing Desk"/>
    <s v="Furniture"/>
    <n v="1"/>
    <n v="604.37"/>
    <n v="604.37"/>
    <n v="604.37"/>
    <n v="0"/>
    <s v="Sweden"/>
    <x v="0"/>
  </r>
  <r>
    <n v="2024004192"/>
    <x v="223"/>
    <n v="2024"/>
    <x v="210"/>
    <s v="PROD_008"/>
    <s v="Desk Lamp"/>
    <s v="Furniture"/>
    <n v="1"/>
    <n v="82.14"/>
    <n v="82.14"/>
    <n v="82.14"/>
    <n v="0"/>
    <s v="Austria"/>
    <x v="3"/>
  </r>
  <r>
    <n v="2024004193"/>
    <x v="280"/>
    <n v="2024"/>
    <x v="292"/>
    <s v="PROD_002"/>
    <s v="Wireless Mouse"/>
    <s v="Electronics"/>
    <n v="1"/>
    <n v="44.47"/>
    <n v="44.47"/>
    <n v="44.47"/>
    <n v="0"/>
    <s v="Germany"/>
    <x v="3"/>
  </r>
  <r>
    <n v="2024004194"/>
    <x v="71"/>
    <n v="2024"/>
    <x v="156"/>
    <s v="PROD_004"/>
    <s v="Desk Chair"/>
    <s v="Furniture"/>
    <n v="4"/>
    <n v="379.04"/>
    <n v="1516.16"/>
    <n v="1516.16"/>
    <n v="0"/>
    <s v="Spain"/>
    <x v="2"/>
  </r>
  <r>
    <n v="2024004195"/>
    <x v="134"/>
    <n v="2024"/>
    <x v="194"/>
    <s v="PROD_007"/>
    <s v="Keyboard Mechanical"/>
    <s v="Electronics"/>
    <n v="5"/>
    <n v="131.46"/>
    <n v="657.3"/>
    <n v="657.30000000000007"/>
    <n v="0"/>
    <s v="Sweden"/>
    <x v="2"/>
  </r>
  <r>
    <n v="2024004196"/>
    <x v="81"/>
    <n v="2024"/>
    <x v="294"/>
    <s v="PROD_002"/>
    <s v="Wireless Mouse"/>
    <s v="Electronics"/>
    <n v="3"/>
    <n v="43.38"/>
    <n v="130.13999999999999"/>
    <n v="130.14000000000001"/>
    <n v="0"/>
    <s v="Switzerland"/>
    <x v="0"/>
  </r>
  <r>
    <n v="2024004197"/>
    <x v="304"/>
    <n v="2024"/>
    <x v="214"/>
    <s v="PROD_002"/>
    <s v="Wireless Mouse"/>
    <s v="Electronics"/>
    <n v="2"/>
    <n v="44.13"/>
    <n v="88.26"/>
    <n v="88.26"/>
    <n v="0"/>
    <s v="Belgium"/>
    <x v="0"/>
  </r>
  <r>
    <n v="2024004198"/>
    <x v="268"/>
    <n v="2024"/>
    <x v="49"/>
    <s v="PROD_002"/>
    <s v="Wireless Mouse"/>
    <s v="Electronics"/>
    <n v="1"/>
    <n v="45.36"/>
    <n v="45.36"/>
    <n v="45.36"/>
    <n v="0"/>
    <s v="Belgium"/>
    <x v="1"/>
  </r>
  <r>
    <n v="2024004199"/>
    <x v="255"/>
    <n v="2024"/>
    <x v="260"/>
    <s v="PROD_007"/>
    <s v="Keyboard Mechanical"/>
    <s v="Electronics"/>
    <n v="3"/>
    <n v="120.35"/>
    <n v="361.05"/>
    <n v="361.04999999999995"/>
    <n v="0"/>
    <s v="Belgium"/>
    <x v="2"/>
  </r>
  <r>
    <n v="2024004200"/>
    <x v="174"/>
    <n v="2024"/>
    <x v="261"/>
    <s v="PROD_004"/>
    <s v="Desk Chair"/>
    <s v="Furniture"/>
    <n v="2"/>
    <n v="346.93"/>
    <n v="693.86"/>
    <n v="693.86"/>
    <n v="0"/>
    <s v="Italy"/>
    <x v="2"/>
  </r>
  <r>
    <n v="2024004201"/>
    <x v="95"/>
    <n v="2024"/>
    <x v="13"/>
    <s v="PROD_002"/>
    <s v="Wireless Mouse"/>
    <s v="Electronics"/>
    <n v="4"/>
    <n v="43.18"/>
    <n v="172.72"/>
    <n v="172.72"/>
    <n v="0"/>
    <s v="Spain"/>
    <x v="1"/>
  </r>
  <r>
    <n v="2024004202"/>
    <x v="260"/>
    <n v="2024"/>
    <x v="200"/>
    <s v="PROD_006"/>
    <s v="Monitor 27&quot;"/>
    <s v="Electronics"/>
    <n v="1"/>
    <n v="429.84"/>
    <n v="429.84"/>
    <n v="429.84"/>
    <n v="0"/>
    <s v="France"/>
    <x v="1"/>
  </r>
  <r>
    <n v="2024004203"/>
    <x v="83"/>
    <n v="2024"/>
    <x v="209"/>
    <s v="PROD_004"/>
    <s v="Desk Chair"/>
    <s v="Furniture"/>
    <n v="3"/>
    <n v="339.44"/>
    <n v="1018.32"/>
    <n v="1018.3199999999999"/>
    <n v="0"/>
    <s v="UK"/>
    <x v="1"/>
  </r>
  <r>
    <n v="2024004204"/>
    <x v="228"/>
    <n v="2024"/>
    <x v="150"/>
    <s v="PROD_008"/>
    <s v="Desk Lamp"/>
    <s v="Furniture"/>
    <n v="1"/>
    <n v="78.849999999999994"/>
    <n v="78.849999999999994"/>
    <n v="78.849999999999994"/>
    <n v="0"/>
    <s v="Italy"/>
    <x v="3"/>
  </r>
  <r>
    <n v="2024004205"/>
    <x v="178"/>
    <n v="2024"/>
    <x v="156"/>
    <s v="PROD_008"/>
    <s v="Desk Lamp"/>
    <s v="Furniture"/>
    <n v="1"/>
    <n v="75.72"/>
    <n v="75.72"/>
    <n v="75.72"/>
    <n v="0"/>
    <s v="Germany"/>
    <x v="3"/>
  </r>
  <r>
    <n v="2024004206"/>
    <x v="80"/>
    <n v="2024"/>
    <x v="221"/>
    <s v="PROD_001"/>
    <s v="Laptop Pro"/>
    <s v="Electronics"/>
    <n v="1"/>
    <n v="1106.4000000000001"/>
    <n v="1106.4000000000001"/>
    <n v="1106.4000000000001"/>
    <n v="0"/>
    <s v="France"/>
    <x v="2"/>
  </r>
  <r>
    <n v="2024004207"/>
    <x v="169"/>
    <n v="2024"/>
    <x v="84"/>
    <s v="PROD_006"/>
    <s v="Monitor 27&quot;"/>
    <s v="Electronics"/>
    <n v="3"/>
    <n v="421.89"/>
    <n v="1265.67"/>
    <n v="1265.67"/>
    <n v="0"/>
    <s v="Sweden"/>
    <x v="1"/>
  </r>
  <r>
    <n v="2024004208"/>
    <x v="346"/>
    <n v="2024"/>
    <x v="0"/>
    <s v="PROD_009"/>
    <s v="Phone Stand"/>
    <s v="Accessories"/>
    <n v="2"/>
    <n v="24.69"/>
    <n v="49.38"/>
    <n v="49.38"/>
    <n v="0"/>
    <s v="France"/>
    <x v="2"/>
  </r>
  <r>
    <n v="2024004209"/>
    <x v="225"/>
    <n v="2024"/>
    <x v="70"/>
    <s v="PROD_009"/>
    <s v="Phone Stand"/>
    <s v="Accessories"/>
    <n v="2"/>
    <n v="24.14"/>
    <n v="48.28"/>
    <n v="48.28"/>
    <n v="0"/>
    <s v="Switzerland"/>
    <x v="3"/>
  </r>
  <r>
    <n v="2024004210"/>
    <x v="71"/>
    <n v="2024"/>
    <x v="266"/>
    <s v="PROD_003"/>
    <s v="USB-C Cable"/>
    <s v="Electronics"/>
    <n v="1"/>
    <n v="14.27"/>
    <n v="14.27"/>
    <n v="14.27"/>
    <n v="0"/>
    <s v="Belgium"/>
    <x v="2"/>
  </r>
  <r>
    <n v="2024004211"/>
    <x v="21"/>
    <n v="2024"/>
    <x v="0"/>
    <s v="PROD_008"/>
    <s v="Desk Lamp"/>
    <s v="Furniture"/>
    <n v="3"/>
    <n v="78.63"/>
    <n v="235.89"/>
    <n v="235.89"/>
    <n v="0"/>
    <s v="France"/>
    <x v="3"/>
  </r>
  <r>
    <n v="2024004212"/>
    <x v="249"/>
    <n v="2024"/>
    <x v="30"/>
    <s v="PROD_006"/>
    <s v="Monitor 27&quot;"/>
    <s v="Electronics"/>
    <n v="1"/>
    <n v="452.82"/>
    <n v="452.82"/>
    <n v="452.82"/>
    <n v="0"/>
    <s v="Austria"/>
    <x v="0"/>
  </r>
  <r>
    <n v="2024004213"/>
    <x v="147"/>
    <n v="2024"/>
    <x v="211"/>
    <s v="PROD_002"/>
    <s v="Wireless Mouse"/>
    <s v="Electronics"/>
    <n v="1"/>
    <n v="45.14"/>
    <n v="45.14"/>
    <n v="45.14"/>
    <n v="0"/>
    <s v="Spain"/>
    <x v="2"/>
  </r>
  <r>
    <n v="2024004214"/>
    <x v="366"/>
    <n v="2024"/>
    <x v="21"/>
    <s v="PROD_002"/>
    <s v="Wireless Mouse"/>
    <s v="Electronics"/>
    <n v="1"/>
    <n v="41.56"/>
    <n v="41.56"/>
    <n v="41.56"/>
    <n v="0"/>
    <s v="Italy"/>
    <x v="3"/>
  </r>
  <r>
    <n v="2024004215"/>
    <x v="37"/>
    <n v="2024"/>
    <x v="82"/>
    <s v="PROD_007"/>
    <s v="Keyboard Mechanical"/>
    <s v="Electronics"/>
    <n v="2"/>
    <n v="112.48"/>
    <n v="224.96"/>
    <n v="224.96"/>
    <n v="0"/>
    <s v="Switzerland"/>
    <x v="2"/>
  </r>
  <r>
    <n v="2024004216"/>
    <x v="52"/>
    <n v="2024"/>
    <x v="179"/>
    <s v="PROD_002"/>
    <s v="Wireless Mouse"/>
    <s v="Electronics"/>
    <n v="2"/>
    <n v="42.92"/>
    <n v="85.84"/>
    <n v="85.84"/>
    <n v="0"/>
    <s v="Belgium"/>
    <x v="0"/>
  </r>
  <r>
    <n v="2024004217"/>
    <x v="166"/>
    <n v="2024"/>
    <x v="183"/>
    <s v="PROD_001"/>
    <s v="Laptop Pro"/>
    <s v="Electronics"/>
    <n v="1"/>
    <n v="1126.0899999999999"/>
    <n v="1126.0899999999999"/>
    <n v="1126.0899999999999"/>
    <n v="0"/>
    <s v="Italy"/>
    <x v="3"/>
  </r>
  <r>
    <n v="2024004218"/>
    <x v="124"/>
    <n v="2024"/>
    <x v="50"/>
    <s v="PROD_001"/>
    <s v="Laptop Pro"/>
    <s v="Electronics"/>
    <n v="2"/>
    <n v="1108.8900000000001"/>
    <n v="2217.7800000000002"/>
    <n v="2217.7800000000002"/>
    <n v="0"/>
    <s v="Italy"/>
    <x v="2"/>
  </r>
  <r>
    <n v="2024004219"/>
    <x v="345"/>
    <n v="2024"/>
    <x v="0"/>
    <s v="PROD_004"/>
    <s v="Desk Chair"/>
    <s v="Furniture"/>
    <n v="4"/>
    <n v="378.91"/>
    <n v="1515.64"/>
    <n v="1515.64"/>
    <n v="0"/>
    <s v="Sweden"/>
    <x v="0"/>
  </r>
  <r>
    <n v="2024004220"/>
    <x v="310"/>
    <n v="2024"/>
    <x v="218"/>
    <s v="PROD_007"/>
    <s v="Keyboard Mechanical"/>
    <s v="Electronics"/>
    <n v="1"/>
    <n v="121.82"/>
    <n v="121.82"/>
    <n v="121.82"/>
    <n v="0"/>
    <s v="Switzerland"/>
    <x v="1"/>
  </r>
  <r>
    <n v="2024004221"/>
    <x v="35"/>
    <n v="2024"/>
    <x v="154"/>
    <s v="PROD_007"/>
    <s v="Keyboard Mechanical"/>
    <s v="Electronics"/>
    <n v="3"/>
    <n v="118.18"/>
    <n v="354.54"/>
    <n v="354.54"/>
    <n v="0"/>
    <s v="Netherlands"/>
    <x v="1"/>
  </r>
  <r>
    <n v="2024004222"/>
    <x v="352"/>
    <n v="2024"/>
    <x v="200"/>
    <s v="PROD_003"/>
    <s v="USB-C Cable"/>
    <s v="Electronics"/>
    <n v="2"/>
    <n v="16.600000000000001"/>
    <n v="33.200000000000003"/>
    <n v="33.200000000000003"/>
    <n v="0"/>
    <s v="Sweden"/>
    <x v="3"/>
  </r>
  <r>
    <n v="2024004223"/>
    <x v="330"/>
    <n v="2024"/>
    <x v="60"/>
    <s v="PROD_008"/>
    <s v="Desk Lamp"/>
    <s v="Furniture"/>
    <n v="1"/>
    <n v="80.959999999999994"/>
    <n v="80.959999999999994"/>
    <n v="80.959999999999994"/>
    <n v="0"/>
    <s v="Germany"/>
    <x v="3"/>
  </r>
  <r>
    <n v="2024004224"/>
    <x v="58"/>
    <n v="2024"/>
    <x v="0"/>
    <s v="PROD_008"/>
    <s v="Desk Lamp"/>
    <s v="Furniture"/>
    <n v="2"/>
    <n v="81.72"/>
    <n v="163.44"/>
    <n v="163.44"/>
    <n v="0"/>
    <s v="Netherlands"/>
    <x v="2"/>
  </r>
  <r>
    <n v="2024004225"/>
    <x v="81"/>
    <n v="2024"/>
    <x v="142"/>
    <s v="PROD_003"/>
    <s v="USB-C Cable"/>
    <s v="Electronics"/>
    <n v="3"/>
    <n v="14.4"/>
    <n v="43.2"/>
    <n v="43.2"/>
    <n v="0"/>
    <s v="UK"/>
    <x v="3"/>
  </r>
  <r>
    <n v="2024004226"/>
    <x v="314"/>
    <n v="2024"/>
    <x v="15"/>
    <s v="PROD_003"/>
    <s v="USB-C Cable"/>
    <s v="Electronics"/>
    <n v="4"/>
    <n v="15.52"/>
    <n v="62.08"/>
    <n v="62.08"/>
    <n v="0"/>
    <s v="France"/>
    <x v="3"/>
  </r>
  <r>
    <n v="2024004227"/>
    <x v="158"/>
    <n v="2024"/>
    <x v="48"/>
    <s v="PROD_003"/>
    <s v="USB-C Cable"/>
    <s v="Electronics"/>
    <n v="3"/>
    <n v="13.19"/>
    <n v="39.57"/>
    <n v="39.57"/>
    <n v="0"/>
    <s v="Italy"/>
    <x v="2"/>
  </r>
  <r>
    <n v="2024004228"/>
    <x v="92"/>
    <n v="2024"/>
    <x v="140"/>
    <s v="PROD_001"/>
    <s v="Laptop Pro"/>
    <s v="Electronics"/>
    <n v="3"/>
    <n v="1219.32"/>
    <n v="3657.96"/>
    <n v="3657.96"/>
    <n v="0"/>
    <s v="Belgium"/>
    <x v="2"/>
  </r>
  <r>
    <n v="2024004229"/>
    <x v="103"/>
    <n v="2024"/>
    <x v="9"/>
    <s v="PROD_001"/>
    <s v="Laptop Pro"/>
    <s v="Electronics"/>
    <n v="2"/>
    <n v="1172.0999999999999"/>
    <n v="2344.1999999999998"/>
    <n v="2344.1999999999998"/>
    <n v="0"/>
    <s v="UK"/>
    <x v="1"/>
  </r>
  <r>
    <n v="2024004230"/>
    <x v="95"/>
    <n v="2024"/>
    <x v="207"/>
    <s v="PROD_003"/>
    <s v="USB-C Cable"/>
    <s v="Electronics"/>
    <n v="1"/>
    <n v="14.48"/>
    <n v="14.48"/>
    <n v="14.48"/>
    <n v="0"/>
    <s v="France"/>
    <x v="1"/>
  </r>
  <r>
    <n v="2024004231"/>
    <x v="56"/>
    <n v="2024"/>
    <x v="16"/>
    <s v="PROD_008"/>
    <s v="Desk Lamp"/>
    <s v="Furniture"/>
    <n v="1"/>
    <n v="81.739999999999995"/>
    <n v="81.739999999999995"/>
    <n v="81.739999999999995"/>
    <n v="0"/>
    <s v="UK"/>
    <x v="3"/>
  </r>
  <r>
    <n v="2024004232"/>
    <x v="286"/>
    <n v="2024"/>
    <x v="3"/>
    <s v="PROD_007"/>
    <s v="Keyboard Mechanical"/>
    <s v="Electronics"/>
    <n v="1"/>
    <n v="117.59"/>
    <n v="117.59"/>
    <n v="117.59"/>
    <n v="0"/>
    <s v="Germany"/>
    <x v="2"/>
  </r>
  <r>
    <n v="2024004233"/>
    <x v="269"/>
    <n v="2024"/>
    <x v="182"/>
    <s v="PROD_006"/>
    <s v="Monitor 27&quot;"/>
    <s v="Electronics"/>
    <n v="3"/>
    <n v="417.17"/>
    <n v="1251.51"/>
    <n v="1251.51"/>
    <n v="0"/>
    <s v="France"/>
    <x v="0"/>
  </r>
  <r>
    <n v="2024004234"/>
    <x v="277"/>
    <n v="2024"/>
    <x v="69"/>
    <s v="PROD_007"/>
    <s v="Keyboard Mechanical"/>
    <s v="Electronics"/>
    <n v="1"/>
    <n v="119.04"/>
    <n v="119.04"/>
    <n v="119.04"/>
    <n v="0"/>
    <s v="Italy"/>
    <x v="3"/>
  </r>
  <r>
    <n v="2024004235"/>
    <x v="26"/>
    <n v="2024"/>
    <x v="193"/>
    <s v="PROD_007"/>
    <s v="Keyboard Mechanical"/>
    <s v="Electronics"/>
    <n v="1"/>
    <n v="116.89"/>
    <n v="116.89"/>
    <n v="116.89"/>
    <n v="0"/>
    <s v="Sweden"/>
    <x v="2"/>
  </r>
  <r>
    <n v="2024004236"/>
    <x v="169"/>
    <n v="2024"/>
    <x v="35"/>
    <s v="PROD_008"/>
    <s v="Desk Lamp"/>
    <s v="Furniture"/>
    <n v="5"/>
    <n v="79.489999999999995"/>
    <n v="397.45"/>
    <n v="397.45"/>
    <n v="0"/>
    <s v="Austria"/>
    <x v="1"/>
  </r>
  <r>
    <n v="2024004237"/>
    <x v="137"/>
    <n v="2024"/>
    <x v="218"/>
    <s v="PROD_002"/>
    <s v="Wireless Mouse"/>
    <s v="Electronics"/>
    <n v="1"/>
    <n v="44.59"/>
    <n v="44.59"/>
    <n v="44.59"/>
    <n v="0"/>
    <s v="France"/>
    <x v="0"/>
  </r>
  <r>
    <n v="2024004238"/>
    <x v="255"/>
    <n v="2024"/>
    <x v="68"/>
    <s v="PROD_006"/>
    <s v="Monitor 27&quot;"/>
    <s v="Electronics"/>
    <n v="1"/>
    <n v="396"/>
    <n v="396"/>
    <n v="396"/>
    <n v="0"/>
    <s v="Germany"/>
    <x v="3"/>
  </r>
  <r>
    <n v="2024004239"/>
    <x v="158"/>
    <n v="2024"/>
    <x v="185"/>
    <s v="PROD_005"/>
    <s v="Standing Desk"/>
    <s v="Furniture"/>
    <n v="2"/>
    <n v="622.29"/>
    <n v="1244.58"/>
    <n v="1244.58"/>
    <n v="0"/>
    <s v="UK"/>
    <x v="0"/>
  </r>
  <r>
    <n v="2024004240"/>
    <x v="189"/>
    <n v="2024"/>
    <x v="295"/>
    <s v="PROD_003"/>
    <s v="USB-C Cable"/>
    <s v="Electronics"/>
    <n v="3"/>
    <n v="15.06"/>
    <n v="45.18"/>
    <n v="45.18"/>
    <n v="0"/>
    <s v="UK"/>
    <x v="0"/>
  </r>
  <r>
    <n v="2024004241"/>
    <x v="46"/>
    <n v="2024"/>
    <x v="108"/>
    <s v="PROD_009"/>
    <s v="Phone Stand"/>
    <s v="Accessories"/>
    <n v="0"/>
    <n v="24.22"/>
    <n v="0"/>
    <n v="0"/>
    <n v="0"/>
    <s v="Germany"/>
    <x v="1"/>
  </r>
  <r>
    <n v="2024004242"/>
    <x v="258"/>
    <n v="2024"/>
    <x v="0"/>
    <s v="PROD_003"/>
    <s v="USB-C Cable"/>
    <s v="Electronics"/>
    <n v="4"/>
    <n v="16.149999999999999"/>
    <n v="64.599999999999994"/>
    <n v="64.599999999999994"/>
    <n v="0"/>
    <s v="France"/>
    <x v="0"/>
  </r>
  <r>
    <n v="2024004243"/>
    <x v="164"/>
    <n v="2024"/>
    <x v="96"/>
    <s v="PROD_006"/>
    <s v="Monitor 27&quot;"/>
    <s v="Electronics"/>
    <n v="3"/>
    <n v="411.66"/>
    <n v="1234.98"/>
    <n v="1234.98"/>
    <n v="0"/>
    <s v="Austria"/>
    <x v="0"/>
  </r>
  <r>
    <n v="2024004244"/>
    <x v="38"/>
    <n v="2024"/>
    <x v="121"/>
    <s v="PROD_001"/>
    <s v="Laptop Pro"/>
    <s v="Electronics"/>
    <n v="2"/>
    <n v="1241.79"/>
    <n v="2483.58"/>
    <n v="2483.58"/>
    <n v="0"/>
    <s v="Spain"/>
    <x v="1"/>
  </r>
  <r>
    <n v="2024004245"/>
    <x v="187"/>
    <n v="2024"/>
    <x v="159"/>
    <s v="PROD_008"/>
    <s v="Desk Lamp"/>
    <s v="Furniture"/>
    <n v="1"/>
    <n v="83.18"/>
    <n v="83.18"/>
    <n v="83.18"/>
    <n v="0"/>
    <s v="Italy"/>
    <x v="1"/>
  </r>
  <r>
    <n v="2024004246"/>
    <x v="46"/>
    <n v="2024"/>
    <x v="36"/>
    <s v="PROD_002"/>
    <s v="Wireless Mouse"/>
    <s v="Electronics"/>
    <n v="1"/>
    <n v="46.15"/>
    <n v="46.15"/>
    <n v="46.15"/>
    <n v="0"/>
    <s v="Switzerland"/>
    <x v="2"/>
  </r>
  <r>
    <n v="2024004247"/>
    <x v="178"/>
    <n v="2024"/>
    <x v="43"/>
    <s v="PROD_002"/>
    <s v="Wireless Mouse"/>
    <s v="Electronics"/>
    <n v="1"/>
    <n v="45.72"/>
    <n v="45.72"/>
    <n v="45.72"/>
    <n v="0"/>
    <s v="Germany"/>
    <x v="3"/>
  </r>
  <r>
    <n v="2024004248"/>
    <x v="285"/>
    <n v="2024"/>
    <x v="0"/>
    <s v="PROD_008"/>
    <s v="Desk Lamp"/>
    <s v="Furniture"/>
    <n v="2"/>
    <n v="86.9"/>
    <n v="173.8"/>
    <n v="173.8"/>
    <n v="0"/>
    <s v="Germany"/>
    <x v="2"/>
  </r>
  <r>
    <n v="2024004249"/>
    <x v="8"/>
    <n v="2024"/>
    <x v="112"/>
    <s v="PROD_003"/>
    <s v="USB-C Cable"/>
    <s v="Electronics"/>
    <n v="3"/>
    <n v="15.54"/>
    <n v="46.62"/>
    <n v="46.62"/>
    <n v="0"/>
    <s v="Sweden"/>
    <x v="1"/>
  </r>
  <r>
    <n v="2024004250"/>
    <x v="315"/>
    <n v="2024"/>
    <x v="204"/>
    <s v="PROD_007"/>
    <s v="Keyboard Mechanical"/>
    <s v="Electronics"/>
    <n v="3"/>
    <n v="122.62"/>
    <n v="367.86"/>
    <n v="367.86"/>
    <n v="0"/>
    <s v="Belgium"/>
    <x v="3"/>
  </r>
  <r>
    <n v="2024004251"/>
    <x v="246"/>
    <n v="2024"/>
    <x v="219"/>
    <s v="PROD_006"/>
    <s v="Monitor 27&quot;"/>
    <s v="Electronics"/>
    <n v="1"/>
    <n v="402.28"/>
    <n v="402.28"/>
    <n v="402.28"/>
    <n v="0"/>
    <s v="Netherlands"/>
    <x v="2"/>
  </r>
  <r>
    <n v="2024004252"/>
    <x v="272"/>
    <n v="2024"/>
    <x v="112"/>
    <s v="PROD_001"/>
    <s v="Laptop Pro"/>
    <s v="Electronics"/>
    <n v="1"/>
    <n v="1218.01"/>
    <n v="1218.01"/>
    <n v="1218.01"/>
    <n v="0"/>
    <s v="Austria"/>
    <x v="2"/>
  </r>
  <r>
    <n v="2024004253"/>
    <x v="271"/>
    <n v="2024"/>
    <x v="0"/>
    <s v="PROD_001"/>
    <s v="Laptop Pro"/>
    <s v="Electronics"/>
    <n v="3"/>
    <n v="1240.48"/>
    <n v="3721.44"/>
    <n v="3721.44"/>
    <n v="0"/>
    <s v="France"/>
    <x v="2"/>
  </r>
  <r>
    <n v="2024004254"/>
    <x v="246"/>
    <n v="2024"/>
    <x v="127"/>
    <s v="PROD_003"/>
    <s v="USB-C Cable"/>
    <s v="Electronics"/>
    <n v="2"/>
    <n v="15.92"/>
    <n v="31.84"/>
    <n v="31.84"/>
    <n v="0"/>
    <s v="France"/>
    <x v="2"/>
  </r>
  <r>
    <n v="2024004255"/>
    <x v="254"/>
    <n v="2024"/>
    <x v="202"/>
    <s v="PROD_008"/>
    <s v="Desk Lamp"/>
    <s v="Furniture"/>
    <n v="1"/>
    <n v="75.150000000000006"/>
    <n v="75.150000000000006"/>
    <n v="75.150000000000006"/>
    <n v="0"/>
    <s v="Belgium"/>
    <x v="2"/>
  </r>
  <r>
    <n v="2024004256"/>
    <x v="296"/>
    <n v="2024"/>
    <x v="19"/>
    <s v="PROD_001"/>
    <s v="Laptop Pro"/>
    <s v="Electronics"/>
    <n v="3"/>
    <n v="1235.98"/>
    <n v="3707.94"/>
    <n v="3707.94"/>
    <n v="0"/>
    <s v="Italy"/>
    <x v="3"/>
  </r>
  <r>
    <n v="2024004257"/>
    <x v="311"/>
    <n v="2024"/>
    <x v="206"/>
    <s v="PROD_008"/>
    <s v="Desk Lamp"/>
    <s v="Furniture"/>
    <n v="2"/>
    <n v="85.09"/>
    <n v="170.18"/>
    <n v="170.18"/>
    <n v="0"/>
    <s v="Belgium"/>
    <x v="2"/>
  </r>
  <r>
    <n v="2024004258"/>
    <x v="29"/>
    <n v="2024"/>
    <x v="158"/>
    <s v="PROD_004"/>
    <s v="Desk Chair"/>
    <s v="Furniture"/>
    <n v="1"/>
    <n v="340.53"/>
    <n v="340.53"/>
    <n v="340.53"/>
    <n v="0"/>
    <s v="UK"/>
    <x v="3"/>
  </r>
  <r>
    <n v="2024004259"/>
    <x v="92"/>
    <n v="2024"/>
    <x v="15"/>
    <s v="PROD_004"/>
    <s v="Desk Chair"/>
    <s v="Furniture"/>
    <n v="1"/>
    <n v="357.89"/>
    <n v="357.89"/>
    <n v="357.89"/>
    <n v="0"/>
    <s v="Germany"/>
    <x v="0"/>
  </r>
  <r>
    <n v="2024004260"/>
    <x v="319"/>
    <n v="2024"/>
    <x v="202"/>
    <s v="PROD_008"/>
    <s v="Desk Lamp"/>
    <s v="Furniture"/>
    <n v="2"/>
    <n v="78.72"/>
    <n v="157.44"/>
    <n v="157.44"/>
    <n v="0"/>
    <s v="Switzerland"/>
    <x v="1"/>
  </r>
  <r>
    <n v="2024004261"/>
    <x v="214"/>
    <n v="2024"/>
    <x v="170"/>
    <s v="PROD_002"/>
    <s v="Wireless Mouse"/>
    <s v="Electronics"/>
    <n v="1"/>
    <n v="45.15"/>
    <n v="45.15"/>
    <n v="45.15"/>
    <n v="0"/>
    <s v="Netherlands"/>
    <x v="3"/>
  </r>
  <r>
    <n v="2024004262"/>
    <x v="326"/>
    <n v="2024"/>
    <x v="159"/>
    <s v="PROD_009"/>
    <s v="Phone Stand"/>
    <s v="Accessories"/>
    <n v="1"/>
    <n v="27.19"/>
    <n v="27.19"/>
    <n v="27.19"/>
    <n v="0"/>
    <s v="Germany"/>
    <x v="1"/>
  </r>
  <r>
    <n v="2024004263"/>
    <x v="10"/>
    <n v="2024"/>
    <x v="1"/>
    <s v="PROD_002"/>
    <s v="Wireless Mouse"/>
    <s v="Electronics"/>
    <n v="1"/>
    <n v="42.22"/>
    <n v="42.22"/>
    <n v="42.22"/>
    <n v="0"/>
    <s v="Netherlands"/>
    <x v="2"/>
  </r>
  <r>
    <n v="2024004264"/>
    <x v="303"/>
    <n v="2024"/>
    <x v="3"/>
    <s v="PROD_010"/>
    <s v="Webcam HD"/>
    <s v="Electronics"/>
    <n v="1"/>
    <n v="90.18"/>
    <n v="90.18"/>
    <n v="90.18"/>
    <n v="0"/>
    <s v="France"/>
    <x v="2"/>
  </r>
  <r>
    <n v="2024004265"/>
    <x v="187"/>
    <n v="2024"/>
    <x v="108"/>
    <s v="PROD_002"/>
    <s v="Wireless Mouse"/>
    <s v="Electronics"/>
    <n v="2"/>
    <n v="47.45"/>
    <n v="94.9"/>
    <n v="94.9"/>
    <n v="0"/>
    <s v="Belgium"/>
    <x v="0"/>
  </r>
  <r>
    <n v="2024004266"/>
    <x v="215"/>
    <n v="2024"/>
    <x v="144"/>
    <s v="PROD_002"/>
    <s v="Wireless Mouse"/>
    <s v="Electronics"/>
    <n v="4"/>
    <n v="44.25"/>
    <n v="177"/>
    <n v="177"/>
    <n v="0"/>
    <s v="UK"/>
    <x v="2"/>
  </r>
  <r>
    <n v="2024004267"/>
    <x v="371"/>
    <n v="2023"/>
    <x v="151"/>
    <s v="PROD_010"/>
    <s v="Webcam HD"/>
    <s v="Electronics"/>
    <n v="1"/>
    <n v="89.94"/>
    <n v="89.94"/>
    <n v="89.94"/>
    <n v="0"/>
    <s v="Sweden"/>
    <x v="0"/>
  </r>
  <r>
    <n v="2024004268"/>
    <x v="165"/>
    <n v="2024"/>
    <x v="253"/>
    <s v="PROD_006"/>
    <s v="Monitor 27&quot;"/>
    <s v="Electronics"/>
    <n v="2"/>
    <n v="355.67"/>
    <n v="711.34"/>
    <n v="711.34"/>
    <n v="0"/>
    <s v="Belgium"/>
    <x v="3"/>
  </r>
  <r>
    <n v="2024004269"/>
    <x v="97"/>
    <n v="2024"/>
    <x v="283"/>
    <s v="PROD_007"/>
    <s v="Keyboard Mechanical"/>
    <s v="Electronics"/>
    <n v="4"/>
    <n v="119.22"/>
    <n v="476.88"/>
    <n v="476.88"/>
    <n v="0"/>
    <s v="Belgium"/>
    <x v="1"/>
  </r>
  <r>
    <n v="2024004270"/>
    <x v="171"/>
    <n v="2024"/>
    <x v="149"/>
    <s v="PROD_007"/>
    <s v="Keyboard Mechanical"/>
    <s v="Electronics"/>
    <n v="2"/>
    <n v="116.58"/>
    <n v="233.16"/>
    <n v="233.16"/>
    <n v="0"/>
    <s v="UK"/>
    <x v="2"/>
  </r>
  <r>
    <n v="2024004271"/>
    <x v="111"/>
    <n v="2024"/>
    <x v="188"/>
    <s v="PROD_007"/>
    <s v="Keyboard Mechanical"/>
    <s v="Electronics"/>
    <n v="4"/>
    <n v="122.42"/>
    <n v="489.68"/>
    <n v="489.68"/>
    <n v="0"/>
    <s v="Germany"/>
    <x v="1"/>
  </r>
  <r>
    <n v="2024004272"/>
    <x v="265"/>
    <n v="2024"/>
    <x v="263"/>
    <s v="PROD_006"/>
    <s v="Monitor 27&quot;"/>
    <s v="Electronics"/>
    <n v="4"/>
    <n v="398.87"/>
    <n v="1595.48"/>
    <n v="1595.48"/>
    <n v="0"/>
    <s v="Netherlands"/>
    <x v="2"/>
  </r>
  <r>
    <n v="2024004273"/>
    <x v="195"/>
    <n v="2024"/>
    <x v="284"/>
    <s v="PROD_006"/>
    <s v="Monitor 27&quot;"/>
    <s v="Electronics"/>
    <n v="1"/>
    <n v="389.96"/>
    <n v="389.96"/>
    <n v="389.96"/>
    <n v="0"/>
    <s v="UK"/>
    <x v="2"/>
  </r>
  <r>
    <n v="2024004274"/>
    <x v="94"/>
    <n v="2024"/>
    <x v="201"/>
    <s v="PROD_004"/>
    <s v="Desk Chair"/>
    <s v="Furniture"/>
    <n v="2"/>
    <n v="341.62"/>
    <n v="683.24"/>
    <n v="683.24"/>
    <n v="0"/>
    <s v="Netherlands"/>
    <x v="3"/>
  </r>
  <r>
    <n v="2024004275"/>
    <x v="321"/>
    <n v="2024"/>
    <x v="142"/>
    <s v="PROD_006"/>
    <s v="Monitor 27&quot;"/>
    <s v="Electronics"/>
    <n v="2"/>
    <n v="387.56"/>
    <n v="775.12"/>
    <n v="775.12"/>
    <n v="0"/>
    <s v="France"/>
    <x v="1"/>
  </r>
  <r>
    <n v="2024004276"/>
    <x v="157"/>
    <n v="2024"/>
    <x v="143"/>
    <s v="PROD_010"/>
    <s v="Webcam HD"/>
    <s v="Electronics"/>
    <n v="3"/>
    <n v="85.68"/>
    <n v="257.04000000000002"/>
    <n v="257.04000000000002"/>
    <n v="0"/>
    <s v="Italy"/>
    <x v="3"/>
  </r>
  <r>
    <n v="2024004277"/>
    <x v="115"/>
    <n v="2024"/>
    <x v="0"/>
    <s v="PROD_006"/>
    <s v="Monitor 27&quot;"/>
    <s v="Electronics"/>
    <n v="1"/>
    <n v="407.31"/>
    <n v="407.31"/>
    <n v="407.31"/>
    <n v="0"/>
    <s v="Italy"/>
    <x v="2"/>
  </r>
  <r>
    <n v="2024004278"/>
    <x v="231"/>
    <n v="2024"/>
    <x v="0"/>
    <s v="PROD_004"/>
    <s v="Desk Chair"/>
    <s v="Furniture"/>
    <n v="2"/>
    <n v="355.14"/>
    <n v="710.28"/>
    <n v="710.28"/>
    <n v="0"/>
    <s v="Belgium"/>
    <x v="3"/>
  </r>
  <r>
    <n v="2024004279"/>
    <x v="215"/>
    <n v="2024"/>
    <x v="238"/>
    <s v="PROD_009"/>
    <s v="Phone Stand"/>
    <s v="Accessories"/>
    <n v="1"/>
    <n v="20.48"/>
    <n v="20.48"/>
    <n v="20.48"/>
    <n v="0"/>
    <s v="Netherlands"/>
    <x v="3"/>
  </r>
  <r>
    <n v="2024004280"/>
    <x v="240"/>
    <n v="2024"/>
    <x v="34"/>
    <s v="PROD_007"/>
    <s v="Keyboard Mechanical"/>
    <s v="Electronics"/>
    <n v="1"/>
    <n v="116.8"/>
    <n v="116.8"/>
    <n v="116.8"/>
    <n v="0"/>
    <s v="Germany"/>
    <x v="1"/>
  </r>
  <r>
    <n v="2024004281"/>
    <x v="105"/>
    <n v="2024"/>
    <x v="102"/>
    <s v="PROD_007"/>
    <s v="Keyboard Mechanical"/>
    <s v="Electronics"/>
    <n v="1"/>
    <n v="111.11"/>
    <n v="111.11"/>
    <n v="111.11"/>
    <n v="0"/>
    <s v="Germany"/>
    <x v="1"/>
  </r>
  <r>
    <n v="2024004282"/>
    <x v="95"/>
    <n v="2024"/>
    <x v="0"/>
    <s v="PROD_005"/>
    <s v="Standing Desk"/>
    <s v="Furniture"/>
    <n v="2"/>
    <n v="577.58000000000004"/>
    <n v="1155.1600000000001"/>
    <n v="1155.1600000000001"/>
    <n v="0"/>
    <s v="Spain"/>
    <x v="3"/>
  </r>
  <r>
    <n v="2024004283"/>
    <x v="104"/>
    <n v="2024"/>
    <x v="190"/>
    <s v="PROD_001"/>
    <s v="Laptop Pro"/>
    <s v="Electronics"/>
    <n v="1"/>
    <n v="1149.22"/>
    <n v="1149.22"/>
    <n v="1149.22"/>
    <n v="0"/>
    <s v="UK"/>
    <x v="2"/>
  </r>
  <r>
    <n v="2024004284"/>
    <x v="124"/>
    <n v="2024"/>
    <x v="123"/>
    <s v="PROD_003"/>
    <s v="USB-C Cable"/>
    <s v="Electronics"/>
    <n v="1"/>
    <n v="14.69"/>
    <n v="14.69"/>
    <n v="14.69"/>
    <n v="0"/>
    <s v="Belgium"/>
    <x v="1"/>
  </r>
  <r>
    <n v="2024004285"/>
    <x v="367"/>
    <n v="2024"/>
    <x v="0"/>
    <s v="PROD_005"/>
    <s v="Standing Desk"/>
    <s v="Furniture"/>
    <n v="1"/>
    <n v="623.66999999999996"/>
    <n v="623.66999999999996"/>
    <n v="623.66999999999996"/>
    <n v="0"/>
    <s v="France"/>
    <x v="0"/>
  </r>
  <r>
    <n v="2024004286"/>
    <x v="116"/>
    <n v="2024"/>
    <x v="147"/>
    <s v="PROD_002"/>
    <s v="Wireless Mouse"/>
    <s v="Electronics"/>
    <n v="1"/>
    <n v="42.77"/>
    <n v="42.77"/>
    <n v="42.77"/>
    <n v="0"/>
    <s v="Italy"/>
    <x v="3"/>
  </r>
  <r>
    <n v="2024004287"/>
    <x v="290"/>
    <n v="2024"/>
    <x v="0"/>
    <s v="PROD_008"/>
    <s v="Desk Lamp"/>
    <s v="Furniture"/>
    <n v="1"/>
    <n v="79.16"/>
    <n v="79.16"/>
    <n v="79.16"/>
    <n v="0"/>
    <s v="UK"/>
    <x v="2"/>
  </r>
  <r>
    <n v="2024004288"/>
    <x v="314"/>
    <n v="2024"/>
    <x v="199"/>
    <s v="PROD_005"/>
    <s v="Standing Desk"/>
    <s v="Furniture"/>
    <n v="1"/>
    <n v="623.03"/>
    <n v="623.03"/>
    <n v="623.03"/>
    <n v="0"/>
    <s v="Netherlands"/>
    <x v="1"/>
  </r>
  <r>
    <n v="2024004289"/>
    <x v="148"/>
    <n v="2024"/>
    <x v="188"/>
    <s v="PROD_010"/>
    <s v="Webcam HD"/>
    <s v="Electronics"/>
    <n v="0"/>
    <n v="90.44"/>
    <n v="0"/>
    <n v="0"/>
    <n v="0"/>
    <s v="France"/>
    <x v="2"/>
  </r>
  <r>
    <n v="2024004290"/>
    <x v="213"/>
    <n v="2024"/>
    <x v="0"/>
    <s v="PROD_005"/>
    <s v="Standing Desk"/>
    <s v="Furniture"/>
    <n v="4"/>
    <n v="620.96"/>
    <n v="2483.84"/>
    <n v="2483.84"/>
    <n v="0"/>
    <s v="Italy"/>
    <x v="2"/>
  </r>
  <r>
    <n v="2024004291"/>
    <x v="103"/>
    <n v="2024"/>
    <x v="0"/>
    <s v="PROD_005"/>
    <s v="Standing Desk"/>
    <s v="Furniture"/>
    <n v="1"/>
    <n v="584.78"/>
    <n v="584.78"/>
    <n v="584.78"/>
    <n v="0"/>
    <s v="Netherlands"/>
    <x v="0"/>
  </r>
  <r>
    <n v="2024004292"/>
    <x v="116"/>
    <n v="2024"/>
    <x v="74"/>
    <s v="PROD_002"/>
    <s v="Wireless Mouse"/>
    <s v="Electronics"/>
    <n v="5"/>
    <n v="45.17"/>
    <n v="225.85"/>
    <n v="225.85000000000002"/>
    <n v="0"/>
    <s v="France"/>
    <x v="1"/>
  </r>
  <r>
    <n v="2024004293"/>
    <x v="69"/>
    <n v="2024"/>
    <x v="4"/>
    <s v="PROD_007"/>
    <s v="Keyboard Mechanical"/>
    <s v="Electronics"/>
    <n v="2"/>
    <n v="116.82"/>
    <n v="233.64"/>
    <n v="233.64"/>
    <n v="0"/>
    <s v="Switzerland"/>
    <x v="0"/>
  </r>
  <r>
    <n v="2024004294"/>
    <x v="318"/>
    <n v="2024"/>
    <x v="278"/>
    <s v="PROD_001"/>
    <s v="Laptop Pro"/>
    <s v="Electronics"/>
    <n v="1"/>
    <n v="1142.4100000000001"/>
    <n v="1142.4100000000001"/>
    <n v="1142.4100000000001"/>
    <n v="0"/>
    <s v="Belgium"/>
    <x v="3"/>
  </r>
  <r>
    <n v="2024004295"/>
    <x v="234"/>
    <n v="2024"/>
    <x v="53"/>
    <s v="PROD_001"/>
    <s v="Laptop Pro"/>
    <s v="Electronics"/>
    <n v="1"/>
    <n v="1186.5"/>
    <n v="1186.5"/>
    <n v="1186.5"/>
    <n v="0"/>
    <s v="Belgium"/>
    <x v="3"/>
  </r>
  <r>
    <n v="2024004296"/>
    <x v="131"/>
    <n v="2024"/>
    <x v="15"/>
    <s v="PROD_003"/>
    <s v="USB-C Cable"/>
    <s v="Electronics"/>
    <n v="1"/>
    <n v="14.99"/>
    <n v="14.99"/>
    <n v="14.99"/>
    <n v="0"/>
    <s v="Sweden"/>
    <x v="2"/>
  </r>
  <r>
    <n v="2024004297"/>
    <x v="36"/>
    <n v="2024"/>
    <x v="254"/>
    <s v="PROD_002"/>
    <s v="Wireless Mouse"/>
    <s v="Electronics"/>
    <n v="3"/>
    <n v="45.55"/>
    <n v="136.65"/>
    <n v="136.64999999999998"/>
    <n v="0"/>
    <s v="Belgium"/>
    <x v="2"/>
  </r>
  <r>
    <n v="2024004298"/>
    <x v="288"/>
    <n v="2024"/>
    <x v="27"/>
    <s v="PROD_001"/>
    <s v="Laptop Pro"/>
    <s v="Electronics"/>
    <n v="1"/>
    <n v="1223.8499999999999"/>
    <n v="1223.8499999999999"/>
    <n v="1223.8499999999999"/>
    <n v="0"/>
    <s v="Spain"/>
    <x v="3"/>
  </r>
  <r>
    <n v="2024004299"/>
    <x v="331"/>
    <n v="2024"/>
    <x v="233"/>
    <s v="PROD_004"/>
    <s v="Desk Chair"/>
    <s v="Furniture"/>
    <n v="3"/>
    <n v="324.95999999999998"/>
    <n v="974.88"/>
    <n v="974.87999999999988"/>
    <n v="0"/>
    <s v="Austria"/>
    <x v="3"/>
  </r>
  <r>
    <n v="2024004300"/>
    <x v="61"/>
    <n v="2024"/>
    <x v="135"/>
    <s v="PROD_004"/>
    <s v="Desk Chair"/>
    <s v="Furniture"/>
    <n v="5"/>
    <n v="324.22000000000003"/>
    <n v="1621.1"/>
    <n v="1621.1000000000001"/>
    <n v="0"/>
    <s v="Belgium"/>
    <x v="3"/>
  </r>
  <r>
    <n v="2024004301"/>
    <x v="98"/>
    <n v="2024"/>
    <x v="213"/>
    <s v="PROD_008"/>
    <s v="Desk Lamp"/>
    <s v="Furniture"/>
    <n v="3"/>
    <n v="78.37"/>
    <n v="235.11"/>
    <n v="235.11"/>
    <n v="0"/>
    <s v="Germany"/>
    <x v="2"/>
  </r>
  <r>
    <n v="2024004302"/>
    <x v="266"/>
    <n v="2024"/>
    <x v="137"/>
    <s v="PROD_005"/>
    <s v="Standing Desk"/>
    <s v="Furniture"/>
    <n v="2"/>
    <n v="581.54"/>
    <n v="1163.08"/>
    <n v="1163.08"/>
    <n v="0"/>
    <s v="Spain"/>
    <x v="1"/>
  </r>
  <r>
    <n v="2024004303"/>
    <x v="337"/>
    <n v="2024"/>
    <x v="196"/>
    <s v="PROD_002"/>
    <s v="Wireless Mouse"/>
    <s v="Electronics"/>
    <n v="2"/>
    <n v="45"/>
    <n v="90"/>
    <n v="90"/>
    <n v="0"/>
    <s v="Germany"/>
    <x v="0"/>
  </r>
  <r>
    <n v="2024004304"/>
    <x v="242"/>
    <n v="2024"/>
    <x v="220"/>
    <s v="PROD_010"/>
    <s v="Webcam HD"/>
    <s v="Electronics"/>
    <n v="1"/>
    <n v="81.64"/>
    <n v="81.64"/>
    <n v="81.64"/>
    <n v="0"/>
    <s v="UK"/>
    <x v="3"/>
  </r>
  <r>
    <n v="2024004305"/>
    <x v="100"/>
    <n v="2024"/>
    <x v="274"/>
    <s v="PROD_002"/>
    <s v="Wireless Mouse"/>
    <s v="Electronics"/>
    <n v="2"/>
    <n v="44.26"/>
    <n v="88.52"/>
    <n v="88.52"/>
    <n v="0"/>
    <s v="Austria"/>
    <x v="1"/>
  </r>
  <r>
    <n v="2024004306"/>
    <x v="212"/>
    <n v="2024"/>
    <x v="0"/>
    <s v="PROD_005"/>
    <s v="Standing Desk"/>
    <s v="Furniture"/>
    <n v="1"/>
    <n v="618.04"/>
    <n v="618.04"/>
    <n v="618.04"/>
    <n v="0"/>
    <s v="Germany"/>
    <x v="1"/>
  </r>
  <r>
    <n v="2024004307"/>
    <x v="279"/>
    <n v="2024"/>
    <x v="191"/>
    <s v="PROD_004"/>
    <s v="Desk Chair"/>
    <s v="Furniture"/>
    <n v="4"/>
    <n v="382.58"/>
    <n v="1530.32"/>
    <n v="1530.32"/>
    <n v="0"/>
    <s v="Sweden"/>
    <x v="1"/>
  </r>
  <r>
    <n v="2024004308"/>
    <x v="215"/>
    <n v="2024"/>
    <x v="291"/>
    <s v="PROD_002"/>
    <s v="Wireless Mouse"/>
    <s v="Electronics"/>
    <n v="2"/>
    <n v="45.35"/>
    <n v="90.7"/>
    <n v="90.7"/>
    <n v="0"/>
    <s v="France"/>
    <x v="0"/>
  </r>
  <r>
    <n v="2024004309"/>
    <x v="305"/>
    <n v="2024"/>
    <x v="180"/>
    <s v="PROD_008"/>
    <s v="Desk Lamp"/>
    <s v="Furniture"/>
    <n v="3"/>
    <n v="77.2"/>
    <n v="231.6"/>
    <n v="231.60000000000002"/>
    <n v="0"/>
    <s v="Spain"/>
    <x v="3"/>
  </r>
  <r>
    <n v="2024004310"/>
    <x v="57"/>
    <n v="2024"/>
    <x v="272"/>
    <s v="PROD_001"/>
    <s v="Laptop Pro"/>
    <s v="Electronics"/>
    <n v="3"/>
    <n v="1227.0899999999999"/>
    <n v="3681.27"/>
    <n v="3681.2699999999995"/>
    <n v="0"/>
    <s v="Belgium"/>
    <x v="3"/>
  </r>
  <r>
    <n v="2024004311"/>
    <x v="303"/>
    <n v="2024"/>
    <x v="250"/>
    <s v="PROD_005"/>
    <s v="Standing Desk"/>
    <s v="Furniture"/>
    <n v="2"/>
    <n v="608"/>
    <n v="1216"/>
    <n v="1216"/>
    <n v="0"/>
    <s v="Switzerland"/>
    <x v="1"/>
  </r>
  <r>
    <n v="2024004312"/>
    <x v="229"/>
    <n v="2024"/>
    <x v="211"/>
    <s v="PROD_010"/>
    <s v="Webcam HD"/>
    <s v="Electronics"/>
    <n v="1"/>
    <n v="97.49"/>
    <n v="97.49"/>
    <n v="97.49"/>
    <n v="0"/>
    <s v="Switzerland"/>
    <x v="0"/>
  </r>
  <r>
    <n v="2024004313"/>
    <x v="285"/>
    <n v="2024"/>
    <x v="281"/>
    <s v="PROD_005"/>
    <s v="Standing Desk"/>
    <s v="Furniture"/>
    <n v="2"/>
    <n v="555.66"/>
    <n v="1111.32"/>
    <n v="1111.32"/>
    <n v="0"/>
    <s v="Netherlands"/>
    <x v="2"/>
  </r>
  <r>
    <n v="2024004314"/>
    <x v="291"/>
    <n v="2024"/>
    <x v="147"/>
    <s v="PROD_007"/>
    <s v="Keyboard Mechanical"/>
    <s v="Electronics"/>
    <n v="5"/>
    <n v="109.66"/>
    <n v="548.29999999999995"/>
    <n v="548.29999999999995"/>
    <n v="0"/>
    <s v="Netherlands"/>
    <x v="2"/>
  </r>
  <r>
    <n v="2024004315"/>
    <x v="336"/>
    <n v="2024"/>
    <x v="211"/>
    <s v="PROD_003"/>
    <s v="USB-C Cable"/>
    <s v="Electronics"/>
    <n v="4"/>
    <n v="15.23"/>
    <n v="60.92"/>
    <n v="60.92"/>
    <n v="0"/>
    <s v="Germany"/>
    <x v="3"/>
  </r>
  <r>
    <n v="2024004316"/>
    <x v="121"/>
    <n v="2024"/>
    <x v="109"/>
    <s v="PROD_004"/>
    <s v="Desk Chair"/>
    <s v="Furniture"/>
    <n v="1"/>
    <n v="376.38"/>
    <n v="376.38"/>
    <n v="376.38"/>
    <n v="0"/>
    <s v="Italy"/>
    <x v="3"/>
  </r>
  <r>
    <n v="2024004317"/>
    <x v="7"/>
    <n v="2024"/>
    <x v="179"/>
    <s v="PROD_003"/>
    <s v="USB-C Cable"/>
    <s v="Electronics"/>
    <n v="1"/>
    <n v="14.69"/>
    <n v="14.69"/>
    <n v="14.69"/>
    <n v="0"/>
    <s v="Switzerland"/>
    <x v="2"/>
  </r>
  <r>
    <n v="2024004318"/>
    <x v="308"/>
    <n v="2024"/>
    <x v="14"/>
    <s v="PROD_003"/>
    <s v="USB-C Cable"/>
    <s v="Electronics"/>
    <n v="1"/>
    <n v="14.74"/>
    <n v="14.74"/>
    <n v="14.74"/>
    <n v="0"/>
    <s v="Austria"/>
    <x v="0"/>
  </r>
  <r>
    <n v="2024004319"/>
    <x v="288"/>
    <n v="2024"/>
    <x v="231"/>
    <s v="PROD_009"/>
    <s v="Phone Stand"/>
    <s v="Accessories"/>
    <n v="5"/>
    <n v="26.12"/>
    <n v="130.6"/>
    <n v="130.6"/>
    <n v="0"/>
    <s v="Sweden"/>
    <x v="0"/>
  </r>
  <r>
    <n v="2024004320"/>
    <x v="51"/>
    <n v="2024"/>
    <x v="82"/>
    <s v="PROD_004"/>
    <s v="Desk Chair"/>
    <s v="Furniture"/>
    <n v="1"/>
    <n v="286.38"/>
    <n v="286.38"/>
    <n v="286.38"/>
    <n v="0"/>
    <s v="Germany"/>
    <x v="3"/>
  </r>
  <r>
    <n v="2024004321"/>
    <x v="312"/>
    <n v="2024"/>
    <x v="2"/>
    <s v="PROD_004"/>
    <s v="Desk Chair"/>
    <s v="Furniture"/>
    <n v="2"/>
    <n v="386.61"/>
    <n v="773.22"/>
    <n v="773.22"/>
    <n v="0"/>
    <s v="Belgium"/>
    <x v="1"/>
  </r>
  <r>
    <n v="2024004322"/>
    <x v="274"/>
    <n v="2024"/>
    <x v="98"/>
    <s v="PROD_004"/>
    <s v="Desk Chair"/>
    <s v="Furniture"/>
    <n v="1"/>
    <n v="388.56"/>
    <n v="388.56"/>
    <n v="388.56"/>
    <n v="0"/>
    <s v="Austria"/>
    <x v="0"/>
  </r>
  <r>
    <n v="2024004323"/>
    <x v="218"/>
    <n v="2024"/>
    <x v="82"/>
    <s v="PROD_005"/>
    <s v="Standing Desk"/>
    <s v="Furniture"/>
    <n v="4"/>
    <n v="618.96"/>
    <n v="2475.84"/>
    <n v="2475.84"/>
    <n v="0"/>
    <s v="Belgium"/>
    <x v="2"/>
  </r>
  <r>
    <n v="2024004324"/>
    <x v="151"/>
    <n v="2024"/>
    <x v="1"/>
    <s v="PROD_007"/>
    <s v="Keyboard Mechanical"/>
    <s v="Electronics"/>
    <n v="1"/>
    <n v="122.58"/>
    <n v="122.58"/>
    <n v="122.58"/>
    <n v="0"/>
    <s v="Sweden"/>
    <x v="1"/>
  </r>
  <r>
    <n v="2024004325"/>
    <x v="171"/>
    <n v="2024"/>
    <x v="126"/>
    <s v="PROD_007"/>
    <s v="Keyboard Mechanical"/>
    <s v="Electronics"/>
    <n v="1"/>
    <n v="115.7"/>
    <n v="115.7"/>
    <n v="115.7"/>
    <n v="0"/>
    <s v="UK"/>
    <x v="0"/>
  </r>
  <r>
    <n v="2024004326"/>
    <x v="259"/>
    <n v="2024"/>
    <x v="176"/>
    <s v="PROD_008"/>
    <s v="Desk Lamp"/>
    <s v="Furniture"/>
    <n v="1"/>
    <n v="84.79"/>
    <n v="84.79"/>
    <n v="84.79"/>
    <n v="0"/>
    <s v="Austria"/>
    <x v="3"/>
  </r>
  <r>
    <n v="2024002374"/>
    <x v="260"/>
    <n v="2024"/>
    <x v="79"/>
    <s v="PROD_003"/>
    <s v="USB-C Cable"/>
    <s v="Electronics"/>
    <n v="1"/>
    <n v="15.52"/>
    <n v="15.52"/>
    <n v="15.52"/>
    <n v="0"/>
    <s v="Switzerland"/>
    <x v="0"/>
  </r>
  <r>
    <n v="2024004328"/>
    <x v="312"/>
    <n v="2024"/>
    <x v="214"/>
    <s v="PROD_001"/>
    <s v="Laptop Pro"/>
    <s v="Electronics"/>
    <n v="1"/>
    <n v="1104.94"/>
    <n v="1104.94"/>
    <n v="1104.94"/>
    <n v="0"/>
    <s v="Netherlands"/>
    <x v="1"/>
  </r>
  <r>
    <n v="2024004329"/>
    <x v="358"/>
    <n v="2024"/>
    <x v="284"/>
    <s v="PROD_008"/>
    <s v="Desk Lamp"/>
    <s v="Furniture"/>
    <n v="2"/>
    <n v="73.010000000000005"/>
    <n v="146.02000000000001"/>
    <n v="146.02000000000001"/>
    <n v="0"/>
    <s v="Austria"/>
    <x v="1"/>
  </r>
  <r>
    <n v="2024004330"/>
    <x v="332"/>
    <n v="2024"/>
    <x v="177"/>
    <s v="PROD_007"/>
    <s v="Keyboard Mechanical"/>
    <s v="Electronics"/>
    <n v="3"/>
    <n v="125.47"/>
    <n v="376.41"/>
    <n v="376.40999999999997"/>
    <n v="0"/>
    <s v="Germany"/>
    <x v="1"/>
  </r>
  <r>
    <n v="2024004331"/>
    <x v="75"/>
    <n v="2024"/>
    <x v="106"/>
    <s v="PROD_007"/>
    <s v="Keyboard Mechanical"/>
    <s v="Electronics"/>
    <n v="2"/>
    <n v="125.25"/>
    <n v="250.5"/>
    <n v="250.5"/>
    <n v="0"/>
    <s v="Belgium"/>
    <x v="2"/>
  </r>
  <r>
    <n v="2024004332"/>
    <x v="61"/>
    <n v="2024"/>
    <x v="21"/>
    <s v="PROD_010"/>
    <s v="Webcam HD"/>
    <s v="Electronics"/>
    <n v="1"/>
    <n v="86.22"/>
    <n v="86.22"/>
    <n v="86.22"/>
    <n v="0"/>
    <s v="France"/>
    <x v="1"/>
  </r>
  <r>
    <n v="2024004333"/>
    <x v="69"/>
    <n v="2024"/>
    <x v="272"/>
    <s v="PROD_006"/>
    <s v="Monitor 27&quot;"/>
    <s v="Electronics"/>
    <n v="2"/>
    <n v="432.4"/>
    <n v="864.8"/>
    <n v="864.8"/>
    <n v="0"/>
    <s v="Belgium"/>
    <x v="3"/>
  </r>
  <r>
    <n v="2024004334"/>
    <x v="79"/>
    <n v="2024"/>
    <x v="211"/>
    <s v="PROD_009"/>
    <s v="Phone Stand"/>
    <s v="Accessories"/>
    <n v="2"/>
    <n v="25.22"/>
    <n v="50.44"/>
    <n v="50.44"/>
    <n v="0"/>
    <s v="Austria"/>
    <x v="1"/>
  </r>
  <r>
    <n v="2024004335"/>
    <x v="191"/>
    <n v="2024"/>
    <x v="94"/>
    <s v="PROD_010"/>
    <s v="Webcam HD"/>
    <s v="Electronics"/>
    <n v="3"/>
    <n v="95.79"/>
    <n v="287.37"/>
    <n v="287.37"/>
    <n v="0"/>
    <s v="Sweden"/>
    <x v="1"/>
  </r>
  <r>
    <n v="2024004336"/>
    <x v="337"/>
    <n v="2024"/>
    <x v="42"/>
    <s v="PROD_008"/>
    <s v="Desk Lamp"/>
    <s v="Furniture"/>
    <n v="2"/>
    <n v="78.83"/>
    <n v="157.66"/>
    <n v="157.66"/>
    <n v="0"/>
    <s v="Germany"/>
    <x v="1"/>
  </r>
  <r>
    <n v="2024004337"/>
    <x v="335"/>
    <n v="2024"/>
    <x v="0"/>
    <s v="PROD_010"/>
    <s v="Webcam HD"/>
    <s v="Electronics"/>
    <n v="3"/>
    <n v="85.67"/>
    <n v="257.01"/>
    <n v="257.01"/>
    <n v="0"/>
    <s v="Austria"/>
    <x v="2"/>
  </r>
  <r>
    <n v="2024004338"/>
    <x v="95"/>
    <n v="2024"/>
    <x v="112"/>
    <s v="PROD_009"/>
    <s v="Phone Stand"/>
    <s v="Accessories"/>
    <n v="3"/>
    <n v="26.07"/>
    <n v="78.209999999999994"/>
    <n v="78.210000000000008"/>
    <n v="0"/>
    <s v="Belgium"/>
    <x v="2"/>
  </r>
  <r>
    <n v="2024004339"/>
    <x v="150"/>
    <n v="2024"/>
    <x v="243"/>
    <s v="PROD_008"/>
    <s v="Desk Lamp"/>
    <s v="Furniture"/>
    <n v="1"/>
    <n v="80.78"/>
    <n v="80.78"/>
    <n v="80.78"/>
    <n v="0"/>
    <s v="France"/>
    <x v="0"/>
  </r>
  <r>
    <n v="2024004340"/>
    <x v="312"/>
    <n v="2024"/>
    <x v="262"/>
    <s v="PROD_008"/>
    <s v="Desk Lamp"/>
    <s v="Furniture"/>
    <n v="3"/>
    <n v="77.569999999999993"/>
    <n v="232.71"/>
    <n v="232.70999999999998"/>
    <n v="0"/>
    <s v="Switzerland"/>
    <x v="0"/>
  </r>
  <r>
    <n v="2024004341"/>
    <x v="73"/>
    <n v="2024"/>
    <x v="63"/>
    <s v="PROD_002"/>
    <s v="Wireless Mouse"/>
    <s v="Electronics"/>
    <n v="1"/>
    <n v="46.27"/>
    <n v="46.27"/>
    <n v="46.27"/>
    <n v="0"/>
    <s v="Italy"/>
    <x v="1"/>
  </r>
  <r>
    <n v="2024004342"/>
    <x v="117"/>
    <n v="2024"/>
    <x v="79"/>
    <s v="PROD_001"/>
    <s v="Laptop Pro"/>
    <s v="Electronics"/>
    <n v="1"/>
    <n v="1221.45"/>
    <n v="1221.45"/>
    <n v="1221.45"/>
    <n v="0"/>
    <s v="Austria"/>
    <x v="3"/>
  </r>
  <r>
    <n v="2024004343"/>
    <x v="147"/>
    <n v="2024"/>
    <x v="48"/>
    <s v="PROD_007"/>
    <s v="Keyboard Mechanical"/>
    <s v="Electronics"/>
    <n v="1"/>
    <n v="122"/>
    <n v="122"/>
    <n v="122"/>
    <n v="0"/>
    <s v="Belgium"/>
    <x v="1"/>
  </r>
  <r>
    <n v="2024004344"/>
    <x v="338"/>
    <n v="2024"/>
    <x v="151"/>
    <s v="PROD_002"/>
    <s v="Wireless Mouse"/>
    <s v="Electronics"/>
    <n v="1"/>
    <n v="46.33"/>
    <n v="46.33"/>
    <n v="46.33"/>
    <n v="0"/>
    <s v="UK"/>
    <x v="3"/>
  </r>
  <r>
    <n v="2024004345"/>
    <x v="138"/>
    <n v="2024"/>
    <x v="33"/>
    <s v="PROD_001"/>
    <s v="Laptop Pro"/>
    <s v="Electronics"/>
    <n v="2"/>
    <n v="1232.57"/>
    <n v="2465.14"/>
    <n v="2465.14"/>
    <n v="0"/>
    <s v="Switzerland"/>
    <x v="3"/>
  </r>
  <r>
    <n v="2024004346"/>
    <x v="58"/>
    <n v="2024"/>
    <x v="55"/>
    <s v="PROD_009"/>
    <s v="Phone Stand"/>
    <s v="Accessories"/>
    <n v="2"/>
    <n v="26.25"/>
    <n v="52.5"/>
    <n v="52.5"/>
    <n v="0"/>
    <s v="Switzerland"/>
    <x v="0"/>
  </r>
  <r>
    <n v="2024004347"/>
    <x v="126"/>
    <n v="2024"/>
    <x v="241"/>
    <s v="PROD_007"/>
    <s v="Keyboard Mechanical"/>
    <s v="Electronics"/>
    <n v="1"/>
    <n v="114.54"/>
    <n v="114.54"/>
    <n v="114.54"/>
    <n v="0"/>
    <s v="Germany"/>
    <x v="2"/>
  </r>
  <r>
    <n v="2024004348"/>
    <x v="185"/>
    <n v="2024"/>
    <x v="85"/>
    <s v="PROD_006"/>
    <s v="Monitor 27&quot;"/>
    <s v="Electronics"/>
    <n v="1"/>
    <n v="346.9"/>
    <n v="346.9"/>
    <n v="346.9"/>
    <n v="0"/>
    <s v="UK"/>
    <x v="3"/>
  </r>
  <r>
    <n v="2024004349"/>
    <x v="30"/>
    <n v="2024"/>
    <x v="197"/>
    <s v="PROD_008"/>
    <s v="Desk Lamp"/>
    <s v="Furniture"/>
    <n v="1"/>
    <n v="80.97"/>
    <n v="80.97"/>
    <n v="80.97"/>
    <n v="0"/>
    <s v="Sweden"/>
    <x v="3"/>
  </r>
  <r>
    <n v="2024004350"/>
    <x v="159"/>
    <n v="2024"/>
    <x v="243"/>
    <s v="PROD_009"/>
    <s v="Phone Stand"/>
    <s v="Accessories"/>
    <n v="1"/>
    <n v="26.76"/>
    <n v="26.76"/>
    <n v="26.76"/>
    <n v="0"/>
    <s v="Sweden"/>
    <x v="0"/>
  </r>
  <r>
    <n v="2024004351"/>
    <x v="105"/>
    <n v="2024"/>
    <x v="218"/>
    <s v="PROD_001"/>
    <s v="Laptop Pro"/>
    <s v="Electronics"/>
    <n v="3"/>
    <n v="1151.56"/>
    <n v="3454.68"/>
    <n v="3454.68"/>
    <n v="0"/>
    <s v="France"/>
    <x v="3"/>
  </r>
  <r>
    <n v="2024004352"/>
    <x v="220"/>
    <n v="2024"/>
    <x v="130"/>
    <s v="PROD_006"/>
    <s v="Monitor 27&quot;"/>
    <s v="Electronics"/>
    <n v="1"/>
    <n v="399.79"/>
    <n v="399.79"/>
    <n v="399.79"/>
    <n v="0"/>
    <s v="Germany"/>
    <x v="1"/>
  </r>
  <r>
    <n v="2024004353"/>
    <x v="297"/>
    <n v="2024"/>
    <x v="214"/>
    <s v="PROD_004"/>
    <s v="Desk Chair"/>
    <s v="Furniture"/>
    <n v="1"/>
    <n v="360.11"/>
    <n v="360.11"/>
    <n v="360.11"/>
    <n v="0"/>
    <s v="Sweden"/>
    <x v="1"/>
  </r>
  <r>
    <n v="2024004354"/>
    <x v="31"/>
    <n v="2024"/>
    <x v="8"/>
    <s v="PROD_007"/>
    <s v="Keyboard Mechanical"/>
    <s v="Electronics"/>
    <n v="1"/>
    <n v="122.78"/>
    <n v="122.78"/>
    <n v="122.78"/>
    <n v="0"/>
    <s v="France"/>
    <x v="1"/>
  </r>
  <r>
    <n v="2024004355"/>
    <x v="242"/>
    <n v="2024"/>
    <x v="133"/>
    <s v="PROD_010"/>
    <s v="Webcam HD"/>
    <s v="Electronics"/>
    <n v="1"/>
    <n v="90.81"/>
    <n v="90.81"/>
    <n v="90.81"/>
    <n v="0"/>
    <s v="France"/>
    <x v="1"/>
  </r>
  <r>
    <n v="2024004356"/>
    <x v="344"/>
    <n v="2024"/>
    <x v="216"/>
    <s v="PROD_009"/>
    <s v="Phone Stand"/>
    <s v="Accessories"/>
    <n v="2"/>
    <n v="23.48"/>
    <n v="46.96"/>
    <n v="46.96"/>
    <n v="0"/>
    <s v="Spain"/>
    <x v="3"/>
  </r>
  <r>
    <n v="2024004357"/>
    <x v="258"/>
    <n v="2024"/>
    <x v="275"/>
    <s v="PROD_004"/>
    <s v="Desk Chair"/>
    <s v="Furniture"/>
    <n v="2"/>
    <n v="377.67"/>
    <n v="755.34"/>
    <n v="755.34"/>
    <n v="0"/>
    <s v="Germany"/>
    <x v="2"/>
  </r>
  <r>
    <n v="2024004358"/>
    <x v="211"/>
    <n v="2024"/>
    <x v="216"/>
    <s v="PROD_010"/>
    <s v="Webcam HD"/>
    <s v="Electronics"/>
    <n v="1"/>
    <n v="95.46"/>
    <n v="95.46"/>
    <n v="95.46"/>
    <n v="0"/>
    <s v="Belgium"/>
    <x v="2"/>
  </r>
  <r>
    <n v="2024004359"/>
    <x v="145"/>
    <n v="2024"/>
    <x v="214"/>
    <s v="PROD_003"/>
    <s v="USB-C Cable"/>
    <s v="Electronics"/>
    <n v="1"/>
    <n v="13.49"/>
    <n v="13.49"/>
    <n v="13.49"/>
    <n v="0"/>
    <s v="Switzerland"/>
    <x v="0"/>
  </r>
  <r>
    <n v="2024004360"/>
    <x v="202"/>
    <n v="2024"/>
    <x v="299"/>
    <s v="PROD_007"/>
    <s v="Keyboard Mechanical"/>
    <s v="Electronics"/>
    <n v="2"/>
    <n v="117.27"/>
    <n v="234.54"/>
    <n v="234.54"/>
    <n v="0"/>
    <s v="France"/>
    <x v="2"/>
  </r>
  <r>
    <n v="2024004361"/>
    <x v="221"/>
    <n v="2024"/>
    <x v="155"/>
    <s v="PROD_009"/>
    <s v="Phone Stand"/>
    <s v="Accessories"/>
    <n v="2"/>
    <n v="25.92"/>
    <n v="51.84"/>
    <n v="51.84"/>
    <n v="0"/>
    <s v="France"/>
    <x v="0"/>
  </r>
  <r>
    <n v="2024004362"/>
    <x v="49"/>
    <n v="2024"/>
    <x v="231"/>
    <s v="PROD_004"/>
    <s v="Desk Chair"/>
    <s v="Furniture"/>
    <n v="1"/>
    <n v="374.42"/>
    <n v="374.42"/>
    <n v="374.42"/>
    <n v="0"/>
    <s v="Germany"/>
    <x v="1"/>
  </r>
  <r>
    <n v="2024004363"/>
    <x v="124"/>
    <n v="2024"/>
    <x v="123"/>
    <s v="PROD_009"/>
    <s v="Phone Stand"/>
    <s v="Accessories"/>
    <n v="1"/>
    <n v="25.25"/>
    <n v="25.25"/>
    <n v="25.25"/>
    <n v="0"/>
    <s v="Germany"/>
    <x v="3"/>
  </r>
  <r>
    <n v="2024004364"/>
    <x v="24"/>
    <n v="2024"/>
    <x v="24"/>
    <s v="PROD_002"/>
    <s v="Wireless Mouse"/>
    <s v="Electronics"/>
    <n v="1"/>
    <n v="42.66"/>
    <n v="42.66"/>
    <n v="42.66"/>
    <n v="0"/>
    <s v="Switzerland"/>
    <x v="1"/>
  </r>
  <r>
    <n v="2024004365"/>
    <x v="206"/>
    <n v="2024"/>
    <x v="163"/>
    <s v="PROD_009"/>
    <s v="Phone Stand"/>
    <s v="Accessories"/>
    <n v="2"/>
    <n v="25.32"/>
    <n v="50.64"/>
    <n v="50.64"/>
    <n v="0"/>
    <s v="France"/>
    <x v="3"/>
  </r>
  <r>
    <n v="2024004366"/>
    <x v="26"/>
    <n v="2024"/>
    <x v="255"/>
    <s v="PROD_002"/>
    <s v="Wireless Mouse"/>
    <s v="Electronics"/>
    <n v="1"/>
    <n v="49.08"/>
    <n v="49.08"/>
    <n v="49.08"/>
    <n v="0"/>
    <s v="Spain"/>
    <x v="1"/>
  </r>
  <r>
    <n v="2024004367"/>
    <x v="152"/>
    <n v="2024"/>
    <x v="42"/>
    <s v="PROD_006"/>
    <s v="Monitor 27&quot;"/>
    <s v="Electronics"/>
    <n v="1"/>
    <n v="381.21"/>
    <n v="381.21"/>
    <n v="381.21"/>
    <n v="0"/>
    <s v="France"/>
    <x v="0"/>
  </r>
  <r>
    <n v="2024004368"/>
    <x v="191"/>
    <n v="2024"/>
    <x v="144"/>
    <s v="PROD_008"/>
    <s v="Desk Lamp"/>
    <s v="Furniture"/>
    <n v="2"/>
    <n v="77.069999999999993"/>
    <n v="154.13999999999999"/>
    <n v="154.13999999999999"/>
    <n v="0"/>
    <s v="Netherlands"/>
    <x v="1"/>
  </r>
  <r>
    <n v="2024004369"/>
    <x v="108"/>
    <n v="2024"/>
    <x v="95"/>
    <s v="PROD_002"/>
    <s v="Wireless Mouse"/>
    <s v="Electronics"/>
    <n v="2"/>
    <n v="44.2"/>
    <n v="88.4"/>
    <n v="88.4"/>
    <n v="0"/>
    <s v="Netherlands"/>
    <x v="3"/>
  </r>
  <r>
    <n v="2024004370"/>
    <x v="38"/>
    <n v="2024"/>
    <x v="209"/>
    <s v="PROD_001"/>
    <s v="Laptop Pro"/>
    <s v="Electronics"/>
    <n v="1"/>
    <n v="1243.51"/>
    <n v="1243.51"/>
    <n v="1243.51"/>
    <n v="0"/>
    <s v="Netherlands"/>
    <x v="1"/>
  </r>
  <r>
    <n v="2024004371"/>
    <x v="46"/>
    <n v="2024"/>
    <x v="0"/>
    <s v="PROD_003"/>
    <s v="USB-C Cable"/>
    <s v="Electronics"/>
    <n v="1"/>
    <n v="15.23"/>
    <n v="15.23"/>
    <n v="15.23"/>
    <n v="0"/>
    <s v="Spain"/>
    <x v="3"/>
  </r>
  <r>
    <n v="2024004372"/>
    <x v="199"/>
    <n v="2024"/>
    <x v="153"/>
    <s v="PROD_001"/>
    <s v="Laptop Pro"/>
    <s v="Electronics"/>
    <n v="3"/>
    <n v="1280.6300000000001"/>
    <n v="3841.89"/>
    <n v="3841.8900000000003"/>
    <n v="0"/>
    <s v="Austria"/>
    <x v="0"/>
  </r>
  <r>
    <n v="2024004373"/>
    <x v="289"/>
    <n v="2024"/>
    <x v="299"/>
    <s v="PROD_005"/>
    <s v="Standing Desk"/>
    <s v="Furniture"/>
    <n v="1"/>
    <n v="627.11"/>
    <n v="627.11"/>
    <n v="627.11"/>
    <n v="0"/>
    <s v="Spain"/>
    <x v="3"/>
  </r>
  <r>
    <n v="2024004374"/>
    <x v="301"/>
    <n v="2024"/>
    <x v="212"/>
    <s v="PROD_008"/>
    <s v="Desk Lamp"/>
    <s v="Furniture"/>
    <n v="1"/>
    <n v="78.44"/>
    <n v="78.44"/>
    <n v="78.44"/>
    <n v="0"/>
    <s v="Sweden"/>
    <x v="1"/>
  </r>
  <r>
    <n v="2024004375"/>
    <x v="154"/>
    <n v="2024"/>
    <x v="276"/>
    <s v="PROD_004"/>
    <s v="Desk Chair"/>
    <s v="Furniture"/>
    <n v="1"/>
    <n v="324.01"/>
    <n v="324.01"/>
    <n v="324.01"/>
    <n v="0"/>
    <s v="Switzerland"/>
    <x v="0"/>
  </r>
  <r>
    <n v="2024004376"/>
    <x v="155"/>
    <n v="2024"/>
    <x v="0"/>
    <s v="PROD_003"/>
    <s v="USB-C Cable"/>
    <s v="Electronics"/>
    <n v="2"/>
    <n v="16.2"/>
    <n v="32.4"/>
    <n v="32.4"/>
    <n v="0"/>
    <s v="Belgium"/>
    <x v="0"/>
  </r>
  <r>
    <n v="2024004377"/>
    <x v="339"/>
    <n v="2024"/>
    <x v="0"/>
    <s v="PROD_005"/>
    <s v="Standing Desk"/>
    <s v="Furniture"/>
    <n v="1"/>
    <n v="556.67999999999995"/>
    <n v="556.67999999999995"/>
    <n v="556.67999999999995"/>
    <n v="0"/>
    <s v="UK"/>
    <x v="0"/>
  </r>
  <r>
    <n v="2024004378"/>
    <x v="270"/>
    <n v="2024"/>
    <x v="32"/>
    <s v="PROD_006"/>
    <s v="Monitor 27&quot;"/>
    <s v="Electronics"/>
    <n v="2"/>
    <n v="408.42"/>
    <n v="816.84"/>
    <n v="816.84"/>
    <n v="0"/>
    <s v="France"/>
    <x v="0"/>
  </r>
  <r>
    <n v="2024004379"/>
    <x v="267"/>
    <n v="2024"/>
    <x v="285"/>
    <s v="PROD_010"/>
    <s v="Webcam HD"/>
    <s v="Electronics"/>
    <n v="1"/>
    <n v="89.93"/>
    <n v="89.93"/>
    <n v="89.93"/>
    <n v="0"/>
    <s v="Germany"/>
    <x v="3"/>
  </r>
  <r>
    <n v="2024004380"/>
    <x v="333"/>
    <n v="2024"/>
    <x v="85"/>
    <s v="PROD_010"/>
    <s v="Webcam HD"/>
    <s v="Electronics"/>
    <n v="2"/>
    <n v="97.46"/>
    <n v="194.92"/>
    <n v="194.92"/>
    <n v="0"/>
    <s v="Austria"/>
    <x v="3"/>
  </r>
  <r>
    <n v="2024004381"/>
    <x v="139"/>
    <n v="2024"/>
    <x v="75"/>
    <s v="PROD_008"/>
    <s v="Desk Lamp"/>
    <s v="Furniture"/>
    <n v="2"/>
    <n v="79.739999999999995"/>
    <n v="159.47999999999999"/>
    <n v="159.47999999999999"/>
    <n v="0"/>
    <s v="Netherlands"/>
    <x v="1"/>
  </r>
  <r>
    <n v="2024004382"/>
    <x v="11"/>
    <n v="2024"/>
    <x v="75"/>
    <s v="PROD_005"/>
    <s v="Standing Desk"/>
    <s v="Furniture"/>
    <n v="3"/>
    <n v="591.73"/>
    <n v="1775.19"/>
    <n v="1775.19"/>
    <n v="0"/>
    <s v="Switzerland"/>
    <x v="1"/>
  </r>
  <r>
    <n v="2024002423"/>
    <x v="45"/>
    <n v="2024"/>
    <x v="178"/>
    <s v="PROD_009"/>
    <s v="Phone Stand"/>
    <s v="Accessories"/>
    <n v="1"/>
    <n v="24.65"/>
    <n v="24.65"/>
    <n v="24.65"/>
    <n v="0"/>
    <s v="Germany"/>
    <x v="1"/>
  </r>
  <r>
    <n v="2024004384"/>
    <x v="104"/>
    <n v="2024"/>
    <x v="95"/>
    <s v="PROD_008"/>
    <s v="Desk Lamp"/>
    <s v="Furniture"/>
    <n v="2"/>
    <n v="79.010000000000005"/>
    <n v="158.02000000000001"/>
    <n v="158.02000000000001"/>
    <n v="0"/>
    <s v="Spain"/>
    <x v="1"/>
  </r>
  <r>
    <n v="2024004385"/>
    <x v="138"/>
    <n v="2024"/>
    <x v="257"/>
    <s v="PROD_003"/>
    <s v="USB-C Cable"/>
    <s v="Electronics"/>
    <n v="1"/>
    <n v="15.63"/>
    <n v="15.63"/>
    <n v="15.63"/>
    <n v="0"/>
    <s v="Germany"/>
    <x v="0"/>
  </r>
  <r>
    <n v="2024004386"/>
    <x v="195"/>
    <n v="2024"/>
    <x v="121"/>
    <s v="PROD_005"/>
    <s v="Standing Desk"/>
    <s v="Furniture"/>
    <n v="2"/>
    <n v="627.5"/>
    <n v="1255"/>
    <n v="1255"/>
    <n v="0"/>
    <s v="Austria"/>
    <x v="3"/>
  </r>
  <r>
    <n v="2024004387"/>
    <x v="359"/>
    <n v="2024"/>
    <x v="0"/>
    <s v="PROD_001"/>
    <s v="Laptop Pro"/>
    <s v="Electronics"/>
    <n v="2"/>
    <n v="1160.8900000000001"/>
    <n v="2321.7800000000002"/>
    <n v="2321.7800000000002"/>
    <n v="0"/>
    <s v="Switzerland"/>
    <x v="0"/>
  </r>
  <r>
    <n v="2024004388"/>
    <x v="81"/>
    <n v="2024"/>
    <x v="59"/>
    <s v="PROD_008"/>
    <s v="Desk Lamp"/>
    <s v="Furniture"/>
    <n v="1"/>
    <n v="80.489999999999995"/>
    <n v="80.489999999999995"/>
    <n v="80.489999999999995"/>
    <n v="0"/>
    <s v="Belgium"/>
    <x v="0"/>
  </r>
  <r>
    <n v="2024004389"/>
    <x v="145"/>
    <n v="2024"/>
    <x v="213"/>
    <s v="PROD_003"/>
    <s v="USB-C Cable"/>
    <s v="Electronics"/>
    <n v="1"/>
    <n v="15.59"/>
    <n v="15.59"/>
    <n v="15.59"/>
    <n v="0"/>
    <s v="Italy"/>
    <x v="2"/>
  </r>
  <r>
    <n v="2024004390"/>
    <x v="229"/>
    <n v="2024"/>
    <x v="274"/>
    <s v="PROD_010"/>
    <s v="Webcam HD"/>
    <s v="Electronics"/>
    <n v="1"/>
    <n v="83.7"/>
    <n v="83.7"/>
    <n v="83.7"/>
    <n v="0"/>
    <s v="Germany"/>
    <x v="0"/>
  </r>
  <r>
    <n v="2024004391"/>
    <x v="105"/>
    <n v="2024"/>
    <x v="226"/>
    <s v="PROD_005"/>
    <s v="Standing Desk"/>
    <s v="Furniture"/>
    <n v="3"/>
    <n v="585.45000000000005"/>
    <n v="1756.35"/>
    <n v="1756.3500000000001"/>
    <n v="0"/>
    <s v="Belgium"/>
    <x v="1"/>
  </r>
  <r>
    <n v="2024004392"/>
    <x v="315"/>
    <n v="2024"/>
    <x v="284"/>
    <s v="PROD_004"/>
    <s v="Desk Chair"/>
    <s v="Furniture"/>
    <n v="3"/>
    <n v="330.79"/>
    <n v="992.37"/>
    <n v="992.37000000000012"/>
    <n v="0"/>
    <s v="UK"/>
    <x v="0"/>
  </r>
  <r>
    <n v="2024004393"/>
    <x v="329"/>
    <n v="2024"/>
    <x v="38"/>
    <s v="PROD_008"/>
    <s v="Desk Lamp"/>
    <s v="Furniture"/>
    <n v="1"/>
    <n v="81.040000000000006"/>
    <n v="81.040000000000006"/>
    <n v="81.040000000000006"/>
    <n v="0"/>
    <s v="Sweden"/>
    <x v="2"/>
  </r>
  <r>
    <n v="2024004394"/>
    <x v="14"/>
    <n v="2024"/>
    <x v="270"/>
    <s v="PROD_007"/>
    <s v="Keyboard Mechanical"/>
    <s v="Electronics"/>
    <n v="3"/>
    <n v="126.13"/>
    <n v="378.39"/>
    <n v="378.39"/>
    <n v="0"/>
    <s v="Netherlands"/>
    <x v="3"/>
  </r>
  <r>
    <n v="2024004395"/>
    <x v="144"/>
    <n v="2024"/>
    <x v="198"/>
    <s v="PROD_006"/>
    <s v="Monitor 27&quot;"/>
    <s v="Electronics"/>
    <n v="1"/>
    <n v="399.44"/>
    <n v="399.44"/>
    <n v="399.44"/>
    <n v="0"/>
    <s v="Germany"/>
    <x v="1"/>
  </r>
  <r>
    <n v="2024004396"/>
    <x v="350"/>
    <n v="2024"/>
    <x v="174"/>
    <s v="PROD_006"/>
    <s v="Monitor 27&quot;"/>
    <s v="Electronics"/>
    <n v="1"/>
    <n v="380.29"/>
    <n v="380.29"/>
    <n v="380.29"/>
    <n v="0"/>
    <s v="Italy"/>
    <x v="0"/>
  </r>
  <r>
    <n v="2024004397"/>
    <x v="20"/>
    <n v="2024"/>
    <x v="258"/>
    <s v="PROD_004"/>
    <s v="Desk Chair"/>
    <s v="Furniture"/>
    <n v="4"/>
    <n v="328.54"/>
    <n v="1314.16"/>
    <n v="1314.16"/>
    <n v="0"/>
    <s v="France"/>
    <x v="2"/>
  </r>
  <r>
    <n v="2024004398"/>
    <x v="201"/>
    <n v="2024"/>
    <x v="288"/>
    <s v="PROD_001"/>
    <s v="Laptop Pro"/>
    <s v="Electronics"/>
    <n v="1"/>
    <n v="1262.3699999999999"/>
    <n v="1262.3699999999999"/>
    <n v="1262.3699999999999"/>
    <n v="0"/>
    <s v="Switzerland"/>
    <x v="1"/>
  </r>
  <r>
    <n v="2024004399"/>
    <x v="2"/>
    <n v="2024"/>
    <x v="20"/>
    <s v="PROD_004"/>
    <s v="Desk Chair"/>
    <s v="Furniture"/>
    <n v="1"/>
    <n v="341.28"/>
    <n v="341.28"/>
    <n v="341.28"/>
    <n v="0"/>
    <s v="Italy"/>
    <x v="2"/>
  </r>
  <r>
    <n v="2024004400"/>
    <x v="9"/>
    <n v="2024"/>
    <x v="227"/>
    <s v="PROD_008"/>
    <s v="Desk Lamp"/>
    <s v="Furniture"/>
    <n v="1"/>
    <n v="86.54"/>
    <n v="86.54"/>
    <n v="86.54"/>
    <n v="0"/>
    <s v="UK"/>
    <x v="0"/>
  </r>
  <r>
    <n v="2024004401"/>
    <x v="278"/>
    <n v="2024"/>
    <x v="275"/>
    <s v="PROD_006"/>
    <s v="Monitor 27&quot;"/>
    <s v="Electronics"/>
    <n v="5"/>
    <n v="417.78"/>
    <n v="2088.9"/>
    <n v="2088.8999999999996"/>
    <n v="0"/>
    <s v="Germany"/>
    <x v="2"/>
  </r>
  <r>
    <n v="2024004402"/>
    <x v="126"/>
    <n v="2024"/>
    <x v="270"/>
    <s v="PROD_007"/>
    <s v="Keyboard Mechanical"/>
    <s v="Electronics"/>
    <n v="3"/>
    <n v="129.79"/>
    <n v="389.37"/>
    <n v="389.37"/>
    <n v="0"/>
    <s v="Germany"/>
    <x v="3"/>
  </r>
  <r>
    <n v="2024004403"/>
    <x v="26"/>
    <n v="2024"/>
    <x v="108"/>
    <s v="PROD_007"/>
    <s v="Keyboard Mechanical"/>
    <s v="Electronics"/>
    <n v="1"/>
    <n v="128.86000000000001"/>
    <n v="128.86000000000001"/>
    <n v="128.86000000000001"/>
    <n v="0"/>
    <s v="Belgium"/>
    <x v="1"/>
  </r>
  <r>
    <n v="2024004404"/>
    <x v="248"/>
    <n v="2024"/>
    <x v="56"/>
    <s v="PROD_010"/>
    <s v="Webcam HD"/>
    <s v="Electronics"/>
    <n v="2"/>
    <n v="89.77"/>
    <n v="179.54"/>
    <n v="179.54"/>
    <n v="0"/>
    <s v="UK"/>
    <x v="0"/>
  </r>
  <r>
    <n v="2024004405"/>
    <x v="109"/>
    <n v="2024"/>
    <x v="0"/>
    <s v="PROD_004"/>
    <s v="Desk Chair"/>
    <s v="Furniture"/>
    <n v="4"/>
    <n v="318.49"/>
    <n v="1273.96"/>
    <n v="1273.96"/>
    <n v="0"/>
    <s v="Switzerland"/>
    <x v="3"/>
  </r>
  <r>
    <n v="2024004406"/>
    <x v="0"/>
    <n v="2024"/>
    <x v="184"/>
    <s v="PROD_001"/>
    <s v="Laptop Pro"/>
    <s v="Electronics"/>
    <n v="1"/>
    <n v="1225.5899999999999"/>
    <n v="1225.5899999999999"/>
    <n v="1225.5899999999999"/>
    <n v="0"/>
    <s v="UK"/>
    <x v="2"/>
  </r>
  <r>
    <n v="2024004407"/>
    <x v="80"/>
    <n v="2024"/>
    <x v="148"/>
    <s v="PROD_001"/>
    <s v="Laptop Pro"/>
    <s v="Electronics"/>
    <n v="2"/>
    <n v="1110.48"/>
    <n v="2220.96"/>
    <n v="2220.96"/>
    <n v="0"/>
    <s v="Belgium"/>
    <x v="2"/>
  </r>
  <r>
    <n v="2024004408"/>
    <x v="52"/>
    <n v="2024"/>
    <x v="0"/>
    <s v="PROD_005"/>
    <s v="Standing Desk"/>
    <s v="Furniture"/>
    <n v="3"/>
    <n v="558.37"/>
    <n v="1675.11"/>
    <n v="1675.1100000000001"/>
    <n v="0"/>
    <s v="Italy"/>
    <x v="3"/>
  </r>
  <r>
    <n v="2024004409"/>
    <x v="342"/>
    <n v="2024"/>
    <x v="217"/>
    <s v="PROD_004"/>
    <s v="Desk Chair"/>
    <s v="Furniture"/>
    <n v="2"/>
    <n v="329.91"/>
    <n v="659.82"/>
    <n v="659.82"/>
    <n v="0"/>
    <s v="UK"/>
    <x v="0"/>
  </r>
  <r>
    <n v="2024004410"/>
    <x v="91"/>
    <n v="2024"/>
    <x v="286"/>
    <s v="PROD_010"/>
    <s v="Webcam HD"/>
    <s v="Electronics"/>
    <n v="1"/>
    <n v="84.63"/>
    <n v="84.63"/>
    <n v="84.63"/>
    <n v="0"/>
    <s v="Sweden"/>
    <x v="0"/>
  </r>
  <r>
    <n v="2024004411"/>
    <x v="209"/>
    <n v="2024"/>
    <x v="92"/>
    <s v="PROD_006"/>
    <s v="Monitor 27&quot;"/>
    <s v="Electronics"/>
    <n v="1"/>
    <n v="420.51"/>
    <n v="420.51"/>
    <n v="420.51"/>
    <n v="0"/>
    <s v="Sweden"/>
    <x v="2"/>
  </r>
  <r>
    <n v="2024004412"/>
    <x v="234"/>
    <n v="2024"/>
    <x v="102"/>
    <s v="PROD_008"/>
    <s v="Desk Lamp"/>
    <s v="Furniture"/>
    <n v="1"/>
    <n v="84.93"/>
    <n v="84.93"/>
    <n v="84.93"/>
    <n v="0"/>
    <s v="Austria"/>
    <x v="3"/>
  </r>
  <r>
    <n v="2024004413"/>
    <x v="146"/>
    <n v="2024"/>
    <x v="26"/>
    <s v="PROD_002"/>
    <s v="Wireless Mouse"/>
    <s v="Electronics"/>
    <n v="1"/>
    <n v="44.37"/>
    <n v="44.37"/>
    <n v="44.37"/>
    <n v="0"/>
    <s v="Sweden"/>
    <x v="1"/>
  </r>
  <r>
    <n v="2024004414"/>
    <x v="124"/>
    <n v="2024"/>
    <x v="178"/>
    <s v="PROD_003"/>
    <s v="USB-C Cable"/>
    <s v="Electronics"/>
    <n v="2"/>
    <n v="13.73"/>
    <n v="27.46"/>
    <n v="27.46"/>
    <n v="0"/>
    <s v="Spain"/>
    <x v="3"/>
  </r>
  <r>
    <n v="2024004415"/>
    <x v="201"/>
    <n v="2024"/>
    <x v="95"/>
    <s v="PROD_001"/>
    <s v="Laptop Pro"/>
    <s v="Electronics"/>
    <n v="2"/>
    <n v="1308.6300000000001"/>
    <n v="2617.2600000000002"/>
    <n v="2617.2600000000002"/>
    <n v="0"/>
    <s v="Austria"/>
    <x v="0"/>
  </r>
  <r>
    <n v="2024004416"/>
    <x v="30"/>
    <n v="2024"/>
    <x v="212"/>
    <s v="PROD_007"/>
    <s v="Keyboard Mechanical"/>
    <s v="Electronics"/>
    <n v="3"/>
    <n v="115.36"/>
    <n v="346.08"/>
    <n v="346.08"/>
    <n v="0"/>
    <s v="Italy"/>
    <x v="0"/>
  </r>
  <r>
    <n v="2024004417"/>
    <x v="243"/>
    <n v="2024"/>
    <x v="236"/>
    <s v="PROD_001"/>
    <s v="Laptop Pro"/>
    <s v="Electronics"/>
    <n v="2"/>
    <n v="1238.9000000000001"/>
    <n v="2477.8000000000002"/>
    <n v="2477.8000000000002"/>
    <n v="0"/>
    <s v="Austria"/>
    <x v="2"/>
  </r>
  <r>
    <n v="2024004418"/>
    <x v="148"/>
    <n v="2024"/>
    <x v="258"/>
    <s v="PROD_009"/>
    <s v="Phone Stand"/>
    <s v="Accessories"/>
    <n v="1"/>
    <n v="24.76"/>
    <n v="24.76"/>
    <n v="24.76"/>
    <n v="0"/>
    <s v="Italy"/>
    <x v="3"/>
  </r>
  <r>
    <n v="2024004419"/>
    <x v="57"/>
    <n v="2024"/>
    <x v="274"/>
    <s v="PROD_002"/>
    <s v="Wireless Mouse"/>
    <s v="Electronics"/>
    <n v="1"/>
    <n v="50.54"/>
    <n v="50.54"/>
    <n v="50.54"/>
    <n v="0"/>
    <s v="Italy"/>
    <x v="0"/>
  </r>
  <r>
    <n v="2024004420"/>
    <x v="177"/>
    <n v="2024"/>
    <x v="0"/>
    <s v="PROD_007"/>
    <s v="Keyboard Mechanical"/>
    <s v="Electronics"/>
    <n v="3"/>
    <n v="118.82"/>
    <n v="356.46"/>
    <n v="356.46"/>
    <n v="0"/>
    <s v="Switzerland"/>
    <x v="2"/>
  </r>
  <r>
    <n v="2024004421"/>
    <x v="35"/>
    <n v="2024"/>
    <x v="76"/>
    <s v="PROD_008"/>
    <s v="Desk Lamp"/>
    <s v="Furniture"/>
    <n v="4"/>
    <n v="82.39"/>
    <n v="329.56"/>
    <n v="329.56"/>
    <n v="0"/>
    <s v="France"/>
    <x v="2"/>
  </r>
  <r>
    <n v="2024004422"/>
    <x v="27"/>
    <n v="2024"/>
    <x v="0"/>
    <s v="PROD_006"/>
    <s v="Monitor 27&quot;"/>
    <s v="Electronics"/>
    <n v="2"/>
    <n v="382.87"/>
    <n v="765.74"/>
    <n v="765.74"/>
    <n v="0"/>
    <s v="Spain"/>
    <x v="2"/>
  </r>
  <r>
    <n v="2024004423"/>
    <x v="358"/>
    <n v="2024"/>
    <x v="18"/>
    <s v="PROD_004"/>
    <s v="Desk Chair"/>
    <s v="Furniture"/>
    <n v="3"/>
    <n v="329.58"/>
    <n v="988.74"/>
    <n v="988.74"/>
    <n v="0"/>
    <s v="Italy"/>
    <x v="0"/>
  </r>
  <r>
    <n v="2024004424"/>
    <x v="291"/>
    <n v="2024"/>
    <x v="173"/>
    <s v="PROD_007"/>
    <s v="Keyboard Mechanical"/>
    <s v="Electronics"/>
    <n v="1"/>
    <n v="120.16"/>
    <n v="120.16"/>
    <n v="120.16"/>
    <n v="0"/>
    <s v="France"/>
    <x v="2"/>
  </r>
  <r>
    <n v="2024004425"/>
    <x v="118"/>
    <n v="2024"/>
    <x v="169"/>
    <s v="PROD_002"/>
    <s v="Wireless Mouse"/>
    <s v="Electronics"/>
    <n v="1"/>
    <n v="45.42"/>
    <n v="45.42"/>
    <n v="45.42"/>
    <n v="0"/>
    <s v="UK"/>
    <x v="2"/>
  </r>
  <r>
    <n v="2024004426"/>
    <x v="99"/>
    <n v="2024"/>
    <x v="187"/>
    <s v="PROD_010"/>
    <s v="Webcam HD"/>
    <s v="Electronics"/>
    <n v="1"/>
    <n v="90.23"/>
    <n v="90.23"/>
    <n v="90.23"/>
    <n v="0"/>
    <s v="UK"/>
    <x v="0"/>
  </r>
  <r>
    <n v="2024004427"/>
    <x v="335"/>
    <n v="2024"/>
    <x v="230"/>
    <s v="PROD_005"/>
    <s v="Standing Desk"/>
    <s v="Furniture"/>
    <n v="3"/>
    <n v="577.91999999999996"/>
    <n v="1733.76"/>
    <n v="1733.7599999999998"/>
    <n v="0"/>
    <s v="Switzerland"/>
    <x v="3"/>
  </r>
  <r>
    <n v="2024004428"/>
    <x v="156"/>
    <n v="2024"/>
    <x v="271"/>
    <s v="PROD_010"/>
    <s v="Webcam HD"/>
    <s v="Electronics"/>
    <n v="1"/>
    <n v="93.42"/>
    <n v="93.42"/>
    <n v="93.42"/>
    <n v="0"/>
    <s v="France"/>
    <x v="2"/>
  </r>
  <r>
    <n v="2024004429"/>
    <x v="173"/>
    <n v="2024"/>
    <x v="184"/>
    <s v="PROD_010"/>
    <s v="Webcam HD"/>
    <s v="Electronics"/>
    <n v="2"/>
    <n v="94.52"/>
    <n v="189.04"/>
    <n v="189.04"/>
    <n v="0"/>
    <s v="Austria"/>
    <x v="3"/>
  </r>
  <r>
    <n v="2024004430"/>
    <x v="308"/>
    <n v="2024"/>
    <x v="119"/>
    <s v="PROD_001"/>
    <s v="Laptop Pro"/>
    <s v="Electronics"/>
    <n v="1"/>
    <n v="1238.8499999999999"/>
    <n v="1238.8499999999999"/>
    <n v="1238.8499999999999"/>
    <n v="0"/>
    <s v="Austria"/>
    <x v="1"/>
  </r>
  <r>
    <n v="2024004431"/>
    <x v="346"/>
    <n v="2024"/>
    <x v="265"/>
    <s v="PROD_009"/>
    <s v="Phone Stand"/>
    <s v="Accessories"/>
    <n v="4"/>
    <n v="24.97"/>
    <n v="99.88"/>
    <n v="99.88"/>
    <n v="0"/>
    <s v="UK"/>
    <x v="1"/>
  </r>
  <r>
    <n v="2024004432"/>
    <x v="48"/>
    <n v="2024"/>
    <x v="96"/>
    <s v="PROD_002"/>
    <s v="Wireless Mouse"/>
    <s v="Electronics"/>
    <n v="2"/>
    <n v="47.53"/>
    <n v="95.06"/>
    <n v="95.06"/>
    <n v="0"/>
    <s v="Spain"/>
    <x v="0"/>
  </r>
  <r>
    <n v="2024004433"/>
    <x v="297"/>
    <n v="2024"/>
    <x v="0"/>
    <s v="PROD_009"/>
    <s v="Phone Stand"/>
    <s v="Accessories"/>
    <n v="3"/>
    <n v="25.3"/>
    <n v="75.900000000000006"/>
    <n v="75.900000000000006"/>
    <n v="0"/>
    <s v="Belgium"/>
    <x v="3"/>
  </r>
  <r>
    <n v="2024004434"/>
    <x v="32"/>
    <n v="2024"/>
    <x v="13"/>
    <s v="PROD_005"/>
    <s v="Standing Desk"/>
    <s v="Furniture"/>
    <n v="1"/>
    <n v="609.54999999999995"/>
    <n v="609.54999999999995"/>
    <n v="609.54999999999995"/>
    <n v="0"/>
    <s v="Germany"/>
    <x v="1"/>
  </r>
  <r>
    <n v="2024004435"/>
    <x v="366"/>
    <n v="2024"/>
    <x v="38"/>
    <s v="PROD_008"/>
    <s v="Desk Lamp"/>
    <s v="Furniture"/>
    <n v="1"/>
    <n v="89.85"/>
    <n v="89.85"/>
    <n v="89.85"/>
    <n v="0"/>
    <s v="Belgium"/>
    <x v="3"/>
  </r>
  <r>
    <n v="2024004436"/>
    <x v="143"/>
    <n v="2024"/>
    <x v="212"/>
    <s v="PROD_008"/>
    <s v="Desk Lamp"/>
    <s v="Furniture"/>
    <n v="1"/>
    <n v="78.56"/>
    <n v="78.56"/>
    <n v="78.56"/>
    <n v="0"/>
    <s v="France"/>
    <x v="2"/>
  </r>
  <r>
    <n v="2024004437"/>
    <x v="230"/>
    <n v="2024"/>
    <x v="271"/>
    <s v="PROD_001"/>
    <s v="Laptop Pro"/>
    <s v="Electronics"/>
    <n v="1"/>
    <n v="1187.47"/>
    <n v="1187.47"/>
    <n v="1187.47"/>
    <n v="0"/>
    <s v="Belgium"/>
    <x v="0"/>
  </r>
  <r>
    <n v="2024004438"/>
    <x v="356"/>
    <n v="2024"/>
    <x v="86"/>
    <s v="PROD_007"/>
    <s v="Keyboard Mechanical"/>
    <s v="Electronics"/>
    <n v="4"/>
    <n v="122.44"/>
    <n v="489.76"/>
    <n v="489.76"/>
    <n v="0"/>
    <s v="Italy"/>
    <x v="1"/>
  </r>
  <r>
    <n v="2024004439"/>
    <x v="1"/>
    <n v="2024"/>
    <x v="27"/>
    <s v="PROD_002"/>
    <s v="Wireless Mouse"/>
    <s v="Electronics"/>
    <n v="1"/>
    <n v="44.47"/>
    <n v="44.47"/>
    <n v="44.47"/>
    <n v="0"/>
    <s v="Netherlands"/>
    <x v="1"/>
  </r>
  <r>
    <n v="2024004440"/>
    <x v="331"/>
    <n v="2024"/>
    <x v="129"/>
    <s v="PROD_001"/>
    <s v="Laptop Pro"/>
    <s v="Electronics"/>
    <n v="1"/>
    <n v="1356.92"/>
    <n v="1356.92"/>
    <n v="1356.92"/>
    <n v="0"/>
    <s v="Spain"/>
    <x v="0"/>
  </r>
  <r>
    <n v="2024004441"/>
    <x v="277"/>
    <n v="2024"/>
    <x v="0"/>
    <s v="PROD_003"/>
    <s v="USB-C Cable"/>
    <s v="Electronics"/>
    <n v="1"/>
    <n v="15.62"/>
    <n v="15.62"/>
    <n v="15.62"/>
    <n v="0"/>
    <s v="Austria"/>
    <x v="3"/>
  </r>
  <r>
    <n v="2024004442"/>
    <x v="96"/>
    <n v="2024"/>
    <x v="0"/>
    <s v="PROD_004"/>
    <s v="Desk Chair"/>
    <s v="Furniture"/>
    <n v="1"/>
    <n v="341.2"/>
    <n v="341.2"/>
    <n v="341.2"/>
    <n v="0"/>
    <s v="Belgium"/>
    <x v="1"/>
  </r>
  <r>
    <n v="2024004443"/>
    <x v="338"/>
    <n v="2024"/>
    <x v="83"/>
    <s v="PROD_010"/>
    <s v="Webcam HD"/>
    <s v="Electronics"/>
    <n v="1"/>
    <n v="91.67"/>
    <n v="91.67"/>
    <n v="91.67"/>
    <n v="0"/>
    <s v="France"/>
    <x v="2"/>
  </r>
  <r>
    <n v="2024004444"/>
    <x v="304"/>
    <n v="2024"/>
    <x v="40"/>
    <s v="PROD_008"/>
    <s v="Desk Lamp"/>
    <s v="Furniture"/>
    <n v="5"/>
    <n v="82.24"/>
    <n v="411.2"/>
    <n v="411.2"/>
    <n v="0"/>
    <s v="Netherlands"/>
    <x v="0"/>
  </r>
  <r>
    <n v="2024004445"/>
    <x v="140"/>
    <n v="2024"/>
    <x v="100"/>
    <s v="PROD_003"/>
    <s v="USB-C Cable"/>
    <s v="Electronics"/>
    <n v="2"/>
    <n v="14.3"/>
    <n v="28.6"/>
    <n v="28.6"/>
    <n v="0"/>
    <s v="Belgium"/>
    <x v="2"/>
  </r>
  <r>
    <n v="2024004446"/>
    <x v="297"/>
    <n v="2024"/>
    <x v="219"/>
    <s v="PROD_003"/>
    <s v="USB-C Cable"/>
    <s v="Electronics"/>
    <n v="1"/>
    <n v="15.23"/>
    <n v="15.23"/>
    <n v="15.23"/>
    <n v="0"/>
    <s v="Italy"/>
    <x v="1"/>
  </r>
  <r>
    <n v="2024004447"/>
    <x v="174"/>
    <n v="2024"/>
    <x v="0"/>
    <s v="PROD_003"/>
    <s v="USB-C Cable"/>
    <s v="Electronics"/>
    <n v="4"/>
    <n v="15.78"/>
    <n v="63.12"/>
    <n v="63.12"/>
    <n v="0"/>
    <s v="Sweden"/>
    <x v="2"/>
  </r>
  <r>
    <n v="2024004448"/>
    <x v="36"/>
    <n v="2024"/>
    <x v="177"/>
    <s v="PROD_004"/>
    <s v="Desk Chair"/>
    <s v="Furniture"/>
    <n v="1"/>
    <n v="348.56"/>
    <n v="348.56"/>
    <n v="348.56"/>
    <n v="0"/>
    <s v="Spain"/>
    <x v="0"/>
  </r>
  <r>
    <n v="2024004449"/>
    <x v="337"/>
    <n v="2024"/>
    <x v="18"/>
    <s v="PROD_004"/>
    <s v="Desk Chair"/>
    <s v="Furniture"/>
    <n v="4"/>
    <n v="367.27"/>
    <n v="1469.08"/>
    <n v="1469.08"/>
    <n v="0"/>
    <s v="Netherlands"/>
    <x v="3"/>
  </r>
  <r>
    <n v="2024004450"/>
    <x v="26"/>
    <n v="2024"/>
    <x v="1"/>
    <s v="PROD_001"/>
    <s v="Laptop Pro"/>
    <s v="Electronics"/>
    <n v="3"/>
    <n v="1224.44"/>
    <n v="3673.32"/>
    <n v="3673.32"/>
    <n v="0"/>
    <s v="France"/>
    <x v="2"/>
  </r>
  <r>
    <n v="2024004451"/>
    <x v="335"/>
    <n v="2024"/>
    <x v="141"/>
    <s v="PROD_009"/>
    <s v="Phone Stand"/>
    <s v="Accessories"/>
    <n v="1"/>
    <n v="24.55"/>
    <n v="24.55"/>
    <n v="24.55"/>
    <n v="0"/>
    <s v="Netherlands"/>
    <x v="3"/>
  </r>
  <r>
    <n v="2024004452"/>
    <x v="303"/>
    <n v="2024"/>
    <x v="2"/>
    <s v="PROD_004"/>
    <s v="Desk Chair"/>
    <s v="Furniture"/>
    <n v="3"/>
    <n v="345.58"/>
    <n v="1036.74"/>
    <n v="1036.74"/>
    <n v="0"/>
    <s v="Austria"/>
    <x v="1"/>
  </r>
  <r>
    <n v="2024004453"/>
    <x v="139"/>
    <n v="2024"/>
    <x v="121"/>
    <s v="PROD_006"/>
    <s v="Monitor 27&quot;"/>
    <s v="Electronics"/>
    <n v="1"/>
    <n v="396.32"/>
    <n v="396.32"/>
    <n v="396.32"/>
    <n v="0"/>
    <s v="Switzerland"/>
    <x v="2"/>
  </r>
  <r>
    <n v="2024004454"/>
    <x v="108"/>
    <n v="2024"/>
    <x v="37"/>
    <s v="PROD_003"/>
    <s v="USB-C Cable"/>
    <s v="Electronics"/>
    <n v="1"/>
    <n v="15.54"/>
    <n v="15.54"/>
    <n v="15.54"/>
    <n v="0"/>
    <s v="Switzerland"/>
    <x v="1"/>
  </r>
  <r>
    <n v="2024004455"/>
    <x v="211"/>
    <n v="2024"/>
    <x v="287"/>
    <s v="PROD_001"/>
    <s v="Laptop Pro"/>
    <s v="Electronics"/>
    <n v="1"/>
    <n v="1182.82"/>
    <n v="1182.82"/>
    <n v="1182.82"/>
    <n v="0"/>
    <s v="Belgium"/>
    <x v="0"/>
  </r>
  <r>
    <n v="2024004456"/>
    <x v="158"/>
    <n v="2024"/>
    <x v="0"/>
    <s v="PROD_002"/>
    <s v="Wireless Mouse"/>
    <s v="Electronics"/>
    <n v="1"/>
    <n v="44.99"/>
    <n v="44.99"/>
    <n v="44.99"/>
    <n v="0"/>
    <s v="Austria"/>
    <x v="3"/>
  </r>
  <r>
    <n v="2024004457"/>
    <x v="280"/>
    <n v="2024"/>
    <x v="68"/>
    <s v="PROD_008"/>
    <s v="Desk Lamp"/>
    <s v="Furniture"/>
    <n v="3"/>
    <n v="75.959999999999994"/>
    <n v="227.88"/>
    <n v="227.88"/>
    <n v="0"/>
    <s v="Switzerland"/>
    <x v="0"/>
  </r>
  <r>
    <n v="2024004458"/>
    <x v="236"/>
    <n v="2024"/>
    <x v="0"/>
    <s v="PROD_009"/>
    <s v="Phone Stand"/>
    <s v="Accessories"/>
    <n v="1"/>
    <n v="25.41"/>
    <n v="25.41"/>
    <n v="25.41"/>
    <n v="0"/>
    <s v="UK"/>
    <x v="3"/>
  </r>
  <r>
    <n v="2024004459"/>
    <x v="48"/>
    <n v="2024"/>
    <x v="141"/>
    <s v="PROD_004"/>
    <s v="Desk Chair"/>
    <s v="Furniture"/>
    <n v="1"/>
    <n v="372.44"/>
    <n v="372.44"/>
    <n v="372.44"/>
    <n v="0"/>
    <s v="Netherlands"/>
    <x v="0"/>
  </r>
  <r>
    <n v="2024001962"/>
    <x v="303"/>
    <n v="2024"/>
    <x v="136"/>
    <s v="PROD_002"/>
    <s v="Wireless Mouse"/>
    <s v="Electronics"/>
    <n v="1"/>
    <n v="46.13"/>
    <n v="46.13"/>
    <n v="46.13"/>
    <n v="0"/>
    <s v="Spain"/>
    <x v="1"/>
  </r>
  <r>
    <n v="2024004461"/>
    <x v="196"/>
    <n v="2024"/>
    <x v="275"/>
    <s v="PROD_004"/>
    <s v="Desk Chair"/>
    <s v="Furniture"/>
    <n v="3"/>
    <n v="344.6"/>
    <n v="1033.8"/>
    <n v="1033.8000000000002"/>
    <n v="0"/>
    <s v="France"/>
    <x v="3"/>
  </r>
  <r>
    <n v="2024004462"/>
    <x v="56"/>
    <n v="2024"/>
    <x v="250"/>
    <s v="PROD_010"/>
    <s v="Webcam HD"/>
    <s v="Electronics"/>
    <n v="1"/>
    <n v="86.87"/>
    <n v="86.87"/>
    <n v="86.87"/>
    <n v="0"/>
    <s v="UK"/>
    <x v="3"/>
  </r>
  <r>
    <n v="2024004463"/>
    <x v="258"/>
    <n v="2024"/>
    <x v="75"/>
    <s v="PROD_008"/>
    <s v="Desk Lamp"/>
    <s v="Furniture"/>
    <n v="1"/>
    <n v="87.59"/>
    <n v="87.59"/>
    <n v="87.59"/>
    <n v="0"/>
    <s v="Switzerland"/>
    <x v="3"/>
  </r>
  <r>
    <n v="2024004464"/>
    <x v="74"/>
    <n v="2024"/>
    <x v="232"/>
    <s v="PROD_002"/>
    <s v="Wireless Mouse"/>
    <s v="Electronics"/>
    <n v="3"/>
    <n v="44.57"/>
    <n v="133.71"/>
    <n v="133.71"/>
    <n v="0"/>
    <s v="UK"/>
    <x v="3"/>
  </r>
  <r>
    <n v="2024004465"/>
    <x v="307"/>
    <n v="2024"/>
    <x v="222"/>
    <s v="PROD_008"/>
    <s v="Desk Lamp"/>
    <s v="Furniture"/>
    <n v="1"/>
    <n v="78.400000000000006"/>
    <n v="78.400000000000006"/>
    <n v="78.400000000000006"/>
    <n v="0"/>
    <s v="Austria"/>
    <x v="0"/>
  </r>
  <r>
    <n v="2024004466"/>
    <x v="108"/>
    <n v="2024"/>
    <x v="56"/>
    <s v="PROD_007"/>
    <s v="Keyboard Mechanical"/>
    <s v="Electronics"/>
    <n v="3"/>
    <n v="120.31"/>
    <n v="360.93"/>
    <n v="360.93"/>
    <n v="0"/>
    <s v="Belgium"/>
    <x v="0"/>
  </r>
  <r>
    <n v="2024004467"/>
    <x v="75"/>
    <n v="2024"/>
    <x v="0"/>
    <s v="PROD_007"/>
    <s v="Keyboard Mechanical"/>
    <s v="Electronics"/>
    <n v="2"/>
    <n v="114.88"/>
    <n v="229.76"/>
    <n v="229.76"/>
    <n v="0"/>
    <s v="Sweden"/>
    <x v="0"/>
  </r>
  <r>
    <n v="2024004468"/>
    <x v="314"/>
    <n v="2024"/>
    <x v="97"/>
    <s v="PROD_006"/>
    <s v="Monitor 27&quot;"/>
    <s v="Electronics"/>
    <n v="1"/>
    <n v="383.38"/>
    <n v="383.38"/>
    <n v="383.38"/>
    <n v="0"/>
    <s v="UK"/>
    <x v="2"/>
  </r>
  <r>
    <n v="2024004469"/>
    <x v="165"/>
    <n v="2024"/>
    <x v="126"/>
    <s v="PROD_008"/>
    <s v="Desk Lamp"/>
    <s v="Furniture"/>
    <n v="4"/>
    <n v="81.290000000000006"/>
    <n v="325.16000000000003"/>
    <n v="325.16000000000003"/>
    <n v="0"/>
    <s v="UK"/>
    <x v="1"/>
  </r>
  <r>
    <n v="2024004470"/>
    <x v="190"/>
    <n v="2024"/>
    <x v="145"/>
    <s v="PROD_009"/>
    <s v="Phone Stand"/>
    <s v="Accessories"/>
    <n v="2"/>
    <n v="25.6"/>
    <n v="51.2"/>
    <n v="51.2"/>
    <n v="0"/>
    <s v="Germany"/>
    <x v="1"/>
  </r>
  <r>
    <n v="2024004471"/>
    <x v="19"/>
    <n v="2024"/>
    <x v="0"/>
    <s v="PROD_005"/>
    <s v="Standing Desk"/>
    <s v="Furniture"/>
    <n v="1"/>
    <n v="630.94000000000005"/>
    <n v="630.94000000000005"/>
    <n v="630.94000000000005"/>
    <n v="0"/>
    <s v="Switzerland"/>
    <x v="0"/>
  </r>
  <r>
    <n v="2024004472"/>
    <x v="102"/>
    <n v="2024"/>
    <x v="210"/>
    <s v="PROD_004"/>
    <s v="Desk Chair"/>
    <s v="Furniture"/>
    <n v="1"/>
    <n v="335.8"/>
    <n v="335.8"/>
    <n v="335.8"/>
    <n v="0"/>
    <s v="Sweden"/>
    <x v="3"/>
  </r>
  <r>
    <n v="2024004473"/>
    <x v="280"/>
    <n v="2024"/>
    <x v="113"/>
    <s v="PROD_004"/>
    <s v="Desk Chair"/>
    <s v="Furniture"/>
    <n v="1"/>
    <n v="348.72"/>
    <n v="348.72"/>
    <n v="348.72"/>
    <n v="0"/>
    <s v="Italy"/>
    <x v="1"/>
  </r>
  <r>
    <n v="2024004474"/>
    <x v="309"/>
    <n v="2024"/>
    <x v="193"/>
    <s v="PROD_001"/>
    <s v="Laptop Pro"/>
    <s v="Electronics"/>
    <n v="1"/>
    <n v="1126.06"/>
    <n v="1126.06"/>
    <n v="1126.06"/>
    <n v="0"/>
    <s v="Austria"/>
    <x v="0"/>
  </r>
  <r>
    <n v="2024004475"/>
    <x v="323"/>
    <n v="2024"/>
    <x v="105"/>
    <s v="PROD_001"/>
    <s v="Laptop Pro"/>
    <s v="Electronics"/>
    <n v="4"/>
    <n v="1265.6300000000001"/>
    <n v="5062.5200000000004"/>
    <n v="5062.5200000000004"/>
    <n v="0"/>
    <s v="Netherlands"/>
    <x v="3"/>
  </r>
  <r>
    <n v="2024004476"/>
    <x v="117"/>
    <n v="2024"/>
    <x v="139"/>
    <s v="PROD_007"/>
    <s v="Keyboard Mechanical"/>
    <s v="Electronics"/>
    <n v="1"/>
    <n v="117.05"/>
    <n v="117.05"/>
    <n v="117.05"/>
    <n v="0"/>
    <s v="Netherlands"/>
    <x v="0"/>
  </r>
  <r>
    <n v="2024004477"/>
    <x v="78"/>
    <n v="2024"/>
    <x v="20"/>
    <s v="PROD_010"/>
    <s v="Webcam HD"/>
    <s v="Electronics"/>
    <n v="1"/>
    <n v="92.07"/>
    <n v="92.07"/>
    <n v="92.07"/>
    <n v="0"/>
    <s v="Germany"/>
    <x v="2"/>
  </r>
  <r>
    <n v="2024004478"/>
    <x v="33"/>
    <n v="2024"/>
    <x v="229"/>
    <s v="PROD_008"/>
    <s v="Desk Lamp"/>
    <s v="Furniture"/>
    <n v="1"/>
    <n v="85.76"/>
    <n v="85.76"/>
    <n v="85.76"/>
    <n v="0"/>
    <s v="Sweden"/>
    <x v="3"/>
  </r>
  <r>
    <n v="2024004479"/>
    <x v="214"/>
    <n v="2024"/>
    <x v="11"/>
    <s v="PROD_003"/>
    <s v="USB-C Cable"/>
    <s v="Electronics"/>
    <n v="2"/>
    <n v="14.27"/>
    <n v="28.54"/>
    <n v="28.54"/>
    <n v="0"/>
    <s v="France"/>
    <x v="2"/>
  </r>
  <r>
    <n v="2024004480"/>
    <x v="47"/>
    <n v="2024"/>
    <x v="234"/>
    <s v="PROD_002"/>
    <s v="Wireless Mouse"/>
    <s v="Electronics"/>
    <n v="1"/>
    <n v="46.07"/>
    <n v="46.07"/>
    <n v="46.07"/>
    <n v="0"/>
    <s v="Netherlands"/>
    <x v="1"/>
  </r>
  <r>
    <n v="2024004481"/>
    <x v="87"/>
    <n v="2024"/>
    <x v="206"/>
    <s v="PROD_010"/>
    <s v="Webcam HD"/>
    <s v="Electronics"/>
    <n v="1"/>
    <n v="84.18"/>
    <n v="84.18"/>
    <n v="84.18"/>
    <n v="0"/>
    <s v="Belgium"/>
    <x v="1"/>
  </r>
  <r>
    <n v="2024004482"/>
    <x v="175"/>
    <n v="2024"/>
    <x v="146"/>
    <s v="PROD_006"/>
    <s v="Monitor 27&quot;"/>
    <s v="Electronics"/>
    <n v="1"/>
    <n v="401.97"/>
    <n v="401.97"/>
    <n v="401.97"/>
    <n v="0"/>
    <s v="Netherlands"/>
    <x v="3"/>
  </r>
  <r>
    <n v="2024004483"/>
    <x v="5"/>
    <n v="2024"/>
    <x v="285"/>
    <s v="PROD_002"/>
    <s v="Wireless Mouse"/>
    <s v="Electronics"/>
    <n v="3"/>
    <n v="47.02"/>
    <n v="141.06"/>
    <n v="141.06"/>
    <n v="0"/>
    <s v="UK"/>
    <x v="2"/>
  </r>
  <r>
    <n v="2024004484"/>
    <x v="29"/>
    <n v="2024"/>
    <x v="0"/>
    <s v="PROD_008"/>
    <s v="Desk Lamp"/>
    <s v="Furniture"/>
    <n v="1"/>
    <n v="82.2"/>
    <n v="82.2"/>
    <n v="82.2"/>
    <n v="0"/>
    <s v="Belgium"/>
    <x v="2"/>
  </r>
  <r>
    <n v="2024004485"/>
    <x v="75"/>
    <n v="2024"/>
    <x v="103"/>
    <s v="PROD_008"/>
    <s v="Desk Lamp"/>
    <s v="Furniture"/>
    <n v="1"/>
    <n v="83.03"/>
    <n v="83.03"/>
    <n v="83.03"/>
    <n v="0"/>
    <s v="Germany"/>
    <x v="0"/>
  </r>
  <r>
    <n v="2024004486"/>
    <x v="240"/>
    <n v="2024"/>
    <x v="0"/>
    <s v="PROD_001"/>
    <s v="Laptop Pro"/>
    <s v="Electronics"/>
    <n v="5"/>
    <n v="1203.93"/>
    <n v="6019.65"/>
    <n v="6019.6500000000005"/>
    <n v="0"/>
    <s v="UK"/>
    <x v="0"/>
  </r>
  <r>
    <n v="2024004487"/>
    <x v="169"/>
    <n v="2024"/>
    <x v="16"/>
    <s v="PROD_008"/>
    <s v="Desk Lamp"/>
    <s v="Furniture"/>
    <n v="1"/>
    <n v="83.68"/>
    <n v="83.68"/>
    <n v="83.68"/>
    <n v="0"/>
    <s v="France"/>
    <x v="1"/>
  </r>
  <r>
    <n v="2024004488"/>
    <x v="282"/>
    <n v="2024"/>
    <x v="212"/>
    <s v="PROD_007"/>
    <s v="Keyboard Mechanical"/>
    <s v="Electronics"/>
    <n v="2"/>
    <n v="118.4"/>
    <n v="236.8"/>
    <n v="236.8"/>
    <n v="0"/>
    <s v="UK"/>
    <x v="1"/>
  </r>
  <r>
    <n v="2024004489"/>
    <x v="135"/>
    <n v="2024"/>
    <x v="177"/>
    <s v="PROD_007"/>
    <s v="Keyboard Mechanical"/>
    <s v="Electronics"/>
    <n v="1"/>
    <n v="116.55"/>
    <n v="116.55"/>
    <n v="116.55"/>
    <n v="0"/>
    <s v="Germany"/>
    <x v="1"/>
  </r>
  <r>
    <n v="2024004490"/>
    <x v="262"/>
    <n v="2024"/>
    <x v="199"/>
    <s v="PROD_005"/>
    <s v="Standing Desk"/>
    <s v="Furniture"/>
    <n v="1"/>
    <n v="609.91"/>
    <n v="609.91"/>
    <n v="609.91"/>
    <n v="0"/>
    <s v="Netherlands"/>
    <x v="1"/>
  </r>
  <r>
    <n v="2024004491"/>
    <x v="28"/>
    <n v="2024"/>
    <x v="33"/>
    <s v="PROD_008"/>
    <s v="Desk Lamp"/>
    <s v="Furniture"/>
    <n v="1"/>
    <n v="83.93"/>
    <n v="83.93"/>
    <n v="83.93"/>
    <n v="0"/>
    <s v="Netherlands"/>
    <x v="0"/>
  </r>
  <r>
    <n v="2024004492"/>
    <x v="282"/>
    <n v="2024"/>
    <x v="249"/>
    <s v="PROD_005"/>
    <s v="Standing Desk"/>
    <s v="Furniture"/>
    <n v="1"/>
    <n v="615.52"/>
    <n v="615.52"/>
    <n v="615.52"/>
    <n v="0"/>
    <s v="UK"/>
    <x v="0"/>
  </r>
  <r>
    <n v="2024004493"/>
    <x v="172"/>
    <n v="2024"/>
    <x v="199"/>
    <s v="PROD_006"/>
    <s v="Monitor 27&quot;"/>
    <s v="Electronics"/>
    <n v="2"/>
    <n v="412.58"/>
    <n v="825.16"/>
    <n v="825.16"/>
    <n v="0"/>
    <s v="Spain"/>
    <x v="1"/>
  </r>
  <r>
    <n v="2024004494"/>
    <x v="54"/>
    <n v="2024"/>
    <x v="0"/>
    <s v="PROD_009"/>
    <s v="Phone Stand"/>
    <s v="Accessories"/>
    <n v="1"/>
    <n v="25.66"/>
    <n v="25.66"/>
    <n v="25.66"/>
    <n v="0"/>
    <s v="Germany"/>
    <x v="3"/>
  </r>
  <r>
    <n v="2024004495"/>
    <x v="358"/>
    <n v="2024"/>
    <x v="134"/>
    <s v="PROD_005"/>
    <s v="Standing Desk"/>
    <s v="Furniture"/>
    <n v="1"/>
    <n v="569.95000000000005"/>
    <n v="569.95000000000005"/>
    <n v="569.95000000000005"/>
    <n v="0"/>
    <s v="Netherlands"/>
    <x v="2"/>
  </r>
  <r>
    <n v="2024004496"/>
    <x v="51"/>
    <n v="2024"/>
    <x v="59"/>
    <s v="PROD_006"/>
    <s v="Monitor 27&quot;"/>
    <s v="Electronics"/>
    <n v="3"/>
    <n v="386.23"/>
    <n v="1158.69"/>
    <n v="1158.69"/>
    <n v="0"/>
    <s v="Austria"/>
    <x v="2"/>
  </r>
  <r>
    <n v="2024004497"/>
    <x v="298"/>
    <n v="2024"/>
    <x v="299"/>
    <s v="PROD_005"/>
    <s v="Standing Desk"/>
    <s v="Furniture"/>
    <n v="1"/>
    <n v="542.47"/>
    <n v="542.47"/>
    <n v="542.47"/>
    <n v="0"/>
    <s v="Germany"/>
    <x v="0"/>
  </r>
  <r>
    <n v="2024004498"/>
    <x v="308"/>
    <n v="2024"/>
    <x v="208"/>
    <s v="PROD_007"/>
    <s v="Keyboard Mechanical"/>
    <s v="Electronics"/>
    <n v="1"/>
    <n v="121.39"/>
    <n v="121.39"/>
    <n v="121.39"/>
    <n v="0"/>
    <s v="Austria"/>
    <x v="1"/>
  </r>
  <r>
    <n v="2024004499"/>
    <x v="188"/>
    <n v="2024"/>
    <x v="52"/>
    <s v="PROD_008"/>
    <s v="Desk Lamp"/>
    <s v="Furniture"/>
    <n v="2"/>
    <n v="76.31"/>
    <n v="152.62"/>
    <n v="152.62"/>
    <n v="0"/>
    <s v="Sweden"/>
    <x v="0"/>
  </r>
  <r>
    <n v="2024004500"/>
    <x v="275"/>
    <n v="2024"/>
    <x v="4"/>
    <s v="PROD_005"/>
    <s v="Standing Desk"/>
    <s v="Furniture"/>
    <n v="1"/>
    <n v="633.85"/>
    <n v="633.85"/>
    <n v="633.85"/>
    <n v="0"/>
    <s v="Italy"/>
    <x v="0"/>
  </r>
  <r>
    <n v="2024004501"/>
    <x v="232"/>
    <n v="2024"/>
    <x v="0"/>
    <s v="PROD_002"/>
    <s v="Wireless Mouse"/>
    <s v="Electronics"/>
    <n v="1"/>
    <n v="48.66"/>
    <n v="48.66"/>
    <n v="48.66"/>
    <n v="0"/>
    <s v="Austria"/>
    <x v="2"/>
  </r>
  <r>
    <n v="2024004502"/>
    <x v="120"/>
    <n v="2024"/>
    <x v="196"/>
    <s v="PROD_004"/>
    <s v="Desk Chair"/>
    <s v="Furniture"/>
    <n v="3"/>
    <n v="361.46"/>
    <n v="1084.3800000000001"/>
    <n v="1084.3799999999999"/>
    <n v="0"/>
    <s v="Switzerland"/>
    <x v="0"/>
  </r>
  <r>
    <n v="2024004503"/>
    <x v="267"/>
    <n v="2024"/>
    <x v="226"/>
    <s v="PROD_007"/>
    <s v="Keyboard Mechanical"/>
    <s v="Electronics"/>
    <n v="2"/>
    <n v="123.39"/>
    <n v="246.78"/>
    <n v="246.78"/>
    <n v="0"/>
    <s v="Netherlands"/>
    <x v="1"/>
  </r>
  <r>
    <n v="2024004504"/>
    <x v="200"/>
    <n v="2024"/>
    <x v="58"/>
    <s v="PROD_005"/>
    <s v="Standing Desk"/>
    <s v="Furniture"/>
    <n v="5"/>
    <n v="589.23"/>
    <n v="2946.15"/>
    <n v="2946.15"/>
    <n v="0"/>
    <s v="Sweden"/>
    <x v="3"/>
  </r>
  <r>
    <n v="2024004505"/>
    <x v="77"/>
    <n v="2024"/>
    <x v="0"/>
    <s v="PROD_004"/>
    <s v="Desk Chair"/>
    <s v="Furniture"/>
    <n v="1"/>
    <n v="391.02"/>
    <n v="391.02"/>
    <n v="391.02"/>
    <n v="0"/>
    <s v="Belgium"/>
    <x v="3"/>
  </r>
  <r>
    <n v="2024004506"/>
    <x v="6"/>
    <n v="2024"/>
    <x v="93"/>
    <s v="PROD_006"/>
    <s v="Monitor 27&quot;"/>
    <s v="Electronics"/>
    <n v="3"/>
    <n v="385.43"/>
    <n v="1156.29"/>
    <n v="1156.29"/>
    <n v="0"/>
    <s v="Netherlands"/>
    <x v="1"/>
  </r>
  <r>
    <n v="2024004507"/>
    <x v="125"/>
    <n v="2024"/>
    <x v="129"/>
    <s v="PROD_006"/>
    <s v="Monitor 27&quot;"/>
    <s v="Electronics"/>
    <n v="1"/>
    <n v="407.81"/>
    <n v="407.81"/>
    <n v="407.81"/>
    <n v="0"/>
    <s v="Spain"/>
    <x v="2"/>
  </r>
  <r>
    <n v="2024004508"/>
    <x v="97"/>
    <n v="2024"/>
    <x v="28"/>
    <s v="PROD_001"/>
    <s v="Laptop Pro"/>
    <s v="Electronics"/>
    <n v="2"/>
    <n v="1237.98"/>
    <n v="2475.96"/>
    <n v="2475.96"/>
    <n v="0"/>
    <s v="Germany"/>
    <x v="2"/>
  </r>
  <r>
    <n v="2024004509"/>
    <x v="21"/>
    <n v="2024"/>
    <x v="231"/>
    <s v="PROD_002"/>
    <s v="Wireless Mouse"/>
    <s v="Electronics"/>
    <n v="1"/>
    <n v="42.35"/>
    <n v="42.35"/>
    <n v="42.35"/>
    <n v="0"/>
    <s v="UK"/>
    <x v="1"/>
  </r>
  <r>
    <n v="2024004510"/>
    <x v="331"/>
    <n v="2024"/>
    <x v="150"/>
    <s v="PROD_009"/>
    <s v="Phone Stand"/>
    <s v="Accessories"/>
    <n v="1"/>
    <n v="25.56"/>
    <n v="25.56"/>
    <n v="25.56"/>
    <n v="0"/>
    <s v="Belgium"/>
    <x v="0"/>
  </r>
  <r>
    <n v="2024004511"/>
    <x v="351"/>
    <n v="2024"/>
    <x v="79"/>
    <s v="PROD_001"/>
    <s v="Laptop Pro"/>
    <s v="Electronics"/>
    <n v="1"/>
    <n v="1157.3599999999999"/>
    <n v="1157.3599999999999"/>
    <n v="1157.3599999999999"/>
    <n v="0"/>
    <s v="UK"/>
    <x v="1"/>
  </r>
  <r>
    <n v="2024004512"/>
    <x v="189"/>
    <n v="2024"/>
    <x v="205"/>
    <s v="PROD_004"/>
    <s v="Desk Chair"/>
    <s v="Furniture"/>
    <n v="1"/>
    <n v="325.41000000000003"/>
    <n v="325.41000000000003"/>
    <n v="325.41000000000003"/>
    <n v="0"/>
    <s v="Netherlands"/>
    <x v="0"/>
  </r>
  <r>
    <n v="2024004513"/>
    <x v="151"/>
    <n v="2024"/>
    <x v="209"/>
    <s v="PROD_004"/>
    <s v="Desk Chair"/>
    <s v="Furniture"/>
    <n v="1"/>
    <n v="359.15"/>
    <n v="359.15"/>
    <n v="359.15"/>
    <n v="0"/>
    <s v="Spain"/>
    <x v="0"/>
  </r>
  <r>
    <n v="2024004514"/>
    <x v="10"/>
    <n v="2024"/>
    <x v="0"/>
    <s v="PROD_005"/>
    <s v="Standing Desk"/>
    <s v="Furniture"/>
    <n v="1"/>
    <n v="595.85"/>
    <n v="595.85"/>
    <n v="595.85"/>
    <n v="0"/>
    <s v="UK"/>
    <x v="1"/>
  </r>
  <r>
    <n v="2024004515"/>
    <x v="210"/>
    <n v="2024"/>
    <x v="277"/>
    <s v="PROD_001"/>
    <s v="Laptop Pro"/>
    <s v="Electronics"/>
    <n v="1"/>
    <n v="1200.2"/>
    <n v="1200.2"/>
    <n v="1200.2"/>
    <n v="0"/>
    <s v="Sweden"/>
    <x v="2"/>
  </r>
  <r>
    <n v="2024004516"/>
    <x v="222"/>
    <n v="2024"/>
    <x v="131"/>
    <s v="PROD_007"/>
    <s v="Keyboard Mechanical"/>
    <s v="Electronics"/>
    <n v="2"/>
    <n v="126.55"/>
    <n v="253.1"/>
    <n v="253.1"/>
    <n v="0"/>
    <s v="France"/>
    <x v="0"/>
  </r>
  <r>
    <n v="2024004517"/>
    <x v="114"/>
    <n v="2024"/>
    <x v="239"/>
    <s v="PROD_002"/>
    <s v="Wireless Mouse"/>
    <s v="Electronics"/>
    <n v="4"/>
    <n v="45.56"/>
    <n v="182.24"/>
    <n v="182.24"/>
    <n v="0"/>
    <s v="Spain"/>
    <x v="3"/>
  </r>
  <r>
    <n v="2024004518"/>
    <x v="22"/>
    <n v="2024"/>
    <x v="292"/>
    <s v="PROD_010"/>
    <s v="Webcam HD"/>
    <s v="Electronics"/>
    <n v="1"/>
    <n v="94.37"/>
    <n v="94.37"/>
    <n v="94.37"/>
    <n v="0"/>
    <s v="Italy"/>
    <x v="1"/>
  </r>
  <r>
    <n v="2024004519"/>
    <x v="39"/>
    <n v="2024"/>
    <x v="253"/>
    <s v="PROD_004"/>
    <s v="Desk Chair"/>
    <s v="Furniture"/>
    <n v="1"/>
    <n v="357.34"/>
    <n v="357.34"/>
    <n v="357.34"/>
    <n v="0"/>
    <s v="Spain"/>
    <x v="3"/>
  </r>
  <r>
    <n v="2024004520"/>
    <x v="166"/>
    <n v="2024"/>
    <x v="288"/>
    <s v="PROD_004"/>
    <s v="Desk Chair"/>
    <s v="Furniture"/>
    <n v="3"/>
    <n v="378.23"/>
    <n v="1134.69"/>
    <n v="1134.69"/>
    <n v="0"/>
    <s v="Sweden"/>
    <x v="2"/>
  </r>
  <r>
    <n v="2024004521"/>
    <x v="110"/>
    <n v="2024"/>
    <x v="0"/>
    <s v="PROD_008"/>
    <s v="Desk Lamp"/>
    <s v="Furniture"/>
    <n v="3"/>
    <n v="79.650000000000006"/>
    <n v="238.95"/>
    <n v="238.95000000000002"/>
    <n v="0"/>
    <s v="Sweden"/>
    <x v="3"/>
  </r>
  <r>
    <n v="2024004522"/>
    <x v="286"/>
    <n v="2024"/>
    <x v="0"/>
    <s v="PROD_009"/>
    <s v="Phone Stand"/>
    <s v="Accessories"/>
    <n v="2"/>
    <n v="23.22"/>
    <n v="46.44"/>
    <n v="46.44"/>
    <n v="0"/>
    <s v="Spain"/>
    <x v="3"/>
  </r>
  <r>
    <n v="2024004523"/>
    <x v="224"/>
    <n v="2024"/>
    <x v="37"/>
    <s v="PROD_008"/>
    <s v="Desk Lamp"/>
    <s v="Furniture"/>
    <n v="3"/>
    <n v="78.290000000000006"/>
    <n v="234.87"/>
    <n v="234.87"/>
    <n v="0"/>
    <s v="Belgium"/>
    <x v="1"/>
  </r>
  <r>
    <n v="2024004524"/>
    <x v="250"/>
    <n v="2024"/>
    <x v="0"/>
    <s v="PROD_002"/>
    <s v="Wireless Mouse"/>
    <s v="Electronics"/>
    <n v="1"/>
    <n v="45.88"/>
    <n v="45.88"/>
    <n v="45.88"/>
    <n v="0"/>
    <s v="Sweden"/>
    <x v="3"/>
  </r>
  <r>
    <n v="2024004525"/>
    <x v="32"/>
    <n v="2024"/>
    <x v="239"/>
    <s v="PROD_008"/>
    <s v="Desk Lamp"/>
    <s v="Furniture"/>
    <n v="2"/>
    <n v="85.06"/>
    <n v="170.12"/>
    <n v="170.12"/>
    <n v="0"/>
    <s v="Netherlands"/>
    <x v="3"/>
  </r>
  <r>
    <n v="2024002739"/>
    <x v="58"/>
    <n v="2024"/>
    <x v="58"/>
    <s v="PROD_009"/>
    <s v="Phone Stand"/>
    <s v="Accessories"/>
    <n v="1"/>
    <n v="23.36"/>
    <n v="23.36"/>
    <n v="23.36"/>
    <n v="0"/>
    <s v="UK"/>
    <x v="2"/>
  </r>
  <r>
    <n v="2024004527"/>
    <x v="204"/>
    <n v="2024"/>
    <x v="278"/>
    <s v="PROD_002"/>
    <s v="Wireless Mouse"/>
    <s v="Electronics"/>
    <n v="2"/>
    <n v="47.71"/>
    <n v="95.42"/>
    <n v="95.42"/>
    <n v="0"/>
    <s v="Belgium"/>
    <x v="2"/>
  </r>
  <r>
    <n v="2024004528"/>
    <x v="347"/>
    <n v="2024"/>
    <x v="202"/>
    <s v="PROD_008"/>
    <s v="Desk Lamp"/>
    <s v="Furniture"/>
    <n v="1"/>
    <n v="75.58"/>
    <n v="75.58"/>
    <n v="75.58"/>
    <n v="0"/>
    <s v="France"/>
    <x v="2"/>
  </r>
  <r>
    <n v="2024004529"/>
    <x v="185"/>
    <n v="2024"/>
    <x v="13"/>
    <s v="PROD_004"/>
    <s v="Desk Chair"/>
    <s v="Furniture"/>
    <n v="2"/>
    <n v="361.68"/>
    <n v="723.36"/>
    <n v="723.36"/>
    <n v="0"/>
    <s v="France"/>
    <x v="3"/>
  </r>
  <r>
    <n v="2024004530"/>
    <x v="270"/>
    <n v="2024"/>
    <x v="117"/>
    <s v="PROD_002"/>
    <s v="Wireless Mouse"/>
    <s v="Electronics"/>
    <n v="2"/>
    <n v="48.23"/>
    <n v="96.46"/>
    <n v="96.46"/>
    <n v="0"/>
    <s v="Austria"/>
    <x v="1"/>
  </r>
  <r>
    <n v="2024004531"/>
    <x v="166"/>
    <n v="2024"/>
    <x v="181"/>
    <s v="PROD_006"/>
    <s v="Monitor 27&quot;"/>
    <s v="Electronics"/>
    <n v="2"/>
    <n v="429.22"/>
    <n v="858.44"/>
    <n v="858.44"/>
    <n v="0"/>
    <s v="Germany"/>
    <x v="0"/>
  </r>
  <r>
    <n v="2024004532"/>
    <x v="356"/>
    <n v="2024"/>
    <x v="118"/>
    <s v="PROD_005"/>
    <s v="Standing Desk"/>
    <s v="Furniture"/>
    <n v="5"/>
    <n v="589.75"/>
    <n v="2948.75"/>
    <n v="2948.75"/>
    <n v="0"/>
    <s v="Sweden"/>
    <x v="0"/>
  </r>
  <r>
    <n v="2024004533"/>
    <x v="147"/>
    <n v="2024"/>
    <x v="46"/>
    <s v="PROD_004"/>
    <s v="Desk Chair"/>
    <s v="Furniture"/>
    <n v="1"/>
    <n v="340.55"/>
    <n v="340.55"/>
    <n v="340.55"/>
    <n v="0"/>
    <s v="Netherlands"/>
    <x v="2"/>
  </r>
  <r>
    <n v="2024004534"/>
    <x v="256"/>
    <n v="2024"/>
    <x v="0"/>
    <s v="PROD_008"/>
    <s v="Desk Lamp"/>
    <s v="Furniture"/>
    <n v="1"/>
    <n v="85.37"/>
    <n v="85.37"/>
    <n v="85.37"/>
    <n v="0"/>
    <s v="UK"/>
    <x v="1"/>
  </r>
  <r>
    <n v="2024004535"/>
    <x v="161"/>
    <n v="2024"/>
    <x v="112"/>
    <s v="PROD_005"/>
    <s v="Standing Desk"/>
    <s v="Furniture"/>
    <n v="3"/>
    <n v="591.88"/>
    <n v="1775.64"/>
    <n v="1775.6399999999999"/>
    <n v="0"/>
    <s v="Spain"/>
    <x v="0"/>
  </r>
  <r>
    <n v="2024004536"/>
    <x v="26"/>
    <n v="2024"/>
    <x v="75"/>
    <s v="PROD_005"/>
    <s v="Standing Desk"/>
    <s v="Furniture"/>
    <n v="4"/>
    <n v="607.36"/>
    <n v="2429.44"/>
    <n v="2429.44"/>
    <n v="0"/>
    <s v="Switzerland"/>
    <x v="2"/>
  </r>
  <r>
    <n v="2024004537"/>
    <x v="170"/>
    <n v="2024"/>
    <x v="197"/>
    <s v="PROD_006"/>
    <s v="Monitor 27&quot;"/>
    <s v="Electronics"/>
    <n v="1"/>
    <n v="405.26"/>
    <n v="405.26"/>
    <n v="405.26"/>
    <n v="0"/>
    <s v="France"/>
    <x v="2"/>
  </r>
  <r>
    <n v="2024004538"/>
    <x v="350"/>
    <n v="2024"/>
    <x v="177"/>
    <s v="PROD_004"/>
    <s v="Desk Chair"/>
    <s v="Furniture"/>
    <n v="1"/>
    <n v="337.01"/>
    <n v="337.01"/>
    <n v="337.01"/>
    <n v="0"/>
    <s v="UK"/>
    <x v="2"/>
  </r>
  <r>
    <n v="2024004539"/>
    <x v="292"/>
    <n v="2024"/>
    <x v="229"/>
    <s v="PROD_002"/>
    <s v="Wireless Mouse"/>
    <s v="Electronics"/>
    <n v="2"/>
    <n v="44.96"/>
    <n v="89.92"/>
    <n v="89.92"/>
    <n v="0"/>
    <s v="Sweden"/>
    <x v="2"/>
  </r>
  <r>
    <n v="2024004540"/>
    <x v="195"/>
    <n v="2024"/>
    <x v="177"/>
    <s v="PROD_009"/>
    <s v="Phone Stand"/>
    <s v="Accessories"/>
    <n v="0"/>
    <n v="21.73"/>
    <n v="0"/>
    <n v="0"/>
    <n v="0"/>
    <s v="Sweden"/>
    <x v="0"/>
  </r>
  <r>
    <n v="2024004541"/>
    <x v="89"/>
    <n v="2024"/>
    <x v="146"/>
    <s v="PROD_009"/>
    <s v="Phone Stand"/>
    <s v="Accessories"/>
    <n v="5"/>
    <n v="27.41"/>
    <n v="137.05000000000001"/>
    <n v="137.05000000000001"/>
    <n v="0"/>
    <s v="UK"/>
    <x v="3"/>
  </r>
  <r>
    <n v="2024004542"/>
    <x v="39"/>
    <n v="2024"/>
    <x v="208"/>
    <s v="PROD_009"/>
    <s v="Phone Stand"/>
    <s v="Accessories"/>
    <n v="3"/>
    <n v="24.76"/>
    <n v="74.28"/>
    <n v="74.28"/>
    <n v="0"/>
    <s v="Switzerland"/>
    <x v="1"/>
  </r>
  <r>
    <n v="2024004543"/>
    <x v="33"/>
    <n v="2024"/>
    <x v="48"/>
    <s v="PROD_004"/>
    <s v="Desk Chair"/>
    <s v="Furniture"/>
    <n v="1"/>
    <n v="352.81"/>
    <n v="352.81"/>
    <n v="352.81"/>
    <n v="0"/>
    <s v="Italy"/>
    <x v="3"/>
  </r>
  <r>
    <n v="2024004544"/>
    <x v="58"/>
    <n v="2024"/>
    <x v="33"/>
    <s v="PROD_002"/>
    <s v="Wireless Mouse"/>
    <s v="Electronics"/>
    <n v="1"/>
    <n v="43.16"/>
    <n v="43.16"/>
    <n v="43.16"/>
    <n v="0"/>
    <s v="Switzerland"/>
    <x v="0"/>
  </r>
  <r>
    <n v="2024004545"/>
    <x v="306"/>
    <n v="2024"/>
    <x v="122"/>
    <s v="PROD_005"/>
    <s v="Standing Desk"/>
    <s v="Furniture"/>
    <n v="2"/>
    <n v="532.76"/>
    <n v="1065.52"/>
    <n v="1065.52"/>
    <n v="0"/>
    <s v="France"/>
    <x v="2"/>
  </r>
  <r>
    <n v="2024004546"/>
    <x v="80"/>
    <n v="2024"/>
    <x v="156"/>
    <s v="PROD_010"/>
    <s v="Webcam HD"/>
    <s v="Electronics"/>
    <n v="3"/>
    <n v="94.14"/>
    <n v="282.42"/>
    <n v="282.42"/>
    <n v="0"/>
    <s v="France"/>
    <x v="0"/>
  </r>
  <r>
    <n v="2024004547"/>
    <x v="129"/>
    <n v="2024"/>
    <x v="131"/>
    <s v="PROD_002"/>
    <s v="Wireless Mouse"/>
    <s v="Electronics"/>
    <n v="1"/>
    <n v="47.56"/>
    <n v="47.56"/>
    <n v="47.56"/>
    <n v="0"/>
    <s v="Italy"/>
    <x v="1"/>
  </r>
  <r>
    <n v="2024004548"/>
    <x v="143"/>
    <n v="2024"/>
    <x v="111"/>
    <s v="PROD_010"/>
    <s v="Webcam HD"/>
    <s v="Electronics"/>
    <n v="1"/>
    <n v="96.44"/>
    <n v="96.44"/>
    <n v="96.44"/>
    <n v="0"/>
    <s v="UK"/>
    <x v="3"/>
  </r>
  <r>
    <n v="2024004549"/>
    <x v="127"/>
    <n v="2024"/>
    <x v="250"/>
    <s v="PROD_009"/>
    <s v="Phone Stand"/>
    <s v="Accessories"/>
    <n v="2"/>
    <n v="25.25"/>
    <n v="50.5"/>
    <n v="50.5"/>
    <n v="0"/>
    <s v="Spain"/>
    <x v="3"/>
  </r>
  <r>
    <n v="2024004550"/>
    <x v="108"/>
    <n v="2024"/>
    <x v="270"/>
    <s v="PROD_001"/>
    <s v="Laptop Pro"/>
    <s v="Electronics"/>
    <n v="2"/>
    <n v="1310.02"/>
    <n v="2620.04"/>
    <n v="2620.04"/>
    <n v="0"/>
    <s v="Austria"/>
    <x v="3"/>
  </r>
  <r>
    <n v="2024004551"/>
    <x v="8"/>
    <n v="2024"/>
    <x v="0"/>
    <s v="PROD_006"/>
    <s v="Monitor 27&quot;"/>
    <s v="Electronics"/>
    <n v="1"/>
    <n v="453.27"/>
    <n v="453.27"/>
    <n v="453.27"/>
    <n v="0"/>
    <s v="Spain"/>
    <x v="3"/>
  </r>
  <r>
    <n v="2024004552"/>
    <x v="286"/>
    <n v="2024"/>
    <x v="196"/>
    <s v="PROD_003"/>
    <s v="USB-C Cable"/>
    <s v="Electronics"/>
    <n v="1"/>
    <n v="14.81"/>
    <n v="14.81"/>
    <n v="14.81"/>
    <n v="0"/>
    <s v="Switzerland"/>
    <x v="1"/>
  </r>
  <r>
    <n v="2024004553"/>
    <x v="220"/>
    <n v="2024"/>
    <x v="259"/>
    <s v="PROD_001"/>
    <s v="Laptop Pro"/>
    <s v="Electronics"/>
    <n v="1"/>
    <n v="1110.07"/>
    <n v="1110.07"/>
    <n v="1110.07"/>
    <n v="0"/>
    <s v="Italy"/>
    <x v="2"/>
  </r>
  <r>
    <n v="2024004554"/>
    <x v="69"/>
    <n v="2024"/>
    <x v="212"/>
    <s v="PROD_004"/>
    <s v="Desk Chair"/>
    <s v="Furniture"/>
    <n v="1"/>
    <n v="347.42"/>
    <n v="347.42"/>
    <n v="347.42"/>
    <n v="0"/>
    <s v="Belgium"/>
    <x v="1"/>
  </r>
  <r>
    <n v="2024004555"/>
    <x v="51"/>
    <n v="2024"/>
    <x v="133"/>
    <s v="PROD_006"/>
    <s v="Monitor 27&quot;"/>
    <s v="Electronics"/>
    <n v="1"/>
    <n v="428.36"/>
    <n v="428.36"/>
    <n v="428.36"/>
    <n v="0"/>
    <s v="Switzerland"/>
    <x v="2"/>
  </r>
  <r>
    <n v="2024004556"/>
    <x v="238"/>
    <n v="2024"/>
    <x v="156"/>
    <s v="PROD_010"/>
    <s v="Webcam HD"/>
    <s v="Electronics"/>
    <n v="2"/>
    <n v="97.04"/>
    <n v="194.08"/>
    <n v="194.08"/>
    <n v="0"/>
    <s v="Italy"/>
    <x v="1"/>
  </r>
  <r>
    <n v="2024004557"/>
    <x v="180"/>
    <n v="2024"/>
    <x v="16"/>
    <s v="PROD_006"/>
    <s v="Monitor 27&quot;"/>
    <s v="Electronics"/>
    <n v="2"/>
    <n v="383.4"/>
    <n v="766.8"/>
    <n v="766.8"/>
    <n v="0"/>
    <s v="Italy"/>
    <x v="0"/>
  </r>
  <r>
    <n v="2024004558"/>
    <x v="78"/>
    <n v="2024"/>
    <x v="258"/>
    <s v="PROD_001"/>
    <s v="Laptop Pro"/>
    <s v="Electronics"/>
    <n v="1"/>
    <n v="1091.8399999999999"/>
    <n v="1091.8399999999999"/>
    <n v="1091.8399999999999"/>
    <n v="0"/>
    <s v="Sweden"/>
    <x v="0"/>
  </r>
  <r>
    <n v="2024004559"/>
    <x v="336"/>
    <n v="2024"/>
    <x v="50"/>
    <s v="PROD_002"/>
    <s v="Wireless Mouse"/>
    <s v="Electronics"/>
    <n v="1"/>
    <n v="46.67"/>
    <n v="46.67"/>
    <n v="46.67"/>
    <n v="0"/>
    <s v="Sweden"/>
    <x v="2"/>
  </r>
  <r>
    <n v="2024004560"/>
    <x v="26"/>
    <n v="2024"/>
    <x v="145"/>
    <s v="PROD_001"/>
    <s v="Laptop Pro"/>
    <s v="Electronics"/>
    <n v="4"/>
    <n v="1252.49"/>
    <n v="5009.96"/>
    <n v="5009.96"/>
    <n v="0"/>
    <s v="UK"/>
    <x v="0"/>
  </r>
  <r>
    <n v="2024004561"/>
    <x v="296"/>
    <n v="2024"/>
    <x v="127"/>
    <s v="PROD_009"/>
    <s v="Phone Stand"/>
    <s v="Accessories"/>
    <n v="1"/>
    <n v="25.59"/>
    <n v="25.59"/>
    <n v="25.59"/>
    <n v="0"/>
    <s v="Spain"/>
    <x v="3"/>
  </r>
  <r>
    <n v="2024004562"/>
    <x v="293"/>
    <n v="2024"/>
    <x v="224"/>
    <s v="PROD_010"/>
    <s v="Webcam HD"/>
    <s v="Electronics"/>
    <n v="1"/>
    <n v="92.01"/>
    <n v="92.01"/>
    <n v="92.01"/>
    <n v="0"/>
    <s v="Belgium"/>
    <x v="1"/>
  </r>
  <r>
    <n v="2024004563"/>
    <x v="25"/>
    <n v="2024"/>
    <x v="8"/>
    <s v="PROD_003"/>
    <s v="USB-C Cable"/>
    <s v="Electronics"/>
    <n v="2"/>
    <n v="14.7"/>
    <n v="29.4"/>
    <n v="29.4"/>
    <n v="0"/>
    <s v="Austria"/>
    <x v="3"/>
  </r>
  <r>
    <n v="2024004564"/>
    <x v="248"/>
    <n v="2024"/>
    <x v="43"/>
    <s v="PROD_006"/>
    <s v="Monitor 27&quot;"/>
    <s v="Electronics"/>
    <n v="1"/>
    <n v="410.75"/>
    <n v="410.75"/>
    <n v="410.75"/>
    <n v="0"/>
    <s v="Austria"/>
    <x v="1"/>
  </r>
  <r>
    <n v="2024004565"/>
    <x v="342"/>
    <n v="2024"/>
    <x v="44"/>
    <s v="PROD_010"/>
    <s v="Webcam HD"/>
    <s v="Electronics"/>
    <n v="1"/>
    <n v="86.71"/>
    <n v="86.71"/>
    <n v="86.71"/>
    <n v="0"/>
    <s v="Austria"/>
    <x v="1"/>
  </r>
  <r>
    <n v="2024004566"/>
    <x v="192"/>
    <n v="2024"/>
    <x v="50"/>
    <s v="PROD_009"/>
    <s v="Phone Stand"/>
    <s v="Accessories"/>
    <n v="1"/>
    <n v="23.19"/>
    <n v="23.19"/>
    <n v="23.19"/>
    <n v="0"/>
    <s v="France"/>
    <x v="3"/>
  </r>
  <r>
    <n v="2024004567"/>
    <x v="135"/>
    <n v="2024"/>
    <x v="57"/>
    <s v="PROD_007"/>
    <s v="Keyboard Mechanical"/>
    <s v="Electronics"/>
    <n v="2"/>
    <n v="128.72"/>
    <n v="257.44"/>
    <n v="257.44"/>
    <n v="0"/>
    <s v="France"/>
    <x v="0"/>
  </r>
  <r>
    <n v="2024004568"/>
    <x v="290"/>
    <n v="2024"/>
    <x v="106"/>
    <s v="PROD_010"/>
    <s v="Webcam HD"/>
    <s v="Electronics"/>
    <n v="1"/>
    <n v="91.95"/>
    <n v="91.95"/>
    <n v="91.95"/>
    <n v="0"/>
    <s v="Austria"/>
    <x v="3"/>
  </r>
  <r>
    <n v="2024004569"/>
    <x v="136"/>
    <n v="2024"/>
    <x v="29"/>
    <s v="PROD_005"/>
    <s v="Standing Desk"/>
    <s v="Furniture"/>
    <n v="2"/>
    <n v="554.28"/>
    <n v="1108.56"/>
    <n v="1108.56"/>
    <n v="0"/>
    <s v="Italy"/>
    <x v="3"/>
  </r>
  <r>
    <n v="2024004570"/>
    <x v="96"/>
    <n v="2024"/>
    <x v="0"/>
    <s v="PROD_006"/>
    <s v="Monitor 27&quot;"/>
    <s v="Electronics"/>
    <n v="3"/>
    <n v="360.33"/>
    <n v="1080.99"/>
    <n v="1080.99"/>
    <n v="0"/>
    <s v="Spain"/>
    <x v="0"/>
  </r>
  <r>
    <n v="2024004571"/>
    <x v="324"/>
    <n v="2024"/>
    <x v="282"/>
    <s v="PROD_009"/>
    <s v="Phone Stand"/>
    <s v="Accessories"/>
    <n v="1"/>
    <n v="25.67"/>
    <n v="25.67"/>
    <n v="25.67"/>
    <n v="0"/>
    <s v="Netherlands"/>
    <x v="0"/>
  </r>
  <r>
    <n v="2024004572"/>
    <x v="33"/>
    <n v="2024"/>
    <x v="164"/>
    <s v="PROD_007"/>
    <s v="Keyboard Mechanical"/>
    <s v="Electronics"/>
    <n v="3"/>
    <n v="114.43"/>
    <n v="343.29"/>
    <n v="343.29"/>
    <n v="0"/>
    <s v="Switzerland"/>
    <x v="0"/>
  </r>
  <r>
    <n v="2024004573"/>
    <x v="154"/>
    <n v="2024"/>
    <x v="30"/>
    <s v="PROD_007"/>
    <s v="Keyboard Mechanical"/>
    <s v="Electronics"/>
    <n v="1"/>
    <n v="109.76"/>
    <n v="109.76"/>
    <n v="109.76"/>
    <n v="0"/>
    <s v="UK"/>
    <x v="0"/>
  </r>
  <r>
    <n v="2024004574"/>
    <x v="31"/>
    <n v="2024"/>
    <x v="262"/>
    <s v="PROD_006"/>
    <s v="Monitor 27&quot;"/>
    <s v="Electronics"/>
    <n v="2"/>
    <n v="397.92"/>
    <n v="795.84"/>
    <n v="795.84"/>
    <n v="0"/>
    <s v="Netherlands"/>
    <x v="1"/>
  </r>
  <r>
    <n v="2024004575"/>
    <x v="282"/>
    <n v="2024"/>
    <x v="50"/>
    <s v="PROD_004"/>
    <s v="Desk Chair"/>
    <s v="Furniture"/>
    <n v="1"/>
    <n v="354.38"/>
    <n v="354.38"/>
    <n v="354.38"/>
    <n v="0"/>
    <s v="Spain"/>
    <x v="0"/>
  </r>
  <r>
    <n v="2024004576"/>
    <x v="221"/>
    <n v="2024"/>
    <x v="161"/>
    <s v="PROD_007"/>
    <s v="Keyboard Mechanical"/>
    <s v="Electronics"/>
    <n v="1"/>
    <n v="113.46"/>
    <n v="113.46"/>
    <n v="113.46"/>
    <n v="0"/>
    <s v="Netherlands"/>
    <x v="0"/>
  </r>
  <r>
    <n v="2024004577"/>
    <x v="87"/>
    <n v="2024"/>
    <x v="211"/>
    <s v="PROD_010"/>
    <s v="Webcam HD"/>
    <s v="Electronics"/>
    <n v="2"/>
    <n v="99.67"/>
    <n v="199.34"/>
    <n v="199.34"/>
    <n v="0"/>
    <s v="Belgium"/>
    <x v="0"/>
  </r>
  <r>
    <n v="2024004578"/>
    <x v="318"/>
    <n v="2024"/>
    <x v="21"/>
    <s v="PROD_006"/>
    <s v="Monitor 27&quot;"/>
    <s v="Electronics"/>
    <n v="1"/>
    <n v="352.18"/>
    <n v="352.18"/>
    <n v="352.18"/>
    <n v="0"/>
    <s v="Belgium"/>
    <x v="0"/>
  </r>
  <r>
    <n v="2024004579"/>
    <x v="187"/>
    <n v="2024"/>
    <x v="135"/>
    <s v="PROD_005"/>
    <s v="Standing Desk"/>
    <s v="Furniture"/>
    <n v="2"/>
    <n v="650.96"/>
    <n v="1301.92"/>
    <n v="1301.92"/>
    <n v="0"/>
    <s v="Switzerland"/>
    <x v="3"/>
  </r>
  <r>
    <n v="2024004580"/>
    <x v="200"/>
    <n v="2024"/>
    <x v="251"/>
    <s v="PROD_009"/>
    <s v="Phone Stand"/>
    <s v="Accessories"/>
    <n v="4"/>
    <n v="27.33"/>
    <n v="109.32"/>
    <n v="109.32"/>
    <n v="0"/>
    <s v="Belgium"/>
    <x v="0"/>
  </r>
  <r>
    <n v="2024004581"/>
    <x v="372"/>
    <n v="2023"/>
    <x v="159"/>
    <s v="PROD_001"/>
    <s v="Laptop Pro"/>
    <s v="Electronics"/>
    <n v="2"/>
    <n v="1234.17"/>
    <n v="2468.34"/>
    <n v="2468.34"/>
    <n v="0"/>
    <s v="France"/>
    <x v="2"/>
  </r>
  <r>
    <n v="2024004582"/>
    <x v="323"/>
    <n v="2024"/>
    <x v="265"/>
    <s v="PROD_004"/>
    <s v="Desk Chair"/>
    <s v="Furniture"/>
    <n v="1"/>
    <n v="343.29"/>
    <n v="343.29"/>
    <n v="343.29"/>
    <n v="0"/>
    <s v="Spain"/>
    <x v="2"/>
  </r>
  <r>
    <n v="2024004583"/>
    <x v="171"/>
    <n v="2024"/>
    <x v="122"/>
    <s v="PROD_010"/>
    <s v="Webcam HD"/>
    <s v="Electronics"/>
    <n v="1"/>
    <n v="89.46"/>
    <n v="89.46"/>
    <n v="89.46"/>
    <n v="0"/>
    <s v="Switzerland"/>
    <x v="1"/>
  </r>
  <r>
    <n v="2024004584"/>
    <x v="175"/>
    <n v="2024"/>
    <x v="146"/>
    <s v="PROD_006"/>
    <s v="Monitor 27&quot;"/>
    <s v="Electronics"/>
    <n v="5"/>
    <n v="403.23"/>
    <n v="2016.15"/>
    <n v="2016.15"/>
    <n v="0"/>
    <s v="Sweden"/>
    <x v="1"/>
  </r>
  <r>
    <n v="2024004585"/>
    <x v="274"/>
    <n v="2024"/>
    <x v="78"/>
    <s v="PROD_004"/>
    <s v="Desk Chair"/>
    <s v="Furniture"/>
    <n v="5"/>
    <n v="372.52"/>
    <n v="1862.6"/>
    <n v="1862.6"/>
    <n v="0"/>
    <s v="Italy"/>
    <x v="3"/>
  </r>
  <r>
    <n v="2024004586"/>
    <x v="232"/>
    <n v="2024"/>
    <x v="102"/>
    <s v="PROD_009"/>
    <s v="Phone Stand"/>
    <s v="Accessories"/>
    <n v="1"/>
    <n v="24.76"/>
    <n v="24.76"/>
    <n v="24.76"/>
    <n v="0"/>
    <s v="Germany"/>
    <x v="0"/>
  </r>
  <r>
    <n v="2024004587"/>
    <x v="183"/>
    <n v="2024"/>
    <x v="44"/>
    <s v="PROD_009"/>
    <s v="Phone Stand"/>
    <s v="Accessories"/>
    <n v="2"/>
    <n v="26.04"/>
    <n v="52.08"/>
    <n v="52.08"/>
    <n v="0"/>
    <s v="UK"/>
    <x v="0"/>
  </r>
  <r>
    <n v="2024004588"/>
    <x v="80"/>
    <n v="2024"/>
    <x v="135"/>
    <s v="PROD_005"/>
    <s v="Standing Desk"/>
    <s v="Furniture"/>
    <n v="1"/>
    <n v="609.70000000000005"/>
    <n v="609.70000000000005"/>
    <n v="609.70000000000005"/>
    <n v="0"/>
    <s v="Austria"/>
    <x v="3"/>
  </r>
  <r>
    <n v="2024004589"/>
    <x v="194"/>
    <n v="2024"/>
    <x v="116"/>
    <s v="PROD_003"/>
    <s v="USB-C Cable"/>
    <s v="Electronics"/>
    <n v="1"/>
    <n v="14.11"/>
    <n v="14.11"/>
    <n v="14.11"/>
    <n v="0"/>
    <s v="Switzerland"/>
    <x v="1"/>
  </r>
  <r>
    <n v="2024004590"/>
    <x v="183"/>
    <n v="2024"/>
    <x v="21"/>
    <s v="PROD_002"/>
    <s v="Wireless Mouse"/>
    <s v="Electronics"/>
    <n v="3"/>
    <n v="44.96"/>
    <n v="134.88"/>
    <n v="134.88"/>
    <n v="0"/>
    <s v="Spain"/>
    <x v="2"/>
  </r>
  <r>
    <n v="2024004591"/>
    <x v="78"/>
    <n v="2024"/>
    <x v="246"/>
    <s v="PROD_001"/>
    <s v="Laptop Pro"/>
    <s v="Electronics"/>
    <n v="3"/>
    <n v="1135.4100000000001"/>
    <n v="3406.23"/>
    <n v="3406.2300000000005"/>
    <n v="0"/>
    <s v="Netherlands"/>
    <x v="2"/>
  </r>
  <r>
    <n v="2024004592"/>
    <x v="246"/>
    <n v="2024"/>
    <x v="0"/>
    <s v="PROD_004"/>
    <s v="Desk Chair"/>
    <s v="Furniture"/>
    <n v="1"/>
    <n v="356.86"/>
    <n v="356.86"/>
    <n v="356.86"/>
    <n v="0"/>
    <s v="Spain"/>
    <x v="3"/>
  </r>
  <r>
    <n v="2024004593"/>
    <x v="65"/>
    <n v="2024"/>
    <x v="61"/>
    <s v="PROD_010"/>
    <s v="Webcam HD"/>
    <s v="Electronics"/>
    <n v="1"/>
    <n v="92.63"/>
    <n v="92.63"/>
    <n v="92.63"/>
    <n v="0"/>
    <s v="Spain"/>
    <x v="2"/>
  </r>
  <r>
    <n v="2024004594"/>
    <x v="285"/>
    <n v="2024"/>
    <x v="4"/>
    <s v="PROD_010"/>
    <s v="Webcam HD"/>
    <s v="Electronics"/>
    <n v="1"/>
    <n v="90.44"/>
    <n v="90.44"/>
    <n v="90.44"/>
    <n v="0"/>
    <s v="UK"/>
    <x v="2"/>
  </r>
  <r>
    <n v="2024004595"/>
    <x v="124"/>
    <n v="2024"/>
    <x v="175"/>
    <s v="PROD_005"/>
    <s v="Standing Desk"/>
    <s v="Furniture"/>
    <n v="1"/>
    <n v="630.87"/>
    <n v="630.87"/>
    <n v="630.87"/>
    <n v="0"/>
    <s v="Germany"/>
    <x v="2"/>
  </r>
  <r>
    <n v="2024004596"/>
    <x v="270"/>
    <n v="2024"/>
    <x v="198"/>
    <s v="PROD_005"/>
    <s v="Standing Desk"/>
    <s v="Furniture"/>
    <n v="1"/>
    <n v="605.28"/>
    <n v="605.28"/>
    <n v="605.28"/>
    <n v="0"/>
    <s v="France"/>
    <x v="3"/>
  </r>
  <r>
    <n v="2024004597"/>
    <x v="95"/>
    <n v="2024"/>
    <x v="252"/>
    <s v="PROD_003"/>
    <s v="USB-C Cable"/>
    <s v="Electronics"/>
    <n v="4"/>
    <n v="13.87"/>
    <n v="55.48"/>
    <n v="55.48"/>
    <n v="0"/>
    <s v="Sweden"/>
    <x v="1"/>
  </r>
  <r>
    <n v="2024004598"/>
    <x v="69"/>
    <n v="2024"/>
    <x v="0"/>
    <s v="PROD_009"/>
    <s v="Phone Stand"/>
    <s v="Accessories"/>
    <n v="1"/>
    <n v="24.74"/>
    <n v="24.74"/>
    <n v="24.74"/>
    <n v="0"/>
    <s v="Switzerland"/>
    <x v="3"/>
  </r>
  <r>
    <n v="2024004599"/>
    <x v="365"/>
    <n v="2024"/>
    <x v="287"/>
    <s v="PROD_004"/>
    <s v="Desk Chair"/>
    <s v="Furniture"/>
    <n v="1"/>
    <n v="359.61"/>
    <n v="359.61"/>
    <n v="359.61"/>
    <n v="0"/>
    <s v="France"/>
    <x v="1"/>
  </r>
  <r>
    <n v="2024004600"/>
    <x v="67"/>
    <n v="2024"/>
    <x v="18"/>
    <s v="PROD_001"/>
    <s v="Laptop Pro"/>
    <s v="Electronics"/>
    <n v="2"/>
    <n v="1155.77"/>
    <n v="2311.54"/>
    <n v="2311.54"/>
    <n v="0"/>
    <s v="Italy"/>
    <x v="3"/>
  </r>
  <r>
    <n v="2024004601"/>
    <x v="163"/>
    <n v="2024"/>
    <x v="293"/>
    <s v="PROD_010"/>
    <s v="Webcam HD"/>
    <s v="Electronics"/>
    <n v="1"/>
    <n v="90.49"/>
    <n v="90.49"/>
    <n v="90.49"/>
    <n v="0"/>
    <s v="UK"/>
    <x v="3"/>
  </r>
  <r>
    <n v="2024004602"/>
    <x v="143"/>
    <n v="2024"/>
    <x v="230"/>
    <s v="PROD_008"/>
    <s v="Desk Lamp"/>
    <s v="Furniture"/>
    <n v="2"/>
    <n v="80.03"/>
    <n v="160.06"/>
    <n v="160.06"/>
    <n v="0"/>
    <s v="Spain"/>
    <x v="1"/>
  </r>
  <r>
    <n v="2024004603"/>
    <x v="204"/>
    <n v="2024"/>
    <x v="269"/>
    <s v="PROD_005"/>
    <s v="Standing Desk"/>
    <s v="Furniture"/>
    <n v="1"/>
    <n v="648.29"/>
    <n v="648.29"/>
    <n v="648.29"/>
    <n v="0"/>
    <s v="Switzerland"/>
    <x v="1"/>
  </r>
  <r>
    <n v="2024004604"/>
    <x v="170"/>
    <n v="2024"/>
    <x v="192"/>
    <s v="PROD_004"/>
    <s v="Desk Chair"/>
    <s v="Furniture"/>
    <n v="1"/>
    <n v="344.03"/>
    <n v="344.03"/>
    <n v="344.03"/>
    <n v="0"/>
    <s v="Netherlands"/>
    <x v="0"/>
  </r>
  <r>
    <n v="2024004605"/>
    <x v="70"/>
    <n v="2024"/>
    <x v="288"/>
    <s v="PROD_007"/>
    <s v="Keyboard Mechanical"/>
    <s v="Electronics"/>
    <n v="1"/>
    <n v="119.26"/>
    <n v="119.26"/>
    <n v="119.26"/>
    <n v="0"/>
    <s v="Austria"/>
    <x v="1"/>
  </r>
  <r>
    <n v="2024004606"/>
    <x v="208"/>
    <n v="2024"/>
    <x v="20"/>
    <s v="PROD_009"/>
    <s v="Phone Stand"/>
    <s v="Accessories"/>
    <n v="4"/>
    <n v="25.78"/>
    <n v="103.12"/>
    <n v="103.12"/>
    <n v="0"/>
    <s v="Belgium"/>
    <x v="3"/>
  </r>
  <r>
    <n v="2024004607"/>
    <x v="2"/>
    <n v="2024"/>
    <x v="225"/>
    <s v="PROD_003"/>
    <s v="USB-C Cable"/>
    <s v="Electronics"/>
    <n v="5"/>
    <n v="15.87"/>
    <n v="79.349999999999994"/>
    <n v="79.349999999999994"/>
    <n v="0"/>
    <s v="Belgium"/>
    <x v="2"/>
  </r>
  <r>
    <n v="2024004608"/>
    <x v="189"/>
    <n v="2024"/>
    <x v="275"/>
    <s v="PROD_001"/>
    <s v="Laptop Pro"/>
    <s v="Electronics"/>
    <n v="2"/>
    <n v="1266.99"/>
    <n v="2533.98"/>
    <n v="2533.98"/>
    <n v="0"/>
    <s v="Spain"/>
    <x v="0"/>
  </r>
  <r>
    <n v="2024004609"/>
    <x v="323"/>
    <n v="2024"/>
    <x v="64"/>
    <s v="PROD_004"/>
    <s v="Desk Chair"/>
    <s v="Furniture"/>
    <n v="2"/>
    <n v="366.87"/>
    <n v="733.74"/>
    <n v="733.74"/>
    <n v="0"/>
    <s v="Spain"/>
    <x v="1"/>
  </r>
  <r>
    <n v="2024004610"/>
    <x v="267"/>
    <n v="2024"/>
    <x v="130"/>
    <s v="PROD_004"/>
    <s v="Desk Chair"/>
    <s v="Furniture"/>
    <n v="1"/>
    <n v="364.87"/>
    <n v="364.87"/>
    <n v="364.87"/>
    <n v="0"/>
    <s v="Italy"/>
    <x v="0"/>
  </r>
  <r>
    <n v="2024004611"/>
    <x v="62"/>
    <n v="2024"/>
    <x v="0"/>
    <s v="PROD_002"/>
    <s v="Wireless Mouse"/>
    <s v="Electronics"/>
    <n v="3"/>
    <n v="41.8"/>
    <n v="125.4"/>
    <n v="125.39999999999999"/>
    <n v="0"/>
    <s v="France"/>
    <x v="1"/>
  </r>
  <r>
    <n v="2024004612"/>
    <x v="209"/>
    <n v="2024"/>
    <x v="101"/>
    <s v="PROD_005"/>
    <s v="Standing Desk"/>
    <s v="Furniture"/>
    <n v="4"/>
    <n v="604.41999999999996"/>
    <n v="2417.6799999999998"/>
    <n v="2417.6799999999998"/>
    <n v="0"/>
    <s v="Netherlands"/>
    <x v="1"/>
  </r>
  <r>
    <n v="2024004613"/>
    <x v="210"/>
    <n v="2024"/>
    <x v="234"/>
    <s v="PROD_002"/>
    <s v="Wireless Mouse"/>
    <s v="Electronics"/>
    <n v="2"/>
    <n v="45.04"/>
    <n v="90.08"/>
    <n v="90.08"/>
    <n v="0"/>
    <s v="Switzerland"/>
    <x v="2"/>
  </r>
  <r>
    <n v="2024004614"/>
    <x v="253"/>
    <n v="2024"/>
    <x v="0"/>
    <s v="PROD_001"/>
    <s v="Laptop Pro"/>
    <s v="Electronics"/>
    <n v="3"/>
    <n v="1215.0899999999999"/>
    <n v="3645.27"/>
    <n v="3645.2699999999995"/>
    <n v="0"/>
    <s v="Germany"/>
    <x v="3"/>
  </r>
  <r>
    <n v="2024004615"/>
    <x v="320"/>
    <n v="2024"/>
    <x v="66"/>
    <s v="PROD_001"/>
    <s v="Laptop Pro"/>
    <s v="Electronics"/>
    <n v="4"/>
    <n v="1161"/>
    <n v="4644"/>
    <n v="4644"/>
    <n v="0"/>
    <s v="France"/>
    <x v="0"/>
  </r>
  <r>
    <n v="2024004616"/>
    <x v="0"/>
    <n v="2024"/>
    <x v="108"/>
    <s v="PROD_005"/>
    <s v="Standing Desk"/>
    <s v="Furniture"/>
    <n v="1"/>
    <n v="600.34"/>
    <n v="600.34"/>
    <n v="600.34"/>
    <n v="0"/>
    <s v="Netherlands"/>
    <x v="0"/>
  </r>
  <r>
    <n v="2024004617"/>
    <x v="307"/>
    <n v="2024"/>
    <x v="268"/>
    <s v="PROD_007"/>
    <s v="Keyboard Mechanical"/>
    <s v="Electronics"/>
    <n v="1"/>
    <n v="124.06"/>
    <n v="124.06"/>
    <n v="124.06"/>
    <n v="0"/>
    <s v="Belgium"/>
    <x v="0"/>
  </r>
  <r>
    <n v="2024004618"/>
    <x v="66"/>
    <n v="2024"/>
    <x v="151"/>
    <s v="PROD_010"/>
    <s v="Webcam HD"/>
    <s v="Electronics"/>
    <n v="2"/>
    <n v="85.13"/>
    <n v="170.26"/>
    <n v="170.26"/>
    <n v="0"/>
    <s v="Switzerland"/>
    <x v="1"/>
  </r>
  <r>
    <n v="2024004619"/>
    <x v="29"/>
    <n v="2024"/>
    <x v="103"/>
    <s v="PROD_005"/>
    <s v="Standing Desk"/>
    <s v="Furniture"/>
    <n v="4"/>
    <n v="592.72"/>
    <n v="2370.88"/>
    <n v="2370.88"/>
    <n v="0"/>
    <s v="Belgium"/>
    <x v="3"/>
  </r>
  <r>
    <n v="2024004620"/>
    <x v="236"/>
    <n v="2024"/>
    <x v="51"/>
    <s v="PROD_006"/>
    <s v="Monitor 27&quot;"/>
    <s v="Electronics"/>
    <n v="1"/>
    <n v="415.51"/>
    <n v="415.51"/>
    <n v="415.51"/>
    <n v="0"/>
    <s v="Italy"/>
    <x v="2"/>
  </r>
  <r>
    <n v="2024002144"/>
    <x v="29"/>
    <n v="2024"/>
    <x v="196"/>
    <s v="PROD_002"/>
    <s v="Wireless Mouse"/>
    <s v="Electronics"/>
    <n v="1"/>
    <n v="48.2"/>
    <n v="48.2"/>
    <n v="48.2"/>
    <n v="0"/>
    <s v="Germany"/>
    <x v="3"/>
  </r>
  <r>
    <n v="2024004622"/>
    <x v="255"/>
    <n v="2024"/>
    <x v="139"/>
    <s v="PROD_010"/>
    <s v="Webcam HD"/>
    <s v="Electronics"/>
    <n v="3"/>
    <n v="87.89"/>
    <n v="263.67"/>
    <n v="263.67"/>
    <n v="0"/>
    <s v="Spain"/>
    <x v="1"/>
  </r>
  <r>
    <n v="2024004623"/>
    <x v="102"/>
    <n v="2024"/>
    <x v="41"/>
    <s v="PROD_007"/>
    <s v="Keyboard Mechanical"/>
    <s v="Electronics"/>
    <n v="3"/>
    <n v="108.6"/>
    <n v="325.8"/>
    <n v="325.79999999999995"/>
    <n v="0"/>
    <s v="Spain"/>
    <x v="0"/>
  </r>
  <r>
    <n v="2024004624"/>
    <x v="323"/>
    <n v="2024"/>
    <x v="245"/>
    <s v="PROD_005"/>
    <s v="Standing Desk"/>
    <s v="Furniture"/>
    <n v="1"/>
    <n v="631.70000000000005"/>
    <n v="631.70000000000005"/>
    <n v="631.70000000000005"/>
    <n v="0"/>
    <s v="Germany"/>
    <x v="3"/>
  </r>
  <r>
    <n v="2024004625"/>
    <x v="333"/>
    <n v="2024"/>
    <x v="146"/>
    <s v="PROD_001"/>
    <s v="Laptop Pro"/>
    <s v="Electronics"/>
    <n v="1"/>
    <n v="1101.9000000000001"/>
    <n v="1101.9000000000001"/>
    <n v="1101.9000000000001"/>
    <n v="0"/>
    <s v="UK"/>
    <x v="2"/>
  </r>
  <r>
    <n v="2024004626"/>
    <x v="17"/>
    <n v="2024"/>
    <x v="0"/>
    <s v="PROD_006"/>
    <s v="Monitor 27&quot;"/>
    <s v="Electronics"/>
    <n v="3"/>
    <n v="403.86"/>
    <n v="1211.58"/>
    <n v="1211.58"/>
    <n v="0"/>
    <s v="Netherlands"/>
    <x v="2"/>
  </r>
  <r>
    <n v="2024004627"/>
    <x v="91"/>
    <n v="2024"/>
    <x v="117"/>
    <s v="PROD_007"/>
    <s v="Keyboard Mechanical"/>
    <s v="Electronics"/>
    <n v="3"/>
    <n v="122.28"/>
    <n v="366.84"/>
    <n v="366.84000000000003"/>
    <n v="0"/>
    <s v="Netherlands"/>
    <x v="2"/>
  </r>
  <r>
    <n v="2024004628"/>
    <x v="69"/>
    <n v="2024"/>
    <x v="230"/>
    <s v="PROD_005"/>
    <s v="Standing Desk"/>
    <s v="Furniture"/>
    <n v="1"/>
    <n v="587.03"/>
    <n v="587.03"/>
    <n v="587.03"/>
    <n v="0"/>
    <s v="UK"/>
    <x v="3"/>
  </r>
  <r>
    <n v="2024004629"/>
    <x v="318"/>
    <n v="2024"/>
    <x v="40"/>
    <s v="PROD_005"/>
    <s v="Standing Desk"/>
    <s v="Furniture"/>
    <n v="5"/>
    <n v="615.79"/>
    <n v="3078.95"/>
    <n v="3078.95"/>
    <n v="0"/>
    <s v="France"/>
    <x v="1"/>
  </r>
  <r>
    <n v="2024004630"/>
    <x v="236"/>
    <n v="2024"/>
    <x v="0"/>
    <s v="PROD_010"/>
    <s v="Webcam HD"/>
    <s v="Electronics"/>
    <n v="1"/>
    <n v="89.78"/>
    <n v="89.78"/>
    <n v="89.78"/>
    <n v="0"/>
    <s v="Netherlands"/>
    <x v="0"/>
  </r>
  <r>
    <n v="2024004631"/>
    <x v="240"/>
    <n v="2024"/>
    <x v="188"/>
    <s v="PROD_008"/>
    <s v="Desk Lamp"/>
    <s v="Furniture"/>
    <n v="3"/>
    <n v="80.650000000000006"/>
    <n v="241.95"/>
    <n v="241.95000000000002"/>
    <n v="0"/>
    <s v="Belgium"/>
    <x v="2"/>
  </r>
  <r>
    <n v="2024004632"/>
    <x v="119"/>
    <n v="2024"/>
    <x v="3"/>
    <s v="PROD_009"/>
    <s v="Phone Stand"/>
    <s v="Accessories"/>
    <n v="1"/>
    <n v="23.22"/>
    <n v="23.22"/>
    <n v="23.22"/>
    <n v="0"/>
    <s v="Germany"/>
    <x v="2"/>
  </r>
  <r>
    <n v="2024004633"/>
    <x v="47"/>
    <n v="2024"/>
    <x v="80"/>
    <s v="PROD_006"/>
    <s v="Monitor 27&quot;"/>
    <s v="Electronics"/>
    <n v="5"/>
    <n v="449.08"/>
    <n v="2245.4"/>
    <n v="2245.4"/>
    <n v="0"/>
    <s v="Belgium"/>
    <x v="3"/>
  </r>
  <r>
    <n v="2024004634"/>
    <x v="132"/>
    <n v="2024"/>
    <x v="107"/>
    <s v="PROD_004"/>
    <s v="Desk Chair"/>
    <s v="Furniture"/>
    <n v="1"/>
    <n v="375.86"/>
    <n v="375.86"/>
    <n v="375.86"/>
    <n v="0"/>
    <s v="Spain"/>
    <x v="3"/>
  </r>
  <r>
    <n v="2024004635"/>
    <x v="36"/>
    <n v="2024"/>
    <x v="96"/>
    <s v="PROD_008"/>
    <s v="Desk Lamp"/>
    <s v="Furniture"/>
    <n v="2"/>
    <n v="87.26"/>
    <n v="174.52"/>
    <n v="174.52"/>
    <n v="0"/>
    <s v="Italy"/>
    <x v="2"/>
  </r>
  <r>
    <n v="2024004636"/>
    <x v="278"/>
    <n v="2024"/>
    <x v="156"/>
    <s v="PROD_008"/>
    <s v="Desk Lamp"/>
    <s v="Furniture"/>
    <n v="1"/>
    <n v="79.78"/>
    <n v="79.78"/>
    <n v="79.78"/>
    <n v="0"/>
    <s v="Sweden"/>
    <x v="2"/>
  </r>
  <r>
    <n v="2024004637"/>
    <x v="12"/>
    <n v="2024"/>
    <x v="197"/>
    <s v="PROD_001"/>
    <s v="Laptop Pro"/>
    <s v="Electronics"/>
    <n v="1"/>
    <n v="1194.3800000000001"/>
    <n v="1194.3800000000001"/>
    <n v="1194.3800000000001"/>
    <n v="0"/>
    <s v="Austria"/>
    <x v="0"/>
  </r>
  <r>
    <n v="2024004638"/>
    <x v="367"/>
    <n v="2024"/>
    <x v="161"/>
    <s v="PROD_005"/>
    <s v="Standing Desk"/>
    <s v="Furniture"/>
    <n v="4"/>
    <n v="555.77"/>
    <n v="2223.08"/>
    <n v="2223.08"/>
    <n v="0"/>
    <s v="UK"/>
    <x v="2"/>
  </r>
  <r>
    <n v="2024004639"/>
    <x v="41"/>
    <n v="2024"/>
    <x v="291"/>
    <s v="PROD_005"/>
    <s v="Standing Desk"/>
    <s v="Furniture"/>
    <n v="1"/>
    <n v="619.09"/>
    <n v="619.09"/>
    <n v="619.09"/>
    <n v="0"/>
    <s v="Germany"/>
    <x v="0"/>
  </r>
  <r>
    <n v="2024004640"/>
    <x v="224"/>
    <n v="2024"/>
    <x v="296"/>
    <s v="PROD_003"/>
    <s v="USB-C Cable"/>
    <s v="Electronics"/>
    <n v="3"/>
    <n v="15.44"/>
    <n v="46.32"/>
    <n v="46.32"/>
    <n v="0"/>
    <s v="Belgium"/>
    <x v="3"/>
  </r>
  <r>
    <n v="2024004641"/>
    <x v="8"/>
    <n v="2024"/>
    <x v="220"/>
    <s v="PROD_002"/>
    <s v="Wireless Mouse"/>
    <s v="Electronics"/>
    <n v="2"/>
    <n v="48.21"/>
    <n v="96.42"/>
    <n v="96.42"/>
    <n v="0"/>
    <s v="Switzerland"/>
    <x v="0"/>
  </r>
  <r>
    <n v="2024004642"/>
    <x v="244"/>
    <n v="2024"/>
    <x v="0"/>
    <s v="PROD_005"/>
    <s v="Standing Desk"/>
    <s v="Furniture"/>
    <n v="2"/>
    <n v="562.65"/>
    <n v="1125.3"/>
    <n v="1125.3"/>
    <n v="0"/>
    <s v="Italy"/>
    <x v="1"/>
  </r>
  <r>
    <n v="2024004643"/>
    <x v="364"/>
    <n v="2024"/>
    <x v="197"/>
    <s v="PROD_004"/>
    <s v="Desk Chair"/>
    <s v="Furniture"/>
    <n v="1"/>
    <n v="351.39"/>
    <n v="351.39"/>
    <n v="351.39"/>
    <n v="0"/>
    <s v="Austria"/>
    <x v="3"/>
  </r>
  <r>
    <n v="2024004644"/>
    <x v="250"/>
    <n v="2024"/>
    <x v="224"/>
    <s v="PROD_005"/>
    <s v="Standing Desk"/>
    <s v="Furniture"/>
    <n v="1"/>
    <n v="562.4"/>
    <n v="562.4"/>
    <n v="562.4"/>
    <n v="0"/>
    <s v="France"/>
    <x v="1"/>
  </r>
  <r>
    <n v="2024004645"/>
    <x v="129"/>
    <n v="2024"/>
    <x v="0"/>
    <s v="PROD_003"/>
    <s v="USB-C Cable"/>
    <s v="Electronics"/>
    <n v="1"/>
    <n v="16.329999999999998"/>
    <n v="16.329999999999998"/>
    <n v="16.329999999999998"/>
    <n v="0"/>
    <s v="Germany"/>
    <x v="0"/>
  </r>
  <r>
    <n v="2024004646"/>
    <x v="226"/>
    <n v="2024"/>
    <x v="127"/>
    <s v="PROD_005"/>
    <s v="Standing Desk"/>
    <s v="Furniture"/>
    <n v="4"/>
    <n v="574.21"/>
    <n v="2296.84"/>
    <n v="2296.84"/>
    <n v="0"/>
    <s v="Netherlands"/>
    <x v="3"/>
  </r>
  <r>
    <n v="2024004647"/>
    <x v="69"/>
    <n v="2024"/>
    <x v="142"/>
    <s v="PROD_002"/>
    <s v="Wireless Mouse"/>
    <s v="Electronics"/>
    <n v="2"/>
    <n v="42.24"/>
    <n v="84.48"/>
    <n v="84.48"/>
    <n v="0"/>
    <s v="Switzerland"/>
    <x v="1"/>
  </r>
  <r>
    <n v="2024004648"/>
    <x v="211"/>
    <n v="2024"/>
    <x v="299"/>
    <s v="PROD_010"/>
    <s v="Webcam HD"/>
    <s v="Electronics"/>
    <n v="1"/>
    <n v="91.02"/>
    <n v="91.02"/>
    <n v="91.02"/>
    <n v="0"/>
    <s v="Germany"/>
    <x v="0"/>
  </r>
  <r>
    <n v="2024004649"/>
    <x v="331"/>
    <n v="2024"/>
    <x v="21"/>
    <s v="PROD_009"/>
    <s v="Phone Stand"/>
    <s v="Accessories"/>
    <n v="2"/>
    <n v="23.64"/>
    <n v="47.28"/>
    <n v="47.28"/>
    <n v="0"/>
    <s v="Italy"/>
    <x v="3"/>
  </r>
  <r>
    <n v="2024004650"/>
    <x v="69"/>
    <n v="2024"/>
    <x v="228"/>
    <s v="PROD_005"/>
    <s v="Standing Desk"/>
    <s v="Furniture"/>
    <n v="1"/>
    <n v="616.89"/>
    <n v="616.89"/>
    <n v="616.89"/>
    <n v="0"/>
    <s v="Germany"/>
    <x v="3"/>
  </r>
  <r>
    <n v="2024004651"/>
    <x v="132"/>
    <n v="2024"/>
    <x v="0"/>
    <s v="PROD_008"/>
    <s v="Desk Lamp"/>
    <s v="Furniture"/>
    <n v="1"/>
    <n v="84.1"/>
    <n v="84.1"/>
    <n v="84.1"/>
    <n v="0"/>
    <s v="France"/>
    <x v="0"/>
  </r>
  <r>
    <n v="2024004652"/>
    <x v="80"/>
    <n v="2024"/>
    <x v="4"/>
    <s v="PROD_005"/>
    <s v="Standing Desk"/>
    <s v="Furniture"/>
    <n v="1"/>
    <n v="554.66999999999996"/>
    <n v="554.66999999999996"/>
    <n v="554.66999999999996"/>
    <n v="0"/>
    <s v="Spain"/>
    <x v="0"/>
  </r>
  <r>
    <n v="2024004653"/>
    <x v="145"/>
    <n v="2024"/>
    <x v="26"/>
    <s v="PROD_002"/>
    <s v="Wireless Mouse"/>
    <s v="Electronics"/>
    <n v="2"/>
    <n v="47.37"/>
    <n v="94.74"/>
    <n v="94.74"/>
    <n v="0"/>
    <s v="Austria"/>
    <x v="3"/>
  </r>
  <r>
    <n v="2024004654"/>
    <x v="163"/>
    <n v="2024"/>
    <x v="39"/>
    <s v="PROD_004"/>
    <s v="Desk Chair"/>
    <s v="Furniture"/>
    <n v="3"/>
    <n v="367.83"/>
    <n v="1103.49"/>
    <n v="1103.49"/>
    <n v="0"/>
    <s v="Spain"/>
    <x v="2"/>
  </r>
  <r>
    <n v="2024004655"/>
    <x v="46"/>
    <n v="2024"/>
    <x v="206"/>
    <s v="PROD_010"/>
    <s v="Webcam HD"/>
    <s v="Electronics"/>
    <n v="1"/>
    <n v="90.06"/>
    <n v="90.06"/>
    <n v="90.06"/>
    <n v="0"/>
    <s v="UK"/>
    <x v="3"/>
  </r>
  <r>
    <n v="2024004656"/>
    <x v="114"/>
    <n v="2024"/>
    <x v="114"/>
    <s v="PROD_008"/>
    <s v="Desk Lamp"/>
    <s v="Furniture"/>
    <n v="1"/>
    <n v="76.989999999999995"/>
    <n v="76.989999999999995"/>
    <n v="76.989999999999995"/>
    <n v="0"/>
    <s v="Italy"/>
    <x v="2"/>
  </r>
  <r>
    <n v="2024004657"/>
    <x v="164"/>
    <n v="2024"/>
    <x v="153"/>
    <s v="PROD_003"/>
    <s v="USB-C Cable"/>
    <s v="Electronics"/>
    <n v="1"/>
    <n v="15.68"/>
    <n v="15.68"/>
    <n v="15.68"/>
    <n v="0"/>
    <s v="Austria"/>
    <x v="3"/>
  </r>
  <r>
    <n v="2024004658"/>
    <x v="169"/>
    <n v="2024"/>
    <x v="198"/>
    <s v="PROD_003"/>
    <s v="USB-C Cable"/>
    <s v="Electronics"/>
    <n v="2"/>
    <n v="14.65"/>
    <n v="29.3"/>
    <n v="29.3"/>
    <n v="0"/>
    <s v="Italy"/>
    <x v="0"/>
  </r>
  <r>
    <n v="2024004659"/>
    <x v="96"/>
    <n v="2024"/>
    <x v="251"/>
    <s v="PROD_007"/>
    <s v="Keyboard Mechanical"/>
    <s v="Electronics"/>
    <n v="1"/>
    <n v="118.07"/>
    <n v="118.07"/>
    <n v="118.07"/>
    <n v="0"/>
    <s v="Austria"/>
    <x v="3"/>
  </r>
  <r>
    <n v="2024004660"/>
    <x v="287"/>
    <n v="2024"/>
    <x v="140"/>
    <s v="PROD_008"/>
    <s v="Desk Lamp"/>
    <s v="Furniture"/>
    <n v="1"/>
    <n v="86.69"/>
    <n v="86.69"/>
    <n v="86.69"/>
    <n v="0"/>
    <s v="Spain"/>
    <x v="1"/>
  </r>
  <r>
    <n v="2024004661"/>
    <x v="78"/>
    <n v="2024"/>
    <x v="294"/>
    <s v="PROD_009"/>
    <s v="Phone Stand"/>
    <s v="Accessories"/>
    <n v="1"/>
    <n v="25.84"/>
    <n v="25.84"/>
    <n v="25.84"/>
    <n v="0"/>
    <s v="Spain"/>
    <x v="1"/>
  </r>
  <r>
    <n v="2024004662"/>
    <x v="328"/>
    <n v="2024"/>
    <x v="79"/>
    <s v="PROD_008"/>
    <s v="Desk Lamp"/>
    <s v="Furniture"/>
    <n v="1"/>
    <n v="83.29"/>
    <n v="83.29"/>
    <n v="83.29"/>
    <n v="0"/>
    <s v="Italy"/>
    <x v="2"/>
  </r>
  <r>
    <n v="2024004663"/>
    <x v="307"/>
    <n v="2024"/>
    <x v="93"/>
    <s v="PROD_008"/>
    <s v="Desk Lamp"/>
    <s v="Furniture"/>
    <n v="2"/>
    <n v="86.63"/>
    <n v="173.26"/>
    <n v="173.26"/>
    <n v="0"/>
    <s v="Belgium"/>
    <x v="3"/>
  </r>
  <r>
    <n v="2024004664"/>
    <x v="222"/>
    <n v="2024"/>
    <x v="124"/>
    <s v="PROD_002"/>
    <s v="Wireless Mouse"/>
    <s v="Electronics"/>
    <n v="2"/>
    <n v="47.57"/>
    <n v="95.14"/>
    <n v="95.14"/>
    <n v="0"/>
    <s v="Belgium"/>
    <x v="2"/>
  </r>
  <r>
    <n v="2024004665"/>
    <x v="236"/>
    <n v="2024"/>
    <x v="139"/>
    <s v="PROD_006"/>
    <s v="Monitor 27&quot;"/>
    <s v="Electronics"/>
    <n v="1"/>
    <n v="393.1"/>
    <n v="393.1"/>
    <n v="393.1"/>
    <n v="0"/>
    <s v="Sweden"/>
    <x v="3"/>
  </r>
  <r>
    <n v="2024004666"/>
    <x v="164"/>
    <n v="2024"/>
    <x v="208"/>
    <s v="PROD_005"/>
    <s v="Standing Desk"/>
    <s v="Furniture"/>
    <n v="2"/>
    <n v="563.30999999999995"/>
    <n v="1126.6199999999999"/>
    <n v="1126.6199999999999"/>
    <n v="0"/>
    <s v="Austria"/>
    <x v="1"/>
  </r>
  <r>
    <n v="2024004667"/>
    <x v="92"/>
    <n v="2024"/>
    <x v="282"/>
    <s v="PROD_002"/>
    <s v="Wireless Mouse"/>
    <s v="Electronics"/>
    <n v="2"/>
    <n v="45.12"/>
    <n v="90.24"/>
    <n v="90.24"/>
    <n v="0"/>
    <s v="UK"/>
    <x v="2"/>
  </r>
  <r>
    <n v="2024004668"/>
    <x v="43"/>
    <n v="2024"/>
    <x v="208"/>
    <s v="PROD_003"/>
    <s v="USB-C Cable"/>
    <s v="Electronics"/>
    <n v="5"/>
    <n v="14.9"/>
    <n v="74.5"/>
    <n v="74.5"/>
    <n v="0"/>
    <s v="Switzerland"/>
    <x v="0"/>
  </r>
  <r>
    <n v="2024004669"/>
    <x v="221"/>
    <n v="2024"/>
    <x v="0"/>
    <s v="PROD_005"/>
    <s v="Standing Desk"/>
    <s v="Furniture"/>
    <n v="2"/>
    <n v="696.48"/>
    <n v="1392.96"/>
    <n v="1392.96"/>
    <n v="0"/>
    <s v="France"/>
    <x v="2"/>
  </r>
  <r>
    <n v="2024004670"/>
    <x v="216"/>
    <n v="2024"/>
    <x v="107"/>
    <s v="PROD_010"/>
    <s v="Webcam HD"/>
    <s v="Electronics"/>
    <n v="1"/>
    <n v="86.96"/>
    <n v="86.96"/>
    <n v="86.96"/>
    <n v="0"/>
    <s v="Sweden"/>
    <x v="2"/>
  </r>
  <r>
    <n v="2024004671"/>
    <x v="187"/>
    <n v="2024"/>
    <x v="90"/>
    <s v="PROD_003"/>
    <s v="USB-C Cable"/>
    <s v="Electronics"/>
    <n v="1"/>
    <n v="14.34"/>
    <n v="14.34"/>
    <n v="14.34"/>
    <n v="0"/>
    <s v="Switzerland"/>
    <x v="0"/>
  </r>
  <r>
    <n v="2024004672"/>
    <x v="31"/>
    <n v="2024"/>
    <x v="58"/>
    <s v="PROD_003"/>
    <s v="USB-C Cable"/>
    <s v="Electronics"/>
    <n v="1"/>
    <n v="14.18"/>
    <n v="14.18"/>
    <n v="14.18"/>
    <n v="0"/>
    <s v="Austria"/>
    <x v="3"/>
  </r>
  <r>
    <n v="2024004673"/>
    <x v="71"/>
    <n v="2024"/>
    <x v="156"/>
    <s v="PROD_003"/>
    <s v="USB-C Cable"/>
    <s v="Electronics"/>
    <n v="1"/>
    <n v="14.05"/>
    <n v="14.05"/>
    <n v="14.05"/>
    <n v="0"/>
    <s v="Netherlands"/>
    <x v="1"/>
  </r>
  <r>
    <n v="2024004674"/>
    <x v="82"/>
    <n v="2024"/>
    <x v="255"/>
    <s v="PROD_002"/>
    <s v="Wireless Mouse"/>
    <s v="Electronics"/>
    <n v="1"/>
    <n v="45.83"/>
    <n v="45.83"/>
    <n v="45.83"/>
    <n v="0"/>
    <s v="Spain"/>
    <x v="2"/>
  </r>
  <r>
    <n v="2024004675"/>
    <x v="157"/>
    <n v="2024"/>
    <x v="152"/>
    <s v="PROD_005"/>
    <s v="Standing Desk"/>
    <s v="Furniture"/>
    <n v="3"/>
    <n v="583.74"/>
    <n v="1751.22"/>
    <n v="1751.22"/>
    <n v="0"/>
    <s v="Belgium"/>
    <x v="0"/>
  </r>
  <r>
    <n v="2024004676"/>
    <x v="226"/>
    <n v="2024"/>
    <x v="0"/>
    <s v="PROD_002"/>
    <s v="Wireless Mouse"/>
    <s v="Electronics"/>
    <n v="3"/>
    <n v="47.11"/>
    <n v="141.33000000000001"/>
    <n v="141.32999999999998"/>
    <n v="0"/>
    <s v="Germany"/>
    <x v="2"/>
  </r>
  <r>
    <n v="2024004677"/>
    <x v="252"/>
    <n v="2024"/>
    <x v="222"/>
    <s v="PROD_004"/>
    <s v="Desk Chair"/>
    <s v="Furniture"/>
    <n v="1"/>
    <n v="361.46"/>
    <n v="361.46"/>
    <n v="361.46"/>
    <n v="0"/>
    <s v="Italy"/>
    <x v="3"/>
  </r>
  <r>
    <n v="2024004678"/>
    <x v="183"/>
    <n v="2024"/>
    <x v="16"/>
    <s v="PROD_004"/>
    <s v="Desk Chair"/>
    <s v="Furniture"/>
    <n v="2"/>
    <n v="342.92"/>
    <n v="685.84"/>
    <n v="685.84"/>
    <n v="0"/>
    <s v="Austria"/>
    <x v="1"/>
  </r>
  <r>
    <n v="2024004679"/>
    <x v="288"/>
    <n v="2024"/>
    <x v="297"/>
    <s v="PROD_007"/>
    <s v="Keyboard Mechanical"/>
    <s v="Electronics"/>
    <n v="2"/>
    <n v="127.25"/>
    <n v="254.5"/>
    <n v="254.5"/>
    <n v="0"/>
    <s v="Spain"/>
    <x v="3"/>
  </r>
  <r>
    <n v="2024004680"/>
    <x v="239"/>
    <n v="2024"/>
    <x v="90"/>
    <s v="PROD_006"/>
    <s v="Monitor 27&quot;"/>
    <s v="Electronics"/>
    <n v="1"/>
    <n v="375.86"/>
    <n v="375.86"/>
    <n v="375.86"/>
    <n v="0"/>
    <s v="Germany"/>
    <x v="0"/>
  </r>
  <r>
    <n v="2024004681"/>
    <x v="9"/>
    <n v="2024"/>
    <x v="288"/>
    <s v="PROD_008"/>
    <s v="Desk Lamp"/>
    <s v="Furniture"/>
    <n v="3"/>
    <n v="80.69"/>
    <n v="242.07"/>
    <n v="242.07"/>
    <n v="0"/>
    <s v="Belgium"/>
    <x v="3"/>
  </r>
  <r>
    <n v="2024004682"/>
    <x v="315"/>
    <n v="2024"/>
    <x v="273"/>
    <s v="PROD_004"/>
    <s v="Desk Chair"/>
    <s v="Furniture"/>
    <n v="2"/>
    <n v="366.95"/>
    <n v="733.9"/>
    <n v="733.9"/>
    <n v="0"/>
    <s v="Spain"/>
    <x v="3"/>
  </r>
  <r>
    <n v="2024004683"/>
    <x v="262"/>
    <n v="2024"/>
    <x v="126"/>
    <s v="PROD_005"/>
    <s v="Standing Desk"/>
    <s v="Furniture"/>
    <n v="1"/>
    <n v="604.98"/>
    <n v="604.98"/>
    <n v="604.98"/>
    <n v="0"/>
    <s v="Belgium"/>
    <x v="3"/>
  </r>
  <r>
    <n v="2024004684"/>
    <x v="357"/>
    <n v="2024"/>
    <x v="246"/>
    <s v="PROD_005"/>
    <s v="Standing Desk"/>
    <s v="Furniture"/>
    <n v="1"/>
    <n v="542.37"/>
    <n v="542.37"/>
    <n v="542.37"/>
    <n v="0"/>
    <s v="Germany"/>
    <x v="3"/>
  </r>
  <r>
    <n v="2024004685"/>
    <x v="29"/>
    <n v="2024"/>
    <x v="272"/>
    <s v="PROD_002"/>
    <s v="Wireless Mouse"/>
    <s v="Electronics"/>
    <n v="2"/>
    <n v="46.48"/>
    <n v="92.96"/>
    <n v="92.96"/>
    <n v="0"/>
    <s v="Netherlands"/>
    <x v="0"/>
  </r>
  <r>
    <n v="2024004686"/>
    <x v="281"/>
    <n v="2024"/>
    <x v="282"/>
    <s v="PROD_009"/>
    <s v="Phone Stand"/>
    <s v="Accessories"/>
    <n v="2"/>
    <n v="25.13"/>
    <n v="50.26"/>
    <n v="50.26"/>
    <n v="0"/>
    <s v="Italy"/>
    <x v="0"/>
  </r>
  <r>
    <n v="2024004687"/>
    <x v="108"/>
    <n v="2024"/>
    <x v="4"/>
    <s v="PROD_008"/>
    <s v="Desk Lamp"/>
    <s v="Furniture"/>
    <n v="2"/>
    <n v="76.81"/>
    <n v="153.62"/>
    <n v="153.62"/>
    <n v="0"/>
    <s v="Spain"/>
    <x v="0"/>
  </r>
  <r>
    <n v="2024004688"/>
    <x v="289"/>
    <n v="2024"/>
    <x v="295"/>
    <s v="PROD_006"/>
    <s v="Monitor 27&quot;"/>
    <s v="Electronics"/>
    <n v="1"/>
    <n v="433.31"/>
    <n v="433.31"/>
    <n v="433.31"/>
    <n v="0"/>
    <s v="Germany"/>
    <x v="1"/>
  </r>
  <r>
    <n v="2024004689"/>
    <x v="17"/>
    <n v="2024"/>
    <x v="60"/>
    <s v="PROD_006"/>
    <s v="Monitor 27&quot;"/>
    <s v="Electronics"/>
    <n v="1"/>
    <n v="441.91"/>
    <n v="441.91"/>
    <n v="441.91"/>
    <n v="0"/>
    <s v="Italy"/>
    <x v="0"/>
  </r>
  <r>
    <n v="2024004690"/>
    <x v="97"/>
    <n v="2024"/>
    <x v="255"/>
    <s v="PROD_001"/>
    <s v="Laptop Pro"/>
    <s v="Electronics"/>
    <n v="3"/>
    <n v="1183.02"/>
    <n v="3549.06"/>
    <n v="3549.06"/>
    <n v="0"/>
    <s v="UK"/>
    <x v="0"/>
  </r>
  <r>
    <n v="2024004691"/>
    <x v="193"/>
    <n v="2024"/>
    <x v="139"/>
    <s v="PROD_007"/>
    <s v="Keyboard Mechanical"/>
    <s v="Electronics"/>
    <n v="2"/>
    <n v="121.63"/>
    <n v="243.26"/>
    <n v="243.26"/>
    <n v="0"/>
    <s v="Switzerland"/>
    <x v="0"/>
  </r>
  <r>
    <n v="2024004692"/>
    <x v="152"/>
    <n v="2024"/>
    <x v="199"/>
    <s v="PROD_005"/>
    <s v="Standing Desk"/>
    <s v="Furniture"/>
    <n v="5"/>
    <n v="613.08000000000004"/>
    <n v="3065.4"/>
    <n v="3065.4"/>
    <n v="0"/>
    <s v="Italy"/>
    <x v="1"/>
  </r>
  <r>
    <n v="2024004693"/>
    <x v="224"/>
    <n v="2024"/>
    <x v="232"/>
    <s v="PROD_006"/>
    <s v="Monitor 27&quot;"/>
    <s v="Electronics"/>
    <n v="3"/>
    <n v="413.35"/>
    <n v="1240.05"/>
    <n v="1240.0500000000002"/>
    <n v="0"/>
    <s v="Netherlands"/>
    <x v="2"/>
  </r>
  <r>
    <n v="2024004694"/>
    <x v="252"/>
    <n v="2024"/>
    <x v="206"/>
    <s v="PROD_004"/>
    <s v="Desk Chair"/>
    <s v="Furniture"/>
    <n v="1"/>
    <n v="338.56"/>
    <n v="338.56"/>
    <n v="338.56"/>
    <n v="0"/>
    <s v="France"/>
    <x v="2"/>
  </r>
  <r>
    <n v="2024004695"/>
    <x v="222"/>
    <n v="2024"/>
    <x v="260"/>
    <s v="PROD_006"/>
    <s v="Monitor 27&quot;"/>
    <s v="Electronics"/>
    <n v="4"/>
    <n v="408.96"/>
    <n v="1635.84"/>
    <n v="1635.84"/>
    <n v="0"/>
    <s v="Austria"/>
    <x v="1"/>
  </r>
  <r>
    <n v="2024004696"/>
    <x v="167"/>
    <n v="2024"/>
    <x v="206"/>
    <s v="PROD_004"/>
    <s v="Desk Chair"/>
    <s v="Furniture"/>
    <n v="3"/>
    <n v="310.97000000000003"/>
    <n v="932.91"/>
    <n v="932.91000000000008"/>
    <n v="0"/>
    <s v="UK"/>
    <x v="1"/>
  </r>
  <r>
    <n v="2024004697"/>
    <x v="345"/>
    <n v="2024"/>
    <x v="123"/>
    <s v="PROD_007"/>
    <s v="Keyboard Mechanical"/>
    <s v="Electronics"/>
    <n v="2"/>
    <n v="118.42"/>
    <n v="236.84"/>
    <n v="236.84"/>
    <n v="0"/>
    <s v="Spain"/>
    <x v="0"/>
  </r>
  <r>
    <n v="2024004698"/>
    <x v="30"/>
    <n v="2024"/>
    <x v="42"/>
    <s v="PROD_007"/>
    <s v="Keyboard Mechanical"/>
    <s v="Electronics"/>
    <n v="1"/>
    <n v="121.04"/>
    <n v="121.04"/>
    <n v="121.04"/>
    <n v="0"/>
    <s v="Italy"/>
    <x v="0"/>
  </r>
  <r>
    <n v="2024004699"/>
    <x v="166"/>
    <n v="2024"/>
    <x v="69"/>
    <s v="PROD_002"/>
    <s v="Wireless Mouse"/>
    <s v="Electronics"/>
    <n v="1"/>
    <n v="49.27"/>
    <n v="49.27"/>
    <n v="49.27"/>
    <n v="0"/>
    <s v="Germany"/>
    <x v="1"/>
  </r>
  <r>
    <n v="2024004700"/>
    <x v="97"/>
    <n v="2024"/>
    <x v="176"/>
    <s v="PROD_002"/>
    <s v="Wireless Mouse"/>
    <s v="Electronics"/>
    <n v="2"/>
    <n v="45.78"/>
    <n v="91.56"/>
    <n v="91.56"/>
    <n v="0"/>
    <s v="Austria"/>
    <x v="0"/>
  </r>
  <r>
    <n v="2024004701"/>
    <x v="241"/>
    <n v="2024"/>
    <x v="157"/>
    <s v="PROD_007"/>
    <s v="Keyboard Mechanical"/>
    <s v="Electronics"/>
    <n v="3"/>
    <n v="114.41"/>
    <n v="343.23"/>
    <n v="343.23"/>
    <n v="0"/>
    <s v="France"/>
    <x v="2"/>
  </r>
  <r>
    <n v="2024004702"/>
    <x v="135"/>
    <n v="2024"/>
    <x v="60"/>
    <s v="PROD_005"/>
    <s v="Standing Desk"/>
    <s v="Furniture"/>
    <n v="1"/>
    <n v="584.41999999999996"/>
    <n v="584.41999999999996"/>
    <n v="584.41999999999996"/>
    <n v="0"/>
    <s v="Austria"/>
    <x v="3"/>
  </r>
  <r>
    <n v="2024004703"/>
    <x v="235"/>
    <n v="2024"/>
    <x v="212"/>
    <s v="PROD_005"/>
    <s v="Standing Desk"/>
    <s v="Furniture"/>
    <n v="1"/>
    <n v="648.96"/>
    <n v="648.96"/>
    <n v="648.96"/>
    <n v="0"/>
    <s v="Sweden"/>
    <x v="0"/>
  </r>
  <r>
    <n v="2024004704"/>
    <x v="219"/>
    <n v="2024"/>
    <x v="243"/>
    <s v="PROD_004"/>
    <s v="Desk Chair"/>
    <s v="Furniture"/>
    <n v="1"/>
    <n v="359.87"/>
    <n v="359.87"/>
    <n v="359.87"/>
    <n v="0"/>
    <s v="Italy"/>
    <x v="3"/>
  </r>
  <r>
    <n v="2024004705"/>
    <x v="366"/>
    <n v="2024"/>
    <x v="42"/>
    <s v="PROD_005"/>
    <s v="Standing Desk"/>
    <s v="Furniture"/>
    <n v="2"/>
    <n v="609.34"/>
    <n v="1218.68"/>
    <n v="1218.68"/>
    <n v="0"/>
    <s v="Germany"/>
    <x v="0"/>
  </r>
  <r>
    <n v="2024004706"/>
    <x v="37"/>
    <n v="2024"/>
    <x v="4"/>
    <s v="PROD_002"/>
    <s v="Wireless Mouse"/>
    <s v="Electronics"/>
    <n v="4"/>
    <n v="46.98"/>
    <n v="187.92"/>
    <n v="187.92"/>
    <n v="0"/>
    <s v="UK"/>
    <x v="2"/>
  </r>
  <r>
    <n v="2024004707"/>
    <x v="315"/>
    <n v="2024"/>
    <x v="145"/>
    <s v="PROD_005"/>
    <s v="Standing Desk"/>
    <s v="Furniture"/>
    <n v="1"/>
    <n v="632.58000000000004"/>
    <n v="632.58000000000004"/>
    <n v="632.58000000000004"/>
    <n v="0"/>
    <s v="Austria"/>
    <x v="1"/>
  </r>
  <r>
    <n v="2024004708"/>
    <x v="240"/>
    <n v="2024"/>
    <x v="257"/>
    <s v="PROD_001"/>
    <s v="Laptop Pro"/>
    <s v="Electronics"/>
    <n v="1"/>
    <n v="1168.58"/>
    <n v="1168.58"/>
    <n v="1168.58"/>
    <n v="0"/>
    <s v="Spain"/>
    <x v="2"/>
  </r>
  <r>
    <n v="2024004709"/>
    <x v="287"/>
    <n v="2024"/>
    <x v="149"/>
    <s v="PROD_010"/>
    <s v="Webcam HD"/>
    <s v="Electronics"/>
    <n v="1"/>
    <n v="93.29"/>
    <n v="93.29"/>
    <n v="93.29"/>
    <n v="0"/>
    <s v="Spain"/>
    <x v="2"/>
  </r>
  <r>
    <n v="2024004710"/>
    <x v="325"/>
    <n v="2024"/>
    <x v="0"/>
    <s v="PROD_005"/>
    <s v="Standing Desk"/>
    <s v="Furniture"/>
    <n v="1"/>
    <n v="577.27"/>
    <n v="577.27"/>
    <n v="577.27"/>
    <n v="0"/>
    <s v="France"/>
    <x v="0"/>
  </r>
  <r>
    <n v="2024004711"/>
    <x v="68"/>
    <n v="2024"/>
    <x v="0"/>
    <s v="PROD_008"/>
    <s v="Desk Lamp"/>
    <s v="Furniture"/>
    <n v="1"/>
    <n v="81.11"/>
    <n v="81.11"/>
    <n v="81.11"/>
    <n v="0"/>
    <s v="Netherlands"/>
    <x v="3"/>
  </r>
  <r>
    <n v="2024004712"/>
    <x v="226"/>
    <n v="2024"/>
    <x v="0"/>
    <s v="PROD_010"/>
    <s v="Webcam HD"/>
    <s v="Electronics"/>
    <n v="1"/>
    <n v="95.68"/>
    <n v="95.68"/>
    <n v="95.68"/>
    <n v="0"/>
    <s v="Sweden"/>
    <x v="2"/>
  </r>
  <r>
    <n v="2024004713"/>
    <x v="118"/>
    <n v="2024"/>
    <x v="156"/>
    <s v="PROD_010"/>
    <s v="Webcam HD"/>
    <s v="Electronics"/>
    <n v="1"/>
    <n v="96.95"/>
    <n v="96.95"/>
    <n v="96.95"/>
    <n v="0"/>
    <s v="Switzerland"/>
    <x v="3"/>
  </r>
  <r>
    <n v="2024004714"/>
    <x v="147"/>
    <n v="2024"/>
    <x v="5"/>
    <s v="PROD_001"/>
    <s v="Laptop Pro"/>
    <s v="Electronics"/>
    <n v="2"/>
    <n v="1197.42"/>
    <n v="2394.84"/>
    <n v="2394.84"/>
    <n v="0"/>
    <s v="France"/>
    <x v="1"/>
  </r>
  <r>
    <n v="2024004715"/>
    <x v="256"/>
    <n v="2024"/>
    <x v="143"/>
    <s v="PROD_003"/>
    <s v="USB-C Cable"/>
    <s v="Electronics"/>
    <n v="2"/>
    <n v="14.58"/>
    <n v="29.16"/>
    <n v="29.16"/>
    <n v="0"/>
    <s v="Austria"/>
    <x v="3"/>
  </r>
  <r>
    <n v="2024004716"/>
    <x v="242"/>
    <n v="2024"/>
    <x v="257"/>
    <s v="PROD_009"/>
    <s v="Phone Stand"/>
    <s v="Accessories"/>
    <n v="2"/>
    <n v="25.23"/>
    <n v="50.46"/>
    <n v="50.46"/>
    <n v="0"/>
    <s v="Austria"/>
    <x v="1"/>
  </r>
  <r>
    <n v="2024004717"/>
    <x v="265"/>
    <n v="2024"/>
    <x v="0"/>
    <s v="PROD_009"/>
    <s v="Phone Stand"/>
    <s v="Accessories"/>
    <n v="1"/>
    <n v="26.65"/>
    <n v="26.65"/>
    <n v="26.65"/>
    <n v="0"/>
    <s v="Italy"/>
    <x v="0"/>
  </r>
  <r>
    <n v="2024004718"/>
    <x v="272"/>
    <n v="2024"/>
    <x v="0"/>
    <s v="PROD_002"/>
    <s v="Wireless Mouse"/>
    <s v="Electronics"/>
    <n v="1"/>
    <n v="44.18"/>
    <n v="44.18"/>
    <n v="44.18"/>
    <n v="0"/>
    <s v="France"/>
    <x v="3"/>
  </r>
  <r>
    <n v="2024004719"/>
    <x v="29"/>
    <n v="2024"/>
    <x v="252"/>
    <s v="PROD_009"/>
    <s v="Phone Stand"/>
    <s v="Accessories"/>
    <n v="1"/>
    <n v="24.04"/>
    <n v="24.04"/>
    <n v="24.04"/>
    <n v="0"/>
    <s v="Switzerland"/>
    <x v="1"/>
  </r>
  <r>
    <n v="2024004720"/>
    <x v="83"/>
    <n v="2024"/>
    <x v="0"/>
    <s v="PROD_009"/>
    <s v="Phone Stand"/>
    <s v="Accessories"/>
    <n v="2"/>
    <n v="24.83"/>
    <n v="49.66"/>
    <n v="49.66"/>
    <n v="0"/>
    <s v="Belgium"/>
    <x v="0"/>
  </r>
  <r>
    <n v="2024004721"/>
    <x v="193"/>
    <n v="2024"/>
    <x v="253"/>
    <s v="PROD_002"/>
    <s v="Wireless Mouse"/>
    <s v="Electronics"/>
    <n v="1"/>
    <n v="41.67"/>
    <n v="41.67"/>
    <n v="41.67"/>
    <n v="0"/>
    <s v="UK"/>
    <x v="1"/>
  </r>
  <r>
    <n v="2024004722"/>
    <x v="2"/>
    <n v="2024"/>
    <x v="56"/>
    <s v="PROD_004"/>
    <s v="Desk Chair"/>
    <s v="Furniture"/>
    <n v="2"/>
    <n v="362.25"/>
    <n v="724.5"/>
    <n v="724.5"/>
    <n v="0"/>
    <s v="France"/>
    <x v="2"/>
  </r>
  <r>
    <n v="2024004723"/>
    <x v="343"/>
    <n v="2024"/>
    <x v="227"/>
    <s v="PROD_002"/>
    <s v="Wireless Mouse"/>
    <s v="Electronics"/>
    <n v="2"/>
    <n v="46.63"/>
    <n v="93.26"/>
    <n v="93.26"/>
    <n v="0"/>
    <s v="Netherlands"/>
    <x v="1"/>
  </r>
  <r>
    <n v="2024004724"/>
    <x v="273"/>
    <n v="2024"/>
    <x v="147"/>
    <s v="PROD_008"/>
    <s v="Desk Lamp"/>
    <s v="Furniture"/>
    <n v="1"/>
    <n v="81.72"/>
    <n v="81.72"/>
    <n v="81.72"/>
    <n v="0"/>
    <s v="Switzerland"/>
    <x v="0"/>
  </r>
  <r>
    <n v="2024004725"/>
    <x v="174"/>
    <n v="2024"/>
    <x v="0"/>
    <s v="PROD_002"/>
    <s v="Wireless Mouse"/>
    <s v="Electronics"/>
    <n v="2"/>
    <n v="47.67"/>
    <n v="95.34"/>
    <n v="95.34"/>
    <n v="0"/>
    <s v="Germany"/>
    <x v="1"/>
  </r>
  <r>
    <n v="2024004726"/>
    <x v="166"/>
    <n v="2024"/>
    <x v="122"/>
    <s v="PROD_009"/>
    <s v="Phone Stand"/>
    <s v="Accessories"/>
    <n v="1"/>
    <n v="27.32"/>
    <n v="27.32"/>
    <n v="27.32"/>
    <n v="0"/>
    <s v="Belgium"/>
    <x v="0"/>
  </r>
  <r>
    <n v="2024004727"/>
    <x v="323"/>
    <n v="2024"/>
    <x v="78"/>
    <s v="PROD_004"/>
    <s v="Desk Chair"/>
    <s v="Furniture"/>
    <n v="3"/>
    <n v="355.48"/>
    <n v="1066.44"/>
    <n v="1066.44"/>
    <n v="0"/>
    <s v="Germany"/>
    <x v="0"/>
  </r>
  <r>
    <n v="2024004728"/>
    <x v="64"/>
    <n v="2024"/>
    <x v="153"/>
    <s v="PROD_007"/>
    <s v="Keyboard Mechanical"/>
    <s v="Electronics"/>
    <n v="1"/>
    <n v="113.89"/>
    <n v="113.89"/>
    <n v="113.89"/>
    <n v="0"/>
    <s v="UK"/>
    <x v="1"/>
  </r>
  <r>
    <n v="2024004729"/>
    <x v="107"/>
    <n v="2024"/>
    <x v="36"/>
    <s v="PROD_002"/>
    <s v="Wireless Mouse"/>
    <s v="Electronics"/>
    <n v="1"/>
    <n v="47.35"/>
    <n v="47.35"/>
    <n v="47.35"/>
    <n v="0"/>
    <s v="UK"/>
    <x v="1"/>
  </r>
  <r>
    <n v="2024004730"/>
    <x v="284"/>
    <n v="2024"/>
    <x v="211"/>
    <s v="PROD_009"/>
    <s v="Phone Stand"/>
    <s v="Accessories"/>
    <n v="3"/>
    <n v="23.44"/>
    <n v="70.319999999999993"/>
    <n v="70.320000000000007"/>
    <n v="0"/>
    <s v="France"/>
    <x v="0"/>
  </r>
  <r>
    <n v="2024004731"/>
    <x v="33"/>
    <n v="2024"/>
    <x v="259"/>
    <s v="PROD_009"/>
    <s v="Phone Stand"/>
    <s v="Accessories"/>
    <n v="3"/>
    <n v="26.27"/>
    <n v="78.81"/>
    <n v="78.81"/>
    <n v="0"/>
    <s v="Sweden"/>
    <x v="0"/>
  </r>
  <r>
    <n v="2024004732"/>
    <x v="275"/>
    <n v="2024"/>
    <x v="207"/>
    <s v="PROD_006"/>
    <s v="Monitor 27&quot;"/>
    <s v="Electronics"/>
    <n v="2"/>
    <n v="430.38"/>
    <n v="860.76"/>
    <n v="860.76"/>
    <n v="0"/>
    <s v="Austria"/>
    <x v="0"/>
  </r>
  <r>
    <n v="2024004733"/>
    <x v="33"/>
    <n v="2024"/>
    <x v="238"/>
    <s v="PROD_002"/>
    <s v="Wireless Mouse"/>
    <s v="Electronics"/>
    <n v="3"/>
    <n v="47.92"/>
    <n v="143.76"/>
    <n v="143.76"/>
    <n v="0"/>
    <s v="Switzerland"/>
    <x v="0"/>
  </r>
  <r>
    <n v="2024004734"/>
    <x v="341"/>
    <n v="2024"/>
    <x v="113"/>
    <s v="PROD_001"/>
    <s v="Laptop Pro"/>
    <s v="Electronics"/>
    <n v="1"/>
    <n v="1201.8800000000001"/>
    <n v="1201.8800000000001"/>
    <n v="1201.8800000000001"/>
    <n v="0"/>
    <s v="Germany"/>
    <x v="0"/>
  </r>
  <r>
    <n v="2024004735"/>
    <x v="234"/>
    <n v="2024"/>
    <x v="228"/>
    <s v="PROD_001"/>
    <s v="Laptop Pro"/>
    <s v="Electronics"/>
    <n v="1"/>
    <n v="1203.81"/>
    <n v="1203.81"/>
    <n v="1203.81"/>
    <n v="0"/>
    <s v="Belgium"/>
    <x v="1"/>
  </r>
  <r>
    <n v="2024004736"/>
    <x v="84"/>
    <n v="2024"/>
    <x v="31"/>
    <s v="PROD_002"/>
    <s v="Wireless Mouse"/>
    <s v="Electronics"/>
    <n v="1"/>
    <n v="44.46"/>
    <n v="44.46"/>
    <n v="44.46"/>
    <n v="0"/>
    <s v="Sweden"/>
    <x v="3"/>
  </r>
  <r>
    <n v="2024004737"/>
    <x v="260"/>
    <n v="2024"/>
    <x v="231"/>
    <s v="PROD_010"/>
    <s v="Webcam HD"/>
    <s v="Electronics"/>
    <n v="5"/>
    <n v="90.78"/>
    <n v="453.9"/>
    <n v="453.9"/>
    <n v="0"/>
    <s v="France"/>
    <x v="3"/>
  </r>
  <r>
    <n v="2024004738"/>
    <x v="207"/>
    <n v="2024"/>
    <x v="221"/>
    <s v="PROD_009"/>
    <s v="Phone Stand"/>
    <s v="Accessories"/>
    <n v="2"/>
    <n v="23.8"/>
    <n v="47.6"/>
    <n v="47.6"/>
    <n v="0"/>
    <s v="Spain"/>
    <x v="2"/>
  </r>
  <r>
    <n v="2024004739"/>
    <x v="123"/>
    <n v="2024"/>
    <x v="33"/>
    <s v="PROD_004"/>
    <s v="Desk Chair"/>
    <s v="Furniture"/>
    <n v="2"/>
    <n v="362.35"/>
    <n v="724.7"/>
    <n v="724.7"/>
    <n v="0"/>
    <s v="Switzerland"/>
    <x v="3"/>
  </r>
  <r>
    <n v="2024004740"/>
    <x v="97"/>
    <n v="2024"/>
    <x v="221"/>
    <s v="PROD_009"/>
    <s v="Phone Stand"/>
    <s v="Accessories"/>
    <n v="1"/>
    <n v="23.4"/>
    <n v="23.4"/>
    <n v="23.4"/>
    <n v="0"/>
    <s v="Austria"/>
    <x v="3"/>
  </r>
  <r>
    <n v="2024004741"/>
    <x v="99"/>
    <n v="2024"/>
    <x v="260"/>
    <s v="PROD_009"/>
    <s v="Phone Stand"/>
    <s v="Accessories"/>
    <n v="1"/>
    <n v="25.05"/>
    <n v="25.05"/>
    <n v="25.05"/>
    <n v="0"/>
    <s v="Austria"/>
    <x v="0"/>
  </r>
  <r>
    <n v="2024004742"/>
    <x v="311"/>
    <n v="2024"/>
    <x v="177"/>
    <s v="PROD_005"/>
    <s v="Standing Desk"/>
    <s v="Furniture"/>
    <n v="1"/>
    <n v="600.53"/>
    <n v="600.53"/>
    <n v="600.53"/>
    <n v="0"/>
    <s v="UK"/>
    <x v="0"/>
  </r>
  <r>
    <n v="2024004743"/>
    <x v="84"/>
    <n v="2024"/>
    <x v="8"/>
    <s v="PROD_002"/>
    <s v="Wireless Mouse"/>
    <s v="Electronics"/>
    <n v="1"/>
    <n v="46.09"/>
    <n v="46.09"/>
    <n v="46.09"/>
    <n v="0"/>
    <s v="Sweden"/>
    <x v="2"/>
  </r>
  <r>
    <n v="2024004744"/>
    <x v="314"/>
    <n v="2024"/>
    <x v="292"/>
    <s v="PROD_004"/>
    <s v="Desk Chair"/>
    <s v="Furniture"/>
    <n v="3"/>
    <n v="344.83"/>
    <n v="1034.49"/>
    <n v="1034.49"/>
    <n v="0"/>
    <s v="Switzerland"/>
    <x v="2"/>
  </r>
  <r>
    <n v="2024004745"/>
    <x v="7"/>
    <n v="2024"/>
    <x v="36"/>
    <s v="PROD_009"/>
    <s v="Phone Stand"/>
    <s v="Accessories"/>
    <n v="3"/>
    <n v="25.77"/>
    <n v="77.31"/>
    <n v="77.31"/>
    <n v="0"/>
    <s v="Italy"/>
    <x v="3"/>
  </r>
  <r>
    <n v="2024004746"/>
    <x v="298"/>
    <n v="2024"/>
    <x v="139"/>
    <s v="PROD_003"/>
    <s v="USB-C Cable"/>
    <s v="Electronics"/>
    <n v="1"/>
    <n v="15.85"/>
    <n v="15.85"/>
    <n v="15.85"/>
    <n v="0"/>
    <s v="UK"/>
    <x v="1"/>
  </r>
  <r>
    <n v="2024004747"/>
    <x v="327"/>
    <n v="2024"/>
    <x v="259"/>
    <s v="PROD_007"/>
    <s v="Keyboard Mechanical"/>
    <s v="Electronics"/>
    <n v="5"/>
    <n v="103.45"/>
    <n v="517.25"/>
    <n v="517.25"/>
    <n v="0"/>
    <s v="Austria"/>
    <x v="2"/>
  </r>
  <r>
    <n v="2024004748"/>
    <x v="12"/>
    <n v="2024"/>
    <x v="278"/>
    <s v="PROD_009"/>
    <s v="Phone Stand"/>
    <s v="Accessories"/>
    <n v="1"/>
    <n v="26.23"/>
    <n v="26.23"/>
    <n v="26.23"/>
    <n v="0"/>
    <s v="France"/>
    <x v="1"/>
  </r>
  <r>
    <n v="2024004749"/>
    <x v="208"/>
    <n v="2024"/>
    <x v="128"/>
    <s v="PROD_007"/>
    <s v="Keyboard Mechanical"/>
    <s v="Electronics"/>
    <n v="2"/>
    <n v="110.86"/>
    <n v="221.72"/>
    <n v="221.72"/>
    <n v="0"/>
    <s v="Switzerland"/>
    <x v="3"/>
  </r>
  <r>
    <n v="2024004750"/>
    <x v="171"/>
    <n v="2024"/>
    <x v="0"/>
    <s v="PROD_010"/>
    <s v="Webcam HD"/>
    <s v="Electronics"/>
    <n v="1"/>
    <n v="86.46"/>
    <n v="86.46"/>
    <n v="86.46"/>
    <n v="0"/>
    <s v="Italy"/>
    <x v="1"/>
  </r>
  <r>
    <n v="2024004751"/>
    <x v="210"/>
    <n v="2024"/>
    <x v="66"/>
    <s v="PROD_004"/>
    <s v="Desk Chair"/>
    <s v="Furniture"/>
    <n v="1"/>
    <n v="322.61"/>
    <n v="322.61"/>
    <n v="322.61"/>
    <n v="0"/>
    <s v="Germany"/>
    <x v="0"/>
  </r>
  <r>
    <n v="2024004752"/>
    <x v="320"/>
    <n v="2024"/>
    <x v="277"/>
    <s v="PROD_007"/>
    <s v="Keyboard Mechanical"/>
    <s v="Electronics"/>
    <n v="1"/>
    <n v="120.48"/>
    <n v="120.48"/>
    <n v="120.48"/>
    <n v="0"/>
    <s v="UK"/>
    <x v="2"/>
  </r>
  <r>
    <n v="2024004753"/>
    <x v="194"/>
    <n v="2024"/>
    <x v="66"/>
    <s v="PROD_009"/>
    <s v="Phone Stand"/>
    <s v="Accessories"/>
    <n v="3"/>
    <n v="24.24"/>
    <n v="72.72"/>
    <n v="72.72"/>
    <n v="0"/>
    <s v="Italy"/>
    <x v="2"/>
  </r>
  <r>
    <n v="2024004754"/>
    <x v="120"/>
    <n v="2024"/>
    <x v="132"/>
    <s v="PROD_007"/>
    <s v="Keyboard Mechanical"/>
    <s v="Electronics"/>
    <n v="4"/>
    <n v="123.47"/>
    <n v="493.88"/>
    <n v="493.88"/>
    <n v="0"/>
    <s v="Italy"/>
    <x v="3"/>
  </r>
  <r>
    <n v="2024004755"/>
    <x v="358"/>
    <n v="2024"/>
    <x v="198"/>
    <s v="PROD_008"/>
    <s v="Desk Lamp"/>
    <s v="Furniture"/>
    <n v="1"/>
    <n v="70.47"/>
    <n v="70.47"/>
    <n v="70.47"/>
    <n v="0"/>
    <s v="France"/>
    <x v="3"/>
  </r>
  <r>
    <n v="2024004756"/>
    <x v="207"/>
    <n v="2024"/>
    <x v="0"/>
    <s v="PROD_004"/>
    <s v="Desk Chair"/>
    <s v="Furniture"/>
    <n v="1"/>
    <n v="342.3"/>
    <n v="342.3"/>
    <n v="342.3"/>
    <n v="0"/>
    <s v="Italy"/>
    <x v="2"/>
  </r>
  <r>
    <n v="2024004757"/>
    <x v="52"/>
    <n v="2024"/>
    <x v="165"/>
    <s v="PROD_005"/>
    <s v="Standing Desk"/>
    <s v="Furniture"/>
    <n v="2"/>
    <n v="653.67999999999995"/>
    <n v="1307.3599999999999"/>
    <n v="1307.3599999999999"/>
    <n v="0"/>
    <s v="France"/>
    <x v="0"/>
  </r>
  <r>
    <n v="2024004758"/>
    <x v="243"/>
    <n v="2024"/>
    <x v="193"/>
    <s v="PROD_010"/>
    <s v="Webcam HD"/>
    <s v="Electronics"/>
    <n v="5"/>
    <n v="99.39"/>
    <n v="496.95"/>
    <n v="496.95"/>
    <n v="0"/>
    <s v="Spain"/>
    <x v="1"/>
  </r>
  <r>
    <n v="2024004759"/>
    <x v="15"/>
    <n v="2024"/>
    <x v="141"/>
    <s v="PROD_001"/>
    <s v="Laptop Pro"/>
    <s v="Electronics"/>
    <n v="1"/>
    <n v="1280.25"/>
    <n v="1280.25"/>
    <n v="1280.25"/>
    <n v="0"/>
    <s v="UK"/>
    <x v="0"/>
  </r>
  <r>
    <n v="2024004760"/>
    <x v="30"/>
    <n v="2024"/>
    <x v="0"/>
    <s v="PROD_003"/>
    <s v="USB-C Cable"/>
    <s v="Electronics"/>
    <n v="1"/>
    <n v="16.34"/>
    <n v="16.34"/>
    <n v="16.34"/>
    <n v="0"/>
    <s v="UK"/>
    <x v="1"/>
  </r>
  <r>
    <n v="2024004761"/>
    <x v="49"/>
    <n v="2024"/>
    <x v="90"/>
    <s v="PROD_002"/>
    <s v="Wireless Mouse"/>
    <s v="Electronics"/>
    <n v="1"/>
    <n v="47.87"/>
    <n v="47.87"/>
    <n v="47.87"/>
    <n v="0"/>
    <s v="Austria"/>
    <x v="1"/>
  </r>
  <r>
    <n v="2024004762"/>
    <x v="248"/>
    <n v="2024"/>
    <x v="33"/>
    <s v="PROD_003"/>
    <s v="USB-C Cable"/>
    <s v="Electronics"/>
    <n v="1"/>
    <n v="14.48"/>
    <n v="14.48"/>
    <n v="14.48"/>
    <n v="0"/>
    <s v="Italy"/>
    <x v="3"/>
  </r>
  <r>
    <n v="2024004763"/>
    <x v="300"/>
    <n v="2024"/>
    <x v="69"/>
    <s v="PROD_002"/>
    <s v="Wireless Mouse"/>
    <s v="Electronics"/>
    <n v="2"/>
    <n v="42.44"/>
    <n v="84.88"/>
    <n v="84.88"/>
    <n v="0"/>
    <s v="Spain"/>
    <x v="0"/>
  </r>
  <r>
    <n v="2024004764"/>
    <x v="115"/>
    <n v="2024"/>
    <x v="172"/>
    <s v="PROD_010"/>
    <s v="Webcam HD"/>
    <s v="Electronics"/>
    <n v="1"/>
    <n v="82.92"/>
    <n v="82.92"/>
    <n v="82.92"/>
    <n v="0"/>
    <s v="Belgium"/>
    <x v="2"/>
  </r>
  <r>
    <n v="2024004765"/>
    <x v="27"/>
    <n v="2024"/>
    <x v="162"/>
    <s v="PROD_004"/>
    <s v="Desk Chair"/>
    <s v="Furniture"/>
    <n v="2"/>
    <n v="347.01"/>
    <n v="694.02"/>
    <n v="694.02"/>
    <n v="0"/>
    <s v="Netherlands"/>
    <x v="1"/>
  </r>
  <r>
    <n v="2024004766"/>
    <x v="119"/>
    <n v="2024"/>
    <x v="26"/>
    <s v="PROD_002"/>
    <s v="Wireless Mouse"/>
    <s v="Electronics"/>
    <n v="5"/>
    <n v="43.19"/>
    <n v="215.95"/>
    <n v="215.95"/>
    <n v="0"/>
    <s v="Spain"/>
    <x v="1"/>
  </r>
  <r>
    <n v="2024004767"/>
    <x v="319"/>
    <n v="2024"/>
    <x v="254"/>
    <s v="PROD_005"/>
    <s v="Standing Desk"/>
    <s v="Furniture"/>
    <n v="3"/>
    <n v="649.64"/>
    <n v="1948.92"/>
    <n v="1948.92"/>
    <n v="0"/>
    <s v="Netherlands"/>
    <x v="2"/>
  </r>
  <r>
    <n v="2024004768"/>
    <x v="226"/>
    <n v="2024"/>
    <x v="0"/>
    <s v="PROD_008"/>
    <s v="Desk Lamp"/>
    <s v="Furniture"/>
    <n v="3"/>
    <n v="78.78"/>
    <n v="236.34"/>
    <n v="236.34"/>
    <n v="0"/>
    <s v="Italy"/>
    <x v="3"/>
  </r>
  <r>
    <n v="2024004769"/>
    <x v="148"/>
    <n v="2024"/>
    <x v="0"/>
    <s v="PROD_005"/>
    <s v="Standing Desk"/>
    <s v="Furniture"/>
    <n v="1"/>
    <n v="583.66999999999996"/>
    <n v="583.66999999999996"/>
    <n v="583.66999999999996"/>
    <n v="0"/>
    <s v="Spain"/>
    <x v="3"/>
  </r>
  <r>
    <n v="2024004770"/>
    <x v="30"/>
    <n v="2024"/>
    <x v="298"/>
    <s v="PROD_003"/>
    <s v="USB-C Cable"/>
    <s v="Electronics"/>
    <n v="2"/>
    <n v="14.38"/>
    <n v="28.76"/>
    <n v="28.76"/>
    <n v="0"/>
    <s v="Italy"/>
    <x v="1"/>
  </r>
  <r>
    <n v="2024002100"/>
    <x v="57"/>
    <n v="2024"/>
    <x v="179"/>
    <s v="PROD_002"/>
    <s v="Wireless Mouse"/>
    <s v="Electronics"/>
    <n v="2"/>
    <n v="43.71"/>
    <n v="87.42"/>
    <n v="87.42"/>
    <n v="0"/>
    <s v="Belgium"/>
    <x v="0"/>
  </r>
  <r>
    <n v="2024004772"/>
    <x v="295"/>
    <n v="2024"/>
    <x v="6"/>
    <s v="PROD_002"/>
    <s v="Wireless Mouse"/>
    <s v="Electronics"/>
    <n v="2"/>
    <n v="44.82"/>
    <n v="89.64"/>
    <n v="89.64"/>
    <n v="0"/>
    <s v="UK"/>
    <x v="0"/>
  </r>
  <r>
    <n v="2024004773"/>
    <x v="306"/>
    <n v="2024"/>
    <x v="249"/>
    <s v="PROD_005"/>
    <s v="Standing Desk"/>
    <s v="Furniture"/>
    <n v="1"/>
    <n v="569.46"/>
    <n v="569.46"/>
    <n v="569.46"/>
    <n v="0"/>
    <s v="Italy"/>
    <x v="3"/>
  </r>
  <r>
    <n v="2024004774"/>
    <x v="41"/>
    <n v="2024"/>
    <x v="171"/>
    <s v="PROD_007"/>
    <s v="Keyboard Mechanical"/>
    <s v="Electronics"/>
    <n v="1"/>
    <n v="134.9"/>
    <n v="134.9"/>
    <n v="134.9"/>
    <n v="0"/>
    <s v="France"/>
    <x v="3"/>
  </r>
  <r>
    <n v="2024004775"/>
    <x v="106"/>
    <n v="2024"/>
    <x v="142"/>
    <s v="PROD_009"/>
    <s v="Phone Stand"/>
    <s v="Accessories"/>
    <n v="2"/>
    <n v="26.49"/>
    <n v="52.98"/>
    <n v="52.98"/>
    <n v="0"/>
    <s v="Belgium"/>
    <x v="2"/>
  </r>
  <r>
    <n v="2024004776"/>
    <x v="25"/>
    <n v="2024"/>
    <x v="286"/>
    <s v="PROD_003"/>
    <s v="USB-C Cable"/>
    <s v="Electronics"/>
    <n v="1"/>
    <n v="16.899999999999999"/>
    <n v="16.899999999999999"/>
    <n v="16.899999999999999"/>
    <n v="0"/>
    <s v="Switzerland"/>
    <x v="3"/>
  </r>
  <r>
    <n v="2024004777"/>
    <x v="196"/>
    <n v="2024"/>
    <x v="56"/>
    <s v="PROD_010"/>
    <s v="Webcam HD"/>
    <s v="Electronics"/>
    <n v="3"/>
    <n v="91.94"/>
    <n v="275.82"/>
    <n v="275.82"/>
    <n v="0"/>
    <s v="Belgium"/>
    <x v="1"/>
  </r>
  <r>
    <n v="2024004778"/>
    <x v="333"/>
    <n v="2024"/>
    <x v="272"/>
    <s v="PROD_004"/>
    <s v="Desk Chair"/>
    <s v="Furniture"/>
    <n v="1"/>
    <n v="347.07"/>
    <n v="347.07"/>
    <n v="347.07"/>
    <n v="0"/>
    <s v="Sweden"/>
    <x v="1"/>
  </r>
  <r>
    <n v="2024004779"/>
    <x v="240"/>
    <n v="2024"/>
    <x v="227"/>
    <s v="PROD_004"/>
    <s v="Desk Chair"/>
    <s v="Furniture"/>
    <n v="3"/>
    <n v="369.48"/>
    <n v="1108.44"/>
    <n v="1108.44"/>
    <n v="0"/>
    <s v="Italy"/>
    <x v="1"/>
  </r>
  <r>
    <n v="2024004780"/>
    <x v="183"/>
    <n v="2024"/>
    <x v="206"/>
    <s v="PROD_003"/>
    <s v="USB-C Cable"/>
    <s v="Electronics"/>
    <n v="1"/>
    <n v="14.59"/>
    <n v="14.59"/>
    <n v="14.59"/>
    <n v="0"/>
    <s v="Germany"/>
    <x v="2"/>
  </r>
  <r>
    <n v="2024004781"/>
    <x v="252"/>
    <n v="2024"/>
    <x v="285"/>
    <s v="PROD_007"/>
    <s v="Keyboard Mechanical"/>
    <s v="Electronics"/>
    <n v="1"/>
    <n v="130.74"/>
    <n v="130.74"/>
    <n v="130.74"/>
    <n v="0"/>
    <s v="Belgium"/>
    <x v="2"/>
  </r>
  <r>
    <n v="2024004782"/>
    <x v="185"/>
    <n v="2024"/>
    <x v="98"/>
    <s v="PROD_007"/>
    <s v="Keyboard Mechanical"/>
    <s v="Electronics"/>
    <n v="4"/>
    <n v="123.76"/>
    <n v="495.04"/>
    <n v="495.04"/>
    <n v="0"/>
    <s v="Germany"/>
    <x v="0"/>
  </r>
  <r>
    <n v="2024004783"/>
    <x v="274"/>
    <n v="2024"/>
    <x v="157"/>
    <s v="PROD_009"/>
    <s v="Phone Stand"/>
    <s v="Accessories"/>
    <n v="1"/>
    <n v="25.83"/>
    <n v="25.83"/>
    <n v="25.83"/>
    <n v="0"/>
    <s v="France"/>
    <x v="1"/>
  </r>
  <r>
    <n v="2024004784"/>
    <x v="263"/>
    <n v="2024"/>
    <x v="211"/>
    <s v="PROD_006"/>
    <s v="Monitor 27&quot;"/>
    <s v="Electronics"/>
    <n v="1"/>
    <n v="382.28"/>
    <n v="382.28"/>
    <n v="382.28"/>
    <n v="0"/>
    <s v="Italy"/>
    <x v="1"/>
  </r>
  <r>
    <n v="2024004785"/>
    <x v="205"/>
    <n v="2024"/>
    <x v="126"/>
    <s v="PROD_002"/>
    <s v="Wireless Mouse"/>
    <s v="Electronics"/>
    <n v="3"/>
    <n v="44.95"/>
    <n v="134.85"/>
    <n v="134.85000000000002"/>
    <n v="0"/>
    <s v="Spain"/>
    <x v="2"/>
  </r>
  <r>
    <n v="2024004786"/>
    <x v="140"/>
    <n v="2024"/>
    <x v="7"/>
    <s v="PROD_002"/>
    <s v="Wireless Mouse"/>
    <s v="Electronics"/>
    <n v="1"/>
    <n v="44.56"/>
    <n v="44.56"/>
    <n v="44.56"/>
    <n v="0"/>
    <s v="France"/>
    <x v="2"/>
  </r>
  <r>
    <n v="2024004787"/>
    <x v="350"/>
    <n v="2024"/>
    <x v="104"/>
    <s v="PROD_006"/>
    <s v="Monitor 27&quot;"/>
    <s v="Electronics"/>
    <n v="1"/>
    <n v="413.58"/>
    <n v="413.58"/>
    <n v="413.58"/>
    <n v="0"/>
    <s v="Sweden"/>
    <x v="0"/>
  </r>
  <r>
    <n v="2024004788"/>
    <x v="303"/>
    <n v="2024"/>
    <x v="196"/>
    <s v="PROD_008"/>
    <s v="Desk Lamp"/>
    <s v="Furniture"/>
    <n v="1"/>
    <n v="88.05"/>
    <n v="88.05"/>
    <n v="88.05"/>
    <n v="0"/>
    <s v="Spain"/>
    <x v="1"/>
  </r>
  <r>
    <n v="2024004789"/>
    <x v="112"/>
    <n v="2024"/>
    <x v="180"/>
    <s v="PROD_007"/>
    <s v="Keyboard Mechanical"/>
    <s v="Electronics"/>
    <n v="3"/>
    <n v="123.57"/>
    <n v="370.71"/>
    <n v="370.71"/>
    <n v="0"/>
    <s v="UK"/>
    <x v="0"/>
  </r>
  <r>
    <n v="2024004790"/>
    <x v="256"/>
    <n v="2024"/>
    <x v="199"/>
    <s v="PROD_001"/>
    <s v="Laptop Pro"/>
    <s v="Electronics"/>
    <n v="4"/>
    <n v="1133.78"/>
    <n v="4535.12"/>
    <n v="4535.12"/>
    <n v="0"/>
    <s v="Belgium"/>
    <x v="2"/>
  </r>
  <r>
    <n v="2024004791"/>
    <x v="278"/>
    <n v="2024"/>
    <x v="161"/>
    <s v="PROD_010"/>
    <s v="Webcam HD"/>
    <s v="Electronics"/>
    <n v="3"/>
    <n v="93.54"/>
    <n v="280.62"/>
    <n v="280.62"/>
    <n v="0"/>
    <s v="Austria"/>
    <x v="2"/>
  </r>
  <r>
    <n v="2024004792"/>
    <x v="40"/>
    <n v="2024"/>
    <x v="192"/>
    <s v="PROD_003"/>
    <s v="USB-C Cable"/>
    <s v="Electronics"/>
    <n v="1"/>
    <n v="16.34"/>
    <n v="16.34"/>
    <n v="16.34"/>
    <n v="0"/>
    <s v="France"/>
    <x v="1"/>
  </r>
  <r>
    <n v="2024004793"/>
    <x v="216"/>
    <n v="2024"/>
    <x v="88"/>
    <s v="PROD_001"/>
    <s v="Laptop Pro"/>
    <s v="Electronics"/>
    <n v="1"/>
    <n v="1104.81"/>
    <n v="1104.81"/>
    <n v="1104.81"/>
    <n v="0"/>
    <s v="Switzerland"/>
    <x v="1"/>
  </r>
  <r>
    <n v="2024004794"/>
    <x v="277"/>
    <n v="2024"/>
    <x v="181"/>
    <s v="PROD_003"/>
    <s v="USB-C Cable"/>
    <s v="Electronics"/>
    <n v="1"/>
    <n v="14.09"/>
    <n v="14.09"/>
    <n v="14.09"/>
    <n v="0"/>
    <s v="Netherlands"/>
    <x v="3"/>
  </r>
  <r>
    <n v="2024004795"/>
    <x v="50"/>
    <n v="2024"/>
    <x v="0"/>
    <s v="PROD_006"/>
    <s v="Monitor 27&quot;"/>
    <s v="Electronics"/>
    <n v="1"/>
    <n v="386"/>
    <n v="386"/>
    <n v="386"/>
    <n v="0"/>
    <s v="Sweden"/>
    <x v="2"/>
  </r>
  <r>
    <n v="2024004796"/>
    <x v="281"/>
    <n v="2024"/>
    <x v="258"/>
    <s v="PROD_005"/>
    <s v="Standing Desk"/>
    <s v="Furniture"/>
    <n v="1"/>
    <n v="621.63"/>
    <n v="621.63"/>
    <n v="621.63"/>
    <n v="0"/>
    <s v="Spain"/>
    <x v="2"/>
  </r>
  <r>
    <n v="2024004797"/>
    <x v="134"/>
    <n v="2024"/>
    <x v="208"/>
    <s v="PROD_007"/>
    <s v="Keyboard Mechanical"/>
    <s v="Electronics"/>
    <n v="2"/>
    <n v="121.54"/>
    <n v="243.08"/>
    <n v="243.08"/>
    <n v="0"/>
    <s v="Italy"/>
    <x v="3"/>
  </r>
  <r>
    <n v="2024004798"/>
    <x v="110"/>
    <n v="2024"/>
    <x v="176"/>
    <s v="PROD_005"/>
    <s v="Standing Desk"/>
    <s v="Furniture"/>
    <n v="2"/>
    <n v="591.36"/>
    <n v="1182.72"/>
    <n v="1182.72"/>
    <n v="0"/>
    <s v="Belgium"/>
    <x v="1"/>
  </r>
  <r>
    <n v="2024004799"/>
    <x v="23"/>
    <n v="2024"/>
    <x v="98"/>
    <s v="PROD_009"/>
    <s v="Phone Stand"/>
    <s v="Accessories"/>
    <n v="1"/>
    <n v="26.73"/>
    <n v="26.73"/>
    <n v="26.73"/>
    <n v="0"/>
    <s v="Sweden"/>
    <x v="0"/>
  </r>
  <r>
    <n v="2024004800"/>
    <x v="95"/>
    <n v="2024"/>
    <x v="7"/>
    <s v="PROD_009"/>
    <s v="Phone Stand"/>
    <s v="Accessories"/>
    <n v="2"/>
    <n v="23.39"/>
    <n v="46.78"/>
    <n v="46.78"/>
    <n v="0"/>
    <s v="Spain"/>
    <x v="0"/>
  </r>
  <r>
    <n v="2024004801"/>
    <x v="30"/>
    <n v="2024"/>
    <x v="147"/>
    <s v="PROD_001"/>
    <s v="Laptop Pro"/>
    <s v="Electronics"/>
    <n v="4"/>
    <n v="1165.18"/>
    <n v="4660.72"/>
    <n v="4660.72"/>
    <n v="0"/>
    <s v="Netherlands"/>
    <x v="0"/>
  </r>
  <r>
    <n v="2024004802"/>
    <x v="200"/>
    <n v="2024"/>
    <x v="76"/>
    <s v="PROD_002"/>
    <s v="Wireless Mouse"/>
    <s v="Electronics"/>
    <n v="2"/>
    <n v="45.75"/>
    <n v="91.5"/>
    <n v="91.5"/>
    <n v="0"/>
    <s v="Sweden"/>
    <x v="3"/>
  </r>
  <r>
    <n v="2024004803"/>
    <x v="106"/>
    <n v="2024"/>
    <x v="226"/>
    <s v="PROD_002"/>
    <s v="Wireless Mouse"/>
    <s v="Electronics"/>
    <n v="1"/>
    <n v="43.97"/>
    <n v="43.97"/>
    <n v="43.97"/>
    <n v="0"/>
    <s v="Sweden"/>
    <x v="3"/>
  </r>
  <r>
    <n v="2024004804"/>
    <x v="117"/>
    <n v="2024"/>
    <x v="68"/>
    <s v="PROD_007"/>
    <s v="Keyboard Mechanical"/>
    <s v="Electronics"/>
    <n v="2"/>
    <n v="115.92"/>
    <n v="231.84"/>
    <n v="231.84"/>
    <n v="0"/>
    <s v="Spain"/>
    <x v="0"/>
  </r>
  <r>
    <n v="2024004805"/>
    <x v="316"/>
    <n v="2024"/>
    <x v="0"/>
    <s v="PROD_006"/>
    <s v="Monitor 27&quot;"/>
    <s v="Electronics"/>
    <n v="1"/>
    <n v="381.73"/>
    <n v="381.73"/>
    <n v="381.73"/>
    <n v="0"/>
    <s v="France"/>
    <x v="1"/>
  </r>
  <r>
    <n v="2024004806"/>
    <x v="42"/>
    <n v="2024"/>
    <x v="203"/>
    <s v="PROD_005"/>
    <s v="Standing Desk"/>
    <s v="Furniture"/>
    <n v="2"/>
    <n v="626.4"/>
    <n v="1252.8"/>
    <n v="1252.8"/>
    <n v="0"/>
    <s v="Spain"/>
    <x v="1"/>
  </r>
  <r>
    <n v="2024004807"/>
    <x v="291"/>
    <n v="2024"/>
    <x v="2"/>
    <s v="PROD_001"/>
    <s v="Laptop Pro"/>
    <s v="Electronics"/>
    <n v="2"/>
    <n v="1158.8699999999999"/>
    <n v="2317.7399999999998"/>
    <n v="2317.7399999999998"/>
    <n v="0"/>
    <s v="UK"/>
    <x v="2"/>
  </r>
  <r>
    <n v="2024004808"/>
    <x v="126"/>
    <n v="2024"/>
    <x v="251"/>
    <s v="PROD_010"/>
    <s v="Webcam HD"/>
    <s v="Electronics"/>
    <n v="1"/>
    <n v="91.15"/>
    <n v="91.15"/>
    <n v="91.15"/>
    <n v="0"/>
    <s v="Sweden"/>
    <x v="2"/>
  </r>
  <r>
    <n v="2024004809"/>
    <x v="115"/>
    <n v="2024"/>
    <x v="260"/>
    <s v="PROD_001"/>
    <s v="Laptop Pro"/>
    <s v="Electronics"/>
    <n v="1"/>
    <n v="1251.44"/>
    <n v="1251.44"/>
    <n v="1251.44"/>
    <n v="0"/>
    <s v="France"/>
    <x v="1"/>
  </r>
  <r>
    <n v="2024004810"/>
    <x v="181"/>
    <n v="2024"/>
    <x v="201"/>
    <s v="PROD_007"/>
    <s v="Keyboard Mechanical"/>
    <s v="Electronics"/>
    <n v="3"/>
    <n v="110.3"/>
    <n v="330.9"/>
    <n v="330.9"/>
    <n v="0"/>
    <s v="Spain"/>
    <x v="1"/>
  </r>
  <r>
    <n v="2024004811"/>
    <x v="220"/>
    <n v="2024"/>
    <x v="40"/>
    <s v="PROD_003"/>
    <s v="USB-C Cable"/>
    <s v="Electronics"/>
    <n v="2"/>
    <n v="14.6"/>
    <n v="29.2"/>
    <n v="29.2"/>
    <n v="0"/>
    <s v="Spain"/>
    <x v="3"/>
  </r>
  <r>
    <n v="2024004812"/>
    <x v="182"/>
    <n v="2024"/>
    <x v="189"/>
    <s v="PROD_007"/>
    <s v="Keyboard Mechanical"/>
    <s v="Electronics"/>
    <n v="1"/>
    <n v="119.77"/>
    <n v="119.77"/>
    <n v="119.77"/>
    <n v="0"/>
    <s v="Sweden"/>
    <x v="3"/>
  </r>
  <r>
    <n v="2024004813"/>
    <x v="216"/>
    <n v="2024"/>
    <x v="249"/>
    <s v="PROD_008"/>
    <s v="Desk Lamp"/>
    <s v="Furniture"/>
    <n v="1"/>
    <n v="89.84"/>
    <n v="89.84"/>
    <n v="89.84"/>
    <n v="0"/>
    <s v="Germany"/>
    <x v="1"/>
  </r>
  <r>
    <n v="2024004814"/>
    <x v="21"/>
    <n v="2024"/>
    <x v="121"/>
    <s v="PROD_002"/>
    <s v="Wireless Mouse"/>
    <s v="Electronics"/>
    <n v="1"/>
    <n v="44.7"/>
    <n v="44.7"/>
    <n v="44.7"/>
    <n v="0"/>
    <s v="Spain"/>
    <x v="2"/>
  </r>
  <r>
    <n v="2024004815"/>
    <x v="134"/>
    <n v="2024"/>
    <x v="277"/>
    <s v="PROD_008"/>
    <s v="Desk Lamp"/>
    <s v="Furniture"/>
    <n v="1"/>
    <n v="80.34"/>
    <n v="80.34"/>
    <n v="80.34"/>
    <n v="0"/>
    <s v="Sweden"/>
    <x v="0"/>
  </r>
  <r>
    <n v="2024004816"/>
    <x v="364"/>
    <n v="2024"/>
    <x v="197"/>
    <s v="PROD_003"/>
    <s v="USB-C Cable"/>
    <s v="Electronics"/>
    <n v="1"/>
    <n v="15.57"/>
    <n v="15.57"/>
    <n v="15.57"/>
    <n v="0"/>
    <s v="Germany"/>
    <x v="0"/>
  </r>
  <r>
    <n v="2024004817"/>
    <x v="212"/>
    <n v="2024"/>
    <x v="109"/>
    <s v="PROD_003"/>
    <s v="USB-C Cable"/>
    <s v="Electronics"/>
    <n v="2"/>
    <n v="14.7"/>
    <n v="29.4"/>
    <n v="29.4"/>
    <n v="0"/>
    <s v="Germany"/>
    <x v="1"/>
  </r>
  <r>
    <n v="2024004818"/>
    <x v="104"/>
    <n v="2024"/>
    <x v="157"/>
    <s v="PROD_003"/>
    <s v="USB-C Cable"/>
    <s v="Electronics"/>
    <n v="2"/>
    <n v="14.66"/>
    <n v="29.32"/>
    <n v="29.32"/>
    <n v="0"/>
    <s v="Italy"/>
    <x v="0"/>
  </r>
  <r>
    <n v="2024004819"/>
    <x v="266"/>
    <n v="2024"/>
    <x v="108"/>
    <s v="PROD_004"/>
    <s v="Desk Chair"/>
    <s v="Furniture"/>
    <n v="2"/>
    <n v="353.89"/>
    <n v="707.78"/>
    <n v="707.78"/>
    <n v="0"/>
    <s v="Belgium"/>
    <x v="2"/>
  </r>
  <r>
    <n v="2024004820"/>
    <x v="196"/>
    <n v="2024"/>
    <x v="40"/>
    <s v="PROD_001"/>
    <s v="Laptop Pro"/>
    <s v="Electronics"/>
    <n v="2"/>
    <n v="1144.76"/>
    <n v="2289.52"/>
    <n v="2289.52"/>
    <n v="0"/>
    <s v="Italy"/>
    <x v="1"/>
  </r>
  <r>
    <n v="2024004821"/>
    <x v="99"/>
    <n v="2024"/>
    <x v="267"/>
    <s v="PROD_010"/>
    <s v="Webcam HD"/>
    <s v="Electronics"/>
    <n v="2"/>
    <n v="85.5"/>
    <n v="171"/>
    <n v="171"/>
    <n v="0"/>
    <s v="Germany"/>
    <x v="1"/>
  </r>
  <r>
    <n v="2024004822"/>
    <x v="133"/>
    <n v="2024"/>
    <x v="56"/>
    <s v="PROD_006"/>
    <s v="Monitor 27&quot;"/>
    <s v="Electronics"/>
    <n v="1"/>
    <n v="377.53"/>
    <n v="377.53"/>
    <n v="377.53"/>
    <n v="0"/>
    <s v="Italy"/>
    <x v="1"/>
  </r>
  <r>
    <n v="2024004823"/>
    <x v="12"/>
    <n v="2024"/>
    <x v="274"/>
    <s v="PROD_003"/>
    <s v="USB-C Cable"/>
    <s v="Electronics"/>
    <n v="1"/>
    <n v="14.78"/>
    <n v="14.78"/>
    <n v="14.78"/>
    <n v="0"/>
    <s v="France"/>
    <x v="2"/>
  </r>
  <r>
    <n v="2024004824"/>
    <x v="228"/>
    <n v="2024"/>
    <x v="192"/>
    <s v="PROD_002"/>
    <s v="Wireless Mouse"/>
    <s v="Electronics"/>
    <n v="1"/>
    <n v="40.25"/>
    <n v="40.25"/>
    <n v="40.25"/>
    <n v="0"/>
    <s v="Sweden"/>
    <x v="2"/>
  </r>
  <r>
    <n v="2024004825"/>
    <x v="31"/>
    <n v="2024"/>
    <x v="288"/>
    <s v="PROD_010"/>
    <s v="Webcam HD"/>
    <s v="Electronics"/>
    <n v="3"/>
    <n v="88.73"/>
    <n v="266.19"/>
    <n v="266.19"/>
    <n v="0"/>
    <s v="Austria"/>
    <x v="3"/>
  </r>
  <r>
    <n v="2024004826"/>
    <x v="298"/>
    <n v="2024"/>
    <x v="47"/>
    <s v="PROD_010"/>
    <s v="Webcam HD"/>
    <s v="Electronics"/>
    <n v="1"/>
    <n v="86.42"/>
    <n v="86.42"/>
    <n v="86.42"/>
    <n v="0"/>
    <s v="France"/>
    <x v="2"/>
  </r>
  <r>
    <n v="2024004827"/>
    <x v="352"/>
    <n v="2024"/>
    <x v="17"/>
    <s v="PROD_003"/>
    <s v="USB-C Cable"/>
    <s v="Electronics"/>
    <n v="1"/>
    <n v="15.25"/>
    <n v="15.25"/>
    <n v="15.25"/>
    <n v="0"/>
    <s v="Switzerland"/>
    <x v="0"/>
  </r>
  <r>
    <n v="2024004828"/>
    <x v="271"/>
    <n v="2024"/>
    <x v="129"/>
    <s v="PROD_009"/>
    <s v="Phone Stand"/>
    <s v="Accessories"/>
    <n v="1"/>
    <n v="23.11"/>
    <n v="23.11"/>
    <n v="23.11"/>
    <n v="0"/>
    <s v="Netherlands"/>
    <x v="3"/>
  </r>
  <r>
    <n v="2024004829"/>
    <x v="102"/>
    <n v="2024"/>
    <x v="261"/>
    <s v="PROD_005"/>
    <s v="Standing Desk"/>
    <s v="Furniture"/>
    <n v="1"/>
    <n v="577.74"/>
    <n v="577.74"/>
    <n v="577.74"/>
    <n v="0"/>
    <s v="Italy"/>
    <x v="2"/>
  </r>
  <r>
    <n v="2024004830"/>
    <x v="22"/>
    <n v="2024"/>
    <x v="283"/>
    <s v="PROD_007"/>
    <s v="Keyboard Mechanical"/>
    <s v="Electronics"/>
    <n v="3"/>
    <n v="125.31"/>
    <n v="375.93"/>
    <n v="375.93"/>
    <n v="0"/>
    <s v="Sweden"/>
    <x v="2"/>
  </r>
  <r>
    <n v="2024004831"/>
    <x v="288"/>
    <n v="2024"/>
    <x v="210"/>
    <s v="PROD_001"/>
    <s v="Laptop Pro"/>
    <s v="Electronics"/>
    <n v="1"/>
    <n v="1256.26"/>
    <n v="1256.26"/>
    <n v="1256.26"/>
    <n v="0"/>
    <s v="Austria"/>
    <x v="1"/>
  </r>
  <r>
    <n v="2024004832"/>
    <x v="164"/>
    <n v="2024"/>
    <x v="0"/>
    <s v="PROD_006"/>
    <s v="Monitor 27&quot;"/>
    <s v="Electronics"/>
    <n v="1"/>
    <n v="400.98"/>
    <n v="400.98"/>
    <n v="400.98"/>
    <n v="0"/>
    <s v="Switzerland"/>
    <x v="1"/>
  </r>
  <r>
    <n v="2024004833"/>
    <x v="289"/>
    <n v="2024"/>
    <x v="196"/>
    <s v="PROD_005"/>
    <s v="Standing Desk"/>
    <s v="Furniture"/>
    <n v="1"/>
    <n v="552.87"/>
    <n v="552.87"/>
    <n v="552.87"/>
    <n v="0"/>
    <s v="Switzerland"/>
    <x v="3"/>
  </r>
  <r>
    <n v="2024004834"/>
    <x v="108"/>
    <n v="2024"/>
    <x v="66"/>
    <s v="PROD_002"/>
    <s v="Wireless Mouse"/>
    <s v="Electronics"/>
    <n v="2"/>
    <n v="45.69"/>
    <n v="91.38"/>
    <n v="91.38"/>
    <n v="0"/>
    <s v="Austria"/>
    <x v="0"/>
  </r>
  <r>
    <n v="2024004835"/>
    <x v="22"/>
    <n v="2024"/>
    <x v="115"/>
    <s v="PROD_001"/>
    <s v="Laptop Pro"/>
    <s v="Electronics"/>
    <n v="4"/>
    <n v="852.01"/>
    <n v="3408.04"/>
    <n v="3408.04"/>
    <n v="0"/>
    <s v="Italy"/>
    <x v="3"/>
  </r>
  <r>
    <n v="2024004836"/>
    <x v="51"/>
    <n v="2024"/>
    <x v="155"/>
    <s v="PROD_008"/>
    <s v="Desk Lamp"/>
    <s v="Furniture"/>
    <n v="1"/>
    <n v="77.42"/>
    <n v="77.42"/>
    <n v="77.42"/>
    <n v="0"/>
    <s v="Belgium"/>
    <x v="3"/>
  </r>
  <r>
    <n v="2024004837"/>
    <x v="137"/>
    <n v="2024"/>
    <x v="11"/>
    <s v="PROD_006"/>
    <s v="Monitor 27&quot;"/>
    <s v="Electronics"/>
    <n v="1"/>
    <n v="400.55"/>
    <n v="400.55"/>
    <n v="400.55"/>
    <n v="0"/>
    <s v="Sweden"/>
    <x v="2"/>
  </r>
  <r>
    <n v="2024004838"/>
    <x v="45"/>
    <n v="2024"/>
    <x v="111"/>
    <s v="PROD_001"/>
    <s v="Laptop Pro"/>
    <s v="Electronics"/>
    <n v="1"/>
    <n v="1331.95"/>
    <n v="1331.95"/>
    <n v="1331.95"/>
    <n v="0"/>
    <s v="Austria"/>
    <x v="2"/>
  </r>
  <r>
    <n v="2024004269"/>
    <x v="191"/>
    <n v="2024"/>
    <x v="23"/>
    <s v="PROD_009"/>
    <s v="Phone Stand"/>
    <s v="Accessories"/>
    <n v="2"/>
    <n v="26.08"/>
    <n v="52.16"/>
    <n v="52.16"/>
    <n v="0"/>
    <s v="Switzerland"/>
    <x v="2"/>
  </r>
  <r>
    <n v="2024004840"/>
    <x v="97"/>
    <n v="2024"/>
    <x v="197"/>
    <s v="PROD_003"/>
    <s v="USB-C Cable"/>
    <s v="Electronics"/>
    <n v="1"/>
    <n v="15.62"/>
    <n v="15.62"/>
    <n v="15.62"/>
    <n v="0"/>
    <s v="Italy"/>
    <x v="1"/>
  </r>
  <r>
    <n v="2024004841"/>
    <x v="267"/>
    <n v="2024"/>
    <x v="258"/>
    <s v="PROD_010"/>
    <s v="Webcam HD"/>
    <s v="Electronics"/>
    <n v="3"/>
    <n v="88.04"/>
    <n v="264.12"/>
    <n v="264.12"/>
    <n v="0"/>
    <s v="Spain"/>
    <x v="3"/>
  </r>
  <r>
    <n v="2024004842"/>
    <x v="366"/>
    <n v="2024"/>
    <x v="245"/>
    <s v="PROD_006"/>
    <s v="Monitor 27&quot;"/>
    <s v="Electronics"/>
    <n v="4"/>
    <n v="422.25"/>
    <n v="1689"/>
    <n v="1689"/>
    <n v="0"/>
    <s v="UK"/>
    <x v="3"/>
  </r>
  <r>
    <n v="2024004843"/>
    <x v="355"/>
    <n v="2024"/>
    <x v="0"/>
    <s v="PROD_007"/>
    <s v="Keyboard Mechanical"/>
    <s v="Electronics"/>
    <n v="2"/>
    <n v="125.28"/>
    <n v="250.56"/>
    <n v="250.56"/>
    <n v="0"/>
    <s v="France"/>
    <x v="2"/>
  </r>
  <r>
    <n v="2024004844"/>
    <x v="339"/>
    <n v="2024"/>
    <x v="0"/>
    <s v="PROD_008"/>
    <s v="Desk Lamp"/>
    <s v="Furniture"/>
    <n v="1"/>
    <n v="75.53"/>
    <n v="75.53"/>
    <n v="75.53"/>
    <n v="0"/>
    <s v="Spain"/>
    <x v="0"/>
  </r>
  <r>
    <n v="2024004845"/>
    <x v="305"/>
    <n v="2024"/>
    <x v="77"/>
    <s v="PROD_007"/>
    <s v="Keyboard Mechanical"/>
    <s v="Electronics"/>
    <n v="3"/>
    <n v="111.25"/>
    <n v="333.75"/>
    <n v="333.75"/>
    <n v="0"/>
    <s v="France"/>
    <x v="3"/>
  </r>
  <r>
    <n v="2024004846"/>
    <x v="345"/>
    <n v="2024"/>
    <x v="171"/>
    <s v="PROD_005"/>
    <s v="Standing Desk"/>
    <s v="Furniture"/>
    <n v="3"/>
    <n v="555.13"/>
    <n v="1665.39"/>
    <n v="1665.3899999999999"/>
    <n v="0"/>
    <s v="Netherlands"/>
    <x v="2"/>
  </r>
  <r>
    <n v="2024004847"/>
    <x v="18"/>
    <n v="2024"/>
    <x v="116"/>
    <s v="PROD_001"/>
    <s v="Laptop Pro"/>
    <s v="Electronics"/>
    <n v="1"/>
    <n v="1080.1500000000001"/>
    <n v="1080.1500000000001"/>
    <n v="1080.1500000000001"/>
    <n v="0"/>
    <s v="Sweden"/>
    <x v="3"/>
  </r>
  <r>
    <n v="2024004848"/>
    <x v="366"/>
    <n v="2024"/>
    <x v="239"/>
    <s v="PROD_005"/>
    <s v="Standing Desk"/>
    <s v="Furniture"/>
    <n v="2"/>
    <n v="588.87"/>
    <n v="1177.74"/>
    <n v="1177.74"/>
    <n v="0"/>
    <s v="Netherlands"/>
    <x v="1"/>
  </r>
  <r>
    <n v="2024004849"/>
    <x v="294"/>
    <n v="2024"/>
    <x v="0"/>
    <s v="PROD_005"/>
    <s v="Standing Desk"/>
    <s v="Furniture"/>
    <n v="1"/>
    <n v="600.04999999999995"/>
    <n v="600.04999999999995"/>
    <n v="600.04999999999995"/>
    <n v="0"/>
    <s v="France"/>
    <x v="2"/>
  </r>
  <r>
    <n v="2024004850"/>
    <x v="113"/>
    <n v="2024"/>
    <x v="82"/>
    <s v="PROD_001"/>
    <s v="Laptop Pro"/>
    <s v="Electronics"/>
    <n v="2"/>
    <n v="1193.26"/>
    <n v="2386.52"/>
    <n v="2386.52"/>
    <n v="0"/>
    <s v="Italy"/>
    <x v="0"/>
  </r>
  <r>
    <n v="2024004851"/>
    <x v="270"/>
    <n v="2024"/>
    <x v="209"/>
    <s v="PROD_009"/>
    <s v="Phone Stand"/>
    <s v="Accessories"/>
    <n v="3"/>
    <n v="24.42"/>
    <n v="73.260000000000005"/>
    <n v="73.260000000000005"/>
    <n v="0"/>
    <s v="Austria"/>
    <x v="1"/>
  </r>
  <r>
    <n v="2024004852"/>
    <x v="334"/>
    <n v="2024"/>
    <x v="0"/>
    <s v="PROD_006"/>
    <s v="Monitor 27&quot;"/>
    <s v="Electronics"/>
    <n v="1"/>
    <n v="415.18"/>
    <n v="415.18"/>
    <n v="415.18"/>
    <n v="0"/>
    <s v="Belgium"/>
    <x v="0"/>
  </r>
  <r>
    <n v="2024004853"/>
    <x v="78"/>
    <n v="2024"/>
    <x v="5"/>
    <s v="PROD_003"/>
    <s v="USB-C Cable"/>
    <s v="Electronics"/>
    <n v="2"/>
    <n v="13.91"/>
    <n v="27.82"/>
    <n v="27.82"/>
    <n v="0"/>
    <s v="Sweden"/>
    <x v="2"/>
  </r>
  <r>
    <n v="2024004854"/>
    <x v="338"/>
    <n v="2024"/>
    <x v="248"/>
    <s v="PROD_001"/>
    <s v="Laptop Pro"/>
    <s v="Electronics"/>
    <n v="3"/>
    <n v="1526.48"/>
    <n v="4579.4399999999996"/>
    <n v="4579.4400000000005"/>
    <n v="0"/>
    <s v="Belgium"/>
    <x v="2"/>
  </r>
  <r>
    <n v="2024004855"/>
    <x v="150"/>
    <n v="2024"/>
    <x v="44"/>
    <s v="PROD_010"/>
    <s v="Webcam HD"/>
    <s v="Electronics"/>
    <n v="4"/>
    <n v="98.98"/>
    <n v="395.92"/>
    <n v="395.92"/>
    <n v="0"/>
    <s v="Germany"/>
    <x v="1"/>
  </r>
  <r>
    <n v="2024004856"/>
    <x v="187"/>
    <n v="2024"/>
    <x v="34"/>
    <s v="PROD_008"/>
    <s v="Desk Lamp"/>
    <s v="Furniture"/>
    <n v="2"/>
    <n v="83.06"/>
    <n v="166.12"/>
    <n v="166.12"/>
    <n v="0"/>
    <s v="France"/>
    <x v="2"/>
  </r>
  <r>
    <n v="2024004857"/>
    <x v="282"/>
    <n v="2024"/>
    <x v="36"/>
    <s v="PROD_004"/>
    <s v="Desk Chair"/>
    <s v="Furniture"/>
    <n v="1"/>
    <n v="360.33"/>
    <n v="360.33"/>
    <n v="360.33"/>
    <n v="0"/>
    <s v="Austria"/>
    <x v="1"/>
  </r>
  <r>
    <n v="2024004858"/>
    <x v="115"/>
    <n v="2024"/>
    <x v="50"/>
    <s v="PROD_005"/>
    <s v="Standing Desk"/>
    <s v="Furniture"/>
    <n v="1"/>
    <n v="564.02"/>
    <n v="564.02"/>
    <n v="564.02"/>
    <n v="0"/>
    <s v="UK"/>
    <x v="3"/>
  </r>
  <r>
    <n v="2024004859"/>
    <x v="261"/>
    <n v="2024"/>
    <x v="219"/>
    <s v="PROD_001"/>
    <s v="Laptop Pro"/>
    <s v="Electronics"/>
    <n v="2"/>
    <n v="1244.97"/>
    <n v="2489.94"/>
    <n v="2489.94"/>
    <n v="0"/>
    <s v="Netherlands"/>
    <x v="3"/>
  </r>
  <r>
    <n v="2024004860"/>
    <x v="373"/>
    <n v="2023"/>
    <x v="37"/>
    <s v="PROD_003"/>
    <s v="USB-C Cable"/>
    <s v="Electronics"/>
    <n v="1"/>
    <n v="15.05"/>
    <n v="15.05"/>
    <n v="15.05"/>
    <n v="0"/>
    <s v="UK"/>
    <x v="3"/>
  </r>
  <r>
    <n v="2024004861"/>
    <x v="359"/>
    <n v="2024"/>
    <x v="240"/>
    <s v="PROD_003"/>
    <s v="USB-C Cable"/>
    <s v="Electronics"/>
    <n v="1"/>
    <n v="15.18"/>
    <n v="15.18"/>
    <n v="15.18"/>
    <n v="0"/>
    <s v="Italy"/>
    <x v="1"/>
  </r>
  <r>
    <n v="2024004862"/>
    <x v="68"/>
    <n v="2024"/>
    <x v="118"/>
    <s v="PROD_004"/>
    <s v="Desk Chair"/>
    <s v="Furniture"/>
    <n v="1"/>
    <n v="375.53"/>
    <n v="375.53"/>
    <n v="375.53"/>
    <n v="0"/>
    <s v="Italy"/>
    <x v="0"/>
  </r>
  <r>
    <n v="2024004863"/>
    <x v="189"/>
    <n v="2024"/>
    <x v="120"/>
    <s v="PROD_007"/>
    <s v="Keyboard Mechanical"/>
    <s v="Electronics"/>
    <n v="2"/>
    <n v="120.8"/>
    <n v="241.6"/>
    <n v="241.6"/>
    <n v="0"/>
    <s v="Netherlands"/>
    <x v="1"/>
  </r>
  <r>
    <n v="2024004864"/>
    <x v="111"/>
    <n v="2024"/>
    <x v="194"/>
    <s v="PROD_009"/>
    <s v="Phone Stand"/>
    <s v="Accessories"/>
    <n v="1"/>
    <n v="24.8"/>
    <n v="24.8"/>
    <n v="24.8"/>
    <n v="0"/>
    <s v="UK"/>
    <x v="0"/>
  </r>
  <r>
    <n v="2024004865"/>
    <x v="256"/>
    <n v="2024"/>
    <x v="197"/>
    <s v="PROD_008"/>
    <s v="Desk Lamp"/>
    <s v="Furniture"/>
    <n v="1"/>
    <n v="76.239999999999995"/>
    <n v="76.239999999999995"/>
    <n v="76.239999999999995"/>
    <n v="0"/>
    <s v="Austria"/>
    <x v="2"/>
  </r>
  <r>
    <n v="2024004866"/>
    <x v="78"/>
    <n v="2024"/>
    <x v="149"/>
    <s v="PROD_007"/>
    <s v="Keyboard Mechanical"/>
    <s v="Electronics"/>
    <n v="1"/>
    <n v="121.88"/>
    <n v="121.88"/>
    <n v="121.88"/>
    <n v="0"/>
    <s v="Sweden"/>
    <x v="2"/>
  </r>
  <r>
    <n v="2024004867"/>
    <x v="9"/>
    <n v="2024"/>
    <x v="0"/>
    <s v="PROD_008"/>
    <s v="Desk Lamp"/>
    <s v="Furniture"/>
    <n v="2"/>
    <n v="72.36"/>
    <n v="144.72"/>
    <n v="144.72"/>
    <n v="0"/>
    <s v="Switzerland"/>
    <x v="2"/>
  </r>
  <r>
    <n v="2024004868"/>
    <x v="23"/>
    <n v="2024"/>
    <x v="0"/>
    <s v="PROD_008"/>
    <s v="Desk Lamp"/>
    <s v="Furniture"/>
    <n v="4"/>
    <n v="86.89"/>
    <n v="347.56"/>
    <n v="347.56"/>
    <n v="0"/>
    <s v="France"/>
    <x v="3"/>
  </r>
  <r>
    <n v="2024004869"/>
    <x v="49"/>
    <n v="2024"/>
    <x v="0"/>
    <s v="PROD_009"/>
    <s v="Phone Stand"/>
    <s v="Accessories"/>
    <n v="2"/>
    <n v="22.64"/>
    <n v="45.28"/>
    <n v="45.28"/>
    <n v="0"/>
    <s v="Spain"/>
    <x v="1"/>
  </r>
  <r>
    <n v="2024004870"/>
    <x v="308"/>
    <n v="2024"/>
    <x v="51"/>
    <s v="PROD_005"/>
    <s v="Standing Desk"/>
    <s v="Furniture"/>
    <n v="2"/>
    <n v="620.55999999999995"/>
    <n v="1241.1199999999999"/>
    <n v="1241.1199999999999"/>
    <n v="0"/>
    <s v="Sweden"/>
    <x v="1"/>
  </r>
  <r>
    <n v="2024004871"/>
    <x v="6"/>
    <n v="2024"/>
    <x v="186"/>
    <s v="PROD_003"/>
    <s v="USB-C Cable"/>
    <s v="Electronics"/>
    <n v="1"/>
    <n v="14.47"/>
    <n v="14.47"/>
    <n v="14.47"/>
    <n v="0"/>
    <s v="Belgium"/>
    <x v="3"/>
  </r>
  <r>
    <n v="2024004872"/>
    <x v="254"/>
    <n v="2024"/>
    <x v="184"/>
    <s v="PROD_008"/>
    <s v="Desk Lamp"/>
    <s v="Furniture"/>
    <n v="1"/>
    <n v="80.75"/>
    <n v="80.75"/>
    <n v="80.75"/>
    <n v="0"/>
    <s v="France"/>
    <x v="3"/>
  </r>
  <r>
    <n v="2024004873"/>
    <x v="317"/>
    <n v="2024"/>
    <x v="158"/>
    <s v="PROD_003"/>
    <s v="USB-C Cable"/>
    <s v="Electronics"/>
    <n v="1"/>
    <n v="14.19"/>
    <n v="14.19"/>
    <n v="14.19"/>
    <n v="0"/>
    <s v="Netherlands"/>
    <x v="2"/>
  </r>
  <r>
    <n v="2024004874"/>
    <x v="283"/>
    <n v="2024"/>
    <x v="118"/>
    <s v="PROD_005"/>
    <s v="Standing Desk"/>
    <s v="Furniture"/>
    <n v="4"/>
    <n v="636.91"/>
    <n v="2547.64"/>
    <n v="2547.64"/>
    <n v="0"/>
    <s v="Italy"/>
    <x v="3"/>
  </r>
  <r>
    <n v="2024004875"/>
    <x v="138"/>
    <n v="2024"/>
    <x v="5"/>
    <s v="PROD_010"/>
    <s v="Webcam HD"/>
    <s v="Electronics"/>
    <n v="2"/>
    <n v="83.98"/>
    <n v="167.96"/>
    <n v="167.96"/>
    <n v="0"/>
    <s v="France"/>
    <x v="1"/>
  </r>
  <r>
    <n v="2024004876"/>
    <x v="33"/>
    <n v="2024"/>
    <x v="210"/>
    <s v="PROD_010"/>
    <s v="Webcam HD"/>
    <s v="Electronics"/>
    <n v="1"/>
    <n v="85.51"/>
    <n v="85.51"/>
    <n v="85.51"/>
    <n v="0"/>
    <s v="Italy"/>
    <x v="0"/>
  </r>
  <r>
    <n v="2024004877"/>
    <x v="329"/>
    <n v="2024"/>
    <x v="118"/>
    <s v="PROD_006"/>
    <s v="Monitor 27&quot;"/>
    <s v="Electronics"/>
    <n v="2"/>
    <n v="411.34"/>
    <n v="822.68"/>
    <n v="822.68"/>
    <n v="0"/>
    <s v="Switzerland"/>
    <x v="0"/>
  </r>
  <r>
    <n v="2024004878"/>
    <x v="101"/>
    <n v="2024"/>
    <x v="203"/>
    <s v="PROD_006"/>
    <s v="Monitor 27&quot;"/>
    <s v="Electronics"/>
    <n v="1"/>
    <n v="403.13"/>
    <n v="403.13"/>
    <n v="403.13"/>
    <n v="0"/>
    <s v="Italy"/>
    <x v="0"/>
  </r>
  <r>
    <n v="2024004879"/>
    <x v="207"/>
    <n v="2024"/>
    <x v="249"/>
    <s v="PROD_007"/>
    <s v="Keyboard Mechanical"/>
    <s v="Electronics"/>
    <n v="1"/>
    <n v="121.53"/>
    <n v="121.53"/>
    <n v="121.53"/>
    <n v="0"/>
    <s v="Austria"/>
    <x v="2"/>
  </r>
  <r>
    <n v="2024004880"/>
    <x v="229"/>
    <n v="2024"/>
    <x v="174"/>
    <s v="PROD_010"/>
    <s v="Webcam HD"/>
    <s v="Electronics"/>
    <n v="3"/>
    <n v="87.68"/>
    <n v="263.04000000000002"/>
    <n v="263.04000000000002"/>
    <n v="0"/>
    <s v="Italy"/>
    <x v="1"/>
  </r>
  <r>
    <n v="2024004881"/>
    <x v="33"/>
    <n v="2024"/>
    <x v="87"/>
    <s v="PROD_007"/>
    <s v="Keyboard Mechanical"/>
    <s v="Electronics"/>
    <n v="3"/>
    <n v="115.83"/>
    <n v="347.49"/>
    <n v="347.49"/>
    <n v="0"/>
    <s v="Germany"/>
    <x v="1"/>
  </r>
  <r>
    <n v="2024004882"/>
    <x v="157"/>
    <n v="2024"/>
    <x v="14"/>
    <s v="PROD_010"/>
    <s v="Webcam HD"/>
    <s v="Electronics"/>
    <n v="1"/>
    <n v="92.15"/>
    <n v="92.15"/>
    <n v="92.15"/>
    <n v="0"/>
    <s v="Switzerland"/>
    <x v="0"/>
  </r>
  <r>
    <n v="2024004883"/>
    <x v="278"/>
    <n v="2024"/>
    <x v="224"/>
    <s v="PROD_007"/>
    <s v="Keyboard Mechanical"/>
    <s v="Electronics"/>
    <n v="1"/>
    <n v="112.8"/>
    <n v="112.8"/>
    <n v="112.8"/>
    <n v="0"/>
    <s v="Austria"/>
    <x v="0"/>
  </r>
  <r>
    <n v="2024004884"/>
    <x v="184"/>
    <n v="2024"/>
    <x v="139"/>
    <s v="PROD_001"/>
    <s v="Laptop Pro"/>
    <s v="Electronics"/>
    <n v="2"/>
    <n v="1212.77"/>
    <n v="2425.54"/>
    <n v="2425.54"/>
    <n v="0"/>
    <s v="Spain"/>
    <x v="2"/>
  </r>
  <r>
    <n v="2024004885"/>
    <x v="16"/>
    <n v="2024"/>
    <x v="228"/>
    <s v="PROD_010"/>
    <s v="Webcam HD"/>
    <s v="Electronics"/>
    <n v="1"/>
    <n v="87.44"/>
    <n v="87.44"/>
    <n v="87.44"/>
    <n v="0"/>
    <s v="Sweden"/>
    <x v="0"/>
  </r>
  <r>
    <n v="2024004886"/>
    <x v="106"/>
    <n v="2024"/>
    <x v="250"/>
    <s v="PROD_006"/>
    <s v="Monitor 27&quot;"/>
    <s v="Electronics"/>
    <n v="1"/>
    <n v="393.47"/>
    <n v="393.47"/>
    <n v="393.47"/>
    <n v="0"/>
    <s v="Belgium"/>
    <x v="0"/>
  </r>
  <r>
    <n v="2024004887"/>
    <x v="236"/>
    <n v="2024"/>
    <x v="95"/>
    <s v="PROD_001"/>
    <s v="Laptop Pro"/>
    <s v="Electronics"/>
    <n v="3"/>
    <n v="1225.76"/>
    <n v="3677.28"/>
    <n v="3677.2799999999997"/>
    <n v="0"/>
    <s v="Austria"/>
    <x v="3"/>
  </r>
  <r>
    <n v="2024004888"/>
    <x v="302"/>
    <n v="2024"/>
    <x v="148"/>
    <s v="PROD_005"/>
    <s v="Standing Desk"/>
    <s v="Furniture"/>
    <n v="1"/>
    <n v="647.74"/>
    <n v="647.74"/>
    <n v="647.74"/>
    <n v="0"/>
    <s v="Netherlands"/>
    <x v="2"/>
  </r>
  <r>
    <n v="2024004889"/>
    <x v="67"/>
    <n v="2024"/>
    <x v="24"/>
    <s v="PROD_010"/>
    <s v="Webcam HD"/>
    <s v="Electronics"/>
    <n v="3"/>
    <n v="87.98"/>
    <n v="263.94"/>
    <n v="263.94"/>
    <n v="0"/>
    <s v="Italy"/>
    <x v="2"/>
  </r>
  <r>
    <n v="2024004890"/>
    <x v="115"/>
    <n v="2024"/>
    <x v="285"/>
    <s v="PROD_006"/>
    <s v="Monitor 27&quot;"/>
    <s v="Electronics"/>
    <n v="1"/>
    <n v="447.76"/>
    <n v="447.76"/>
    <n v="447.76"/>
    <n v="0"/>
    <s v="Spain"/>
    <x v="1"/>
  </r>
  <r>
    <n v="2024004891"/>
    <x v="288"/>
    <n v="2024"/>
    <x v="191"/>
    <s v="PROD_008"/>
    <s v="Desk Lamp"/>
    <s v="Furniture"/>
    <n v="2"/>
    <n v="78.87"/>
    <n v="157.74"/>
    <n v="157.74"/>
    <n v="0"/>
    <s v="Belgium"/>
    <x v="1"/>
  </r>
  <r>
    <n v="2024004892"/>
    <x v="323"/>
    <n v="2024"/>
    <x v="260"/>
    <s v="PROD_003"/>
    <s v="USB-C Cable"/>
    <s v="Electronics"/>
    <n v="1"/>
    <n v="14.81"/>
    <n v="14.81"/>
    <n v="14.81"/>
    <n v="0"/>
    <s v="Germany"/>
    <x v="3"/>
  </r>
  <r>
    <n v="2024004893"/>
    <x v="331"/>
    <n v="2024"/>
    <x v="144"/>
    <s v="PROD_007"/>
    <s v="Keyboard Mechanical"/>
    <s v="Electronics"/>
    <n v="1"/>
    <n v="131.37"/>
    <n v="131.37"/>
    <n v="131.37"/>
    <n v="0"/>
    <s v="Switzerland"/>
    <x v="0"/>
  </r>
  <r>
    <n v="2024004894"/>
    <x v="7"/>
    <n v="2024"/>
    <x v="105"/>
    <s v="PROD_004"/>
    <s v="Desk Chair"/>
    <s v="Furniture"/>
    <n v="5"/>
    <n v="353.1"/>
    <n v="1765.5"/>
    <n v="1765.5"/>
    <n v="0"/>
    <s v="Germany"/>
    <x v="2"/>
  </r>
  <r>
    <n v="2024004895"/>
    <x v="110"/>
    <n v="2024"/>
    <x v="262"/>
    <s v="PROD_008"/>
    <s v="Desk Lamp"/>
    <s v="Furniture"/>
    <n v="1"/>
    <n v="80"/>
    <n v="80"/>
    <n v="80"/>
    <n v="0"/>
    <s v="Sweden"/>
    <x v="3"/>
  </r>
  <r>
    <n v="2024004896"/>
    <x v="70"/>
    <n v="2024"/>
    <x v="113"/>
    <s v="PROD_008"/>
    <s v="Desk Lamp"/>
    <s v="Furniture"/>
    <n v="2"/>
    <n v="81.64"/>
    <n v="163.28"/>
    <n v="163.28"/>
    <n v="0"/>
    <s v="Spain"/>
    <x v="2"/>
  </r>
  <r>
    <n v="2024004897"/>
    <x v="132"/>
    <n v="2024"/>
    <x v="126"/>
    <s v="PROD_009"/>
    <s v="Phone Stand"/>
    <s v="Accessories"/>
    <n v="1"/>
    <n v="26.76"/>
    <n v="26.76"/>
    <n v="26.76"/>
    <n v="0"/>
    <s v="Switzerland"/>
    <x v="3"/>
  </r>
  <r>
    <n v="2024004898"/>
    <x v="142"/>
    <n v="2024"/>
    <x v="287"/>
    <s v="PROD_003"/>
    <s v="USB-C Cable"/>
    <s v="Electronics"/>
    <n v="3"/>
    <n v="15.49"/>
    <n v="46.47"/>
    <n v="46.47"/>
    <n v="0"/>
    <s v="UK"/>
    <x v="2"/>
  </r>
  <r>
    <n v="2024004899"/>
    <x v="202"/>
    <n v="2024"/>
    <x v="190"/>
    <s v="PROD_004"/>
    <s v="Desk Chair"/>
    <s v="Furniture"/>
    <n v="1"/>
    <n v="381.69"/>
    <n v="381.69"/>
    <n v="381.69"/>
    <n v="0"/>
    <s v="Austria"/>
    <x v="3"/>
  </r>
  <r>
    <n v="2024004900"/>
    <x v="211"/>
    <n v="2024"/>
    <x v="261"/>
    <s v="PROD_003"/>
    <s v="USB-C Cable"/>
    <s v="Electronics"/>
    <n v="2"/>
    <n v="14.58"/>
    <n v="29.16"/>
    <n v="29.16"/>
    <n v="0"/>
    <s v="France"/>
    <x v="1"/>
  </r>
  <r>
    <n v="2024004901"/>
    <x v="159"/>
    <n v="2024"/>
    <x v="208"/>
    <s v="PROD_010"/>
    <s v="Webcam HD"/>
    <s v="Electronics"/>
    <n v="3"/>
    <n v="87.08"/>
    <n v="261.24"/>
    <n v="261.24"/>
    <n v="0"/>
    <s v="France"/>
    <x v="3"/>
  </r>
  <r>
    <n v="2024004902"/>
    <x v="127"/>
    <n v="2024"/>
    <x v="0"/>
    <s v="PROD_004"/>
    <s v="Desk Chair"/>
    <s v="Furniture"/>
    <n v="1"/>
    <n v="375.75"/>
    <n v="375.75"/>
    <n v="375.75"/>
    <n v="0"/>
    <s v="Belgium"/>
    <x v="2"/>
  </r>
  <r>
    <n v="2024004903"/>
    <x v="228"/>
    <n v="2024"/>
    <x v="250"/>
    <s v="PROD_001"/>
    <s v="Laptop Pro"/>
    <s v="Electronics"/>
    <n v="2"/>
    <n v="1163.8499999999999"/>
    <n v="2327.6999999999998"/>
    <n v="2327.6999999999998"/>
    <n v="0"/>
    <s v="Italy"/>
    <x v="2"/>
  </r>
  <r>
    <n v="2024004904"/>
    <x v="353"/>
    <n v="2024"/>
    <x v="98"/>
    <s v="PROD_001"/>
    <s v="Laptop Pro"/>
    <s v="Electronics"/>
    <n v="2"/>
    <n v="1979.41"/>
    <n v="3958.82"/>
    <n v="3958.82"/>
    <n v="0"/>
    <s v="Belgium"/>
    <x v="0"/>
  </r>
  <r>
    <n v="2024004905"/>
    <x v="275"/>
    <n v="2024"/>
    <x v="124"/>
    <s v="PROD_006"/>
    <s v="Monitor 27&quot;"/>
    <s v="Electronics"/>
    <n v="3"/>
    <n v="450.57"/>
    <n v="1351.71"/>
    <n v="1351.71"/>
    <n v="0"/>
    <s v="UK"/>
    <x v="1"/>
  </r>
  <r>
    <n v="2024004906"/>
    <x v="227"/>
    <n v="2024"/>
    <x v="0"/>
    <s v="PROD_003"/>
    <s v="USB-C Cable"/>
    <s v="Electronics"/>
    <n v="1"/>
    <n v="14.47"/>
    <n v="14.47"/>
    <n v="14.47"/>
    <n v="0"/>
    <s v="Italy"/>
    <x v="3"/>
  </r>
  <r>
    <n v="2024004907"/>
    <x v="365"/>
    <n v="2024"/>
    <x v="67"/>
    <s v="PROD_003"/>
    <s v="USB-C Cable"/>
    <s v="Electronics"/>
    <n v="2"/>
    <n v="14.74"/>
    <n v="29.48"/>
    <n v="29.48"/>
    <n v="0"/>
    <s v="Spain"/>
    <x v="3"/>
  </r>
  <r>
    <n v="2024004908"/>
    <x v="180"/>
    <n v="2024"/>
    <x v="265"/>
    <s v="PROD_002"/>
    <s v="Wireless Mouse"/>
    <s v="Electronics"/>
    <n v="3"/>
    <n v="43.92"/>
    <n v="131.76"/>
    <n v="131.76"/>
    <n v="0"/>
    <s v="Germany"/>
    <x v="3"/>
  </r>
  <r>
    <n v="2024004909"/>
    <x v="355"/>
    <n v="2024"/>
    <x v="243"/>
    <s v="PROD_007"/>
    <s v="Keyboard Mechanical"/>
    <s v="Electronics"/>
    <n v="2"/>
    <n v="113.83"/>
    <n v="227.66"/>
    <n v="227.66"/>
    <n v="0"/>
    <s v="Netherlands"/>
    <x v="3"/>
  </r>
  <r>
    <n v="2024004910"/>
    <x v="177"/>
    <n v="2024"/>
    <x v="94"/>
    <s v="PROD_005"/>
    <s v="Standing Desk"/>
    <s v="Furniture"/>
    <n v="2"/>
    <n v="628.61"/>
    <n v="1257.22"/>
    <n v="1257.22"/>
    <n v="0"/>
    <s v="Austria"/>
    <x v="3"/>
  </r>
  <r>
    <n v="2024004911"/>
    <x v="74"/>
    <n v="2024"/>
    <x v="74"/>
    <s v="PROD_007"/>
    <s v="Keyboard Mechanical"/>
    <s v="Electronics"/>
    <n v="3"/>
    <n v="108.68"/>
    <n v="326.04000000000002"/>
    <n v="326.04000000000002"/>
    <n v="0"/>
    <s v="Belgium"/>
    <x v="1"/>
  </r>
  <r>
    <n v="2024004912"/>
    <x v="59"/>
    <n v="2024"/>
    <x v="289"/>
    <s v="PROD_008"/>
    <s v="Desk Lamp"/>
    <s v="Furniture"/>
    <n v="1"/>
    <n v="79.61"/>
    <n v="79.61"/>
    <n v="79.61"/>
    <n v="0"/>
    <s v="Sweden"/>
    <x v="2"/>
  </r>
  <r>
    <n v="2024004913"/>
    <x v="276"/>
    <n v="2024"/>
    <x v="0"/>
    <s v="PROD_007"/>
    <s v="Keyboard Mechanical"/>
    <s v="Electronics"/>
    <n v="1"/>
    <n v="112.61"/>
    <n v="112.61"/>
    <n v="112.61"/>
    <n v="0"/>
    <s v="Italy"/>
    <x v="3"/>
  </r>
  <r>
    <n v="2024004914"/>
    <x v="115"/>
    <n v="2024"/>
    <x v="106"/>
    <s v="PROD_009"/>
    <s v="Phone Stand"/>
    <s v="Accessories"/>
    <n v="1"/>
    <n v="26.9"/>
    <n v="26.9"/>
    <n v="26.9"/>
    <n v="0"/>
    <s v="Italy"/>
    <x v="0"/>
  </r>
  <r>
    <n v="2024004915"/>
    <x v="214"/>
    <n v="2024"/>
    <x v="246"/>
    <s v="PROD_002"/>
    <s v="Wireless Mouse"/>
    <s v="Electronics"/>
    <n v="1"/>
    <n v="42.6"/>
    <n v="42.6"/>
    <n v="42.6"/>
    <n v="0"/>
    <s v="Spain"/>
    <x v="2"/>
  </r>
  <r>
    <n v="2024004916"/>
    <x v="185"/>
    <n v="2024"/>
    <x v="186"/>
    <s v="PROD_007"/>
    <s v="Keyboard Mechanical"/>
    <s v="Electronics"/>
    <n v="2"/>
    <n v="116.88"/>
    <n v="233.76"/>
    <n v="233.76"/>
    <n v="0"/>
    <s v="Switzerland"/>
    <x v="1"/>
  </r>
  <r>
    <n v="2024004917"/>
    <x v="265"/>
    <n v="2024"/>
    <x v="54"/>
    <s v="PROD_004"/>
    <s v="Desk Chair"/>
    <s v="Furniture"/>
    <n v="1"/>
    <n v="351.38"/>
    <n v="351.38"/>
    <n v="351.38"/>
    <n v="0"/>
    <s v="Spain"/>
    <x v="0"/>
  </r>
  <r>
    <n v="2024004918"/>
    <x v="34"/>
    <n v="2024"/>
    <x v="108"/>
    <s v="PROD_007"/>
    <s v="Keyboard Mechanical"/>
    <s v="Electronics"/>
    <n v="2"/>
    <n v="117.08"/>
    <n v="234.16"/>
    <n v="234.16"/>
    <n v="0"/>
    <s v="Germany"/>
    <x v="2"/>
  </r>
  <r>
    <n v="2024004919"/>
    <x v="103"/>
    <n v="2024"/>
    <x v="164"/>
    <s v="PROD_007"/>
    <s v="Keyboard Mechanical"/>
    <s v="Electronics"/>
    <n v="2"/>
    <n v="126.2"/>
    <n v="252.4"/>
    <n v="252.4"/>
    <n v="0"/>
    <s v="Netherlands"/>
    <x v="1"/>
  </r>
  <r>
    <n v="2024004920"/>
    <x v="230"/>
    <n v="2024"/>
    <x v="0"/>
    <s v="PROD_010"/>
    <s v="Webcam HD"/>
    <s v="Electronics"/>
    <n v="2"/>
    <n v="91.72"/>
    <n v="183.44"/>
    <n v="183.44"/>
    <n v="0"/>
    <s v="France"/>
    <x v="0"/>
  </r>
  <r>
    <n v="2024004921"/>
    <x v="207"/>
    <n v="2024"/>
    <x v="147"/>
    <s v="PROD_009"/>
    <s v="Phone Stand"/>
    <s v="Accessories"/>
    <n v="1"/>
    <n v="26.03"/>
    <n v="26.03"/>
    <n v="26.03"/>
    <n v="0"/>
    <s v="Netherlands"/>
    <x v="2"/>
  </r>
  <r>
    <n v="2024004922"/>
    <x v="7"/>
    <n v="2024"/>
    <x v="16"/>
    <s v="PROD_004"/>
    <s v="Desk Chair"/>
    <s v="Furniture"/>
    <n v="3"/>
    <n v="368.44"/>
    <n v="1105.32"/>
    <n v="1105.32"/>
    <n v="0"/>
    <s v="Italy"/>
    <x v="1"/>
  </r>
  <r>
    <n v="2024004923"/>
    <x v="162"/>
    <n v="2024"/>
    <x v="175"/>
    <s v="PROD_007"/>
    <s v="Keyboard Mechanical"/>
    <s v="Electronics"/>
    <n v="1"/>
    <n v="124.96"/>
    <n v="124.96"/>
    <n v="124.96"/>
    <n v="0"/>
    <s v="Germany"/>
    <x v="2"/>
  </r>
  <r>
    <n v="2024004924"/>
    <x v="295"/>
    <n v="2024"/>
    <x v="18"/>
    <s v="PROD_010"/>
    <s v="Webcam HD"/>
    <s v="Electronics"/>
    <n v="2"/>
    <n v="90.36"/>
    <n v="180.72"/>
    <n v="180.72"/>
    <n v="0"/>
    <s v="Germany"/>
    <x v="1"/>
  </r>
  <r>
    <n v="2024004925"/>
    <x v="196"/>
    <n v="2024"/>
    <x v="223"/>
    <s v="PROD_008"/>
    <s v="Desk Lamp"/>
    <s v="Furniture"/>
    <n v="1"/>
    <n v="88.16"/>
    <n v="88.16"/>
    <n v="88.16"/>
    <n v="0"/>
    <s v="Switzerland"/>
    <x v="3"/>
  </r>
  <r>
    <n v="2024004926"/>
    <x v="203"/>
    <n v="2024"/>
    <x v="78"/>
    <s v="PROD_006"/>
    <s v="Monitor 27&quot;"/>
    <s v="Electronics"/>
    <n v="1"/>
    <n v="407.96"/>
    <n v="407.96"/>
    <n v="407.96"/>
    <n v="0"/>
    <s v="UK"/>
    <x v="2"/>
  </r>
  <r>
    <n v="2024004927"/>
    <x v="120"/>
    <n v="2024"/>
    <x v="41"/>
    <s v="PROD_004"/>
    <s v="Desk Chair"/>
    <s v="Furniture"/>
    <n v="1"/>
    <n v="353.24"/>
    <n v="353.24"/>
    <n v="353.24"/>
    <n v="0"/>
    <s v="Spain"/>
    <x v="1"/>
  </r>
  <r>
    <n v="2024004928"/>
    <x v="210"/>
    <n v="2024"/>
    <x v="0"/>
    <s v="PROD_010"/>
    <s v="Webcam HD"/>
    <s v="Electronics"/>
    <n v="1"/>
    <n v="91.95"/>
    <n v="91.95"/>
    <n v="91.95"/>
    <n v="0"/>
    <s v="France"/>
    <x v="2"/>
  </r>
  <r>
    <n v="2024004929"/>
    <x v="269"/>
    <n v="2024"/>
    <x v="212"/>
    <s v="PROD_002"/>
    <s v="Wireless Mouse"/>
    <s v="Electronics"/>
    <n v="2"/>
    <n v="45.3"/>
    <n v="90.6"/>
    <n v="90.6"/>
    <n v="0"/>
    <s v="Netherlands"/>
    <x v="1"/>
  </r>
  <r>
    <n v="2024004930"/>
    <x v="25"/>
    <n v="2024"/>
    <x v="277"/>
    <s v="PROD_001"/>
    <s v="Laptop Pro"/>
    <s v="Electronics"/>
    <n v="2"/>
    <n v="1146.2"/>
    <n v="2292.4"/>
    <n v="2292.4"/>
    <n v="0"/>
    <s v="Spain"/>
    <x v="0"/>
  </r>
  <r>
    <n v="2024004931"/>
    <x v="343"/>
    <n v="2024"/>
    <x v="155"/>
    <s v="PROD_009"/>
    <s v="Phone Stand"/>
    <s v="Accessories"/>
    <n v="4"/>
    <n v="24.85"/>
    <n v="99.4"/>
    <n v="99.4"/>
    <n v="0"/>
    <s v="France"/>
    <x v="3"/>
  </r>
  <r>
    <n v="2024004932"/>
    <x v="32"/>
    <n v="2024"/>
    <x v="0"/>
    <s v="PROD_003"/>
    <s v="USB-C Cable"/>
    <s v="Electronics"/>
    <n v="1"/>
    <n v="14.82"/>
    <n v="14.82"/>
    <n v="14.82"/>
    <n v="0"/>
    <s v="Belgium"/>
    <x v="1"/>
  </r>
  <r>
    <n v="2024004933"/>
    <x v="150"/>
    <n v="2024"/>
    <x v="73"/>
    <s v="PROD_008"/>
    <s v="Desk Lamp"/>
    <s v="Furniture"/>
    <n v="2"/>
    <n v="85.62"/>
    <n v="171.24"/>
    <n v="171.24"/>
    <n v="0"/>
    <s v="Italy"/>
    <x v="3"/>
  </r>
  <r>
    <n v="2024004934"/>
    <x v="74"/>
    <n v="2024"/>
    <x v="25"/>
    <s v="PROD_001"/>
    <s v="Laptop Pro"/>
    <s v="Electronics"/>
    <n v="1"/>
    <n v="1181.03"/>
    <n v="1181.03"/>
    <n v="1181.03"/>
    <n v="0"/>
    <s v="Switzerland"/>
    <x v="3"/>
  </r>
  <r>
    <n v="2024004935"/>
    <x v="357"/>
    <n v="2024"/>
    <x v="273"/>
    <s v="PROD_001"/>
    <s v="Laptop Pro"/>
    <s v="Electronics"/>
    <n v="5"/>
    <n v="1202.51"/>
    <n v="6012.55"/>
    <n v="6012.55"/>
    <n v="0"/>
    <s v="Austria"/>
    <x v="2"/>
  </r>
  <r>
    <n v="2024004936"/>
    <x v="80"/>
    <n v="2024"/>
    <x v="105"/>
    <s v="PROD_009"/>
    <s v="Phone Stand"/>
    <s v="Accessories"/>
    <n v="2"/>
    <n v="24.39"/>
    <n v="48.78"/>
    <n v="48.78"/>
    <n v="0"/>
    <s v="Netherlands"/>
    <x v="2"/>
  </r>
  <r>
    <n v="2024004937"/>
    <x v="259"/>
    <n v="2024"/>
    <x v="216"/>
    <s v="PROD_009"/>
    <s v="Phone Stand"/>
    <s v="Accessories"/>
    <n v="1"/>
    <n v="26.68"/>
    <n v="26.68"/>
    <n v="26.68"/>
    <n v="0"/>
    <s v="Sweden"/>
    <x v="1"/>
  </r>
  <r>
    <n v="2024004938"/>
    <x v="145"/>
    <n v="2024"/>
    <x v="299"/>
    <s v="PROD_001"/>
    <s v="Laptop Pro"/>
    <s v="Electronics"/>
    <n v="2"/>
    <n v="1240.08"/>
    <n v="2480.16"/>
    <n v="2480.16"/>
    <n v="0"/>
    <s v="Sweden"/>
    <x v="2"/>
  </r>
  <r>
    <n v="2024004939"/>
    <x v="95"/>
    <n v="2024"/>
    <x v="0"/>
    <s v="PROD_006"/>
    <s v="Monitor 27&quot;"/>
    <s v="Electronics"/>
    <n v="1"/>
    <n v="390.8"/>
    <n v="390.8"/>
    <n v="390.8"/>
    <n v="0"/>
    <s v="Spain"/>
    <x v="0"/>
  </r>
  <r>
    <n v="2024004940"/>
    <x v="205"/>
    <n v="2024"/>
    <x v="61"/>
    <s v="PROD_002"/>
    <s v="Wireless Mouse"/>
    <s v="Electronics"/>
    <n v="3"/>
    <n v="51.3"/>
    <n v="153.9"/>
    <n v="153.89999999999998"/>
    <n v="0"/>
    <s v="Belgium"/>
    <x v="1"/>
  </r>
  <r>
    <n v="2024004941"/>
    <x v="320"/>
    <n v="2024"/>
    <x v="295"/>
    <s v="PROD_005"/>
    <s v="Standing Desk"/>
    <s v="Furniture"/>
    <n v="1"/>
    <n v="622.82000000000005"/>
    <n v="622.82000000000005"/>
    <n v="622.82000000000005"/>
    <n v="0"/>
    <s v="Austria"/>
    <x v="3"/>
  </r>
  <r>
    <n v="2024004942"/>
    <x v="309"/>
    <n v="2024"/>
    <x v="0"/>
    <s v="PROD_007"/>
    <s v="Keyboard Mechanical"/>
    <s v="Electronics"/>
    <n v="2"/>
    <n v="128.43"/>
    <n v="256.86"/>
    <n v="256.86"/>
    <n v="0"/>
    <s v="Italy"/>
    <x v="2"/>
  </r>
  <r>
    <n v="2024004943"/>
    <x v="137"/>
    <n v="2024"/>
    <x v="280"/>
    <s v="PROD_008"/>
    <s v="Desk Lamp"/>
    <s v="Furniture"/>
    <n v="2"/>
    <n v="75.349999999999994"/>
    <n v="150.69999999999999"/>
    <n v="150.69999999999999"/>
    <n v="0"/>
    <s v="Germany"/>
    <x v="2"/>
  </r>
  <r>
    <n v="2024004944"/>
    <x v="156"/>
    <n v="2024"/>
    <x v="38"/>
    <s v="PROD_009"/>
    <s v="Phone Stand"/>
    <s v="Accessories"/>
    <n v="2"/>
    <n v="26.37"/>
    <n v="52.74"/>
    <n v="52.74"/>
    <n v="0"/>
    <s v="UK"/>
    <x v="3"/>
  </r>
  <r>
    <n v="2024004945"/>
    <x v="225"/>
    <n v="2024"/>
    <x v="126"/>
    <s v="PROD_001"/>
    <s v="Laptop Pro"/>
    <s v="Electronics"/>
    <n v="4"/>
    <n v="1267.97"/>
    <n v="5071.88"/>
    <n v="5071.88"/>
    <n v="0"/>
    <s v="Netherlands"/>
    <x v="1"/>
  </r>
  <r>
    <n v="2024004946"/>
    <x v="30"/>
    <n v="2024"/>
    <x v="0"/>
    <s v="PROD_002"/>
    <s v="Wireless Mouse"/>
    <s v="Electronics"/>
    <n v="1"/>
    <n v="45.79"/>
    <n v="45.79"/>
    <n v="45.79"/>
    <n v="0"/>
    <s v="Sweden"/>
    <x v="3"/>
  </r>
  <r>
    <n v="2024004947"/>
    <x v="155"/>
    <n v="2024"/>
    <x v="14"/>
    <s v="PROD_008"/>
    <s v="Desk Lamp"/>
    <s v="Furniture"/>
    <n v="5"/>
    <n v="82.6"/>
    <n v="413"/>
    <n v="413"/>
    <n v="0"/>
    <s v="UK"/>
    <x v="3"/>
  </r>
  <r>
    <n v="2024004948"/>
    <x v="195"/>
    <n v="2024"/>
    <x v="234"/>
    <s v="PROD_006"/>
    <s v="Monitor 27&quot;"/>
    <s v="Electronics"/>
    <n v="4"/>
    <n v="400.26"/>
    <n v="1601.04"/>
    <n v="1601.04"/>
    <n v="0"/>
    <s v="France"/>
    <x v="3"/>
  </r>
  <r>
    <n v="2024004949"/>
    <x v="150"/>
    <n v="2024"/>
    <x v="148"/>
    <s v="PROD_001"/>
    <s v="Laptop Pro"/>
    <s v="Electronics"/>
    <n v="3"/>
    <n v="1224.26"/>
    <n v="3672.78"/>
    <n v="3672.7799999999997"/>
    <n v="0"/>
    <s v="Spain"/>
    <x v="1"/>
  </r>
  <r>
    <n v="2024004950"/>
    <x v="71"/>
    <n v="2024"/>
    <x v="198"/>
    <s v="PROD_005"/>
    <s v="Standing Desk"/>
    <s v="Furniture"/>
    <n v="1"/>
    <n v="633.79999999999995"/>
    <n v="633.79999999999995"/>
    <n v="633.79999999999995"/>
    <n v="0"/>
    <s v="Italy"/>
    <x v="0"/>
  </r>
  <r>
    <n v="2024004951"/>
    <x v="194"/>
    <n v="2024"/>
    <x v="18"/>
    <s v="PROD_004"/>
    <s v="Desk Chair"/>
    <s v="Furniture"/>
    <n v="1"/>
    <n v="338.75"/>
    <n v="338.75"/>
    <n v="338.75"/>
    <n v="0"/>
    <s v="Italy"/>
    <x v="0"/>
  </r>
  <r>
    <n v="2024004952"/>
    <x v="85"/>
    <n v="2024"/>
    <x v="216"/>
    <s v="PROD_003"/>
    <s v="USB-C Cable"/>
    <s v="Electronics"/>
    <n v="1"/>
    <n v="14.2"/>
    <n v="14.2"/>
    <n v="14.2"/>
    <n v="0"/>
    <s v="Italy"/>
    <x v="2"/>
  </r>
  <r>
    <n v="2024004953"/>
    <x v="271"/>
    <n v="2024"/>
    <x v="297"/>
    <s v="PROD_010"/>
    <s v="Webcam HD"/>
    <s v="Electronics"/>
    <n v="1"/>
    <n v="84.73"/>
    <n v="84.73"/>
    <n v="84.73"/>
    <n v="0"/>
    <s v="Sweden"/>
    <x v="0"/>
  </r>
  <r>
    <n v="2024004954"/>
    <x v="38"/>
    <n v="2024"/>
    <x v="5"/>
    <s v="PROD_003"/>
    <s v="USB-C Cable"/>
    <s v="Electronics"/>
    <n v="1"/>
    <n v="13.68"/>
    <n v="13.68"/>
    <n v="13.68"/>
    <n v="0"/>
    <s v="Germany"/>
    <x v="3"/>
  </r>
  <r>
    <n v="2024004955"/>
    <x v="286"/>
    <n v="2024"/>
    <x v="289"/>
    <s v="PROD_004"/>
    <s v="Desk Chair"/>
    <s v="Furniture"/>
    <n v="1"/>
    <n v="363.34"/>
    <n v="363.34"/>
    <n v="363.34"/>
    <n v="0"/>
    <s v="Switzerland"/>
    <x v="3"/>
  </r>
  <r>
    <n v="2024004956"/>
    <x v="251"/>
    <n v="2024"/>
    <x v="0"/>
    <s v="PROD_008"/>
    <s v="Desk Lamp"/>
    <s v="Furniture"/>
    <n v="3"/>
    <n v="74.25"/>
    <n v="222.75"/>
    <n v="222.75"/>
    <n v="0"/>
    <s v="Switzerland"/>
    <x v="1"/>
  </r>
  <r>
    <n v="2024004957"/>
    <x v="2"/>
    <n v="2024"/>
    <x v="66"/>
    <s v="PROD_005"/>
    <s v="Standing Desk"/>
    <s v="Furniture"/>
    <n v="1"/>
    <n v="582.55999999999995"/>
    <n v="582.55999999999995"/>
    <n v="582.55999999999995"/>
    <n v="0"/>
    <s v="Sweden"/>
    <x v="2"/>
  </r>
  <r>
    <n v="2024004958"/>
    <x v="298"/>
    <n v="2024"/>
    <x v="98"/>
    <s v="PROD_008"/>
    <s v="Desk Lamp"/>
    <s v="Furniture"/>
    <n v="2"/>
    <n v="74.739999999999995"/>
    <n v="149.47999999999999"/>
    <n v="149.47999999999999"/>
    <n v="0"/>
    <s v="Switzerland"/>
    <x v="0"/>
  </r>
  <r>
    <n v="2024004959"/>
    <x v="298"/>
    <n v="2024"/>
    <x v="288"/>
    <s v="PROD_006"/>
    <s v="Monitor 27&quot;"/>
    <s v="Electronics"/>
    <n v="1"/>
    <n v="380.56"/>
    <n v="380.56"/>
    <n v="380.56"/>
    <n v="0"/>
    <s v="Austria"/>
    <x v="2"/>
  </r>
  <r>
    <n v="2024004960"/>
    <x v="122"/>
    <n v="2024"/>
    <x v="207"/>
    <s v="PROD_008"/>
    <s v="Desk Lamp"/>
    <s v="Furniture"/>
    <n v="1"/>
    <n v="81.83"/>
    <n v="81.83"/>
    <n v="81.83"/>
    <n v="0"/>
    <s v="Germany"/>
    <x v="2"/>
  </r>
  <r>
    <n v="2024004961"/>
    <x v="332"/>
    <n v="2024"/>
    <x v="0"/>
    <s v="PROD_009"/>
    <s v="Phone Stand"/>
    <s v="Accessories"/>
    <n v="3"/>
    <n v="26.46"/>
    <n v="79.38"/>
    <n v="79.38"/>
    <n v="0"/>
    <s v="Netherlands"/>
    <x v="1"/>
  </r>
  <r>
    <n v="2024004962"/>
    <x v="242"/>
    <n v="2024"/>
    <x v="239"/>
    <s v="PROD_005"/>
    <s v="Standing Desk"/>
    <s v="Furniture"/>
    <n v="5"/>
    <n v="581.49"/>
    <n v="2907.45"/>
    <n v="2907.45"/>
    <n v="0"/>
    <s v="Switzerland"/>
    <x v="3"/>
  </r>
  <r>
    <n v="2024004963"/>
    <x v="215"/>
    <n v="2024"/>
    <x v="278"/>
    <s v="PROD_010"/>
    <s v="Webcam HD"/>
    <s v="Electronics"/>
    <n v="3"/>
    <n v="93.81"/>
    <n v="281.43"/>
    <n v="281.43"/>
    <n v="0"/>
    <s v="Netherlands"/>
    <x v="2"/>
  </r>
  <r>
    <n v="2024004964"/>
    <x v="235"/>
    <n v="2024"/>
    <x v="187"/>
    <s v="PROD_003"/>
    <s v="USB-C Cable"/>
    <s v="Electronics"/>
    <n v="1"/>
    <n v="15.91"/>
    <n v="15.91"/>
    <n v="15.91"/>
    <n v="0"/>
    <s v="Germany"/>
    <x v="3"/>
  </r>
  <r>
    <n v="2024004965"/>
    <x v="16"/>
    <n v="2024"/>
    <x v="54"/>
    <s v="PROD_004"/>
    <s v="Desk Chair"/>
    <s v="Furniture"/>
    <n v="1"/>
    <n v="343.46"/>
    <n v="343.46"/>
    <n v="343.46"/>
    <n v="0"/>
    <s v="Netherlands"/>
    <x v="2"/>
  </r>
  <r>
    <n v="2024004966"/>
    <x v="181"/>
    <n v="2024"/>
    <x v="186"/>
    <s v="PROD_009"/>
    <s v="Phone Stand"/>
    <s v="Accessories"/>
    <n v="1"/>
    <n v="23.46"/>
    <n v="23.46"/>
    <n v="23.46"/>
    <n v="0"/>
    <s v="UK"/>
    <x v="3"/>
  </r>
  <r>
    <n v="2024004967"/>
    <x v="113"/>
    <n v="2024"/>
    <x v="291"/>
    <s v="PROD_006"/>
    <s v="Monitor 27&quot;"/>
    <s v="Electronics"/>
    <n v="1"/>
    <n v="437.01"/>
    <n v="437.01"/>
    <n v="437.01"/>
    <n v="0"/>
    <s v="UK"/>
    <x v="2"/>
  </r>
  <r>
    <n v="2024004968"/>
    <x v="43"/>
    <n v="2024"/>
    <x v="18"/>
    <s v="PROD_004"/>
    <s v="Desk Chair"/>
    <s v="Furniture"/>
    <n v="3"/>
    <n v="341.48"/>
    <n v="1024.44"/>
    <n v="1024.44"/>
    <n v="0"/>
    <s v="UK"/>
    <x v="2"/>
  </r>
  <r>
    <n v="2024004969"/>
    <x v="9"/>
    <n v="2024"/>
    <x v="111"/>
    <s v="PROD_006"/>
    <s v="Monitor 27&quot;"/>
    <s v="Electronics"/>
    <n v="2"/>
    <n v="386.62"/>
    <n v="773.24"/>
    <n v="773.24"/>
    <n v="0"/>
    <s v="Netherlands"/>
    <x v="1"/>
  </r>
  <r>
    <n v="2024004970"/>
    <x v="357"/>
    <n v="2024"/>
    <x v="183"/>
    <s v="PROD_010"/>
    <s v="Webcam HD"/>
    <s v="Electronics"/>
    <n v="1"/>
    <n v="92.05"/>
    <n v="92.05"/>
    <n v="92.05"/>
    <n v="0"/>
    <s v="Austria"/>
    <x v="2"/>
  </r>
  <r>
    <n v="2024004971"/>
    <x v="314"/>
    <n v="2024"/>
    <x v="14"/>
    <s v="PROD_004"/>
    <s v="Desk Chair"/>
    <s v="Furniture"/>
    <n v="2"/>
    <n v="347.07"/>
    <n v="694.14"/>
    <n v="694.14"/>
    <n v="0"/>
    <s v="Italy"/>
    <x v="1"/>
  </r>
  <r>
    <n v="2024004972"/>
    <x v="37"/>
    <n v="2024"/>
    <x v="186"/>
    <s v="PROD_009"/>
    <s v="Phone Stand"/>
    <s v="Accessories"/>
    <n v="1"/>
    <n v="25.98"/>
    <n v="25.98"/>
    <n v="25.98"/>
    <n v="0"/>
    <s v="Italy"/>
    <x v="1"/>
  </r>
  <r>
    <n v="2024004973"/>
    <x v="129"/>
    <n v="2024"/>
    <x v="279"/>
    <s v="PROD_005"/>
    <s v="Standing Desk"/>
    <s v="Furniture"/>
    <n v="1"/>
    <n v="620.5"/>
    <n v="620.5"/>
    <n v="620.5"/>
    <n v="0"/>
    <s v="Austria"/>
    <x v="2"/>
  </r>
  <r>
    <n v="2024004974"/>
    <x v="114"/>
    <n v="2024"/>
    <x v="80"/>
    <s v="PROD_006"/>
    <s v="Monitor 27&quot;"/>
    <s v="Electronics"/>
    <n v="3"/>
    <n v="422.84"/>
    <n v="1268.52"/>
    <n v="1268.52"/>
    <n v="0"/>
    <s v="Sweden"/>
    <x v="2"/>
  </r>
  <r>
    <n v="2024004975"/>
    <x v="268"/>
    <n v="2024"/>
    <x v="221"/>
    <s v="PROD_002"/>
    <s v="Wireless Mouse"/>
    <s v="Electronics"/>
    <n v="1"/>
    <n v="44.66"/>
    <n v="44.66"/>
    <n v="44.66"/>
    <n v="0"/>
    <s v="Sweden"/>
    <x v="3"/>
  </r>
  <r>
    <n v="2024004976"/>
    <x v="222"/>
    <n v="2024"/>
    <x v="158"/>
    <s v="PROD_003"/>
    <s v="USB-C Cable"/>
    <s v="Electronics"/>
    <n v="1"/>
    <n v="15.11"/>
    <n v="15.11"/>
    <n v="15.11"/>
    <n v="0"/>
    <s v="Spain"/>
    <x v="1"/>
  </r>
  <r>
    <n v="2024004977"/>
    <x v="338"/>
    <n v="2024"/>
    <x v="72"/>
    <s v="PROD_002"/>
    <s v="Wireless Mouse"/>
    <s v="Electronics"/>
    <n v="2"/>
    <n v="46.96"/>
    <n v="93.92"/>
    <n v="93.92"/>
    <n v="0"/>
    <s v="Switzerland"/>
    <x v="1"/>
  </r>
  <r>
    <n v="2024004978"/>
    <x v="70"/>
    <n v="2024"/>
    <x v="194"/>
    <s v="PROD_010"/>
    <s v="Webcam HD"/>
    <s v="Electronics"/>
    <n v="1"/>
    <n v="93.26"/>
    <n v="93.26"/>
    <n v="93.26"/>
    <n v="0"/>
    <s v="France"/>
    <x v="2"/>
  </r>
  <r>
    <n v="2024004979"/>
    <x v="2"/>
    <n v="2024"/>
    <x v="190"/>
    <s v="PROD_006"/>
    <s v="Monitor 27&quot;"/>
    <s v="Electronics"/>
    <n v="3"/>
    <n v="407.87"/>
    <n v="1223.6099999999999"/>
    <n v="1223.6100000000001"/>
    <n v="0"/>
    <s v="Italy"/>
    <x v="2"/>
  </r>
  <r>
    <n v="2024004980"/>
    <x v="318"/>
    <n v="2024"/>
    <x v="94"/>
    <s v="PROD_003"/>
    <s v="USB-C Cable"/>
    <s v="Electronics"/>
    <n v="2"/>
    <n v="14.82"/>
    <n v="29.64"/>
    <n v="29.64"/>
    <n v="0"/>
    <s v="Sweden"/>
    <x v="0"/>
  </r>
  <r>
    <n v="2024004981"/>
    <x v="180"/>
    <n v="2024"/>
    <x v="0"/>
    <s v="PROD_008"/>
    <s v="Desk Lamp"/>
    <s v="Furniture"/>
    <n v="3"/>
    <n v="77.23"/>
    <n v="231.69"/>
    <n v="231.69"/>
    <n v="0"/>
    <s v="Austria"/>
    <x v="1"/>
  </r>
  <r>
    <n v="2024004982"/>
    <x v="332"/>
    <n v="2024"/>
    <x v="169"/>
    <s v="PROD_004"/>
    <s v="Desk Chair"/>
    <s v="Furniture"/>
    <n v="1"/>
    <n v="347.05"/>
    <n v="347.05"/>
    <n v="347.05"/>
    <n v="0"/>
    <s v="Germany"/>
    <x v="1"/>
  </r>
  <r>
    <n v="2024004983"/>
    <x v="124"/>
    <n v="2024"/>
    <x v="0"/>
    <s v="PROD_007"/>
    <s v="Keyboard Mechanical"/>
    <s v="Electronics"/>
    <n v="1"/>
    <n v="139.6"/>
    <n v="139.6"/>
    <n v="139.6"/>
    <n v="0"/>
    <s v="Switzerland"/>
    <x v="1"/>
  </r>
  <r>
    <n v="2024004984"/>
    <x v="6"/>
    <n v="2024"/>
    <x v="159"/>
    <s v="PROD_007"/>
    <s v="Keyboard Mechanical"/>
    <s v="Electronics"/>
    <n v="1"/>
    <n v="118.27"/>
    <n v="118.27"/>
    <n v="118.27"/>
    <n v="0"/>
    <s v="UK"/>
    <x v="3"/>
  </r>
  <r>
    <n v="2024004985"/>
    <x v="312"/>
    <n v="2024"/>
    <x v="226"/>
    <s v="PROD_008"/>
    <s v="Desk Lamp"/>
    <s v="Furniture"/>
    <n v="2"/>
    <n v="78.459999999999994"/>
    <n v="156.91999999999999"/>
    <n v="156.91999999999999"/>
    <n v="0"/>
    <s v="Netherlands"/>
    <x v="3"/>
  </r>
  <r>
    <n v="2024004986"/>
    <x v="193"/>
    <n v="2024"/>
    <x v="281"/>
    <s v="PROD_003"/>
    <s v="USB-C Cable"/>
    <s v="Electronics"/>
    <n v="2"/>
    <n v="14.26"/>
    <n v="28.52"/>
    <n v="28.52"/>
    <n v="0"/>
    <s v="Austria"/>
    <x v="0"/>
  </r>
  <r>
    <n v="2024004987"/>
    <x v="200"/>
    <n v="2024"/>
    <x v="117"/>
    <s v="PROD_008"/>
    <s v="Desk Lamp"/>
    <s v="Furniture"/>
    <n v="1"/>
    <n v="76.63"/>
    <n v="76.63"/>
    <n v="76.63"/>
    <n v="0"/>
    <s v="Belgium"/>
    <x v="2"/>
  </r>
  <r>
    <n v="2024004988"/>
    <x v="139"/>
    <n v="2024"/>
    <x v="58"/>
    <s v="PROD_003"/>
    <s v="USB-C Cable"/>
    <s v="Electronics"/>
    <n v="1"/>
    <n v="14.79"/>
    <n v="14.79"/>
    <n v="14.79"/>
    <n v="0"/>
    <s v="UK"/>
    <x v="0"/>
  </r>
  <r>
    <n v="2024004989"/>
    <x v="129"/>
    <n v="2024"/>
    <x v="185"/>
    <s v="PROD_007"/>
    <s v="Keyboard Mechanical"/>
    <s v="Electronics"/>
    <n v="2"/>
    <n v="118.03"/>
    <n v="236.06"/>
    <n v="236.06"/>
    <n v="0"/>
    <s v="Italy"/>
    <x v="3"/>
  </r>
  <r>
    <n v="2024004990"/>
    <x v="52"/>
    <n v="2024"/>
    <x v="69"/>
    <s v="PROD_002"/>
    <s v="Wireless Mouse"/>
    <s v="Electronics"/>
    <n v="1"/>
    <n v="45.26"/>
    <n v="45.26"/>
    <n v="45.26"/>
    <n v="0"/>
    <s v="Spain"/>
    <x v="3"/>
  </r>
  <r>
    <n v="2024004991"/>
    <x v="173"/>
    <n v="2024"/>
    <x v="248"/>
    <s v="PROD_009"/>
    <s v="Phone Stand"/>
    <s v="Accessories"/>
    <n v="1"/>
    <n v="21.9"/>
    <n v="21.9"/>
    <n v="21.9"/>
    <n v="0"/>
    <s v="Switzerland"/>
    <x v="0"/>
  </r>
  <r>
    <n v="2024004992"/>
    <x v="146"/>
    <n v="2024"/>
    <x v="297"/>
    <s v="PROD_010"/>
    <s v="Webcam HD"/>
    <s v="Electronics"/>
    <n v="3"/>
    <n v="97.07"/>
    <n v="291.20999999999998"/>
    <n v="291.20999999999998"/>
    <n v="0"/>
    <s v="Austria"/>
    <x v="3"/>
  </r>
  <r>
    <n v="2024004993"/>
    <x v="213"/>
    <n v="2024"/>
    <x v="207"/>
    <s v="PROD_004"/>
    <s v="Desk Chair"/>
    <s v="Furniture"/>
    <n v="2"/>
    <n v="306.95999999999998"/>
    <n v="613.91999999999996"/>
    <n v="613.91999999999996"/>
    <n v="0"/>
    <s v="Italy"/>
    <x v="3"/>
  </r>
  <r>
    <n v="2024004994"/>
    <x v="135"/>
    <n v="2024"/>
    <x v="149"/>
    <s v="PROD_005"/>
    <s v="Standing Desk"/>
    <s v="Furniture"/>
    <n v="2"/>
    <n v="624.48"/>
    <n v="1248.96"/>
    <n v="1248.96"/>
    <n v="0"/>
    <s v="Switzerland"/>
    <x v="3"/>
  </r>
  <r>
    <n v="2024004995"/>
    <x v="333"/>
    <n v="2024"/>
    <x v="241"/>
    <s v="PROD_007"/>
    <s v="Keyboard Mechanical"/>
    <s v="Electronics"/>
    <n v="1"/>
    <n v="121.52"/>
    <n v="121.52"/>
    <n v="121.52"/>
    <n v="0"/>
    <s v="Italy"/>
    <x v="1"/>
  </r>
  <r>
    <n v="2024004996"/>
    <x v="75"/>
    <n v="2024"/>
    <x v="68"/>
    <s v="PROD_010"/>
    <s v="Webcam HD"/>
    <s v="Electronics"/>
    <n v="1"/>
    <n v="88.83"/>
    <n v="88.83"/>
    <n v="88.83"/>
    <n v="0"/>
    <s v="Spain"/>
    <x v="2"/>
  </r>
  <r>
    <n v="2024004997"/>
    <x v="104"/>
    <n v="2024"/>
    <x v="0"/>
    <s v="PROD_005"/>
    <s v="Standing Desk"/>
    <s v="Furniture"/>
    <n v="1"/>
    <n v="650.53"/>
    <n v="650.53"/>
    <n v="650.53"/>
    <n v="0"/>
    <s v="Sweden"/>
    <x v="1"/>
  </r>
  <r>
    <n v="2024004998"/>
    <x v="24"/>
    <n v="2024"/>
    <x v="36"/>
    <s v="PROD_001"/>
    <s v="Laptop Pro"/>
    <s v="Electronics"/>
    <n v="2"/>
    <n v="1044.54"/>
    <n v="2089.08"/>
    <n v="2089.08"/>
    <n v="0"/>
    <s v="Sweden"/>
    <x v="2"/>
  </r>
  <r>
    <n v="2024004999"/>
    <x v="31"/>
    <n v="2024"/>
    <x v="213"/>
    <s v="PROD_008"/>
    <s v="Desk Lamp"/>
    <s v="Furniture"/>
    <n v="4"/>
    <n v="71.83"/>
    <n v="287.32"/>
    <n v="287.32"/>
    <n v="0"/>
    <s v="Austria"/>
    <x v="2"/>
  </r>
  <r>
    <n v="2024005000"/>
    <x v="124"/>
    <n v="2024"/>
    <x v="0"/>
    <s v="PROD_010"/>
    <s v="Webcam HD"/>
    <s v="Electronics"/>
    <n v="1"/>
    <n v="93.24"/>
    <n v="93.24"/>
    <n v="93.24"/>
    <n v="0"/>
    <s v="Germany"/>
    <x v="1"/>
  </r>
  <r>
    <n v="2024005001"/>
    <x v="131"/>
    <n v="2024"/>
    <x v="27"/>
    <s v="PROD_005"/>
    <s v="Standing Desk"/>
    <s v="Furniture"/>
    <n v="4"/>
    <n v="644.41"/>
    <n v="2577.64"/>
    <n v="2577.64"/>
    <n v="0"/>
    <s v="Sweden"/>
    <x v="0"/>
  </r>
  <r>
    <n v="2024005002"/>
    <x v="221"/>
    <n v="2024"/>
    <x v="251"/>
    <s v="PROD_009"/>
    <s v="Phone Stand"/>
    <s v="Accessories"/>
    <n v="1"/>
    <n v="24.97"/>
    <n v="24.97"/>
    <n v="24.97"/>
    <n v="0"/>
    <s v="UK"/>
    <x v="1"/>
  </r>
  <r>
    <n v="2024005003"/>
    <x v="361"/>
    <n v="2024"/>
    <x v="119"/>
    <s v="PROD_008"/>
    <s v="Desk Lamp"/>
    <s v="Furniture"/>
    <n v="2"/>
    <n v="83.71"/>
    <n v="167.42"/>
    <n v="167.42"/>
    <n v="0"/>
    <s v="Switzerland"/>
    <x v="3"/>
  </r>
  <r>
    <n v="2024005004"/>
    <x v="322"/>
    <n v="2024"/>
    <x v="237"/>
    <s v="PROD_002"/>
    <s v="Wireless Mouse"/>
    <s v="Electronics"/>
    <n v="1"/>
    <n v="44.18"/>
    <n v="44.18"/>
    <n v="44.18"/>
    <n v="0"/>
    <s v="Italy"/>
    <x v="1"/>
  </r>
  <r>
    <n v="2024005005"/>
    <x v="171"/>
    <n v="2024"/>
    <x v="228"/>
    <s v="PROD_010"/>
    <s v="Webcam HD"/>
    <s v="Electronics"/>
    <n v="1"/>
    <n v="91.33"/>
    <n v="91.33"/>
    <n v="91.33"/>
    <n v="0"/>
    <s v="UK"/>
    <x v="1"/>
  </r>
  <r>
    <n v="2024005006"/>
    <x v="238"/>
    <n v="2024"/>
    <x v="156"/>
    <s v="PROD_001"/>
    <s v="Laptop Pro"/>
    <s v="Electronics"/>
    <n v="1"/>
    <n v="1183.52"/>
    <n v="1183.52"/>
    <n v="1183.52"/>
    <n v="0"/>
    <s v="Austria"/>
    <x v="3"/>
  </r>
  <r>
    <n v="2024005007"/>
    <x v="360"/>
    <n v="2024"/>
    <x v="28"/>
    <s v="PROD_002"/>
    <s v="Wireless Mouse"/>
    <s v="Electronics"/>
    <n v="1"/>
    <n v="48.08"/>
    <n v="48.08"/>
    <n v="48.08"/>
    <n v="0"/>
    <s v="France"/>
    <x v="1"/>
  </r>
  <r>
    <n v="2024005008"/>
    <x v="174"/>
    <n v="2024"/>
    <x v="195"/>
    <s v="PROD_004"/>
    <s v="Desk Chair"/>
    <s v="Furniture"/>
    <n v="1"/>
    <n v="341.13"/>
    <n v="341.13"/>
    <n v="341.13"/>
    <n v="0"/>
    <s v="Switzerland"/>
    <x v="3"/>
  </r>
  <r>
    <n v="2024005009"/>
    <x v="178"/>
    <n v="2024"/>
    <x v="150"/>
    <s v="PROD_005"/>
    <s v="Standing Desk"/>
    <s v="Furniture"/>
    <n v="4"/>
    <n v="650.47"/>
    <n v="2601.88"/>
    <n v="2601.88"/>
    <n v="0"/>
    <s v="Spain"/>
    <x v="1"/>
  </r>
  <r>
    <n v="2024005010"/>
    <x v="88"/>
    <n v="2024"/>
    <x v="51"/>
    <s v="PROD_003"/>
    <s v="USB-C Cable"/>
    <s v="Electronics"/>
    <n v="1"/>
    <n v="14.8"/>
    <n v="14.8"/>
    <n v="14.8"/>
    <n v="0"/>
    <s v="Germany"/>
    <x v="0"/>
  </r>
  <r>
    <n v="2024005011"/>
    <x v="238"/>
    <n v="2024"/>
    <x v="0"/>
    <s v="PROD_009"/>
    <s v="Phone Stand"/>
    <s v="Accessories"/>
    <n v="4"/>
    <n v="25.78"/>
    <n v="103.12"/>
    <n v="103.12"/>
    <n v="0"/>
    <s v="Switzerland"/>
    <x v="1"/>
  </r>
  <r>
    <n v="2024005012"/>
    <x v="192"/>
    <n v="2024"/>
    <x v="0"/>
    <s v="PROD_005"/>
    <s v="Standing Desk"/>
    <s v="Furniture"/>
    <n v="1"/>
    <n v="597.09"/>
    <n v="597.09"/>
    <n v="597.09"/>
    <n v="0"/>
    <s v="Sweden"/>
    <x v="1"/>
  </r>
  <r>
    <n v="2024005013"/>
    <x v="305"/>
    <n v="2024"/>
    <x v="119"/>
    <s v="PROD_003"/>
    <s v="USB-C Cable"/>
    <s v="Electronics"/>
    <n v="1"/>
    <n v="14.26"/>
    <n v="14.26"/>
    <n v="14.26"/>
    <n v="0"/>
    <s v="Netherlands"/>
    <x v="2"/>
  </r>
  <r>
    <n v="2024005014"/>
    <x v="95"/>
    <n v="2024"/>
    <x v="6"/>
    <s v="PROD_003"/>
    <s v="USB-C Cable"/>
    <s v="Electronics"/>
    <n v="2"/>
    <n v="15.07"/>
    <n v="30.14"/>
    <n v="30.14"/>
    <n v="0"/>
    <s v="Sweden"/>
    <x v="3"/>
  </r>
  <r>
    <n v="2024005015"/>
    <x v="41"/>
    <n v="2024"/>
    <x v="160"/>
    <s v="PROD_008"/>
    <s v="Desk Lamp"/>
    <s v="Furniture"/>
    <n v="5"/>
    <n v="77.33"/>
    <n v="386.65"/>
    <n v="386.65"/>
    <n v="0"/>
    <s v="France"/>
    <x v="1"/>
  </r>
  <r>
    <n v="2024005016"/>
    <x v="325"/>
    <n v="2024"/>
    <x v="72"/>
    <s v="PROD_007"/>
    <s v="Keyboard Mechanical"/>
    <s v="Electronics"/>
    <n v="1"/>
    <n v="121.41"/>
    <n v="121.41"/>
    <n v="121.41"/>
    <n v="0"/>
    <s v="Belgium"/>
    <x v="0"/>
  </r>
  <r>
    <n v="2024005017"/>
    <x v="175"/>
    <n v="2024"/>
    <x v="283"/>
    <s v="PROD_003"/>
    <s v="USB-C Cable"/>
    <s v="Electronics"/>
    <n v="1"/>
    <n v="15.05"/>
    <n v="15.05"/>
    <n v="15.05"/>
    <n v="0"/>
    <s v="Spain"/>
    <x v="1"/>
  </r>
  <r>
    <n v="2024005018"/>
    <x v="319"/>
    <n v="2024"/>
    <x v="0"/>
    <s v="PROD_003"/>
    <s v="USB-C Cable"/>
    <s v="Electronics"/>
    <n v="2"/>
    <n v="15.16"/>
    <n v="30.32"/>
    <n v="30.32"/>
    <n v="0"/>
    <s v="Italy"/>
    <x v="3"/>
  </r>
  <r>
    <n v="2024005019"/>
    <x v="202"/>
    <n v="2024"/>
    <x v="283"/>
    <s v="PROD_010"/>
    <s v="Webcam HD"/>
    <s v="Electronics"/>
    <n v="1"/>
    <n v="88.73"/>
    <n v="88.73"/>
    <n v="88.73"/>
    <n v="0"/>
    <s v="Switzerland"/>
    <x v="0"/>
  </r>
  <r>
    <n v="2024005020"/>
    <x v="224"/>
    <n v="2024"/>
    <x v="152"/>
    <s v="PROD_004"/>
    <s v="Desk Chair"/>
    <s v="Furniture"/>
    <n v="1"/>
    <n v="335.94"/>
    <n v="335.94"/>
    <n v="335.94"/>
    <n v="0"/>
    <s v="UK"/>
    <x v="3"/>
  </r>
  <r>
    <n v="2024005021"/>
    <x v="81"/>
    <n v="2024"/>
    <x v="171"/>
    <s v="PROD_003"/>
    <s v="USB-C Cable"/>
    <s v="Electronics"/>
    <n v="1"/>
    <n v="16.37"/>
    <n v="16.37"/>
    <n v="16.37"/>
    <n v="0"/>
    <s v="Spain"/>
    <x v="0"/>
  </r>
  <r>
    <n v="2024005022"/>
    <x v="42"/>
    <n v="2024"/>
    <x v="0"/>
    <s v="PROD_007"/>
    <s v="Keyboard Mechanical"/>
    <s v="Electronics"/>
    <n v="1"/>
    <n v="126.64"/>
    <n v="126.64"/>
    <n v="126.64"/>
    <n v="0"/>
    <s v="Germany"/>
    <x v="3"/>
  </r>
  <r>
    <n v="2024005023"/>
    <x v="309"/>
    <n v="2024"/>
    <x v="0"/>
    <s v="PROD_001"/>
    <s v="Laptop Pro"/>
    <s v="Electronics"/>
    <n v="1"/>
    <n v="1278.3399999999999"/>
    <n v="1278.3399999999999"/>
    <n v="1278.3399999999999"/>
    <n v="0"/>
    <s v="Italy"/>
    <x v="0"/>
  </r>
  <r>
    <n v="2024005024"/>
    <x v="138"/>
    <n v="2024"/>
    <x v="5"/>
    <s v="PROD_004"/>
    <s v="Desk Chair"/>
    <s v="Furniture"/>
    <n v="1"/>
    <n v="359.19"/>
    <n v="359.19"/>
    <n v="359.19"/>
    <n v="0"/>
    <s v="Switzerland"/>
    <x v="3"/>
  </r>
  <r>
    <n v="2024005025"/>
    <x v="171"/>
    <n v="2024"/>
    <x v="281"/>
    <s v="PROD_002"/>
    <s v="Wireless Mouse"/>
    <s v="Electronics"/>
    <n v="2"/>
    <n v="47.34"/>
    <n v="94.68"/>
    <n v="94.68"/>
    <n v="0"/>
    <s v="Germany"/>
    <x v="3"/>
  </r>
  <r>
    <n v="2024005026"/>
    <x v="33"/>
    <n v="2024"/>
    <x v="261"/>
    <s v="PROD_008"/>
    <s v="Desk Lamp"/>
    <s v="Furniture"/>
    <n v="3"/>
    <n v="83.26"/>
    <n v="249.78"/>
    <n v="249.78000000000003"/>
    <n v="0"/>
    <s v="UK"/>
    <x v="3"/>
  </r>
  <r>
    <n v="2024005027"/>
    <x v="110"/>
    <n v="2024"/>
    <x v="34"/>
    <s v="PROD_009"/>
    <s v="Phone Stand"/>
    <s v="Accessories"/>
    <n v="3"/>
    <n v="28.75"/>
    <n v="86.25"/>
    <n v="86.25"/>
    <n v="0"/>
    <s v="Belgium"/>
    <x v="2"/>
  </r>
  <r>
    <n v="2024005028"/>
    <x v="318"/>
    <n v="2024"/>
    <x v="15"/>
    <s v="PROD_006"/>
    <s v="Monitor 27&quot;"/>
    <s v="Electronics"/>
    <n v="2"/>
    <n v="418.06"/>
    <n v="836.12"/>
    <n v="836.12"/>
    <n v="0"/>
    <s v="Germany"/>
    <x v="2"/>
  </r>
  <r>
    <n v="2024005029"/>
    <x v="43"/>
    <n v="2024"/>
    <x v="264"/>
    <s v="PROD_006"/>
    <s v="Monitor 27&quot;"/>
    <s v="Electronics"/>
    <n v="1"/>
    <n v="359.76"/>
    <n v="359.76"/>
    <n v="359.76"/>
    <n v="0"/>
    <s v="Switzerland"/>
    <x v="2"/>
  </r>
  <r>
    <n v="2024005030"/>
    <x v="366"/>
    <n v="2024"/>
    <x v="84"/>
    <s v="PROD_001"/>
    <s v="Laptop Pro"/>
    <s v="Electronics"/>
    <n v="5"/>
    <n v="1217.21"/>
    <n v="6086.05"/>
    <n v="6086.05"/>
    <n v="0"/>
    <s v="France"/>
    <x v="2"/>
  </r>
  <r>
    <n v="2024005031"/>
    <x v="225"/>
    <n v="2024"/>
    <x v="43"/>
    <s v="PROD_002"/>
    <s v="Wireless Mouse"/>
    <s v="Electronics"/>
    <n v="2"/>
    <n v="47.98"/>
    <n v="95.96"/>
    <n v="95.96"/>
    <n v="0"/>
    <s v="Netherlands"/>
    <x v="1"/>
  </r>
  <r>
    <n v="2024005032"/>
    <x v="169"/>
    <n v="2024"/>
    <x v="287"/>
    <s v="PROD_008"/>
    <s v="Desk Lamp"/>
    <s v="Furniture"/>
    <n v="2"/>
    <n v="80.56"/>
    <n v="161.12"/>
    <n v="161.12"/>
    <n v="0"/>
    <s v="France"/>
    <x v="0"/>
  </r>
  <r>
    <n v="2024005033"/>
    <x v="367"/>
    <n v="2024"/>
    <x v="149"/>
    <s v="PROD_010"/>
    <s v="Webcam HD"/>
    <s v="Electronics"/>
    <n v="1"/>
    <n v="84.6"/>
    <n v="84.6"/>
    <n v="84.6"/>
    <n v="0"/>
    <s v="Spain"/>
    <x v="3"/>
  </r>
  <r>
    <n v="2024005034"/>
    <x v="238"/>
    <n v="2024"/>
    <x v="0"/>
    <s v="PROD_006"/>
    <s v="Monitor 27&quot;"/>
    <s v="Electronics"/>
    <n v="4"/>
    <n v="367.89"/>
    <n v="1471.56"/>
    <n v="1471.56"/>
    <n v="0"/>
    <s v="UK"/>
    <x v="3"/>
  </r>
  <r>
    <n v="2024005035"/>
    <x v="362"/>
    <n v="2024"/>
    <x v="86"/>
    <s v="PROD_010"/>
    <s v="Webcam HD"/>
    <s v="Electronics"/>
    <n v="3"/>
    <n v="89.66"/>
    <n v="268.98"/>
    <n v="268.98"/>
    <n v="0"/>
    <s v="Sweden"/>
    <x v="1"/>
  </r>
  <r>
    <n v="2024005036"/>
    <x v="48"/>
    <n v="2024"/>
    <x v="256"/>
    <s v="PROD_003"/>
    <s v="USB-C Cable"/>
    <s v="Electronics"/>
    <n v="2"/>
    <n v="14.97"/>
    <n v="29.94"/>
    <n v="29.94"/>
    <n v="0"/>
    <s v="France"/>
    <x v="0"/>
  </r>
  <r>
    <n v="2024005037"/>
    <x v="248"/>
    <n v="2024"/>
    <x v="151"/>
    <s v="PROD_003"/>
    <s v="USB-C Cable"/>
    <s v="Electronics"/>
    <n v="3"/>
    <n v="14.09"/>
    <n v="42.27"/>
    <n v="42.269999999999996"/>
    <n v="0"/>
    <s v="Germany"/>
    <x v="0"/>
  </r>
  <r>
    <n v="2024005038"/>
    <x v="217"/>
    <n v="2024"/>
    <x v="6"/>
    <s v="PROD_008"/>
    <s v="Desk Lamp"/>
    <s v="Furniture"/>
    <n v="4"/>
    <n v="86.87"/>
    <n v="347.48"/>
    <n v="347.48"/>
    <n v="0"/>
    <s v="Spain"/>
    <x v="1"/>
  </r>
  <r>
    <n v="2024005039"/>
    <x v="346"/>
    <n v="2024"/>
    <x v="298"/>
    <s v="PROD_010"/>
    <s v="Webcam HD"/>
    <s v="Electronics"/>
    <n v="2"/>
    <n v="92.88"/>
    <n v="185.76"/>
    <n v="185.76"/>
    <n v="0"/>
    <s v="Netherlands"/>
    <x v="2"/>
  </r>
  <r>
    <n v="2024005040"/>
    <x v="349"/>
    <n v="2024"/>
    <x v="201"/>
    <s v="PROD_003"/>
    <s v="USB-C Cable"/>
    <s v="Electronics"/>
    <n v="3"/>
    <n v="14.43"/>
    <n v="43.29"/>
    <n v="43.29"/>
    <n v="0"/>
    <s v="Switzerland"/>
    <x v="0"/>
  </r>
  <r>
    <n v="2024005041"/>
    <x v="154"/>
    <n v="2024"/>
    <x v="41"/>
    <s v="PROD_010"/>
    <s v="Webcam HD"/>
    <s v="Electronics"/>
    <n v="1"/>
    <n v="85.05"/>
    <n v="85.05"/>
    <n v="85.05"/>
    <n v="0"/>
    <s v="Switzerland"/>
    <x v="2"/>
  </r>
  <r>
    <n v="2024005042"/>
    <x v="295"/>
    <n v="2024"/>
    <x v="152"/>
    <s v="PROD_001"/>
    <s v="Laptop Pro"/>
    <s v="Electronics"/>
    <n v="2"/>
    <n v="1214.3900000000001"/>
    <n v="2428.7800000000002"/>
    <n v="2428.7800000000002"/>
    <n v="0"/>
    <s v="Belgium"/>
    <x v="1"/>
  </r>
  <r>
    <n v="2024005043"/>
    <x v="206"/>
    <n v="2024"/>
    <x v="272"/>
    <s v="PROD_008"/>
    <s v="Desk Lamp"/>
    <s v="Furniture"/>
    <n v="1"/>
    <n v="84.41"/>
    <n v="84.41"/>
    <n v="84.41"/>
    <n v="0"/>
    <s v="Sweden"/>
    <x v="3"/>
  </r>
  <r>
    <n v="2024005044"/>
    <x v="236"/>
    <n v="2024"/>
    <x v="13"/>
    <s v="PROD_008"/>
    <s v="Desk Lamp"/>
    <s v="Furniture"/>
    <n v="1"/>
    <n v="76.900000000000006"/>
    <n v="76.900000000000006"/>
    <n v="76.900000000000006"/>
    <n v="0"/>
    <s v="Spain"/>
    <x v="1"/>
  </r>
  <r>
    <n v="2024005045"/>
    <x v="57"/>
    <n v="2024"/>
    <x v="246"/>
    <s v="PROD_008"/>
    <s v="Desk Lamp"/>
    <s v="Furniture"/>
    <n v="2"/>
    <n v="81.63"/>
    <n v="163.26"/>
    <n v="163.26"/>
    <n v="0"/>
    <s v="Italy"/>
    <x v="3"/>
  </r>
  <r>
    <n v="2024005046"/>
    <x v="274"/>
    <n v="2024"/>
    <x v="0"/>
    <s v="PROD_008"/>
    <s v="Desk Lamp"/>
    <s v="Furniture"/>
    <n v="3"/>
    <n v="72.39"/>
    <n v="217.17"/>
    <n v="217.17000000000002"/>
    <n v="0"/>
    <s v="Spain"/>
    <x v="1"/>
  </r>
  <r>
    <n v="2024005047"/>
    <x v="269"/>
    <n v="2024"/>
    <x v="258"/>
    <s v="PROD_005"/>
    <s v="Standing Desk"/>
    <s v="Furniture"/>
    <n v="1"/>
    <n v="532.61"/>
    <n v="532.61"/>
    <n v="532.61"/>
    <n v="0"/>
    <s v="UK"/>
    <x v="0"/>
  </r>
  <r>
    <n v="2024005048"/>
    <x v="176"/>
    <n v="2024"/>
    <x v="161"/>
    <s v="PROD_003"/>
    <s v="USB-C Cable"/>
    <s v="Electronics"/>
    <n v="4"/>
    <n v="14.25"/>
    <n v="57"/>
    <n v="57"/>
    <n v="0"/>
    <s v="UK"/>
    <x v="2"/>
  </r>
  <r>
    <n v="2024005049"/>
    <x v="255"/>
    <n v="2024"/>
    <x v="127"/>
    <s v="PROD_001"/>
    <s v="Laptop Pro"/>
    <s v="Electronics"/>
    <n v="2"/>
    <n v="1141.8699999999999"/>
    <n v="2283.7399999999998"/>
    <n v="2283.7399999999998"/>
    <n v="0"/>
    <s v="Spain"/>
    <x v="3"/>
  </r>
  <r>
    <n v="2024005050"/>
    <x v="174"/>
    <n v="2024"/>
    <x v="211"/>
    <s v="PROD_006"/>
    <s v="Monitor 27&quot;"/>
    <s v="Electronics"/>
    <n v="5"/>
    <n v="414.03"/>
    <n v="2070.15"/>
    <n v="2070.1499999999996"/>
    <n v="0"/>
    <s v="France"/>
    <x v="1"/>
  </r>
  <r>
    <n v="2024005051"/>
    <x v="183"/>
    <n v="2024"/>
    <x v="58"/>
    <s v="PROD_009"/>
    <s v="Phone Stand"/>
    <s v="Accessories"/>
    <n v="3"/>
    <n v="23.84"/>
    <n v="71.52"/>
    <n v="71.52"/>
    <n v="0"/>
    <s v="Belgium"/>
    <x v="3"/>
  </r>
  <r>
    <n v="2024005052"/>
    <x v="100"/>
    <n v="2024"/>
    <x v="59"/>
    <s v="PROD_004"/>
    <s v="Desk Chair"/>
    <s v="Furniture"/>
    <n v="3"/>
    <n v="363.57"/>
    <n v="1090.71"/>
    <n v="1090.71"/>
    <n v="0"/>
    <s v="Sweden"/>
    <x v="2"/>
  </r>
  <r>
    <n v="2024005053"/>
    <x v="170"/>
    <n v="2024"/>
    <x v="254"/>
    <s v="PROD_002"/>
    <s v="Wireless Mouse"/>
    <s v="Electronics"/>
    <n v="1"/>
    <n v="46.75"/>
    <n v="46.75"/>
    <n v="46.75"/>
    <n v="0"/>
    <s v="France"/>
    <x v="1"/>
  </r>
  <r>
    <n v="2024005054"/>
    <x v="117"/>
    <n v="2024"/>
    <x v="49"/>
    <s v="PROD_005"/>
    <s v="Standing Desk"/>
    <s v="Furniture"/>
    <n v="2"/>
    <n v="614.79999999999995"/>
    <n v="1229.5999999999999"/>
    <n v="1229.5999999999999"/>
    <n v="0"/>
    <s v="France"/>
    <x v="2"/>
  </r>
  <r>
    <n v="2024005055"/>
    <x v="78"/>
    <n v="2024"/>
    <x v="0"/>
    <s v="PROD_004"/>
    <s v="Desk Chair"/>
    <s v="Furniture"/>
    <n v="2"/>
    <n v="324.3"/>
    <n v="648.6"/>
    <n v="648.6"/>
    <n v="0"/>
    <s v="Austria"/>
    <x v="1"/>
  </r>
  <r>
    <n v="2024005056"/>
    <x v="324"/>
    <n v="2024"/>
    <x v="288"/>
    <s v="PROD_010"/>
    <s v="Webcam HD"/>
    <s v="Electronics"/>
    <n v="2"/>
    <n v="81.83"/>
    <n v="163.66"/>
    <n v="163.66"/>
    <n v="0"/>
    <s v="France"/>
    <x v="1"/>
  </r>
  <r>
    <n v="2024005057"/>
    <x v="361"/>
    <n v="2024"/>
    <x v="158"/>
    <s v="PROD_004"/>
    <s v="Desk Chair"/>
    <s v="Furniture"/>
    <n v="1"/>
    <n v="336.43"/>
    <n v="336.43"/>
    <n v="336.43"/>
    <n v="0"/>
    <s v="Netherlands"/>
    <x v="1"/>
  </r>
  <r>
    <n v="2024005058"/>
    <x v="223"/>
    <n v="2024"/>
    <x v="24"/>
    <s v="PROD_007"/>
    <s v="Keyboard Mechanical"/>
    <s v="Electronics"/>
    <n v="2"/>
    <n v="128.55000000000001"/>
    <n v="257.10000000000002"/>
    <n v="257.10000000000002"/>
    <n v="0"/>
    <s v="Germany"/>
    <x v="0"/>
  </r>
  <r>
    <n v="2024005059"/>
    <x v="310"/>
    <n v="2024"/>
    <x v="134"/>
    <s v="PROD_006"/>
    <s v="Monitor 27&quot;"/>
    <s v="Electronics"/>
    <n v="1"/>
    <n v="404.1"/>
    <n v="404.1"/>
    <n v="404.1"/>
    <n v="0"/>
    <s v="Spain"/>
    <x v="1"/>
  </r>
  <r>
    <n v="2024005060"/>
    <x v="226"/>
    <n v="2024"/>
    <x v="27"/>
    <s v="PROD_002"/>
    <s v="Wireless Mouse"/>
    <s v="Electronics"/>
    <n v="1"/>
    <n v="43.47"/>
    <n v="43.47"/>
    <n v="43.47"/>
    <n v="0"/>
    <s v="Netherlands"/>
    <x v="3"/>
  </r>
  <r>
    <n v="2024005061"/>
    <x v="202"/>
    <n v="2024"/>
    <x v="61"/>
    <s v="PROD_008"/>
    <s v="Desk Lamp"/>
    <s v="Furniture"/>
    <n v="2"/>
    <n v="79.38"/>
    <n v="158.76"/>
    <n v="158.76"/>
    <n v="0"/>
    <s v="Sweden"/>
    <x v="1"/>
  </r>
  <r>
    <n v="2024005062"/>
    <x v="342"/>
    <n v="2024"/>
    <x v="0"/>
    <s v="PROD_001"/>
    <s v="Laptop Pro"/>
    <s v="Electronics"/>
    <n v="1"/>
    <n v="1161.73"/>
    <n v="1161.73"/>
    <n v="1161.73"/>
    <n v="0"/>
    <s v="Spain"/>
    <x v="2"/>
  </r>
  <r>
    <n v="2024005063"/>
    <x v="56"/>
    <n v="2024"/>
    <x v="73"/>
    <s v="PROD_006"/>
    <s v="Monitor 27&quot;"/>
    <s v="Electronics"/>
    <n v="3"/>
    <n v="393.37"/>
    <n v="1180.1099999999999"/>
    <n v="1180.1100000000001"/>
    <n v="0"/>
    <s v="Netherlands"/>
    <x v="0"/>
  </r>
  <r>
    <n v="2024005064"/>
    <x v="38"/>
    <n v="2024"/>
    <x v="237"/>
    <s v="PROD_006"/>
    <s v="Monitor 27&quot;"/>
    <s v="Electronics"/>
    <n v="2"/>
    <n v="379.19"/>
    <n v="758.38"/>
    <n v="758.38"/>
    <n v="0"/>
    <s v="Switzerland"/>
    <x v="1"/>
  </r>
  <r>
    <n v="2024005065"/>
    <x v="143"/>
    <n v="2024"/>
    <x v="107"/>
    <s v="PROD_003"/>
    <s v="USB-C Cable"/>
    <s v="Electronics"/>
    <n v="4"/>
    <n v="14.32"/>
    <n v="57.28"/>
    <n v="57.28"/>
    <n v="0"/>
    <s v="UK"/>
    <x v="0"/>
  </r>
  <r>
    <n v="2024005066"/>
    <x v="247"/>
    <n v="2024"/>
    <x v="289"/>
    <s v="PROD_006"/>
    <s v="Monitor 27&quot;"/>
    <s v="Electronics"/>
    <n v="3"/>
    <n v="403.7"/>
    <n v="1211.0999999999999"/>
    <n v="1211.0999999999999"/>
    <n v="0"/>
    <s v="Germany"/>
    <x v="2"/>
  </r>
  <r>
    <n v="2024005067"/>
    <x v="63"/>
    <n v="2024"/>
    <x v="112"/>
    <s v="PROD_004"/>
    <s v="Desk Chair"/>
    <s v="Furniture"/>
    <n v="2"/>
    <n v="337.1"/>
    <n v="674.2"/>
    <n v="674.2"/>
    <n v="0"/>
    <s v="Netherlands"/>
    <x v="2"/>
  </r>
  <r>
    <n v="2024005068"/>
    <x v="329"/>
    <n v="2024"/>
    <x v="263"/>
    <s v="PROD_005"/>
    <s v="Standing Desk"/>
    <s v="Furniture"/>
    <n v="1"/>
    <n v="586.46"/>
    <n v="586.46"/>
    <n v="586.46"/>
    <n v="0"/>
    <s v="Spain"/>
    <x v="0"/>
  </r>
  <r>
    <n v="2024005069"/>
    <x v="86"/>
    <n v="2024"/>
    <x v="278"/>
    <s v="PROD_001"/>
    <s v="Laptop Pro"/>
    <s v="Electronics"/>
    <n v="1"/>
    <n v="1151.48"/>
    <n v="1151.48"/>
    <n v="1151.48"/>
    <n v="0"/>
    <s v="Netherlands"/>
    <x v="0"/>
  </r>
  <r>
    <n v="2024005070"/>
    <x v="333"/>
    <n v="2024"/>
    <x v="33"/>
    <s v="PROD_010"/>
    <s v="Webcam HD"/>
    <s v="Electronics"/>
    <n v="3"/>
    <n v="88.77"/>
    <n v="266.31"/>
    <n v="266.31"/>
    <n v="0"/>
    <s v="Italy"/>
    <x v="1"/>
  </r>
  <r>
    <n v="2024005071"/>
    <x v="356"/>
    <n v="2024"/>
    <x v="11"/>
    <s v="PROD_007"/>
    <s v="Keyboard Mechanical"/>
    <s v="Electronics"/>
    <n v="1"/>
    <n v="129.31"/>
    <n v="129.31"/>
    <n v="129.31"/>
    <n v="0"/>
    <s v="UK"/>
    <x v="1"/>
  </r>
  <r>
    <n v="2024005072"/>
    <x v="340"/>
    <n v="2024"/>
    <x v="0"/>
    <s v="PROD_007"/>
    <s v="Keyboard Mechanical"/>
    <s v="Electronics"/>
    <n v="2"/>
    <n v="113.82"/>
    <n v="227.64"/>
    <n v="227.64"/>
    <n v="0"/>
    <s v="UK"/>
    <x v="1"/>
  </r>
  <r>
    <n v="2024005073"/>
    <x v="102"/>
    <n v="2024"/>
    <x v="298"/>
    <s v="PROD_007"/>
    <s v="Keyboard Mechanical"/>
    <s v="Electronics"/>
    <n v="3"/>
    <n v="116.47"/>
    <n v="349.41"/>
    <n v="349.40999999999997"/>
    <n v="0"/>
    <s v="Netherlands"/>
    <x v="0"/>
  </r>
  <r>
    <n v="2024005074"/>
    <x v="317"/>
    <n v="2024"/>
    <x v="273"/>
    <s v="PROD_003"/>
    <s v="USB-C Cable"/>
    <s v="Electronics"/>
    <n v="2"/>
    <n v="14.96"/>
    <n v="29.92"/>
    <n v="29.92"/>
    <n v="0"/>
    <s v="Italy"/>
    <x v="1"/>
  </r>
  <r>
    <n v="2024005075"/>
    <x v="337"/>
    <n v="2024"/>
    <x v="191"/>
    <s v="PROD_006"/>
    <s v="Monitor 27&quot;"/>
    <s v="Electronics"/>
    <n v="1"/>
    <n v="410.35"/>
    <n v="410.35"/>
    <n v="410.35"/>
    <n v="0"/>
    <s v="UK"/>
    <x v="3"/>
  </r>
  <r>
    <n v="2024005076"/>
    <x v="305"/>
    <n v="2024"/>
    <x v="12"/>
    <s v="PROD_001"/>
    <s v="Laptop Pro"/>
    <s v="Electronics"/>
    <n v="3"/>
    <n v="1220"/>
    <n v="3660"/>
    <n v="3660"/>
    <n v="0"/>
    <s v="Belgium"/>
    <x v="3"/>
  </r>
  <r>
    <n v="2024005077"/>
    <x v="183"/>
    <n v="2024"/>
    <x v="244"/>
    <s v="PROD_004"/>
    <s v="Desk Chair"/>
    <s v="Furniture"/>
    <n v="4"/>
    <n v="371.2"/>
    <n v="1484.8"/>
    <n v="1484.8"/>
    <n v="0"/>
    <s v="UK"/>
    <x v="0"/>
  </r>
  <r>
    <n v="2024005078"/>
    <x v="1"/>
    <n v="2024"/>
    <x v="274"/>
    <s v="PROD_002"/>
    <s v="Wireless Mouse"/>
    <s v="Electronics"/>
    <n v="3"/>
    <n v="44.62"/>
    <n v="133.86000000000001"/>
    <n v="133.85999999999999"/>
    <n v="0"/>
    <s v="UK"/>
    <x v="1"/>
  </r>
  <r>
    <n v="2024005079"/>
    <x v="82"/>
    <n v="2024"/>
    <x v="44"/>
    <s v="PROD_005"/>
    <s v="Standing Desk"/>
    <s v="Furniture"/>
    <n v="3"/>
    <n v="560.44000000000005"/>
    <n v="1681.32"/>
    <n v="1681.3200000000002"/>
    <n v="0"/>
    <s v="Belgium"/>
    <x v="2"/>
  </r>
  <r>
    <n v="2024005080"/>
    <x v="243"/>
    <n v="2024"/>
    <x v="236"/>
    <s v="PROD_004"/>
    <s v="Desk Chair"/>
    <s v="Furniture"/>
    <n v="3"/>
    <n v="363.99"/>
    <n v="1091.97"/>
    <n v="1091.97"/>
    <n v="0"/>
    <s v="Netherlands"/>
    <x v="1"/>
  </r>
  <r>
    <n v="2024005081"/>
    <x v="346"/>
    <n v="2024"/>
    <x v="0"/>
    <s v="PROD_010"/>
    <s v="Webcam HD"/>
    <s v="Electronics"/>
    <n v="1"/>
    <n v="89.45"/>
    <n v="89.45"/>
    <n v="89.45"/>
    <n v="0"/>
    <s v="Germany"/>
    <x v="3"/>
  </r>
  <r>
    <n v="2024005082"/>
    <x v="298"/>
    <n v="2024"/>
    <x v="228"/>
    <s v="PROD_006"/>
    <s v="Monitor 27&quot;"/>
    <s v="Electronics"/>
    <n v="2"/>
    <n v="380.07"/>
    <n v="760.14"/>
    <n v="760.14"/>
    <n v="0"/>
    <s v="Belgium"/>
    <x v="0"/>
  </r>
  <r>
    <n v="2024005083"/>
    <x v="182"/>
    <n v="2024"/>
    <x v="145"/>
    <s v="PROD_005"/>
    <s v="Standing Desk"/>
    <s v="Furniture"/>
    <n v="1"/>
    <n v="612.49"/>
    <n v="612.49"/>
    <n v="612.49"/>
    <n v="0"/>
    <s v="Italy"/>
    <x v="1"/>
  </r>
  <r>
    <n v="2024005084"/>
    <x v="155"/>
    <n v="2024"/>
    <x v="230"/>
    <s v="PROD_005"/>
    <s v="Standing Desk"/>
    <s v="Furniture"/>
    <n v="1"/>
    <n v="603"/>
    <n v="603"/>
    <n v="603"/>
    <n v="0"/>
    <s v="Spain"/>
    <x v="3"/>
  </r>
  <r>
    <n v="2024005085"/>
    <x v="306"/>
    <n v="2024"/>
    <x v="136"/>
    <s v="PROD_002"/>
    <s v="Wireless Mouse"/>
    <s v="Electronics"/>
    <n v="1"/>
    <n v="44.54"/>
    <n v="44.54"/>
    <n v="44.54"/>
    <n v="0"/>
    <s v="UK"/>
    <x v="3"/>
  </r>
  <r>
    <n v="2024005086"/>
    <x v="228"/>
    <n v="2024"/>
    <x v="3"/>
    <s v="PROD_009"/>
    <s v="Phone Stand"/>
    <s v="Accessories"/>
    <n v="3"/>
    <n v="25.52"/>
    <n v="76.56"/>
    <n v="76.56"/>
    <n v="0"/>
    <s v="UK"/>
    <x v="2"/>
  </r>
  <r>
    <n v="2024005087"/>
    <x v="203"/>
    <n v="2024"/>
    <x v="297"/>
    <s v="PROD_002"/>
    <s v="Wireless Mouse"/>
    <s v="Electronics"/>
    <n v="4"/>
    <n v="44.23"/>
    <n v="176.92"/>
    <n v="176.92"/>
    <n v="0"/>
    <s v="France"/>
    <x v="2"/>
  </r>
  <r>
    <n v="2024005088"/>
    <x v="281"/>
    <n v="2024"/>
    <x v="67"/>
    <s v="PROD_005"/>
    <s v="Standing Desk"/>
    <s v="Furniture"/>
    <n v="1"/>
    <n v="591.29999999999995"/>
    <n v="591.29999999999995"/>
    <n v="591.29999999999995"/>
    <n v="0"/>
    <s v="Italy"/>
    <x v="0"/>
  </r>
  <r>
    <n v="2024005089"/>
    <x v="172"/>
    <n v="2024"/>
    <x v="0"/>
    <s v="PROD_007"/>
    <s v="Keyboard Mechanical"/>
    <s v="Electronics"/>
    <n v="1"/>
    <n v="111.23"/>
    <n v="111.23"/>
    <n v="111.23"/>
    <n v="0"/>
    <s v="Spain"/>
    <x v="0"/>
  </r>
  <r>
    <n v="2024005090"/>
    <x v="305"/>
    <n v="2024"/>
    <x v="222"/>
    <s v="PROD_006"/>
    <s v="Monitor 27&quot;"/>
    <s v="Electronics"/>
    <n v="1"/>
    <n v="378.27"/>
    <n v="378.27"/>
    <n v="378.27"/>
    <n v="0"/>
    <s v="UK"/>
    <x v="2"/>
  </r>
  <r>
    <n v="2024005091"/>
    <x v="138"/>
    <n v="2024"/>
    <x v="0"/>
    <s v="PROD_005"/>
    <s v="Standing Desk"/>
    <s v="Furniture"/>
    <n v="1"/>
    <n v="614.75"/>
    <n v="614.75"/>
    <n v="614.75"/>
    <n v="0"/>
    <s v="Spain"/>
    <x v="2"/>
  </r>
  <r>
    <n v="2024005092"/>
    <x v="318"/>
    <n v="2024"/>
    <x v="39"/>
    <s v="PROD_009"/>
    <s v="Phone Stand"/>
    <s v="Accessories"/>
    <n v="1"/>
    <n v="25.29"/>
    <n v="25.29"/>
    <n v="25.29"/>
    <n v="0"/>
    <s v="Austria"/>
    <x v="0"/>
  </r>
  <r>
    <n v="2024005093"/>
    <x v="116"/>
    <n v="2024"/>
    <x v="0"/>
    <s v="PROD_003"/>
    <s v="USB-C Cable"/>
    <s v="Electronics"/>
    <n v="1"/>
    <n v="15.79"/>
    <n v="15.79"/>
    <n v="15.79"/>
    <n v="0"/>
    <s v="Austria"/>
    <x v="2"/>
  </r>
  <r>
    <n v="2024005094"/>
    <x v="109"/>
    <n v="2024"/>
    <x v="128"/>
    <s v="PROD_001"/>
    <s v="Laptop Pro"/>
    <s v="Electronics"/>
    <n v="3"/>
    <n v="1092.0899999999999"/>
    <n v="3276.27"/>
    <n v="3276.2699999999995"/>
    <n v="0"/>
    <s v="Belgium"/>
    <x v="1"/>
  </r>
  <r>
    <n v="2024005095"/>
    <x v="336"/>
    <n v="2024"/>
    <x v="204"/>
    <s v="PROD_003"/>
    <s v="USB-C Cable"/>
    <s v="Electronics"/>
    <n v="4"/>
    <n v="15.05"/>
    <n v="60.2"/>
    <n v="60.2"/>
    <n v="0"/>
    <s v="Italy"/>
    <x v="0"/>
  </r>
  <r>
    <n v="2024005096"/>
    <x v="164"/>
    <n v="2024"/>
    <x v="121"/>
    <s v="PROD_010"/>
    <s v="Webcam HD"/>
    <s v="Electronics"/>
    <n v="4"/>
    <n v="85.18"/>
    <n v="340.72"/>
    <n v="340.72"/>
    <n v="0"/>
    <s v="Belgium"/>
    <x v="1"/>
  </r>
  <r>
    <n v="2024005097"/>
    <x v="50"/>
    <n v="2024"/>
    <x v="173"/>
    <s v="PROD_005"/>
    <s v="Standing Desk"/>
    <s v="Furniture"/>
    <n v="2"/>
    <n v="635.83000000000004"/>
    <n v="1271.6600000000001"/>
    <n v="1271.6600000000001"/>
    <n v="0"/>
    <s v="Netherlands"/>
    <x v="3"/>
  </r>
  <r>
    <n v="2024005098"/>
    <x v="326"/>
    <n v="2024"/>
    <x v="0"/>
    <s v="PROD_002"/>
    <s v="Wireless Mouse"/>
    <s v="Electronics"/>
    <n v="2"/>
    <n v="43.98"/>
    <n v="87.96"/>
    <n v="87.96"/>
    <n v="0"/>
    <s v="Netherlands"/>
    <x v="1"/>
  </r>
  <r>
    <n v="2024005099"/>
    <x v="320"/>
    <n v="2024"/>
    <x v="113"/>
    <s v="PROD_002"/>
    <s v="Wireless Mouse"/>
    <s v="Electronics"/>
    <n v="1"/>
    <n v="47.82"/>
    <n v="47.82"/>
    <n v="47.82"/>
    <n v="0"/>
    <s v="UK"/>
    <x v="1"/>
  </r>
  <r>
    <n v="2024005100"/>
    <x v="315"/>
    <n v="2024"/>
    <x v="206"/>
    <s v="PROD_005"/>
    <s v="Standing Desk"/>
    <s v="Furniture"/>
    <n v="2"/>
    <n v="623.39"/>
    <n v="1246.78"/>
    <n v="1246.78"/>
    <n v="0"/>
    <s v="Sweden"/>
    <x v="1"/>
  </r>
  <r>
    <n v="2024005101"/>
    <x v="263"/>
    <n v="2024"/>
    <x v="211"/>
    <s v="PROD_005"/>
    <s v="Standing Desk"/>
    <s v="Furniture"/>
    <n v="1"/>
    <n v="569.39"/>
    <n v="569.39"/>
    <n v="569.39"/>
    <n v="0"/>
    <s v="Germany"/>
    <x v="0"/>
  </r>
  <r>
    <n v="2024005102"/>
    <x v="225"/>
    <n v="2024"/>
    <x v="142"/>
    <s v="PROD_009"/>
    <s v="Phone Stand"/>
    <s v="Accessories"/>
    <n v="2"/>
    <n v="26.14"/>
    <n v="52.28"/>
    <n v="52.28"/>
    <n v="0"/>
    <s v="Netherlands"/>
    <x v="2"/>
  </r>
  <r>
    <n v="2024005103"/>
    <x v="277"/>
    <n v="2024"/>
    <x v="218"/>
    <s v="PROD_007"/>
    <s v="Keyboard Mechanical"/>
    <s v="Electronics"/>
    <n v="1"/>
    <n v="124.14"/>
    <n v="124.14"/>
    <n v="124.14"/>
    <n v="0"/>
    <s v="Switzerland"/>
    <x v="2"/>
  </r>
  <r>
    <n v="2024005104"/>
    <x v="361"/>
    <n v="2024"/>
    <x v="235"/>
    <s v="PROD_005"/>
    <s v="Standing Desk"/>
    <s v="Furniture"/>
    <n v="3"/>
    <n v="633.86"/>
    <n v="1901.58"/>
    <n v="1901.58"/>
    <n v="0"/>
    <s v="Austria"/>
    <x v="0"/>
  </r>
  <r>
    <n v="2024005105"/>
    <x v="333"/>
    <n v="2024"/>
    <x v="0"/>
    <s v="PROD_005"/>
    <s v="Standing Desk"/>
    <s v="Furniture"/>
    <n v="1"/>
    <n v="526.61"/>
    <n v="526.61"/>
    <n v="526.61"/>
    <n v="0"/>
    <s v="UK"/>
    <x v="0"/>
  </r>
  <r>
    <n v="2024005106"/>
    <x v="208"/>
    <n v="2024"/>
    <x v="235"/>
    <s v="PROD_010"/>
    <s v="Webcam HD"/>
    <s v="Electronics"/>
    <n v="1"/>
    <n v="96.97"/>
    <n v="96.97"/>
    <n v="96.97"/>
    <n v="0"/>
    <s v="Belgium"/>
    <x v="2"/>
  </r>
  <r>
    <n v="2024005107"/>
    <x v="320"/>
    <n v="2024"/>
    <x v="285"/>
    <s v="PROD_007"/>
    <s v="Keyboard Mechanical"/>
    <s v="Electronics"/>
    <n v="3"/>
    <n v="123.59"/>
    <n v="370.77"/>
    <n v="370.77"/>
    <n v="0"/>
    <s v="Italy"/>
    <x v="1"/>
  </r>
  <r>
    <n v="2024005108"/>
    <x v="100"/>
    <n v="2024"/>
    <x v="157"/>
    <s v="PROD_005"/>
    <s v="Standing Desk"/>
    <s v="Furniture"/>
    <n v="3"/>
    <n v="601.08000000000004"/>
    <n v="1803.24"/>
    <n v="1803.2400000000002"/>
    <n v="0"/>
    <s v="Spain"/>
    <x v="1"/>
  </r>
  <r>
    <n v="2024005109"/>
    <x v="246"/>
    <n v="2024"/>
    <x v="277"/>
    <s v="PROD_010"/>
    <s v="Webcam HD"/>
    <s v="Electronics"/>
    <n v="2"/>
    <n v="101.46"/>
    <n v="202.92"/>
    <n v="202.92"/>
    <n v="0"/>
    <s v="Netherlands"/>
    <x v="2"/>
  </r>
  <r>
    <n v="2024005110"/>
    <x v="80"/>
    <n v="2024"/>
    <x v="252"/>
    <s v="PROD_003"/>
    <s v="USB-C Cable"/>
    <s v="Electronics"/>
    <n v="2"/>
    <n v="14.77"/>
    <n v="29.54"/>
    <n v="29.54"/>
    <n v="0"/>
    <s v="UK"/>
    <x v="1"/>
  </r>
  <r>
    <n v="2024005111"/>
    <x v="251"/>
    <n v="2024"/>
    <x v="276"/>
    <s v="PROD_003"/>
    <s v="USB-C Cable"/>
    <s v="Electronics"/>
    <n v="2"/>
    <n v="15.93"/>
    <n v="31.86"/>
    <n v="31.86"/>
    <n v="0"/>
    <s v="Italy"/>
    <x v="2"/>
  </r>
  <r>
    <n v="2024005112"/>
    <x v="198"/>
    <n v="2024"/>
    <x v="0"/>
    <s v="PROD_005"/>
    <s v="Standing Desk"/>
    <s v="Furniture"/>
    <n v="2"/>
    <n v="588.45000000000005"/>
    <n v="1176.9000000000001"/>
    <n v="1176.9000000000001"/>
    <n v="0"/>
    <s v="Sweden"/>
    <x v="2"/>
  </r>
  <r>
    <n v="2024005113"/>
    <x v="58"/>
    <n v="2024"/>
    <x v="163"/>
    <s v="PROD_010"/>
    <s v="Webcam HD"/>
    <s v="Electronics"/>
    <n v="2"/>
    <n v="89.17"/>
    <n v="178.34"/>
    <n v="178.34"/>
    <n v="0"/>
    <s v="Austria"/>
    <x v="1"/>
  </r>
  <r>
    <n v="2024005114"/>
    <x v="200"/>
    <n v="2024"/>
    <x v="0"/>
    <s v="PROD_007"/>
    <s v="Keyboard Mechanical"/>
    <s v="Electronics"/>
    <n v="3"/>
    <n v="117.02"/>
    <n v="351.06"/>
    <n v="351.06"/>
    <n v="0"/>
    <s v="Germany"/>
    <x v="1"/>
  </r>
  <r>
    <n v="2024005115"/>
    <x v="13"/>
    <n v="2024"/>
    <x v="198"/>
    <s v="PROD_004"/>
    <s v="Desk Chair"/>
    <s v="Furniture"/>
    <n v="3"/>
    <n v="370.51"/>
    <n v="1111.53"/>
    <n v="1111.53"/>
    <n v="0"/>
    <s v="Switzerland"/>
    <x v="3"/>
  </r>
  <r>
    <n v="2024005116"/>
    <x v="198"/>
    <n v="2024"/>
    <x v="29"/>
    <s v="PROD_004"/>
    <s v="Desk Chair"/>
    <s v="Furniture"/>
    <n v="2"/>
    <n v="316.92"/>
    <n v="633.84"/>
    <n v="633.84"/>
    <n v="0"/>
    <s v="Belgium"/>
    <x v="0"/>
  </r>
  <r>
    <n v="2024005117"/>
    <x v="222"/>
    <n v="2024"/>
    <x v="11"/>
    <s v="PROD_007"/>
    <s v="Keyboard Mechanical"/>
    <s v="Electronics"/>
    <n v="1"/>
    <n v="124.89"/>
    <n v="124.89"/>
    <n v="124.89"/>
    <n v="0"/>
    <s v="UK"/>
    <x v="2"/>
  </r>
  <r>
    <n v="2024005118"/>
    <x v="89"/>
    <n v="2024"/>
    <x v="297"/>
    <s v="PROD_005"/>
    <s v="Standing Desk"/>
    <s v="Furniture"/>
    <n v="1"/>
    <n v="607.78"/>
    <n v="607.78"/>
    <n v="607.78"/>
    <n v="0"/>
    <s v="UK"/>
    <x v="3"/>
  </r>
  <r>
    <n v="2024005119"/>
    <x v="254"/>
    <n v="2024"/>
    <x v="243"/>
    <s v="PROD_010"/>
    <s v="Webcam HD"/>
    <s v="Electronics"/>
    <n v="2"/>
    <n v="85.62"/>
    <n v="171.24"/>
    <n v="171.24"/>
    <n v="0"/>
    <s v="Germany"/>
    <x v="1"/>
  </r>
  <r>
    <n v="2024005120"/>
    <x v="287"/>
    <n v="2024"/>
    <x v="46"/>
    <s v="PROD_004"/>
    <s v="Desk Chair"/>
    <s v="Furniture"/>
    <n v="3"/>
    <n v="369.15"/>
    <n v="1107.45"/>
    <n v="1107.4499999999998"/>
    <n v="0"/>
    <s v="UK"/>
    <x v="2"/>
  </r>
  <r>
    <n v="2024005121"/>
    <x v="366"/>
    <n v="2024"/>
    <x v="0"/>
    <s v="PROD_005"/>
    <s v="Standing Desk"/>
    <s v="Furniture"/>
    <n v="1"/>
    <n v="635.96"/>
    <n v="635.96"/>
    <n v="635.96"/>
    <n v="0"/>
    <s v="UK"/>
    <x v="3"/>
  </r>
  <r>
    <n v="2024005122"/>
    <x v="352"/>
    <n v="2024"/>
    <x v="224"/>
    <s v="PROD_001"/>
    <s v="Laptop Pro"/>
    <s v="Electronics"/>
    <n v="2"/>
    <n v="1179.74"/>
    <n v="2359.48"/>
    <n v="2359.48"/>
    <n v="0"/>
    <s v="Netherlands"/>
    <x v="2"/>
  </r>
  <r>
    <n v="2024005123"/>
    <x v="338"/>
    <n v="2024"/>
    <x v="79"/>
    <s v="PROD_001"/>
    <s v="Laptop Pro"/>
    <s v="Electronics"/>
    <n v="2"/>
    <n v="1152.1099999999999"/>
    <n v="2304.2199999999998"/>
    <n v="2304.2199999999998"/>
    <n v="0"/>
    <s v="France"/>
    <x v="0"/>
  </r>
  <r>
    <n v="2024005124"/>
    <x v="180"/>
    <n v="2024"/>
    <x v="91"/>
    <s v="PROD_001"/>
    <s v="Laptop Pro"/>
    <s v="Electronics"/>
    <n v="1"/>
    <n v="1191.46"/>
    <n v="1191.46"/>
    <n v="1191.46"/>
    <n v="0"/>
    <s v="Germany"/>
    <x v="2"/>
  </r>
  <r>
    <n v="2024005125"/>
    <x v="348"/>
    <n v="2024"/>
    <x v="150"/>
    <s v="PROD_002"/>
    <s v="Wireless Mouse"/>
    <s v="Electronics"/>
    <n v="3"/>
    <n v="47.84"/>
    <n v="143.52000000000001"/>
    <n v="143.52000000000001"/>
    <n v="0"/>
    <s v="Sweden"/>
    <x v="0"/>
  </r>
  <r>
    <n v="2024005126"/>
    <x v="0"/>
    <n v="2024"/>
    <x v="5"/>
    <s v="PROD_001"/>
    <s v="Laptop Pro"/>
    <s v="Electronics"/>
    <n v="3"/>
    <n v="1208.33"/>
    <n v="3624.99"/>
    <n v="3624.99"/>
    <n v="0"/>
    <s v="Switzerland"/>
    <x v="2"/>
  </r>
  <r>
    <n v="2024005127"/>
    <x v="207"/>
    <n v="2024"/>
    <x v="99"/>
    <s v="PROD_006"/>
    <s v="Monitor 27&quot;"/>
    <s v="Electronics"/>
    <n v="1"/>
    <n v="384.56"/>
    <n v="384.56"/>
    <n v="384.56"/>
    <n v="0"/>
    <s v="France"/>
    <x v="1"/>
  </r>
  <r>
    <n v="2024005128"/>
    <x v="7"/>
    <n v="2024"/>
    <x v="0"/>
    <s v="PROD_006"/>
    <s v="Monitor 27&quot;"/>
    <s v="Electronics"/>
    <n v="1"/>
    <n v="429.18"/>
    <n v="429.18"/>
    <n v="429.18"/>
    <n v="0"/>
    <s v="Austria"/>
    <x v="2"/>
  </r>
  <r>
    <n v="2024005129"/>
    <x v="98"/>
    <n v="2024"/>
    <x v="181"/>
    <s v="PROD_008"/>
    <s v="Desk Lamp"/>
    <s v="Furniture"/>
    <n v="1"/>
    <n v="81.08"/>
    <n v="81.08"/>
    <n v="81.08"/>
    <n v="0"/>
    <s v="France"/>
    <x v="0"/>
  </r>
  <r>
    <n v="2024005130"/>
    <x v="258"/>
    <n v="2024"/>
    <x v="268"/>
    <s v="PROD_007"/>
    <s v="Keyboard Mechanical"/>
    <s v="Electronics"/>
    <n v="2"/>
    <n v="123.7"/>
    <n v="247.4"/>
    <n v="247.4"/>
    <n v="0"/>
    <s v="Austria"/>
    <x v="3"/>
  </r>
  <r>
    <n v="2024005131"/>
    <x v="183"/>
    <n v="2024"/>
    <x v="191"/>
    <s v="PROD_006"/>
    <s v="Monitor 27&quot;"/>
    <s v="Electronics"/>
    <n v="3"/>
    <n v="423.51"/>
    <n v="1270.53"/>
    <n v="1270.53"/>
    <n v="0"/>
    <s v="Austria"/>
    <x v="2"/>
  </r>
  <r>
    <n v="2024005132"/>
    <x v="3"/>
    <n v="2024"/>
    <x v="285"/>
    <s v="PROD_008"/>
    <s v="Desk Lamp"/>
    <s v="Furniture"/>
    <n v="3"/>
    <n v="90.85"/>
    <n v="272.55"/>
    <n v="272.54999999999995"/>
    <n v="0"/>
    <s v="France"/>
    <x v="0"/>
  </r>
  <r>
    <n v="2024005133"/>
    <x v="155"/>
    <n v="2024"/>
    <x v="133"/>
    <s v="PROD_009"/>
    <s v="Phone Stand"/>
    <s v="Accessories"/>
    <n v="3"/>
    <n v="26.44"/>
    <n v="79.319999999999993"/>
    <n v="79.320000000000007"/>
    <n v="0"/>
    <s v="Netherlands"/>
    <x v="3"/>
  </r>
  <r>
    <n v="2024005134"/>
    <x v="251"/>
    <n v="2024"/>
    <x v="27"/>
    <s v="PROD_010"/>
    <s v="Webcam HD"/>
    <s v="Electronics"/>
    <n v="3"/>
    <n v="89.06"/>
    <n v="267.18"/>
    <n v="267.18"/>
    <n v="0"/>
    <s v="Austria"/>
    <x v="0"/>
  </r>
  <r>
    <n v="2024005135"/>
    <x v="253"/>
    <n v="2024"/>
    <x v="7"/>
    <s v="PROD_001"/>
    <s v="Laptop Pro"/>
    <s v="Electronics"/>
    <n v="1"/>
    <n v="1164.5999999999999"/>
    <n v="1164.5999999999999"/>
    <n v="1164.5999999999999"/>
    <n v="0"/>
    <s v="Spain"/>
    <x v="2"/>
  </r>
  <r>
    <n v="2024005136"/>
    <x v="173"/>
    <n v="2024"/>
    <x v="142"/>
    <s v="PROD_007"/>
    <s v="Keyboard Mechanical"/>
    <s v="Electronics"/>
    <n v="1"/>
    <n v="119.14"/>
    <n v="119.14"/>
    <n v="119.14"/>
    <n v="0"/>
    <s v="Austria"/>
    <x v="0"/>
  </r>
  <r>
    <n v="2024005137"/>
    <x v="329"/>
    <n v="2024"/>
    <x v="0"/>
    <s v="PROD_005"/>
    <s v="Standing Desk"/>
    <s v="Furniture"/>
    <n v="2"/>
    <n v="624.78"/>
    <n v="1249.56"/>
    <n v="1249.56"/>
    <n v="0"/>
    <s v="Germany"/>
    <x v="3"/>
  </r>
  <r>
    <n v="2024005138"/>
    <x v="254"/>
    <n v="2024"/>
    <x v="146"/>
    <s v="PROD_008"/>
    <s v="Desk Lamp"/>
    <s v="Furniture"/>
    <n v="4"/>
    <n v="78.37"/>
    <n v="313.48"/>
    <n v="313.48"/>
    <n v="0"/>
    <s v="Italy"/>
    <x v="2"/>
  </r>
  <r>
    <n v="2024005139"/>
    <x v="95"/>
    <n v="2024"/>
    <x v="66"/>
    <s v="PROD_004"/>
    <s v="Desk Chair"/>
    <s v="Furniture"/>
    <n v="1"/>
    <n v="365.33"/>
    <n v="365.33"/>
    <n v="365.33"/>
    <n v="0"/>
    <s v="UK"/>
    <x v="3"/>
  </r>
  <r>
    <n v="2024005140"/>
    <x v="117"/>
    <n v="2024"/>
    <x v="236"/>
    <s v="PROD_003"/>
    <s v="USB-C Cable"/>
    <s v="Electronics"/>
    <n v="1"/>
    <n v="13.95"/>
    <n v="13.95"/>
    <n v="13.95"/>
    <n v="0"/>
    <s v="Germany"/>
    <x v="3"/>
  </r>
  <r>
    <n v="2024005141"/>
    <x v="57"/>
    <n v="2024"/>
    <x v="0"/>
    <s v="PROD_003"/>
    <s v="USB-C Cable"/>
    <s v="Electronics"/>
    <n v="2"/>
    <n v="13.81"/>
    <n v="27.62"/>
    <n v="27.62"/>
    <n v="0"/>
    <s v="Austria"/>
    <x v="3"/>
  </r>
  <r>
    <n v="2024005142"/>
    <x v="91"/>
    <n v="2024"/>
    <x v="173"/>
    <s v="PROD_004"/>
    <s v="Desk Chair"/>
    <s v="Furniture"/>
    <n v="1"/>
    <n v="370.02"/>
    <n v="370.02"/>
    <n v="370.02"/>
    <n v="0"/>
    <s v="Sweden"/>
    <x v="0"/>
  </r>
  <r>
    <n v="2024005143"/>
    <x v="175"/>
    <n v="2024"/>
    <x v="87"/>
    <s v="PROD_003"/>
    <s v="USB-C Cable"/>
    <s v="Electronics"/>
    <n v="1"/>
    <n v="14.38"/>
    <n v="14.38"/>
    <n v="14.38"/>
    <n v="0"/>
    <s v="Austria"/>
    <x v="0"/>
  </r>
  <r>
    <n v="2024005144"/>
    <x v="196"/>
    <n v="2024"/>
    <x v="0"/>
    <s v="PROD_006"/>
    <s v="Monitor 27&quot;"/>
    <s v="Electronics"/>
    <n v="5"/>
    <n v="391.07"/>
    <n v="1955.35"/>
    <n v="1955.35"/>
    <n v="0"/>
    <s v="Austria"/>
    <x v="1"/>
  </r>
  <r>
    <n v="2024005145"/>
    <x v="305"/>
    <n v="2024"/>
    <x v="54"/>
    <s v="PROD_004"/>
    <s v="Desk Chair"/>
    <s v="Furniture"/>
    <n v="1"/>
    <n v="345.91"/>
    <n v="345.91"/>
    <n v="345.91"/>
    <n v="0"/>
    <s v="Netherlands"/>
    <x v="2"/>
  </r>
  <r>
    <n v="2024005146"/>
    <x v="221"/>
    <n v="2024"/>
    <x v="172"/>
    <s v="PROD_003"/>
    <s v="USB-C Cable"/>
    <s v="Electronics"/>
    <n v="1"/>
    <n v="14.46"/>
    <n v="14.46"/>
    <n v="14.46"/>
    <n v="0"/>
    <s v="Switzerland"/>
    <x v="1"/>
  </r>
  <r>
    <n v="2024005147"/>
    <x v="172"/>
    <n v="2024"/>
    <x v="173"/>
    <s v="PROD_009"/>
    <s v="Phone Stand"/>
    <s v="Accessories"/>
    <n v="1"/>
    <n v="25.09"/>
    <n v="25.09"/>
    <n v="25.09"/>
    <n v="0"/>
    <s v="Netherlands"/>
    <x v="1"/>
  </r>
  <r>
    <n v="2024005148"/>
    <x v="161"/>
    <n v="2024"/>
    <x v="175"/>
    <s v="PROD_010"/>
    <s v="Webcam HD"/>
    <s v="Electronics"/>
    <n v="1"/>
    <n v="90.62"/>
    <n v="90.62"/>
    <n v="90.62"/>
    <n v="0"/>
    <s v="Italy"/>
    <x v="0"/>
  </r>
  <r>
    <n v="2024005149"/>
    <x v="24"/>
    <n v="2024"/>
    <x v="0"/>
    <s v="PROD_010"/>
    <s v="Webcam HD"/>
    <s v="Electronics"/>
    <n v="1"/>
    <n v="98.17"/>
    <n v="98.17"/>
    <n v="98.17"/>
    <n v="0"/>
    <s v="Italy"/>
    <x v="3"/>
  </r>
  <r>
    <n v="2024005150"/>
    <x v="145"/>
    <n v="2024"/>
    <x v="27"/>
    <s v="PROD_010"/>
    <s v="Webcam HD"/>
    <s v="Electronics"/>
    <n v="1"/>
    <n v="93.91"/>
    <n v="93.91"/>
    <n v="93.91"/>
    <n v="0"/>
    <s v="Netherlands"/>
    <x v="0"/>
  </r>
  <r>
    <n v="2024005151"/>
    <x v="302"/>
    <n v="2024"/>
    <x v="272"/>
    <s v="PROD_003"/>
    <s v="USB-C Cable"/>
    <s v="Electronics"/>
    <n v="1"/>
    <n v="14.37"/>
    <n v="14.37"/>
    <n v="14.37"/>
    <n v="0"/>
    <s v="France"/>
    <x v="2"/>
  </r>
  <r>
    <n v="2024005152"/>
    <x v="193"/>
    <n v="2024"/>
    <x v="91"/>
    <s v="PROD_003"/>
    <s v="USB-C Cable"/>
    <s v="Electronics"/>
    <n v="1"/>
    <n v="15.18"/>
    <n v="15.18"/>
    <n v="15.18"/>
    <n v="0"/>
    <s v="France"/>
    <x v="3"/>
  </r>
  <r>
    <n v="2024005153"/>
    <x v="243"/>
    <n v="2024"/>
    <x v="296"/>
    <s v="PROD_002"/>
    <s v="Wireless Mouse"/>
    <s v="Electronics"/>
    <n v="2"/>
    <n v="45.75"/>
    <n v="91.5"/>
    <n v="91.5"/>
    <n v="0"/>
    <s v="Austria"/>
    <x v="3"/>
  </r>
  <r>
    <n v="2024005154"/>
    <x v="69"/>
    <n v="2024"/>
    <x v="294"/>
    <s v="PROD_008"/>
    <s v="Desk Lamp"/>
    <s v="Furniture"/>
    <n v="1"/>
    <n v="85.86"/>
    <n v="85.86"/>
    <n v="85.86"/>
    <n v="0"/>
    <s v="France"/>
    <x v="0"/>
  </r>
  <r>
    <n v="2024005155"/>
    <x v="157"/>
    <n v="2024"/>
    <x v="192"/>
    <s v="PROD_006"/>
    <s v="Monitor 27&quot;"/>
    <s v="Electronics"/>
    <n v="1"/>
    <n v="379.69"/>
    <n v="379.69"/>
    <n v="379.69"/>
    <n v="0"/>
    <s v="UK"/>
    <x v="0"/>
  </r>
  <r>
    <n v="2024005156"/>
    <x v="171"/>
    <n v="2024"/>
    <x v="139"/>
    <s v="PROD_004"/>
    <s v="Desk Chair"/>
    <s v="Furniture"/>
    <n v="1"/>
    <n v="336.19"/>
    <n v="336.19"/>
    <n v="336.19"/>
    <n v="0"/>
    <s v="Netherlands"/>
    <x v="3"/>
  </r>
  <r>
    <n v="2024005157"/>
    <x v="16"/>
    <n v="2024"/>
    <x v="28"/>
    <s v="PROD_002"/>
    <s v="Wireless Mouse"/>
    <s v="Electronics"/>
    <n v="1"/>
    <n v="42.12"/>
    <n v="42.12"/>
    <n v="42.12"/>
    <n v="0"/>
    <s v="UK"/>
    <x v="0"/>
  </r>
  <r>
    <n v="2024005158"/>
    <x v="188"/>
    <n v="2024"/>
    <x v="0"/>
    <s v="PROD_010"/>
    <s v="Webcam HD"/>
    <s v="Electronics"/>
    <n v="2"/>
    <n v="82.02"/>
    <n v="164.04"/>
    <n v="164.04"/>
    <n v="0"/>
    <s v="Italy"/>
    <x v="1"/>
  </r>
  <r>
    <n v="2024005159"/>
    <x v="3"/>
    <n v="2024"/>
    <x v="15"/>
    <s v="PROD_006"/>
    <s v="Monitor 27&quot;"/>
    <s v="Electronics"/>
    <n v="2"/>
    <n v="400.58"/>
    <n v="801.16"/>
    <n v="801.16"/>
    <n v="0"/>
    <s v="Germany"/>
    <x v="0"/>
  </r>
  <r>
    <n v="2024005160"/>
    <x v="156"/>
    <n v="2024"/>
    <x v="229"/>
    <s v="PROD_006"/>
    <s v="Monitor 27&quot;"/>
    <s v="Electronics"/>
    <n v="2"/>
    <n v="397.56"/>
    <n v="795.12"/>
    <n v="795.12"/>
    <n v="0"/>
    <s v="Belgium"/>
    <x v="1"/>
  </r>
  <r>
    <n v="2024005161"/>
    <x v="104"/>
    <n v="2024"/>
    <x v="79"/>
    <s v="PROD_002"/>
    <s v="Wireless Mouse"/>
    <s v="Electronics"/>
    <n v="3"/>
    <n v="43.41"/>
    <n v="130.22999999999999"/>
    <n v="130.22999999999999"/>
    <n v="0"/>
    <s v="Austria"/>
    <x v="0"/>
  </r>
  <r>
    <n v="2024005162"/>
    <x v="253"/>
    <n v="2024"/>
    <x v="266"/>
    <s v="PROD_002"/>
    <s v="Wireless Mouse"/>
    <s v="Electronics"/>
    <n v="1"/>
    <n v="44.25"/>
    <n v="44.25"/>
    <n v="44.25"/>
    <n v="0"/>
    <s v="Austria"/>
    <x v="0"/>
  </r>
  <r>
    <n v="2024005163"/>
    <x v="225"/>
    <n v="2024"/>
    <x v="167"/>
    <s v="PROD_002"/>
    <s v="Wireless Mouse"/>
    <s v="Electronics"/>
    <n v="1"/>
    <n v="42.45"/>
    <n v="42.45"/>
    <n v="42.45"/>
    <n v="0"/>
    <s v="Belgium"/>
    <x v="3"/>
  </r>
  <r>
    <n v="2024005164"/>
    <x v="280"/>
    <n v="2024"/>
    <x v="24"/>
    <s v="PROD_006"/>
    <s v="Monitor 27&quot;"/>
    <s v="Electronics"/>
    <n v="2"/>
    <n v="388.58"/>
    <n v="777.16"/>
    <n v="777.16"/>
    <n v="0"/>
    <s v="UK"/>
    <x v="1"/>
  </r>
  <r>
    <n v="2024005165"/>
    <x v="190"/>
    <n v="2024"/>
    <x v="26"/>
    <s v="PROD_004"/>
    <s v="Desk Chair"/>
    <s v="Furniture"/>
    <n v="1"/>
    <n v="342.13"/>
    <n v="342.13"/>
    <n v="342.13"/>
    <n v="0"/>
    <s v="Austria"/>
    <x v="0"/>
  </r>
  <r>
    <n v="2024005166"/>
    <x v="306"/>
    <n v="2024"/>
    <x v="49"/>
    <s v="PROD_009"/>
    <s v="Phone Stand"/>
    <s v="Accessories"/>
    <n v="3"/>
    <n v="24.2"/>
    <n v="72.599999999999994"/>
    <n v="72.599999999999994"/>
    <n v="0"/>
    <s v="Austria"/>
    <x v="2"/>
  </r>
  <r>
    <n v="2024005167"/>
    <x v="63"/>
    <n v="2024"/>
    <x v="124"/>
    <s v="PROD_004"/>
    <s v="Desk Chair"/>
    <s v="Furniture"/>
    <n v="1"/>
    <n v="359.98"/>
    <n v="359.98"/>
    <n v="359.98"/>
    <n v="0"/>
    <s v="Belgium"/>
    <x v="1"/>
  </r>
  <r>
    <n v="2024005168"/>
    <x v="272"/>
    <n v="2024"/>
    <x v="164"/>
    <s v="PROD_009"/>
    <s v="Phone Stand"/>
    <s v="Accessories"/>
    <n v="1"/>
    <n v="24.34"/>
    <n v="24.34"/>
    <n v="24.34"/>
    <n v="0"/>
    <s v="Austria"/>
    <x v="1"/>
  </r>
  <r>
    <n v="2024005169"/>
    <x v="144"/>
    <n v="2024"/>
    <x v="211"/>
    <s v="PROD_004"/>
    <s v="Desk Chair"/>
    <s v="Furniture"/>
    <n v="3"/>
    <n v="358.6"/>
    <n v="1075.8"/>
    <n v="1075.8000000000002"/>
    <n v="0"/>
    <s v="Switzerland"/>
    <x v="0"/>
  </r>
  <r>
    <n v="2024005170"/>
    <x v="174"/>
    <n v="2024"/>
    <x v="64"/>
    <s v="PROD_009"/>
    <s v="Phone Stand"/>
    <s v="Accessories"/>
    <n v="1"/>
    <n v="26.01"/>
    <n v="26.01"/>
    <n v="26.01"/>
    <n v="0"/>
    <s v="Italy"/>
    <x v="0"/>
  </r>
  <r>
    <n v="2024005171"/>
    <x v="296"/>
    <n v="2024"/>
    <x v="273"/>
    <s v="PROD_002"/>
    <s v="Wireless Mouse"/>
    <s v="Electronics"/>
    <n v="2"/>
    <n v="46.38"/>
    <n v="92.76"/>
    <n v="92.76"/>
    <n v="0"/>
    <s v="Netherlands"/>
    <x v="1"/>
  </r>
  <r>
    <n v="2024005172"/>
    <x v="353"/>
    <n v="2024"/>
    <x v="255"/>
    <s v="PROD_002"/>
    <s v="Wireless Mouse"/>
    <s v="Electronics"/>
    <n v="0"/>
    <n v="48.25"/>
    <n v="0"/>
    <n v="0"/>
    <n v="0"/>
    <s v="Switzerland"/>
    <x v="1"/>
  </r>
  <r>
    <n v="2024005173"/>
    <x v="98"/>
    <n v="2024"/>
    <x v="0"/>
    <s v="PROD_009"/>
    <s v="Phone Stand"/>
    <s v="Accessories"/>
    <n v="1"/>
    <n v="25.94"/>
    <n v="25.94"/>
    <n v="25.94"/>
    <n v="0"/>
    <s v="Italy"/>
    <x v="3"/>
  </r>
  <r>
    <n v="2024005174"/>
    <x v="351"/>
    <n v="2024"/>
    <x v="206"/>
    <s v="PROD_010"/>
    <s v="Webcam HD"/>
    <s v="Electronics"/>
    <n v="1"/>
    <n v="93.48"/>
    <n v="93.48"/>
    <n v="93.48"/>
    <n v="0"/>
    <s v="Spain"/>
    <x v="1"/>
  </r>
  <r>
    <n v="2024005175"/>
    <x v="308"/>
    <n v="2024"/>
    <x v="292"/>
    <s v="PROD_006"/>
    <s v="Monitor 27&quot;"/>
    <s v="Electronics"/>
    <n v="1"/>
    <n v="391.53"/>
    <n v="391.53"/>
    <n v="391.53"/>
    <n v="0"/>
    <s v="Sweden"/>
    <x v="1"/>
  </r>
  <r>
    <n v="2024005176"/>
    <x v="273"/>
    <n v="2024"/>
    <x v="197"/>
    <s v="PROD_004"/>
    <s v="Desk Chair"/>
    <s v="Furniture"/>
    <n v="1"/>
    <n v="357.81"/>
    <n v="357.81"/>
    <n v="357.81"/>
    <n v="0"/>
    <s v="Netherlands"/>
    <x v="0"/>
  </r>
  <r>
    <n v="2024005177"/>
    <x v="235"/>
    <n v="2024"/>
    <x v="192"/>
    <s v="PROD_009"/>
    <s v="Phone Stand"/>
    <s v="Accessories"/>
    <n v="2"/>
    <n v="24.87"/>
    <n v="49.74"/>
    <n v="49.74"/>
    <n v="0"/>
    <s v="UK"/>
    <x v="3"/>
  </r>
  <r>
    <n v="2024005178"/>
    <x v="176"/>
    <n v="2024"/>
    <x v="174"/>
    <s v="PROD_002"/>
    <s v="Wireless Mouse"/>
    <s v="Electronics"/>
    <n v="1"/>
    <n v="41.53"/>
    <n v="41.53"/>
    <n v="41.53"/>
    <n v="0"/>
    <s v="Sweden"/>
    <x v="2"/>
  </r>
  <r>
    <n v="2024005179"/>
    <x v="36"/>
    <n v="2024"/>
    <x v="179"/>
    <s v="PROD_003"/>
    <s v="USB-C Cable"/>
    <s v="Electronics"/>
    <n v="4"/>
    <n v="14.52"/>
    <n v="58.08"/>
    <n v="58.08"/>
    <n v="0"/>
    <s v="France"/>
    <x v="0"/>
  </r>
  <r>
    <n v="2024005180"/>
    <x v="313"/>
    <n v="2024"/>
    <x v="140"/>
    <s v="PROD_007"/>
    <s v="Keyboard Mechanical"/>
    <s v="Electronics"/>
    <n v="4"/>
    <n v="118.07"/>
    <n v="472.28"/>
    <n v="472.28"/>
    <n v="0"/>
    <s v="Germany"/>
    <x v="0"/>
  </r>
  <r>
    <n v="2024005181"/>
    <x v="254"/>
    <n v="2024"/>
    <x v="65"/>
    <s v="PROD_001"/>
    <s v="Laptop Pro"/>
    <s v="Electronics"/>
    <n v="1"/>
    <n v="1195.02"/>
    <n v="1195.02"/>
    <n v="1195.02"/>
    <n v="0"/>
    <s v="Switzerland"/>
    <x v="1"/>
  </r>
  <r>
    <n v="2024005182"/>
    <x v="248"/>
    <n v="2024"/>
    <x v="162"/>
    <s v="PROD_007"/>
    <s v="Keyboard Mechanical"/>
    <s v="Electronics"/>
    <n v="1"/>
    <n v="127.89"/>
    <n v="127.89"/>
    <n v="127.89"/>
    <n v="0"/>
    <s v="UK"/>
    <x v="1"/>
  </r>
  <r>
    <n v="2024005183"/>
    <x v="82"/>
    <n v="2024"/>
    <x v="292"/>
    <s v="PROD_008"/>
    <s v="Desk Lamp"/>
    <s v="Furniture"/>
    <n v="1"/>
    <n v="81.34"/>
    <n v="81.34"/>
    <n v="81.34"/>
    <n v="0"/>
    <s v="Sweden"/>
    <x v="2"/>
  </r>
  <r>
    <n v="2024005184"/>
    <x v="289"/>
    <n v="2024"/>
    <x v="2"/>
    <s v="PROD_001"/>
    <s v="Laptop Pro"/>
    <s v="Electronics"/>
    <n v="2"/>
    <n v="1141.4000000000001"/>
    <n v="2282.8000000000002"/>
    <n v="2282.8000000000002"/>
    <n v="0"/>
    <s v="Sweden"/>
    <x v="0"/>
  </r>
  <r>
    <n v="2024005185"/>
    <x v="332"/>
    <n v="2024"/>
    <x v="75"/>
    <s v="PROD_008"/>
    <s v="Desk Lamp"/>
    <s v="Furniture"/>
    <n v="1"/>
    <n v="72.8"/>
    <n v="72.8"/>
    <n v="72.8"/>
    <n v="0"/>
    <s v="Italy"/>
    <x v="0"/>
  </r>
  <r>
    <n v="2024005186"/>
    <x v="71"/>
    <n v="2024"/>
    <x v="166"/>
    <s v="PROD_005"/>
    <s v="Standing Desk"/>
    <s v="Furniture"/>
    <n v="1"/>
    <n v="603.89"/>
    <n v="603.89"/>
    <n v="603.89"/>
    <n v="0"/>
    <s v="Sweden"/>
    <x v="1"/>
  </r>
  <r>
    <n v="2024005187"/>
    <x v="163"/>
    <n v="2024"/>
    <x v="284"/>
    <s v="PROD_001"/>
    <s v="Laptop Pro"/>
    <s v="Electronics"/>
    <n v="1"/>
    <n v="1146.95"/>
    <n v="1146.95"/>
    <n v="1146.95"/>
    <n v="0"/>
    <s v="Netherlands"/>
    <x v="3"/>
  </r>
  <r>
    <n v="2024005188"/>
    <x v="207"/>
    <n v="2024"/>
    <x v="25"/>
    <s v="PROD_010"/>
    <s v="Webcam HD"/>
    <s v="Electronics"/>
    <n v="3"/>
    <n v="93.35"/>
    <n v="280.05"/>
    <n v="280.04999999999995"/>
    <n v="0"/>
    <s v="Belgium"/>
    <x v="0"/>
  </r>
  <r>
    <n v="2024005189"/>
    <x v="60"/>
    <n v="2024"/>
    <x v="222"/>
    <s v="PROD_006"/>
    <s v="Monitor 27&quot;"/>
    <s v="Electronics"/>
    <n v="2"/>
    <n v="389.33"/>
    <n v="778.66"/>
    <n v="778.66"/>
    <n v="0"/>
    <s v="Germany"/>
    <x v="0"/>
  </r>
  <r>
    <n v="2024005190"/>
    <x v="171"/>
    <n v="2024"/>
    <x v="0"/>
    <s v="PROD_004"/>
    <s v="Desk Chair"/>
    <s v="Furniture"/>
    <n v="1"/>
    <n v="354.81"/>
    <n v="354.81"/>
    <n v="354.81"/>
    <n v="0"/>
    <s v="Sweden"/>
    <x v="0"/>
  </r>
  <r>
    <n v="2024005191"/>
    <x v="215"/>
    <n v="2024"/>
    <x v="179"/>
    <s v="PROD_004"/>
    <s v="Desk Chair"/>
    <s v="Furniture"/>
    <n v="1"/>
    <n v="353.58"/>
    <n v="353.58"/>
    <n v="353.58"/>
    <n v="0"/>
    <s v="Spain"/>
    <x v="1"/>
  </r>
  <r>
    <n v="2024005192"/>
    <x v="62"/>
    <n v="2024"/>
    <x v="135"/>
    <s v="PROD_001"/>
    <s v="Laptop Pro"/>
    <s v="Electronics"/>
    <n v="2"/>
    <n v="1180.56"/>
    <n v="2361.12"/>
    <n v="2361.12"/>
    <n v="0"/>
    <s v="Spain"/>
    <x v="2"/>
  </r>
  <r>
    <n v="2024005193"/>
    <x v="212"/>
    <n v="2024"/>
    <x v="265"/>
    <s v="PROD_004"/>
    <s v="Desk Chair"/>
    <s v="Furniture"/>
    <n v="2"/>
    <n v="323.02999999999997"/>
    <n v="646.05999999999995"/>
    <n v="646.05999999999995"/>
    <n v="0"/>
    <s v="Netherlands"/>
    <x v="1"/>
  </r>
  <r>
    <n v="2024005194"/>
    <x v="74"/>
    <n v="2024"/>
    <x v="246"/>
    <s v="PROD_006"/>
    <s v="Monitor 27&quot;"/>
    <s v="Electronics"/>
    <n v="3"/>
    <n v="370.47"/>
    <n v="1111.4100000000001"/>
    <n v="1111.4100000000001"/>
    <n v="0"/>
    <s v="Switzerland"/>
    <x v="0"/>
  </r>
  <r>
    <n v="2024005195"/>
    <x v="118"/>
    <n v="2024"/>
    <x v="0"/>
    <s v="PROD_005"/>
    <s v="Standing Desk"/>
    <s v="Furniture"/>
    <n v="2"/>
    <n v="587.82000000000005"/>
    <n v="1175.6400000000001"/>
    <n v="1175.6400000000001"/>
    <n v="0"/>
    <s v="UK"/>
    <x v="0"/>
  </r>
  <r>
    <n v="2024005196"/>
    <x v="275"/>
    <n v="2024"/>
    <x v="0"/>
    <s v="PROD_008"/>
    <s v="Desk Lamp"/>
    <s v="Furniture"/>
    <n v="2"/>
    <n v="81.93"/>
    <n v="163.86"/>
    <n v="163.86"/>
    <n v="0"/>
    <s v="Sweden"/>
    <x v="2"/>
  </r>
  <r>
    <n v="2024005197"/>
    <x v="295"/>
    <n v="2024"/>
    <x v="295"/>
    <s v="PROD_006"/>
    <s v="Monitor 27&quot;"/>
    <s v="Electronics"/>
    <n v="1"/>
    <n v="414.48"/>
    <n v="414.48"/>
    <n v="414.48"/>
    <n v="0"/>
    <s v="Austria"/>
    <x v="1"/>
  </r>
  <r>
    <n v="2024005198"/>
    <x v="303"/>
    <n v="2024"/>
    <x v="76"/>
    <s v="PROD_002"/>
    <s v="Wireless Mouse"/>
    <s v="Electronics"/>
    <n v="2"/>
    <n v="44.21"/>
    <n v="88.42"/>
    <n v="88.42"/>
    <n v="0"/>
    <s v="Sweden"/>
    <x v="3"/>
  </r>
  <r>
    <n v="2024005199"/>
    <x v="132"/>
    <n v="2024"/>
    <x v="207"/>
    <s v="PROD_004"/>
    <s v="Desk Chair"/>
    <s v="Furniture"/>
    <n v="1"/>
    <n v="370.66"/>
    <n v="370.66"/>
    <n v="370.66"/>
    <n v="0"/>
    <s v="Germany"/>
    <x v="0"/>
  </r>
  <r>
    <n v="2024005200"/>
    <x v="83"/>
    <n v="2024"/>
    <x v="18"/>
    <s v="PROD_003"/>
    <s v="USB-C Cable"/>
    <s v="Electronics"/>
    <n v="1"/>
    <n v="16.22"/>
    <n v="16.22"/>
    <n v="16.22"/>
    <n v="0"/>
    <s v="Austria"/>
    <x v="1"/>
  </r>
  <r>
    <n v="2024005201"/>
    <x v="324"/>
    <n v="2024"/>
    <x v="217"/>
    <s v="PROD_006"/>
    <s v="Monitor 27&quot;"/>
    <s v="Electronics"/>
    <n v="4"/>
    <n v="403.92"/>
    <n v="1615.68"/>
    <n v="1615.68"/>
    <n v="0"/>
    <s v="Belgium"/>
    <x v="2"/>
  </r>
  <r>
    <n v="2024005202"/>
    <x v="156"/>
    <n v="2024"/>
    <x v="0"/>
    <s v="PROD_010"/>
    <s v="Webcam HD"/>
    <s v="Electronics"/>
    <n v="2"/>
    <n v="88.66"/>
    <n v="177.32"/>
    <n v="177.32"/>
    <n v="0"/>
    <s v="Switzerland"/>
    <x v="2"/>
  </r>
  <r>
    <n v="2024005203"/>
    <x v="261"/>
    <n v="2024"/>
    <x v="123"/>
    <s v="PROD_008"/>
    <s v="Desk Lamp"/>
    <s v="Furniture"/>
    <n v="4"/>
    <n v="77.930000000000007"/>
    <n v="311.72000000000003"/>
    <n v="311.72000000000003"/>
    <n v="0"/>
    <s v="Sweden"/>
    <x v="3"/>
  </r>
  <r>
    <n v="2024005204"/>
    <x v="313"/>
    <n v="2024"/>
    <x v="47"/>
    <s v="PROD_007"/>
    <s v="Keyboard Mechanical"/>
    <s v="Electronics"/>
    <n v="1"/>
    <n v="128.54"/>
    <n v="128.54"/>
    <n v="128.54"/>
    <n v="0"/>
    <s v="UK"/>
    <x v="3"/>
  </r>
  <r>
    <n v="2024005205"/>
    <x v="294"/>
    <n v="2024"/>
    <x v="89"/>
    <s v="PROD_001"/>
    <s v="Laptop Pro"/>
    <s v="Electronics"/>
    <n v="3"/>
    <n v="1226.92"/>
    <n v="3680.76"/>
    <n v="3680.76"/>
    <n v="0"/>
    <s v="Netherlands"/>
    <x v="1"/>
  </r>
  <r>
    <n v="2024005206"/>
    <x v="81"/>
    <n v="2024"/>
    <x v="95"/>
    <s v="PROD_007"/>
    <s v="Keyboard Mechanical"/>
    <s v="Electronics"/>
    <n v="1"/>
    <n v="117.24"/>
    <n v="117.24"/>
    <n v="117.24"/>
    <n v="0"/>
    <s v="UK"/>
    <x v="3"/>
  </r>
  <r>
    <n v="2024005207"/>
    <x v="80"/>
    <n v="2024"/>
    <x v="109"/>
    <s v="PROD_010"/>
    <s v="Webcam HD"/>
    <s v="Electronics"/>
    <n v="3"/>
    <n v="90.73"/>
    <n v="272.19"/>
    <n v="272.19"/>
    <n v="0"/>
    <s v="Spain"/>
    <x v="3"/>
  </r>
  <r>
    <n v="2024005208"/>
    <x v="218"/>
    <n v="2024"/>
    <x v="0"/>
    <s v="PROD_002"/>
    <s v="Wireless Mouse"/>
    <s v="Electronics"/>
    <n v="2"/>
    <n v="43.38"/>
    <n v="86.76"/>
    <n v="86.76"/>
    <n v="0"/>
    <s v="Austria"/>
    <x v="0"/>
  </r>
  <r>
    <n v="2024005209"/>
    <x v="287"/>
    <n v="2024"/>
    <x v="269"/>
    <s v="PROD_001"/>
    <s v="Laptop Pro"/>
    <s v="Electronics"/>
    <n v="2"/>
    <n v="1164.43"/>
    <n v="2328.86"/>
    <n v="2328.86"/>
    <n v="0"/>
    <s v="Spain"/>
    <x v="2"/>
  </r>
  <r>
    <n v="2024005210"/>
    <x v="129"/>
    <n v="2024"/>
    <x v="122"/>
    <s v="PROD_003"/>
    <s v="USB-C Cable"/>
    <s v="Electronics"/>
    <n v="3"/>
    <n v="14.6"/>
    <n v="43.8"/>
    <n v="43.8"/>
    <n v="0"/>
    <s v="Netherlands"/>
    <x v="1"/>
  </r>
  <r>
    <n v="2024005211"/>
    <x v="359"/>
    <n v="2024"/>
    <x v="66"/>
    <s v="PROD_005"/>
    <s v="Standing Desk"/>
    <s v="Furniture"/>
    <n v="1"/>
    <n v="623.09"/>
    <n v="623.09"/>
    <n v="623.09"/>
    <n v="0"/>
    <s v="Germany"/>
    <x v="0"/>
  </r>
  <r>
    <n v="2024005212"/>
    <x v="319"/>
    <n v="2024"/>
    <x v="196"/>
    <s v="PROD_006"/>
    <s v="Monitor 27&quot;"/>
    <s v="Electronics"/>
    <n v="1"/>
    <n v="425.21"/>
    <n v="425.21"/>
    <n v="425.21"/>
    <n v="0"/>
    <s v="Austria"/>
    <x v="2"/>
  </r>
  <r>
    <n v="2024005213"/>
    <x v="60"/>
    <n v="2024"/>
    <x v="282"/>
    <s v="PROD_001"/>
    <s v="Laptop Pro"/>
    <s v="Electronics"/>
    <n v="1"/>
    <n v="1188.49"/>
    <n v="1188.49"/>
    <n v="1188.49"/>
    <n v="0"/>
    <s v="Spain"/>
    <x v="1"/>
  </r>
  <r>
    <n v="2024005214"/>
    <x v="345"/>
    <n v="2024"/>
    <x v="229"/>
    <s v="PROD_010"/>
    <s v="Webcam HD"/>
    <s v="Electronics"/>
    <n v="1"/>
    <n v="91.34"/>
    <n v="91.34"/>
    <n v="91.34"/>
    <n v="0"/>
    <s v="Sweden"/>
    <x v="0"/>
  </r>
  <r>
    <n v="2024005215"/>
    <x v="275"/>
    <n v="2024"/>
    <x v="17"/>
    <s v="PROD_006"/>
    <s v="Monitor 27&quot;"/>
    <s v="Electronics"/>
    <n v="3"/>
    <n v="412.14"/>
    <n v="1236.42"/>
    <n v="1236.42"/>
    <n v="0"/>
    <s v="Switzerland"/>
    <x v="2"/>
  </r>
  <r>
    <n v="2024005216"/>
    <x v="327"/>
    <n v="2024"/>
    <x v="116"/>
    <s v="PROD_005"/>
    <s v="Standing Desk"/>
    <s v="Furniture"/>
    <n v="1"/>
    <n v="578.04999999999995"/>
    <n v="578.04999999999995"/>
    <n v="578.04999999999995"/>
    <n v="0"/>
    <s v="Switzerland"/>
    <x v="2"/>
  </r>
  <r>
    <n v="2024005217"/>
    <x v="254"/>
    <n v="2024"/>
    <x v="84"/>
    <s v="PROD_005"/>
    <s v="Standing Desk"/>
    <s v="Furniture"/>
    <n v="0"/>
    <n v="642.54"/>
    <n v="0"/>
    <n v="0"/>
    <n v="0"/>
    <s v="Netherlands"/>
    <x v="2"/>
  </r>
  <r>
    <n v="2024005218"/>
    <x v="11"/>
    <n v="2024"/>
    <x v="93"/>
    <s v="PROD_001"/>
    <s v="Laptop Pro"/>
    <s v="Electronics"/>
    <n v="1"/>
    <n v="1227.79"/>
    <n v="1227.79"/>
    <n v="1227.79"/>
    <n v="0"/>
    <s v="Austria"/>
    <x v="3"/>
  </r>
  <r>
    <n v="2024005219"/>
    <x v="260"/>
    <n v="2024"/>
    <x v="296"/>
    <s v="PROD_008"/>
    <s v="Desk Lamp"/>
    <s v="Furniture"/>
    <n v="1"/>
    <n v="78.569999999999993"/>
    <n v="78.569999999999993"/>
    <n v="78.569999999999993"/>
    <n v="0"/>
    <s v="Austria"/>
    <x v="3"/>
  </r>
  <r>
    <n v="2024005220"/>
    <x v="174"/>
    <n v="2024"/>
    <x v="60"/>
    <s v="PROD_003"/>
    <s v="USB-C Cable"/>
    <s v="Electronics"/>
    <n v="1"/>
    <n v="15.15"/>
    <n v="15.15"/>
    <n v="15.15"/>
    <n v="0"/>
    <s v="Austria"/>
    <x v="0"/>
  </r>
  <r>
    <n v="2024005221"/>
    <x v="127"/>
    <n v="2024"/>
    <x v="78"/>
    <s v="PROD_008"/>
    <s v="Desk Lamp"/>
    <s v="Furniture"/>
    <n v="1"/>
    <n v="78.180000000000007"/>
    <n v="78.180000000000007"/>
    <n v="78.180000000000007"/>
    <n v="0"/>
    <s v="Spain"/>
    <x v="0"/>
  </r>
  <r>
    <n v="2024005222"/>
    <x v="25"/>
    <n v="2024"/>
    <x v="205"/>
    <s v="PROD_003"/>
    <s v="USB-C Cable"/>
    <s v="Electronics"/>
    <n v="2"/>
    <n v="14.21"/>
    <n v="28.42"/>
    <n v="28.42"/>
    <n v="0"/>
    <s v="France"/>
    <x v="1"/>
  </r>
  <r>
    <n v="2024005223"/>
    <x v="242"/>
    <n v="2024"/>
    <x v="101"/>
    <s v="PROD_004"/>
    <s v="Desk Chair"/>
    <s v="Furniture"/>
    <n v="2"/>
    <n v="336.35"/>
    <n v="672.7"/>
    <n v="672.7"/>
    <n v="0"/>
    <s v="Switzerland"/>
    <x v="1"/>
  </r>
  <r>
    <n v="2024005224"/>
    <x v="48"/>
    <n v="2024"/>
    <x v="89"/>
    <s v="PROD_005"/>
    <s v="Standing Desk"/>
    <s v="Furniture"/>
    <n v="4"/>
    <n v="604.22"/>
    <n v="2416.88"/>
    <n v="2416.88"/>
    <n v="0"/>
    <s v="France"/>
    <x v="1"/>
  </r>
  <r>
    <n v="2024005225"/>
    <x v="179"/>
    <n v="2024"/>
    <x v="59"/>
    <s v="PROD_001"/>
    <s v="Laptop Pro"/>
    <s v="Electronics"/>
    <n v="4"/>
    <n v="1220.58"/>
    <n v="4882.32"/>
    <n v="4882.32"/>
    <n v="0"/>
    <s v="UK"/>
    <x v="1"/>
  </r>
  <r>
    <n v="2024004529"/>
    <x v="317"/>
    <n v="2024"/>
    <x v="225"/>
    <s v="PROD_010"/>
    <s v="Webcam HD"/>
    <s v="Electronics"/>
    <n v="2"/>
    <n v="98.99"/>
    <n v="197.98"/>
    <n v="197.98"/>
    <n v="0"/>
    <s v="UK"/>
    <x v="3"/>
  </r>
  <r>
    <n v="2024005227"/>
    <x v="320"/>
    <n v="2024"/>
    <x v="102"/>
    <s v="PROD_009"/>
    <s v="Phone Stand"/>
    <s v="Accessories"/>
    <n v="2"/>
    <n v="23.78"/>
    <n v="47.56"/>
    <n v="47.56"/>
    <n v="0"/>
    <s v="Austria"/>
    <x v="3"/>
  </r>
  <r>
    <n v="2024005228"/>
    <x v="57"/>
    <n v="2024"/>
    <x v="150"/>
    <s v="PROD_002"/>
    <s v="Wireless Mouse"/>
    <s v="Electronics"/>
    <n v="2"/>
    <n v="48.87"/>
    <n v="97.74"/>
    <n v="97.74"/>
    <n v="0"/>
    <s v="UK"/>
    <x v="3"/>
  </r>
  <r>
    <n v="2024005229"/>
    <x v="321"/>
    <n v="2024"/>
    <x v="119"/>
    <s v="PROD_008"/>
    <s v="Desk Lamp"/>
    <s v="Furniture"/>
    <n v="1"/>
    <n v="76.83"/>
    <n v="76.83"/>
    <n v="76.83"/>
    <n v="0"/>
    <s v="UK"/>
    <x v="2"/>
  </r>
  <r>
    <n v="2024005230"/>
    <x v="20"/>
    <n v="2024"/>
    <x v="138"/>
    <s v="PROD_006"/>
    <s v="Monitor 27&quot;"/>
    <s v="Electronics"/>
    <n v="1"/>
    <n v="420.06"/>
    <n v="420.06"/>
    <n v="420.06"/>
    <n v="0"/>
    <s v="Germany"/>
    <x v="3"/>
  </r>
  <r>
    <n v="2024005231"/>
    <x v="207"/>
    <n v="2024"/>
    <x v="223"/>
    <s v="PROD_005"/>
    <s v="Standing Desk"/>
    <s v="Furniture"/>
    <n v="5"/>
    <n v="606.95000000000005"/>
    <n v="3034.75"/>
    <n v="3034.75"/>
    <n v="0"/>
    <s v="Sweden"/>
    <x v="0"/>
  </r>
  <r>
    <n v="2024005232"/>
    <x v="340"/>
    <n v="2024"/>
    <x v="293"/>
    <s v="PROD_003"/>
    <s v="USB-C Cable"/>
    <s v="Electronics"/>
    <n v="1"/>
    <n v="15.83"/>
    <n v="15.83"/>
    <n v="15.83"/>
    <n v="0"/>
    <s v="Belgium"/>
    <x v="2"/>
  </r>
  <r>
    <n v="2024005233"/>
    <x v="304"/>
    <n v="2024"/>
    <x v="129"/>
    <s v="PROD_005"/>
    <s v="Standing Desk"/>
    <s v="Furniture"/>
    <n v="1"/>
    <n v="618.48"/>
    <n v="618.48"/>
    <n v="618.48"/>
    <n v="0"/>
    <s v="Germany"/>
    <x v="1"/>
  </r>
  <r>
    <n v="2024005234"/>
    <x v="149"/>
    <n v="2024"/>
    <x v="36"/>
    <s v="PROD_010"/>
    <s v="Webcam HD"/>
    <s v="Electronics"/>
    <n v="1"/>
    <n v="101.44"/>
    <n v="101.44"/>
    <n v="101.44"/>
    <n v="0"/>
    <s v="Sweden"/>
    <x v="2"/>
  </r>
  <r>
    <n v="2024005235"/>
    <x v="45"/>
    <n v="2024"/>
    <x v="252"/>
    <s v="PROD_010"/>
    <s v="Webcam HD"/>
    <s v="Electronics"/>
    <n v="3"/>
    <n v="84.37"/>
    <n v="253.11"/>
    <n v="253.11"/>
    <n v="0"/>
    <s v="Belgium"/>
    <x v="1"/>
  </r>
  <r>
    <n v="2024005236"/>
    <x v="114"/>
    <n v="2024"/>
    <x v="134"/>
    <s v="PROD_005"/>
    <s v="Standing Desk"/>
    <s v="Furniture"/>
    <n v="3"/>
    <n v="618.6"/>
    <n v="1855.8"/>
    <n v="1855.8000000000002"/>
    <n v="0"/>
    <s v="Spain"/>
    <x v="1"/>
  </r>
  <r>
    <n v="2024005237"/>
    <x v="31"/>
    <n v="2024"/>
    <x v="0"/>
    <s v="PROD_005"/>
    <s v="Standing Desk"/>
    <s v="Furniture"/>
    <n v="1"/>
    <n v="575.6"/>
    <n v="575.6"/>
    <n v="575.6"/>
    <n v="0"/>
    <s v="Austria"/>
    <x v="2"/>
  </r>
  <r>
    <n v="2024005238"/>
    <x v="356"/>
    <n v="2024"/>
    <x v="168"/>
    <s v="PROD_008"/>
    <s v="Desk Lamp"/>
    <s v="Furniture"/>
    <n v="3"/>
    <n v="79.55"/>
    <n v="238.65"/>
    <n v="238.64999999999998"/>
    <n v="0"/>
    <s v="Germany"/>
    <x v="0"/>
  </r>
  <r>
    <n v="2024005239"/>
    <x v="53"/>
    <n v="2024"/>
    <x v="152"/>
    <s v="PROD_009"/>
    <s v="Phone Stand"/>
    <s v="Accessories"/>
    <n v="2"/>
    <n v="26.19"/>
    <n v="52.38"/>
    <n v="52.38"/>
    <n v="0"/>
    <s v="UK"/>
    <x v="2"/>
  </r>
  <r>
    <n v="2024005240"/>
    <x v="186"/>
    <n v="2024"/>
    <x v="137"/>
    <s v="PROD_002"/>
    <s v="Wireless Mouse"/>
    <s v="Electronics"/>
    <n v="1"/>
    <n v="44.83"/>
    <n v="44.83"/>
    <n v="44.83"/>
    <n v="0"/>
    <s v="UK"/>
    <x v="2"/>
  </r>
  <r>
    <n v="2024005241"/>
    <x v="358"/>
    <n v="2024"/>
    <x v="163"/>
    <s v="PROD_001"/>
    <s v="Laptop Pro"/>
    <s v="Electronics"/>
    <n v="1"/>
    <n v="1187.33"/>
    <n v="1187.33"/>
    <n v="1187.33"/>
    <n v="0"/>
    <s v="Netherlands"/>
    <x v="2"/>
  </r>
  <r>
    <n v="2024005242"/>
    <x v="225"/>
    <n v="2024"/>
    <x v="264"/>
    <s v="PROD_010"/>
    <s v="Webcam HD"/>
    <s v="Electronics"/>
    <n v="2"/>
    <n v="85.93"/>
    <n v="171.86"/>
    <n v="171.86"/>
    <n v="0"/>
    <s v="Italy"/>
    <x v="0"/>
  </r>
  <r>
    <n v="2024005243"/>
    <x v="291"/>
    <n v="2024"/>
    <x v="217"/>
    <s v="PROD_006"/>
    <s v="Monitor 27&quot;"/>
    <s v="Electronics"/>
    <n v="1"/>
    <n v="422.56"/>
    <n v="422.56"/>
    <n v="422.56"/>
    <n v="0"/>
    <s v="France"/>
    <x v="2"/>
  </r>
  <r>
    <n v="2024005244"/>
    <x v="299"/>
    <n v="2024"/>
    <x v="104"/>
    <s v="PROD_010"/>
    <s v="Webcam HD"/>
    <s v="Electronics"/>
    <n v="2"/>
    <n v="93.74"/>
    <n v="187.48"/>
    <n v="187.48"/>
    <n v="0"/>
    <s v="Italy"/>
    <x v="1"/>
  </r>
  <r>
    <n v="2024005245"/>
    <x v="337"/>
    <n v="2024"/>
    <x v="116"/>
    <s v="PROD_001"/>
    <s v="Laptop Pro"/>
    <s v="Electronics"/>
    <n v="2"/>
    <n v="1183.7"/>
    <n v="2367.4"/>
    <n v="2367.4"/>
    <n v="0"/>
    <s v="Belgium"/>
    <x v="1"/>
  </r>
  <r>
    <n v="2024005246"/>
    <x v="172"/>
    <n v="2024"/>
    <x v="227"/>
    <s v="PROD_008"/>
    <s v="Desk Lamp"/>
    <s v="Furniture"/>
    <n v="1"/>
    <n v="78.33"/>
    <n v="78.33"/>
    <n v="78.33"/>
    <n v="0"/>
    <s v="Sweden"/>
    <x v="0"/>
  </r>
  <r>
    <n v="2024005247"/>
    <x v="157"/>
    <n v="2024"/>
    <x v="87"/>
    <s v="PROD_008"/>
    <s v="Desk Lamp"/>
    <s v="Furniture"/>
    <n v="1"/>
    <n v="78.36"/>
    <n v="78.36"/>
    <n v="78.36"/>
    <n v="0"/>
    <s v="Belgium"/>
    <x v="0"/>
  </r>
  <r>
    <n v="2024005248"/>
    <x v="83"/>
    <n v="2024"/>
    <x v="61"/>
    <s v="PROD_004"/>
    <s v="Desk Chair"/>
    <s v="Furniture"/>
    <n v="3"/>
    <n v="373.63"/>
    <n v="1120.8900000000001"/>
    <n v="1120.8899999999999"/>
    <n v="0"/>
    <s v="Italy"/>
    <x v="3"/>
  </r>
  <r>
    <n v="2024005249"/>
    <x v="199"/>
    <n v="2024"/>
    <x v="113"/>
    <s v="PROD_006"/>
    <s v="Monitor 27&quot;"/>
    <s v="Electronics"/>
    <n v="3"/>
    <n v="388.61"/>
    <n v="1165.83"/>
    <n v="1165.83"/>
    <n v="0"/>
    <s v="Switzerland"/>
    <x v="0"/>
  </r>
  <r>
    <n v="2024005250"/>
    <x v="214"/>
    <n v="2024"/>
    <x v="46"/>
    <s v="PROD_005"/>
    <s v="Standing Desk"/>
    <s v="Furniture"/>
    <n v="2"/>
    <n v="583.95000000000005"/>
    <n v="1167.9000000000001"/>
    <n v="1167.9000000000001"/>
    <n v="0"/>
    <s v="Italy"/>
    <x v="0"/>
  </r>
  <r>
    <n v="2024005251"/>
    <x v="166"/>
    <n v="2024"/>
    <x v="213"/>
    <s v="PROD_010"/>
    <s v="Webcam HD"/>
    <s v="Electronics"/>
    <n v="2"/>
    <n v="82.57"/>
    <n v="165.14"/>
    <n v="165.14"/>
    <n v="0"/>
    <s v="Switzerland"/>
    <x v="3"/>
  </r>
  <r>
    <n v="2024005252"/>
    <x v="235"/>
    <n v="2024"/>
    <x v="89"/>
    <s v="PROD_006"/>
    <s v="Monitor 27&quot;"/>
    <s v="Electronics"/>
    <n v="4"/>
    <n v="394.58"/>
    <n v="1578.32"/>
    <n v="1578.32"/>
    <n v="0"/>
    <s v="Switzerland"/>
    <x v="0"/>
  </r>
  <r>
    <n v="2024005253"/>
    <x v="120"/>
    <n v="2024"/>
    <x v="288"/>
    <s v="PROD_003"/>
    <s v="USB-C Cable"/>
    <s v="Electronics"/>
    <n v="1"/>
    <n v="16.04"/>
    <n v="16.04"/>
    <n v="16.04"/>
    <n v="0"/>
    <s v="Netherlands"/>
    <x v="3"/>
  </r>
  <r>
    <n v="2024005254"/>
    <x v="36"/>
    <n v="2024"/>
    <x v="140"/>
    <s v="PROD_009"/>
    <s v="Phone Stand"/>
    <s v="Accessories"/>
    <n v="1"/>
    <n v="26.48"/>
    <n v="26.48"/>
    <n v="26.48"/>
    <n v="0"/>
    <s v="Germany"/>
    <x v="0"/>
  </r>
  <r>
    <n v="2024005255"/>
    <x v="55"/>
    <n v="2024"/>
    <x v="0"/>
    <s v="PROD_006"/>
    <s v="Monitor 27&quot;"/>
    <s v="Electronics"/>
    <n v="1"/>
    <n v="426.9"/>
    <n v="426.9"/>
    <n v="426.9"/>
    <n v="0"/>
    <s v="Netherlands"/>
    <x v="0"/>
  </r>
  <r>
    <n v="2024005256"/>
    <x v="32"/>
    <n v="2024"/>
    <x v="150"/>
    <s v="PROD_004"/>
    <s v="Desk Chair"/>
    <s v="Furniture"/>
    <n v="1"/>
    <n v="366.21"/>
    <n v="366.21"/>
    <n v="366.21"/>
    <n v="0"/>
    <s v="UK"/>
    <x v="3"/>
  </r>
  <r>
    <n v="2024005257"/>
    <x v="203"/>
    <n v="2024"/>
    <x v="170"/>
    <s v="PROD_007"/>
    <s v="Keyboard Mechanical"/>
    <s v="Electronics"/>
    <n v="2"/>
    <n v="125.72"/>
    <n v="251.44"/>
    <n v="251.44"/>
    <n v="0"/>
    <s v="France"/>
    <x v="2"/>
  </r>
  <r>
    <n v="2024005258"/>
    <x v="343"/>
    <n v="2024"/>
    <x v="217"/>
    <s v="PROD_001"/>
    <s v="Laptop Pro"/>
    <s v="Electronics"/>
    <n v="3"/>
    <n v="1197.7"/>
    <n v="3593.1"/>
    <n v="3593.1000000000004"/>
    <n v="0"/>
    <s v="Italy"/>
    <x v="0"/>
  </r>
  <r>
    <n v="2024005259"/>
    <x v="306"/>
    <n v="2024"/>
    <x v="238"/>
    <s v="PROD_006"/>
    <s v="Monitor 27&quot;"/>
    <s v="Electronics"/>
    <n v="4"/>
    <n v="391.28"/>
    <n v="1565.12"/>
    <n v="1565.12"/>
    <n v="0"/>
    <s v="Germany"/>
    <x v="0"/>
  </r>
  <r>
    <n v="2024005260"/>
    <x v="102"/>
    <n v="2024"/>
    <x v="183"/>
    <s v="PROD_004"/>
    <s v="Desk Chair"/>
    <s v="Furniture"/>
    <n v="1"/>
    <n v="338.56"/>
    <n v="338.56"/>
    <n v="338.56"/>
    <n v="0"/>
    <s v="Germany"/>
    <x v="0"/>
  </r>
  <r>
    <n v="2024005261"/>
    <x v="78"/>
    <n v="2024"/>
    <x v="148"/>
    <s v="PROD_003"/>
    <s v="USB-C Cable"/>
    <s v="Electronics"/>
    <n v="5"/>
    <n v="16.11"/>
    <n v="80.55"/>
    <n v="80.55"/>
    <n v="0"/>
    <s v="Spain"/>
    <x v="3"/>
  </r>
  <r>
    <n v="2024005262"/>
    <x v="132"/>
    <n v="2024"/>
    <x v="41"/>
    <s v="PROD_005"/>
    <s v="Standing Desk"/>
    <s v="Furniture"/>
    <n v="3"/>
    <n v="605.84"/>
    <n v="1817.52"/>
    <n v="1817.52"/>
    <n v="0"/>
    <s v="Spain"/>
    <x v="2"/>
  </r>
  <r>
    <n v="2024005263"/>
    <x v="286"/>
    <n v="2024"/>
    <x v="188"/>
    <s v="PROD_005"/>
    <s v="Standing Desk"/>
    <s v="Furniture"/>
    <n v="2"/>
    <n v="599.53"/>
    <n v="1199.06"/>
    <n v="1199.06"/>
    <n v="0"/>
    <s v="Belgium"/>
    <x v="0"/>
  </r>
  <r>
    <n v="2024005264"/>
    <x v="302"/>
    <n v="2024"/>
    <x v="154"/>
    <s v="PROD_003"/>
    <s v="USB-C Cable"/>
    <s v="Electronics"/>
    <n v="2"/>
    <n v="14.39"/>
    <n v="28.78"/>
    <n v="28.78"/>
    <n v="0"/>
    <s v="Austria"/>
    <x v="1"/>
  </r>
  <r>
    <n v="2024005265"/>
    <x v="175"/>
    <n v="2024"/>
    <x v="174"/>
    <s v="PROD_009"/>
    <s v="Phone Stand"/>
    <s v="Accessories"/>
    <n v="1"/>
    <n v="24.19"/>
    <n v="24.19"/>
    <n v="24.19"/>
    <n v="0"/>
    <s v="Belgium"/>
    <x v="2"/>
  </r>
  <r>
    <n v="2024005266"/>
    <x v="293"/>
    <n v="2024"/>
    <x v="119"/>
    <s v="PROD_006"/>
    <s v="Monitor 27&quot;"/>
    <s v="Electronics"/>
    <n v="3"/>
    <n v="411.21"/>
    <n v="1233.6300000000001"/>
    <n v="1233.6299999999999"/>
    <n v="0"/>
    <s v="Italy"/>
    <x v="2"/>
  </r>
  <r>
    <n v="2024005267"/>
    <x v="225"/>
    <n v="2024"/>
    <x v="0"/>
    <s v="PROD_005"/>
    <s v="Standing Desk"/>
    <s v="Furniture"/>
    <n v="1"/>
    <n v="571.37"/>
    <n v="571.37"/>
    <n v="571.37"/>
    <n v="0"/>
    <s v="Switzerland"/>
    <x v="0"/>
  </r>
  <r>
    <n v="2024005268"/>
    <x v="2"/>
    <n v="2024"/>
    <x v="0"/>
    <s v="PROD_001"/>
    <s v="Laptop Pro"/>
    <s v="Electronics"/>
    <n v="1"/>
    <n v="1203.8499999999999"/>
    <n v="1203.8499999999999"/>
    <n v="1203.8499999999999"/>
    <n v="0"/>
    <s v="Sweden"/>
    <x v="0"/>
  </r>
  <r>
    <n v="2024005269"/>
    <x v="159"/>
    <n v="2024"/>
    <x v="13"/>
    <s v="PROD_002"/>
    <s v="Wireless Mouse"/>
    <s v="Electronics"/>
    <n v="1"/>
    <n v="44.67"/>
    <n v="44.67"/>
    <n v="44.67"/>
    <n v="0"/>
    <s v="Italy"/>
    <x v="0"/>
  </r>
  <r>
    <n v="2024005270"/>
    <x v="114"/>
    <n v="2024"/>
    <x v="75"/>
    <s v="PROD_001"/>
    <s v="Laptop Pro"/>
    <s v="Electronics"/>
    <n v="1"/>
    <n v="1174.0899999999999"/>
    <n v="1174.0899999999999"/>
    <n v="1174.0899999999999"/>
    <n v="0"/>
    <s v="Spain"/>
    <x v="0"/>
  </r>
  <r>
    <n v="2024005271"/>
    <x v="141"/>
    <n v="2024"/>
    <x v="27"/>
    <s v="PROD_004"/>
    <s v="Desk Chair"/>
    <s v="Furniture"/>
    <n v="3"/>
    <n v="320.89"/>
    <n v="962.67"/>
    <n v="962.67"/>
    <n v="0"/>
    <s v="Italy"/>
    <x v="0"/>
  </r>
  <r>
    <n v="2024005272"/>
    <x v="213"/>
    <n v="2024"/>
    <x v="154"/>
    <s v="PROD_008"/>
    <s v="Desk Lamp"/>
    <s v="Furniture"/>
    <n v="1"/>
    <n v="83.4"/>
    <n v="83.4"/>
    <n v="83.4"/>
    <n v="0"/>
    <s v="Sweden"/>
    <x v="0"/>
  </r>
  <r>
    <n v="2024005273"/>
    <x v="220"/>
    <n v="2024"/>
    <x v="89"/>
    <s v="PROD_007"/>
    <s v="Keyboard Mechanical"/>
    <s v="Electronics"/>
    <n v="1"/>
    <n v="122.38"/>
    <n v="122.38"/>
    <n v="122.38"/>
    <n v="0"/>
    <s v="Belgium"/>
    <x v="1"/>
  </r>
  <r>
    <n v="2024005274"/>
    <x v="364"/>
    <n v="2024"/>
    <x v="288"/>
    <s v="PROD_001"/>
    <s v="Laptop Pro"/>
    <s v="Electronics"/>
    <n v="1"/>
    <n v="1103.21"/>
    <n v="1103.21"/>
    <n v="1103.21"/>
    <n v="0"/>
    <s v="UK"/>
    <x v="1"/>
  </r>
  <r>
    <n v="2024005275"/>
    <x v="197"/>
    <n v="2024"/>
    <x v="106"/>
    <s v="PROD_008"/>
    <s v="Desk Lamp"/>
    <s v="Furniture"/>
    <n v="2"/>
    <n v="82.48"/>
    <n v="164.96"/>
    <n v="164.96"/>
    <n v="0"/>
    <s v="UK"/>
    <x v="2"/>
  </r>
  <r>
    <n v="2024005276"/>
    <x v="258"/>
    <n v="2024"/>
    <x v="270"/>
    <s v="PROD_004"/>
    <s v="Desk Chair"/>
    <s v="Furniture"/>
    <n v="1"/>
    <n v="351.79"/>
    <n v="351.79"/>
    <n v="351.79"/>
    <n v="0"/>
    <s v="Germany"/>
    <x v="2"/>
  </r>
  <r>
    <n v="2024005277"/>
    <x v="148"/>
    <n v="2024"/>
    <x v="145"/>
    <s v="PROD_008"/>
    <s v="Desk Lamp"/>
    <s v="Furniture"/>
    <n v="1"/>
    <n v="76.23"/>
    <n v="76.23"/>
    <n v="76.23"/>
    <n v="0"/>
    <s v="Italy"/>
    <x v="1"/>
  </r>
  <r>
    <n v="2024005278"/>
    <x v="188"/>
    <n v="2024"/>
    <x v="67"/>
    <s v="PROD_006"/>
    <s v="Monitor 27&quot;"/>
    <s v="Electronics"/>
    <n v="1"/>
    <n v="376.67"/>
    <n v="376.67"/>
    <n v="376.67"/>
    <n v="0"/>
    <s v="Germany"/>
    <x v="0"/>
  </r>
  <r>
    <n v="2024005279"/>
    <x v="339"/>
    <n v="2024"/>
    <x v="138"/>
    <s v="PROD_001"/>
    <s v="Laptop Pro"/>
    <s v="Electronics"/>
    <n v="1"/>
    <n v="1160.25"/>
    <n v="1160.25"/>
    <n v="1160.25"/>
    <n v="0"/>
    <s v="Sweden"/>
    <x v="3"/>
  </r>
  <r>
    <n v="2024005280"/>
    <x v="275"/>
    <n v="2024"/>
    <x v="136"/>
    <s v="PROD_009"/>
    <s v="Phone Stand"/>
    <s v="Accessories"/>
    <n v="3"/>
    <n v="26.17"/>
    <n v="78.510000000000005"/>
    <n v="78.510000000000005"/>
    <n v="0"/>
    <s v="Italy"/>
    <x v="3"/>
  </r>
  <r>
    <n v="2024005281"/>
    <x v="6"/>
    <n v="2024"/>
    <x v="291"/>
    <s v="PROD_010"/>
    <s v="Webcam HD"/>
    <s v="Electronics"/>
    <n v="4"/>
    <n v="88.27"/>
    <n v="353.08"/>
    <n v="353.08"/>
    <n v="0"/>
    <s v="Spain"/>
    <x v="3"/>
  </r>
  <r>
    <n v="2024005282"/>
    <x v="271"/>
    <n v="2024"/>
    <x v="257"/>
    <s v="PROD_009"/>
    <s v="Phone Stand"/>
    <s v="Accessories"/>
    <n v="3"/>
    <n v="24.96"/>
    <n v="74.88"/>
    <n v="74.88"/>
    <n v="0"/>
    <s v="Germany"/>
    <x v="0"/>
  </r>
  <r>
    <n v="2024005283"/>
    <x v="280"/>
    <n v="2024"/>
    <x v="33"/>
    <s v="PROD_005"/>
    <s v="Standing Desk"/>
    <s v="Furniture"/>
    <n v="3"/>
    <n v="570.71"/>
    <n v="1712.13"/>
    <n v="1712.13"/>
    <n v="0"/>
    <s v="Belgium"/>
    <x v="1"/>
  </r>
  <r>
    <n v="2024005284"/>
    <x v="67"/>
    <n v="2024"/>
    <x v="38"/>
    <s v="PROD_006"/>
    <s v="Monitor 27&quot;"/>
    <s v="Electronics"/>
    <n v="1"/>
    <n v="418.79"/>
    <n v="418.79"/>
    <n v="418.79"/>
    <n v="0"/>
    <s v="Spain"/>
    <x v="1"/>
  </r>
  <r>
    <n v="2024005285"/>
    <x v="50"/>
    <n v="2024"/>
    <x v="87"/>
    <s v="PROD_010"/>
    <s v="Webcam HD"/>
    <s v="Electronics"/>
    <n v="1"/>
    <n v="92.86"/>
    <n v="92.86"/>
    <n v="92.86"/>
    <n v="0"/>
    <s v="UK"/>
    <x v="0"/>
  </r>
  <r>
    <n v="2024003629"/>
    <x v="181"/>
    <n v="2024"/>
    <x v="158"/>
    <s v="PROD_005"/>
    <s v="Standing Desk"/>
    <s v="Furniture"/>
    <n v="1"/>
    <n v="573.05999999999995"/>
    <n v="573.05999999999995"/>
    <n v="573.05999999999995"/>
    <n v="0"/>
    <s v="Belgium"/>
    <x v="0"/>
  </r>
  <r>
    <n v="2024005287"/>
    <x v="281"/>
    <n v="2024"/>
    <x v="39"/>
    <s v="PROD_007"/>
    <s v="Keyboard Mechanical"/>
    <s v="Electronics"/>
    <n v="1"/>
    <n v="123.78"/>
    <n v="123.78"/>
    <n v="123.78"/>
    <n v="0"/>
    <s v="Sweden"/>
    <x v="2"/>
  </r>
  <r>
    <n v="2024005288"/>
    <x v="309"/>
    <n v="2024"/>
    <x v="192"/>
    <s v="PROD_008"/>
    <s v="Desk Lamp"/>
    <s v="Furniture"/>
    <n v="2"/>
    <n v="77.849999999999994"/>
    <n v="155.69999999999999"/>
    <n v="155.69999999999999"/>
    <n v="0"/>
    <s v="UK"/>
    <x v="2"/>
  </r>
  <r>
    <n v="2024005289"/>
    <x v="343"/>
    <n v="2024"/>
    <x v="86"/>
    <s v="PROD_006"/>
    <s v="Monitor 27&quot;"/>
    <s v="Electronics"/>
    <n v="2"/>
    <n v="394.41"/>
    <n v="788.82"/>
    <n v="788.82"/>
    <n v="0"/>
    <s v="Sweden"/>
    <x v="2"/>
  </r>
  <r>
    <n v="2024005290"/>
    <x v="204"/>
    <n v="2024"/>
    <x v="0"/>
    <s v="PROD_010"/>
    <s v="Webcam HD"/>
    <s v="Electronics"/>
    <n v="1"/>
    <n v="93.88"/>
    <n v="93.88"/>
    <n v="93.88"/>
    <n v="0"/>
    <s v="Belgium"/>
    <x v="2"/>
  </r>
  <r>
    <n v="2024005291"/>
    <x v="51"/>
    <n v="2024"/>
    <x v="89"/>
    <s v="PROD_008"/>
    <s v="Desk Lamp"/>
    <s v="Furniture"/>
    <n v="1"/>
    <n v="68.73"/>
    <n v="68.73"/>
    <n v="68.73"/>
    <n v="0"/>
    <s v="Sweden"/>
    <x v="1"/>
  </r>
  <r>
    <n v="2024005292"/>
    <x v="56"/>
    <n v="2024"/>
    <x v="211"/>
    <s v="PROD_001"/>
    <s v="Laptop Pro"/>
    <s v="Electronics"/>
    <n v="2"/>
    <n v="1134.3"/>
    <n v="2268.6"/>
    <n v="2268.6"/>
    <n v="0"/>
    <s v="Sweden"/>
    <x v="2"/>
  </r>
  <r>
    <n v="2024005293"/>
    <x v="308"/>
    <n v="2024"/>
    <x v="61"/>
    <s v="PROD_006"/>
    <s v="Monitor 27&quot;"/>
    <s v="Electronics"/>
    <n v="1"/>
    <n v="397.31"/>
    <n v="397.31"/>
    <n v="397.31"/>
    <n v="0"/>
    <s v="Spain"/>
    <x v="3"/>
  </r>
  <r>
    <n v="2024005294"/>
    <x v="3"/>
    <n v="2024"/>
    <x v="181"/>
    <s v="PROD_010"/>
    <s v="Webcam HD"/>
    <s v="Electronics"/>
    <n v="3"/>
    <n v="88.29"/>
    <n v="264.87"/>
    <n v="264.87"/>
    <n v="0"/>
    <s v="Switzerland"/>
    <x v="1"/>
  </r>
  <r>
    <n v="2024005295"/>
    <x v="158"/>
    <n v="2024"/>
    <x v="157"/>
    <s v="PROD_009"/>
    <s v="Phone Stand"/>
    <s v="Accessories"/>
    <n v="2"/>
    <n v="25.03"/>
    <n v="50.06"/>
    <n v="50.06"/>
    <n v="0"/>
    <s v="Italy"/>
    <x v="3"/>
  </r>
  <r>
    <n v="2024005296"/>
    <x v="243"/>
    <n v="2024"/>
    <x v="253"/>
    <s v="PROD_007"/>
    <s v="Keyboard Mechanical"/>
    <s v="Electronics"/>
    <n v="1"/>
    <n v="123.41"/>
    <n v="123.41"/>
    <n v="123.41"/>
    <n v="0"/>
    <s v="Sweden"/>
    <x v="0"/>
  </r>
  <r>
    <n v="2024005297"/>
    <x v="13"/>
    <n v="2024"/>
    <x v="130"/>
    <s v="PROD_009"/>
    <s v="Phone Stand"/>
    <s v="Accessories"/>
    <n v="2"/>
    <n v="26.01"/>
    <n v="52.02"/>
    <n v="52.02"/>
    <n v="0"/>
    <s v="Sweden"/>
    <x v="2"/>
  </r>
  <r>
    <n v="2024005298"/>
    <x v="114"/>
    <n v="2024"/>
    <x v="29"/>
    <s v="PROD_010"/>
    <s v="Webcam HD"/>
    <s v="Electronics"/>
    <n v="1"/>
    <n v="89.6"/>
    <n v="89.6"/>
    <n v="89.6"/>
    <n v="0"/>
    <s v="Netherlands"/>
    <x v="3"/>
  </r>
  <r>
    <n v="2024005299"/>
    <x v="226"/>
    <n v="2024"/>
    <x v="107"/>
    <s v="PROD_010"/>
    <s v="Webcam HD"/>
    <s v="Electronics"/>
    <n v="2"/>
    <n v="81.33"/>
    <n v="162.66"/>
    <n v="162.66"/>
    <n v="0"/>
    <s v="Austria"/>
    <x v="3"/>
  </r>
  <r>
    <n v="2024005300"/>
    <x v="94"/>
    <n v="2024"/>
    <x v="92"/>
    <s v="PROD_009"/>
    <s v="Phone Stand"/>
    <s v="Accessories"/>
    <n v="1"/>
    <n v="23.63"/>
    <n v="23.63"/>
    <n v="23.63"/>
    <n v="0"/>
    <s v="Belgium"/>
    <x v="1"/>
  </r>
  <r>
    <n v="2024005301"/>
    <x v="117"/>
    <n v="2024"/>
    <x v="34"/>
    <s v="PROD_010"/>
    <s v="Webcam HD"/>
    <s v="Electronics"/>
    <n v="1"/>
    <n v="93.25"/>
    <n v="93.25"/>
    <n v="93.25"/>
    <n v="0"/>
    <s v="France"/>
    <x v="3"/>
  </r>
  <r>
    <n v="2024005302"/>
    <x v="65"/>
    <n v="2024"/>
    <x v="86"/>
    <s v="PROD_010"/>
    <s v="Webcam HD"/>
    <s v="Electronics"/>
    <n v="3"/>
    <n v="90.5"/>
    <n v="271.5"/>
    <n v="271.5"/>
    <n v="0"/>
    <s v="Switzerland"/>
    <x v="3"/>
  </r>
  <r>
    <n v="2024005303"/>
    <x v="109"/>
    <n v="2024"/>
    <x v="56"/>
    <s v="PROD_001"/>
    <s v="Laptop Pro"/>
    <s v="Electronics"/>
    <n v="2"/>
    <n v="1372.55"/>
    <n v="2745.1"/>
    <n v="2745.1"/>
    <n v="0"/>
    <s v="Germany"/>
    <x v="3"/>
  </r>
  <r>
    <n v="2024005304"/>
    <x v="41"/>
    <n v="2024"/>
    <x v="91"/>
    <s v="PROD_005"/>
    <s v="Standing Desk"/>
    <s v="Furniture"/>
    <n v="2"/>
    <n v="632.39"/>
    <n v="1264.78"/>
    <n v="1264.78"/>
    <n v="0"/>
    <s v="Sweden"/>
    <x v="0"/>
  </r>
  <r>
    <n v="2024005305"/>
    <x v="293"/>
    <n v="2024"/>
    <x v="245"/>
    <s v="PROD_001"/>
    <s v="Laptop Pro"/>
    <s v="Electronics"/>
    <n v="4"/>
    <n v="1180.17"/>
    <n v="4720.68"/>
    <n v="4720.68"/>
    <n v="0"/>
    <s v="Switzerland"/>
    <x v="1"/>
  </r>
  <r>
    <n v="2024005306"/>
    <x v="178"/>
    <n v="2024"/>
    <x v="103"/>
    <s v="PROD_008"/>
    <s v="Desk Lamp"/>
    <s v="Furniture"/>
    <n v="2"/>
    <n v="80.59"/>
    <n v="161.18"/>
    <n v="161.18"/>
    <n v="0"/>
    <s v="Spain"/>
    <x v="1"/>
  </r>
  <r>
    <n v="2024005307"/>
    <x v="142"/>
    <n v="2024"/>
    <x v="185"/>
    <s v="PROD_005"/>
    <s v="Standing Desk"/>
    <s v="Furniture"/>
    <n v="1"/>
    <n v="581.34"/>
    <n v="581.34"/>
    <n v="581.34"/>
    <n v="0"/>
    <s v="France"/>
    <x v="0"/>
  </r>
  <r>
    <n v="2024005308"/>
    <x v="131"/>
    <n v="2024"/>
    <x v="0"/>
    <s v="PROD_002"/>
    <s v="Wireless Mouse"/>
    <s v="Electronics"/>
    <n v="1"/>
    <n v="42.07"/>
    <n v="42.07"/>
    <n v="42.07"/>
    <n v="0"/>
    <s v="Italy"/>
    <x v="3"/>
  </r>
  <r>
    <n v="2024005309"/>
    <x v="265"/>
    <n v="2024"/>
    <x v="93"/>
    <s v="PROD_002"/>
    <s v="Wireless Mouse"/>
    <s v="Electronics"/>
    <n v="3"/>
    <n v="42.73"/>
    <n v="128.19"/>
    <n v="128.19"/>
    <n v="0"/>
    <s v="Netherlands"/>
    <x v="1"/>
  </r>
  <r>
    <n v="2024005310"/>
    <x v="362"/>
    <n v="2024"/>
    <x v="88"/>
    <s v="PROD_005"/>
    <s v="Standing Desk"/>
    <s v="Furniture"/>
    <n v="2"/>
    <n v="600.95000000000005"/>
    <n v="1201.9000000000001"/>
    <n v="1201.9000000000001"/>
    <n v="0"/>
    <s v="Spain"/>
    <x v="2"/>
  </r>
  <r>
    <n v="2024005311"/>
    <x v="125"/>
    <n v="2024"/>
    <x v="54"/>
    <s v="PROD_003"/>
    <s v="USB-C Cable"/>
    <s v="Electronics"/>
    <n v="2"/>
    <n v="15.58"/>
    <n v="31.16"/>
    <n v="31.16"/>
    <n v="0"/>
    <s v="UK"/>
    <x v="1"/>
  </r>
  <r>
    <n v="2024005312"/>
    <x v="229"/>
    <n v="2024"/>
    <x v="255"/>
    <s v="PROD_007"/>
    <s v="Keyboard Mechanical"/>
    <s v="Electronics"/>
    <n v="1"/>
    <n v="131.15"/>
    <n v="131.15"/>
    <n v="131.15"/>
    <n v="0"/>
    <s v="Belgium"/>
    <x v="1"/>
  </r>
  <r>
    <n v="2024005313"/>
    <x v="259"/>
    <n v="2024"/>
    <x v="58"/>
    <s v="PROD_006"/>
    <s v="Monitor 27&quot;"/>
    <s v="Electronics"/>
    <n v="2"/>
    <n v="390.56"/>
    <n v="781.12"/>
    <n v="781.12"/>
    <n v="0"/>
    <s v="Belgium"/>
    <x v="0"/>
  </r>
  <r>
    <n v="2024005314"/>
    <x v="148"/>
    <n v="2024"/>
    <x v="86"/>
    <s v="PROD_008"/>
    <s v="Desk Lamp"/>
    <s v="Furniture"/>
    <n v="4"/>
    <n v="83"/>
    <n v="332"/>
    <n v="332"/>
    <n v="0"/>
    <s v="Spain"/>
    <x v="2"/>
  </r>
  <r>
    <n v="2024005315"/>
    <x v="344"/>
    <n v="2024"/>
    <x v="2"/>
    <s v="PROD_008"/>
    <s v="Desk Lamp"/>
    <s v="Furniture"/>
    <n v="2"/>
    <n v="78.09"/>
    <n v="156.18"/>
    <n v="156.18"/>
    <n v="0"/>
    <s v="Belgium"/>
    <x v="3"/>
  </r>
  <r>
    <n v="2024005316"/>
    <x v="128"/>
    <n v="2024"/>
    <x v="62"/>
    <s v="PROD_008"/>
    <s v="Desk Lamp"/>
    <s v="Furniture"/>
    <n v="2"/>
    <n v="76.59"/>
    <n v="153.18"/>
    <n v="153.18"/>
    <n v="0"/>
    <s v="Netherlands"/>
    <x v="2"/>
  </r>
  <r>
    <n v="2024005317"/>
    <x v="126"/>
    <n v="2024"/>
    <x v="154"/>
    <s v="PROD_008"/>
    <s v="Desk Lamp"/>
    <s v="Furniture"/>
    <n v="1"/>
    <n v="80.959999999999994"/>
    <n v="80.959999999999994"/>
    <n v="80.959999999999994"/>
    <n v="0"/>
    <s v="Netherlands"/>
    <x v="3"/>
  </r>
  <r>
    <n v="2024005318"/>
    <x v="250"/>
    <n v="2024"/>
    <x v="0"/>
    <s v="PROD_003"/>
    <s v="USB-C Cable"/>
    <s v="Electronics"/>
    <n v="1"/>
    <n v="15.97"/>
    <n v="15.97"/>
    <n v="15.97"/>
    <n v="0"/>
    <s v="Germany"/>
    <x v="0"/>
  </r>
  <r>
    <n v="2024005319"/>
    <x v="2"/>
    <n v="2024"/>
    <x v="259"/>
    <s v="PROD_007"/>
    <s v="Keyboard Mechanical"/>
    <s v="Electronics"/>
    <n v="3"/>
    <n v="111.62"/>
    <n v="334.86"/>
    <n v="334.86"/>
    <n v="0"/>
    <s v="France"/>
    <x v="1"/>
  </r>
  <r>
    <n v="2024005320"/>
    <x v="2"/>
    <n v="2024"/>
    <x v="56"/>
    <s v="PROD_003"/>
    <s v="USB-C Cable"/>
    <s v="Electronics"/>
    <n v="1"/>
    <n v="14.56"/>
    <n v="14.56"/>
    <n v="14.56"/>
    <n v="0"/>
    <s v="Sweden"/>
    <x v="1"/>
  </r>
  <r>
    <n v="2024005321"/>
    <x v="140"/>
    <n v="2024"/>
    <x v="155"/>
    <s v="PROD_003"/>
    <s v="USB-C Cable"/>
    <s v="Electronics"/>
    <n v="1"/>
    <n v="15.62"/>
    <n v="15.62"/>
    <n v="15.62"/>
    <n v="0"/>
    <s v="Switzerland"/>
    <x v="2"/>
  </r>
  <r>
    <n v="2024005322"/>
    <x v="139"/>
    <n v="2024"/>
    <x v="222"/>
    <s v="PROD_009"/>
    <s v="Phone Stand"/>
    <s v="Accessories"/>
    <n v="1"/>
    <n v="26.41"/>
    <n v="26.41"/>
    <n v="26.41"/>
    <n v="0"/>
    <s v="UK"/>
    <x v="3"/>
  </r>
  <r>
    <n v="2024005323"/>
    <x v="124"/>
    <n v="2024"/>
    <x v="207"/>
    <s v="PROD_006"/>
    <s v="Monitor 27&quot;"/>
    <s v="Electronics"/>
    <n v="2"/>
    <n v="410.72"/>
    <n v="821.44"/>
    <n v="821.44"/>
    <n v="0"/>
    <s v="UK"/>
    <x v="3"/>
  </r>
  <r>
    <n v="2024005324"/>
    <x v="218"/>
    <n v="2024"/>
    <x v="137"/>
    <s v="PROD_002"/>
    <s v="Wireless Mouse"/>
    <s v="Electronics"/>
    <n v="1"/>
    <n v="43.84"/>
    <n v="43.84"/>
    <n v="43.84"/>
    <n v="0"/>
    <s v="Belgium"/>
    <x v="0"/>
  </r>
  <r>
    <n v="2024005325"/>
    <x v="236"/>
    <n v="2024"/>
    <x v="183"/>
    <s v="PROD_003"/>
    <s v="USB-C Cable"/>
    <s v="Electronics"/>
    <n v="1"/>
    <n v="15.11"/>
    <n v="15.11"/>
    <n v="15.11"/>
    <n v="0"/>
    <s v="Belgium"/>
    <x v="3"/>
  </r>
  <r>
    <n v="2024005326"/>
    <x v="361"/>
    <n v="2024"/>
    <x v="293"/>
    <s v="PROD_005"/>
    <s v="Standing Desk"/>
    <s v="Furniture"/>
    <n v="2"/>
    <n v="599.11"/>
    <n v="1198.22"/>
    <n v="1198.22"/>
    <n v="0"/>
    <s v="UK"/>
    <x v="3"/>
  </r>
  <r>
    <n v="2024005327"/>
    <x v="247"/>
    <n v="2024"/>
    <x v="129"/>
    <s v="PROD_005"/>
    <s v="Standing Desk"/>
    <s v="Furniture"/>
    <n v="1"/>
    <n v="560.05999999999995"/>
    <n v="560.05999999999995"/>
    <n v="560.05999999999995"/>
    <n v="0"/>
    <s v="Spain"/>
    <x v="3"/>
  </r>
  <r>
    <n v="2024005328"/>
    <x v="46"/>
    <n v="2024"/>
    <x v="75"/>
    <s v="PROD_001"/>
    <s v="Laptop Pro"/>
    <s v="Electronics"/>
    <n v="2"/>
    <n v="1124.1300000000001"/>
    <n v="2248.2600000000002"/>
    <n v="2248.2600000000002"/>
    <n v="0"/>
    <s v="Austria"/>
    <x v="0"/>
  </r>
  <r>
    <n v="2024005329"/>
    <x v="4"/>
    <n v="2024"/>
    <x v="21"/>
    <s v="PROD_010"/>
    <s v="Webcam HD"/>
    <s v="Electronics"/>
    <n v="2"/>
    <n v="93.25"/>
    <n v="186.5"/>
    <n v="186.5"/>
    <n v="0"/>
    <s v="Spain"/>
    <x v="3"/>
  </r>
  <r>
    <n v="2024005330"/>
    <x v="35"/>
    <n v="2024"/>
    <x v="254"/>
    <s v="PROD_007"/>
    <s v="Keyboard Mechanical"/>
    <s v="Electronics"/>
    <n v="1"/>
    <n v="116.59"/>
    <n v="116.59"/>
    <n v="116.59"/>
    <n v="0"/>
    <s v="Germany"/>
    <x v="1"/>
  </r>
  <r>
    <n v="2024005331"/>
    <x v="224"/>
    <n v="2024"/>
    <x v="227"/>
    <s v="PROD_010"/>
    <s v="Webcam HD"/>
    <s v="Electronics"/>
    <n v="2"/>
    <n v="87.17"/>
    <n v="174.34"/>
    <n v="174.34"/>
    <n v="0"/>
    <s v="Switzerland"/>
    <x v="0"/>
  </r>
  <r>
    <n v="2024005332"/>
    <x v="215"/>
    <n v="2024"/>
    <x v="235"/>
    <s v="PROD_009"/>
    <s v="Phone Stand"/>
    <s v="Accessories"/>
    <n v="2"/>
    <n v="25.33"/>
    <n v="50.66"/>
    <n v="50.66"/>
    <n v="0"/>
    <s v="Switzerland"/>
    <x v="1"/>
  </r>
  <r>
    <n v="2024005333"/>
    <x v="274"/>
    <n v="2024"/>
    <x v="70"/>
    <s v="PROD_009"/>
    <s v="Phone Stand"/>
    <s v="Accessories"/>
    <n v="1"/>
    <n v="24.82"/>
    <n v="24.82"/>
    <n v="24.82"/>
    <n v="0"/>
    <s v="Austria"/>
    <x v="2"/>
  </r>
  <r>
    <n v="2024005334"/>
    <x v="16"/>
    <n v="2024"/>
    <x v="203"/>
    <s v="PROD_006"/>
    <s v="Monitor 27&quot;"/>
    <s v="Electronics"/>
    <n v="1"/>
    <n v="375.98"/>
    <n v="375.98"/>
    <n v="375.98"/>
    <n v="0"/>
    <s v="Netherlands"/>
    <x v="1"/>
  </r>
  <r>
    <n v="2024005335"/>
    <x v="157"/>
    <n v="2024"/>
    <x v="7"/>
    <s v="PROD_010"/>
    <s v="Webcam HD"/>
    <s v="Electronics"/>
    <n v="5"/>
    <n v="86.23"/>
    <n v="431.15"/>
    <n v="431.15000000000003"/>
    <n v="0"/>
    <s v="UK"/>
    <x v="1"/>
  </r>
  <r>
    <n v="2024005336"/>
    <x v="246"/>
    <n v="2024"/>
    <x v="183"/>
    <s v="PROD_002"/>
    <s v="Wireless Mouse"/>
    <s v="Electronics"/>
    <n v="1"/>
    <n v="44.84"/>
    <n v="44.84"/>
    <n v="44.84"/>
    <n v="0"/>
    <s v="Switzerland"/>
    <x v="0"/>
  </r>
  <r>
    <n v="2024005337"/>
    <x v="164"/>
    <n v="2024"/>
    <x v="272"/>
    <s v="PROD_001"/>
    <s v="Laptop Pro"/>
    <s v="Electronics"/>
    <n v="1"/>
    <n v="1306.99"/>
    <n v="1306.99"/>
    <n v="1306.99"/>
    <n v="0"/>
    <s v="France"/>
    <x v="1"/>
  </r>
  <r>
    <n v="2024005338"/>
    <x v="80"/>
    <n v="2024"/>
    <x v="0"/>
    <s v="PROD_006"/>
    <s v="Monitor 27&quot;"/>
    <s v="Electronics"/>
    <n v="4"/>
    <n v="386"/>
    <n v="1544"/>
    <n v="1544"/>
    <n v="0"/>
    <s v="Sweden"/>
    <x v="1"/>
  </r>
  <r>
    <n v="2024005339"/>
    <x v="298"/>
    <n v="2024"/>
    <x v="96"/>
    <s v="PROD_005"/>
    <s v="Standing Desk"/>
    <s v="Furniture"/>
    <n v="1"/>
    <n v="580.52"/>
    <n v="580.52"/>
    <n v="580.52"/>
    <n v="0"/>
    <s v="Italy"/>
    <x v="2"/>
  </r>
  <r>
    <n v="2024005340"/>
    <x v="241"/>
    <n v="2024"/>
    <x v="238"/>
    <s v="PROD_009"/>
    <s v="Phone Stand"/>
    <s v="Accessories"/>
    <n v="1"/>
    <n v="26.56"/>
    <n v="26.56"/>
    <n v="26.56"/>
    <n v="0"/>
    <s v="Italy"/>
    <x v="2"/>
  </r>
  <r>
    <n v="2024005341"/>
    <x v="97"/>
    <n v="2024"/>
    <x v="161"/>
    <s v="PROD_007"/>
    <s v="Keyboard Mechanical"/>
    <s v="Electronics"/>
    <n v="1"/>
    <n v="112.96"/>
    <n v="112.96"/>
    <n v="112.96"/>
    <n v="0"/>
    <s v="Netherlands"/>
    <x v="3"/>
  </r>
  <r>
    <n v="2024005342"/>
    <x v="215"/>
    <n v="2024"/>
    <x v="225"/>
    <s v="PROD_002"/>
    <s v="Wireless Mouse"/>
    <s v="Electronics"/>
    <n v="2"/>
    <n v="43.23"/>
    <n v="86.46"/>
    <n v="86.46"/>
    <n v="0"/>
    <s v="Sweden"/>
    <x v="0"/>
  </r>
  <r>
    <n v="2024005343"/>
    <x v="247"/>
    <n v="2024"/>
    <x v="224"/>
    <s v="PROD_007"/>
    <s v="Keyboard Mechanical"/>
    <s v="Electronics"/>
    <n v="1"/>
    <n v="126.76"/>
    <n v="126.76"/>
    <n v="126.76"/>
    <n v="0"/>
    <s v="Spain"/>
    <x v="3"/>
  </r>
  <r>
    <n v="2024005344"/>
    <x v="343"/>
    <n v="2024"/>
    <x v="166"/>
    <s v="PROD_002"/>
    <s v="Wireless Mouse"/>
    <s v="Electronics"/>
    <n v="3"/>
    <n v="44.97"/>
    <n v="134.91"/>
    <n v="134.91"/>
    <n v="0"/>
    <s v="Belgium"/>
    <x v="3"/>
  </r>
  <r>
    <n v="2024005345"/>
    <x v="149"/>
    <n v="2024"/>
    <x v="218"/>
    <s v="PROD_003"/>
    <s v="USB-C Cable"/>
    <s v="Electronics"/>
    <n v="2"/>
    <n v="16.18"/>
    <n v="32.36"/>
    <n v="32.36"/>
    <n v="0"/>
    <s v="Belgium"/>
    <x v="0"/>
  </r>
  <r>
    <n v="2024005346"/>
    <x v="5"/>
    <n v="2024"/>
    <x v="248"/>
    <s v="PROD_002"/>
    <s v="Wireless Mouse"/>
    <s v="Electronics"/>
    <n v="3"/>
    <n v="43.47"/>
    <n v="130.41"/>
    <n v="130.41"/>
    <n v="0"/>
    <s v="Netherlands"/>
    <x v="0"/>
  </r>
  <r>
    <n v="2024005347"/>
    <x v="2"/>
    <n v="2024"/>
    <x v="273"/>
    <s v="PROD_002"/>
    <s v="Wireless Mouse"/>
    <s v="Electronics"/>
    <n v="1"/>
    <n v="45.65"/>
    <n v="45.65"/>
    <n v="45.65"/>
    <n v="0"/>
    <s v="Switzerland"/>
    <x v="3"/>
  </r>
  <r>
    <n v="2024005348"/>
    <x v="87"/>
    <n v="2024"/>
    <x v="147"/>
    <s v="PROD_002"/>
    <s v="Wireless Mouse"/>
    <s v="Electronics"/>
    <n v="1"/>
    <n v="42.51"/>
    <n v="42.51"/>
    <n v="42.51"/>
    <n v="0"/>
    <s v="UK"/>
    <x v="3"/>
  </r>
  <r>
    <n v="2024005349"/>
    <x v="22"/>
    <n v="2024"/>
    <x v="61"/>
    <s v="PROD_008"/>
    <s v="Desk Lamp"/>
    <s v="Furniture"/>
    <n v="2"/>
    <n v="83.44"/>
    <n v="166.88"/>
    <n v="166.88"/>
    <n v="0"/>
    <s v="Switzerland"/>
    <x v="2"/>
  </r>
  <r>
    <n v="2024005350"/>
    <x v="304"/>
    <n v="2024"/>
    <x v="218"/>
    <s v="PROD_005"/>
    <s v="Standing Desk"/>
    <s v="Furniture"/>
    <n v="1"/>
    <n v="650.49"/>
    <n v="650.49"/>
    <n v="650.49"/>
    <n v="0"/>
    <s v="France"/>
    <x v="2"/>
  </r>
  <r>
    <n v="2024005351"/>
    <x v="93"/>
    <n v="2024"/>
    <x v="98"/>
    <s v="PROD_008"/>
    <s v="Desk Lamp"/>
    <s v="Furniture"/>
    <n v="2"/>
    <n v="82.61"/>
    <n v="165.22"/>
    <n v="165.22"/>
    <n v="0"/>
    <s v="France"/>
    <x v="2"/>
  </r>
  <r>
    <n v="2024005352"/>
    <x v="200"/>
    <n v="2024"/>
    <x v="63"/>
    <s v="PROD_002"/>
    <s v="Wireless Mouse"/>
    <s v="Electronics"/>
    <n v="1"/>
    <n v="46.53"/>
    <n v="46.53"/>
    <n v="46.53"/>
    <n v="0"/>
    <s v="Switzerland"/>
    <x v="0"/>
  </r>
  <r>
    <n v="2024005353"/>
    <x v="83"/>
    <n v="2024"/>
    <x v="97"/>
    <s v="PROD_002"/>
    <s v="Wireless Mouse"/>
    <s v="Electronics"/>
    <n v="1"/>
    <n v="44.11"/>
    <n v="44.11"/>
    <n v="44.11"/>
    <n v="0"/>
    <s v="Netherlands"/>
    <x v="0"/>
  </r>
  <r>
    <n v="2024005354"/>
    <x v="238"/>
    <n v="2024"/>
    <x v="239"/>
    <s v="PROD_006"/>
    <s v="Monitor 27&quot;"/>
    <s v="Electronics"/>
    <n v="2"/>
    <n v="382.5"/>
    <n v="765"/>
    <n v="765"/>
    <n v="0"/>
    <s v="Austria"/>
    <x v="0"/>
  </r>
  <r>
    <n v="2024005355"/>
    <x v="205"/>
    <n v="2024"/>
    <x v="58"/>
    <s v="PROD_010"/>
    <s v="Webcam HD"/>
    <s v="Electronics"/>
    <n v="1"/>
    <n v="85.61"/>
    <n v="85.61"/>
    <n v="85.61"/>
    <n v="0"/>
    <s v="Sweden"/>
    <x v="3"/>
  </r>
  <r>
    <n v="2024005356"/>
    <x v="360"/>
    <n v="2024"/>
    <x v="255"/>
    <s v="PROD_004"/>
    <s v="Desk Chair"/>
    <s v="Furniture"/>
    <n v="4"/>
    <n v="369.95"/>
    <n v="1479.8"/>
    <n v="1479.8"/>
    <n v="0"/>
    <s v="Sweden"/>
    <x v="3"/>
  </r>
  <r>
    <n v="2024005357"/>
    <x v="118"/>
    <n v="2024"/>
    <x v="0"/>
    <s v="PROD_010"/>
    <s v="Webcam HD"/>
    <s v="Electronics"/>
    <n v="1"/>
    <n v="93.61"/>
    <n v="93.61"/>
    <n v="93.61"/>
    <n v="0"/>
    <s v="France"/>
    <x v="1"/>
  </r>
  <r>
    <n v="2024005358"/>
    <x v="258"/>
    <n v="2024"/>
    <x v="0"/>
    <s v="PROD_008"/>
    <s v="Desk Lamp"/>
    <s v="Furniture"/>
    <n v="1"/>
    <n v="77.23"/>
    <n v="77.23"/>
    <n v="77.23"/>
    <n v="0"/>
    <s v="Switzerland"/>
    <x v="2"/>
  </r>
  <r>
    <n v="2024005359"/>
    <x v="109"/>
    <n v="2024"/>
    <x v="44"/>
    <s v="PROD_006"/>
    <s v="Monitor 27&quot;"/>
    <s v="Electronics"/>
    <n v="1"/>
    <n v="409.8"/>
    <n v="409.8"/>
    <n v="409.8"/>
    <n v="0"/>
    <s v="UK"/>
    <x v="0"/>
  </r>
  <r>
    <n v="2024005360"/>
    <x v="173"/>
    <n v="2024"/>
    <x v="0"/>
    <s v="PROD_003"/>
    <s v="USB-C Cable"/>
    <s v="Electronics"/>
    <n v="2"/>
    <n v="14.58"/>
    <n v="29.16"/>
    <n v="29.16"/>
    <n v="0"/>
    <s v="Netherlands"/>
    <x v="3"/>
  </r>
  <r>
    <n v="2024005361"/>
    <x v="189"/>
    <n v="2024"/>
    <x v="224"/>
    <s v="PROD_009"/>
    <s v="Phone Stand"/>
    <s v="Accessories"/>
    <n v="1"/>
    <n v="25.62"/>
    <n v="25.62"/>
    <n v="25.62"/>
    <n v="0"/>
    <s v="Austria"/>
    <x v="0"/>
  </r>
  <r>
    <n v="2024005362"/>
    <x v="186"/>
    <n v="2024"/>
    <x v="20"/>
    <s v="PROD_005"/>
    <s v="Standing Desk"/>
    <s v="Furniture"/>
    <n v="1"/>
    <n v="613.23"/>
    <n v="613.23"/>
    <n v="613.23"/>
    <n v="0"/>
    <s v="Sweden"/>
    <x v="3"/>
  </r>
  <r>
    <n v="2024005363"/>
    <x v="45"/>
    <n v="2024"/>
    <x v="149"/>
    <s v="PROD_008"/>
    <s v="Desk Lamp"/>
    <s v="Furniture"/>
    <n v="0"/>
    <n v="77.040000000000006"/>
    <n v="0"/>
    <n v="0"/>
    <n v="0"/>
    <s v="Switzerland"/>
    <x v="3"/>
  </r>
  <r>
    <n v="2024005364"/>
    <x v="165"/>
    <n v="2024"/>
    <x v="218"/>
    <s v="PROD_007"/>
    <s v="Keyboard Mechanical"/>
    <s v="Electronics"/>
    <n v="3"/>
    <n v="124.02"/>
    <n v="372.06"/>
    <n v="372.06"/>
    <n v="0"/>
    <s v="Netherlands"/>
    <x v="2"/>
  </r>
  <r>
    <n v="2024005365"/>
    <x v="27"/>
    <n v="2024"/>
    <x v="69"/>
    <s v="PROD_007"/>
    <s v="Keyboard Mechanical"/>
    <s v="Electronics"/>
    <n v="2"/>
    <n v="119.46"/>
    <n v="238.92"/>
    <n v="238.92"/>
    <n v="0"/>
    <s v="France"/>
    <x v="1"/>
  </r>
  <r>
    <n v="2024005366"/>
    <x v="60"/>
    <n v="2024"/>
    <x v="86"/>
    <s v="PROD_005"/>
    <s v="Standing Desk"/>
    <s v="Furniture"/>
    <n v="1"/>
    <n v="568.07000000000005"/>
    <n v="568.07000000000005"/>
    <n v="568.07000000000005"/>
    <n v="0"/>
    <s v="UK"/>
    <x v="0"/>
  </r>
  <r>
    <n v="2024005367"/>
    <x v="181"/>
    <n v="2024"/>
    <x v="0"/>
    <s v="PROD_006"/>
    <s v="Monitor 27&quot;"/>
    <s v="Electronics"/>
    <n v="4"/>
    <n v="413.18"/>
    <n v="1652.72"/>
    <n v="1652.72"/>
    <n v="0"/>
    <s v="Austria"/>
    <x v="3"/>
  </r>
  <r>
    <n v="2024005368"/>
    <x v="242"/>
    <n v="2024"/>
    <x v="99"/>
    <s v="PROD_005"/>
    <s v="Standing Desk"/>
    <s v="Furniture"/>
    <n v="1"/>
    <n v="594.54999999999995"/>
    <n v="594.54999999999995"/>
    <n v="594.54999999999995"/>
    <n v="0"/>
    <s v="Switzerland"/>
    <x v="2"/>
  </r>
  <r>
    <n v="2024005369"/>
    <x v="200"/>
    <n v="2024"/>
    <x v="275"/>
    <s v="PROD_008"/>
    <s v="Desk Lamp"/>
    <s v="Furniture"/>
    <n v="1"/>
    <n v="73.98"/>
    <n v="73.98"/>
    <n v="73.98"/>
    <n v="0"/>
    <s v="Switzerland"/>
    <x v="1"/>
  </r>
  <r>
    <n v="2024005370"/>
    <x v="5"/>
    <n v="2024"/>
    <x v="0"/>
    <s v="PROD_002"/>
    <s v="Wireless Mouse"/>
    <s v="Electronics"/>
    <n v="2"/>
    <n v="45.55"/>
    <n v="91.1"/>
    <n v="91.1"/>
    <n v="0"/>
    <s v="Switzerland"/>
    <x v="1"/>
  </r>
  <r>
    <n v="2024005371"/>
    <x v="182"/>
    <n v="2024"/>
    <x v="156"/>
    <s v="PROD_001"/>
    <s v="Laptop Pro"/>
    <s v="Electronics"/>
    <n v="5"/>
    <n v="1265.9100000000001"/>
    <n v="6329.55"/>
    <n v="6329.55"/>
    <n v="0"/>
    <s v="Spain"/>
    <x v="1"/>
  </r>
  <r>
    <n v="2024005372"/>
    <x v="28"/>
    <n v="2024"/>
    <x v="38"/>
    <s v="PROD_005"/>
    <s v="Standing Desk"/>
    <s v="Furniture"/>
    <n v="1"/>
    <n v="547.98"/>
    <n v="547.98"/>
    <n v="547.98"/>
    <n v="0"/>
    <s v="UK"/>
    <x v="3"/>
  </r>
  <r>
    <n v="2024005373"/>
    <x v="15"/>
    <n v="2024"/>
    <x v="146"/>
    <s v="PROD_004"/>
    <s v="Desk Chair"/>
    <s v="Furniture"/>
    <n v="1"/>
    <n v="322.58999999999997"/>
    <n v="322.58999999999997"/>
    <n v="322.58999999999997"/>
    <n v="0"/>
    <s v="Germany"/>
    <x v="0"/>
  </r>
  <r>
    <n v="2024005374"/>
    <x v="135"/>
    <n v="2024"/>
    <x v="107"/>
    <s v="PROD_005"/>
    <s v="Standing Desk"/>
    <s v="Furniture"/>
    <n v="2"/>
    <n v="596.03"/>
    <n v="1192.06"/>
    <n v="1192.06"/>
    <n v="0"/>
    <s v="Sweden"/>
    <x v="3"/>
  </r>
  <r>
    <n v="2024005375"/>
    <x v="89"/>
    <n v="2024"/>
    <x v="239"/>
    <s v="PROD_001"/>
    <s v="Laptop Pro"/>
    <s v="Electronics"/>
    <n v="1"/>
    <n v="1222.79"/>
    <n v="1222.79"/>
    <n v="1222.79"/>
    <n v="0"/>
    <s v="Germany"/>
    <x v="3"/>
  </r>
  <r>
    <n v="2024005376"/>
    <x v="213"/>
    <n v="2024"/>
    <x v="154"/>
    <s v="PROD_009"/>
    <s v="Phone Stand"/>
    <s v="Accessories"/>
    <n v="2"/>
    <n v="24.77"/>
    <n v="49.54"/>
    <n v="49.54"/>
    <n v="0"/>
    <s v="Germany"/>
    <x v="0"/>
  </r>
  <r>
    <n v="2024005377"/>
    <x v="99"/>
    <n v="2024"/>
    <x v="69"/>
    <s v="PROD_009"/>
    <s v="Phone Stand"/>
    <s v="Accessories"/>
    <n v="2"/>
    <n v="24.78"/>
    <n v="49.56"/>
    <n v="49.56"/>
    <n v="0"/>
    <s v="Spain"/>
    <x v="2"/>
  </r>
  <r>
    <n v="2024005378"/>
    <x v="132"/>
    <n v="2024"/>
    <x v="222"/>
    <s v="PROD_002"/>
    <s v="Wireless Mouse"/>
    <s v="Electronics"/>
    <n v="2"/>
    <n v="44.64"/>
    <n v="89.28"/>
    <n v="89.28"/>
    <n v="0"/>
    <s v="Sweden"/>
    <x v="1"/>
  </r>
  <r>
    <n v="2024005137"/>
    <x v="168"/>
    <n v="2024"/>
    <x v="59"/>
    <s v="PROD_009"/>
    <s v="Phone Stand"/>
    <s v="Accessories"/>
    <n v="1"/>
    <n v="24.41"/>
    <n v="24.41"/>
    <n v="24.41"/>
    <n v="0"/>
    <s v="France"/>
    <x v="0"/>
  </r>
  <r>
    <n v="2024005380"/>
    <x v="229"/>
    <n v="2024"/>
    <x v="213"/>
    <s v="PROD_007"/>
    <s v="Keyboard Mechanical"/>
    <s v="Electronics"/>
    <n v="1"/>
    <n v="115.84"/>
    <n v="115.84"/>
    <n v="115.84"/>
    <n v="0"/>
    <s v="Switzerland"/>
    <x v="0"/>
  </r>
  <r>
    <n v="2024005381"/>
    <x v="108"/>
    <n v="2024"/>
    <x v="84"/>
    <s v="PROD_004"/>
    <s v="Desk Chair"/>
    <s v="Furniture"/>
    <n v="1"/>
    <n v="392.26"/>
    <n v="392.26"/>
    <n v="392.26"/>
    <n v="0"/>
    <s v="UK"/>
    <x v="3"/>
  </r>
  <r>
    <n v="2024005382"/>
    <x v="14"/>
    <n v="2024"/>
    <x v="102"/>
    <s v="PROD_008"/>
    <s v="Desk Lamp"/>
    <s v="Furniture"/>
    <n v="1"/>
    <n v="87.74"/>
    <n v="87.74"/>
    <n v="87.74"/>
    <n v="0"/>
    <s v="Sweden"/>
    <x v="3"/>
  </r>
  <r>
    <n v="2024005383"/>
    <x v="197"/>
    <n v="2024"/>
    <x v="239"/>
    <s v="PROD_002"/>
    <s v="Wireless Mouse"/>
    <s v="Electronics"/>
    <n v="3"/>
    <n v="45.01"/>
    <n v="135.03"/>
    <n v="135.03"/>
    <n v="0"/>
    <s v="Austria"/>
    <x v="1"/>
  </r>
  <r>
    <n v="2024005384"/>
    <x v="340"/>
    <n v="2024"/>
    <x v="0"/>
    <s v="PROD_006"/>
    <s v="Monitor 27&quot;"/>
    <s v="Electronics"/>
    <n v="1"/>
    <n v="446.3"/>
    <n v="446.3"/>
    <n v="446.3"/>
    <n v="0"/>
    <s v="France"/>
    <x v="3"/>
  </r>
  <r>
    <n v="2024005385"/>
    <x v="222"/>
    <n v="2024"/>
    <x v="71"/>
    <s v="PROD_003"/>
    <s v="USB-C Cable"/>
    <s v="Electronics"/>
    <n v="2"/>
    <n v="14.82"/>
    <n v="29.64"/>
    <n v="29.64"/>
    <n v="0"/>
    <s v="France"/>
    <x v="2"/>
  </r>
  <r>
    <n v="2024005386"/>
    <x v="321"/>
    <n v="2024"/>
    <x v="172"/>
    <s v="PROD_002"/>
    <s v="Wireless Mouse"/>
    <s v="Electronics"/>
    <n v="1"/>
    <n v="46.33"/>
    <n v="46.33"/>
    <n v="46.33"/>
    <n v="0"/>
    <s v="Germany"/>
    <x v="3"/>
  </r>
  <r>
    <n v="2024005387"/>
    <x v="365"/>
    <n v="2024"/>
    <x v="19"/>
    <s v="PROD_004"/>
    <s v="Desk Chair"/>
    <s v="Furniture"/>
    <n v="3"/>
    <n v="332.01"/>
    <n v="996.03"/>
    <n v="996.03"/>
    <n v="0"/>
    <s v="Italy"/>
    <x v="3"/>
  </r>
  <r>
    <n v="2024005388"/>
    <x v="249"/>
    <n v="2024"/>
    <x v="190"/>
    <s v="PROD_004"/>
    <s v="Desk Chair"/>
    <s v="Furniture"/>
    <n v="1"/>
    <n v="354.65"/>
    <n v="354.65"/>
    <n v="354.65"/>
    <n v="0"/>
    <s v="Switzerland"/>
    <x v="2"/>
  </r>
  <r>
    <n v="2024005389"/>
    <x v="165"/>
    <n v="2024"/>
    <x v="0"/>
    <s v="PROD_003"/>
    <s v="USB-C Cable"/>
    <s v="Electronics"/>
    <n v="1"/>
    <n v="14.33"/>
    <n v="14.33"/>
    <n v="14.33"/>
    <n v="0"/>
    <s v="Switzerland"/>
    <x v="2"/>
  </r>
  <r>
    <n v="2024005390"/>
    <x v="54"/>
    <n v="2024"/>
    <x v="119"/>
    <s v="PROD_009"/>
    <s v="Phone Stand"/>
    <s v="Accessories"/>
    <n v="1"/>
    <n v="23.22"/>
    <n v="23.22"/>
    <n v="23.22"/>
    <n v="0"/>
    <s v="Spain"/>
    <x v="1"/>
  </r>
  <r>
    <n v="2024005391"/>
    <x v="254"/>
    <n v="2024"/>
    <x v="298"/>
    <s v="PROD_006"/>
    <s v="Monitor 27&quot;"/>
    <s v="Electronics"/>
    <n v="1"/>
    <n v="406.99"/>
    <n v="406.99"/>
    <n v="406.99"/>
    <n v="0"/>
    <s v="Spain"/>
    <x v="3"/>
  </r>
  <r>
    <n v="2024005392"/>
    <x v="217"/>
    <n v="2024"/>
    <x v="272"/>
    <s v="PROD_006"/>
    <s v="Monitor 27&quot;"/>
    <s v="Electronics"/>
    <n v="2"/>
    <n v="394.43"/>
    <n v="788.86"/>
    <n v="788.86"/>
    <n v="0"/>
    <s v="Belgium"/>
    <x v="3"/>
  </r>
  <r>
    <n v="2024005393"/>
    <x v="79"/>
    <n v="2024"/>
    <x v="282"/>
    <s v="PROD_006"/>
    <s v="Monitor 27&quot;"/>
    <s v="Electronics"/>
    <n v="1"/>
    <n v="426.35"/>
    <n v="426.35"/>
    <n v="426.35"/>
    <n v="0"/>
    <s v="Switzerland"/>
    <x v="2"/>
  </r>
  <r>
    <n v="2024005394"/>
    <x v="144"/>
    <n v="2024"/>
    <x v="137"/>
    <s v="PROD_003"/>
    <s v="USB-C Cable"/>
    <s v="Electronics"/>
    <n v="1"/>
    <n v="14.54"/>
    <n v="14.54"/>
    <n v="14.54"/>
    <n v="0"/>
    <s v="Italy"/>
    <x v="1"/>
  </r>
  <r>
    <n v="2024005395"/>
    <x v="181"/>
    <n v="2024"/>
    <x v="221"/>
    <s v="PROD_010"/>
    <s v="Webcam HD"/>
    <s v="Electronics"/>
    <n v="1"/>
    <n v="83.88"/>
    <n v="83.88"/>
    <n v="83.88"/>
    <n v="0"/>
    <s v="Belgium"/>
    <x v="3"/>
  </r>
  <r>
    <n v="2024005396"/>
    <x v="171"/>
    <n v="2024"/>
    <x v="0"/>
    <s v="PROD_001"/>
    <s v="Laptop Pro"/>
    <s v="Electronics"/>
    <n v="3"/>
    <n v="1160.05"/>
    <n v="3480.15"/>
    <n v="3480.1499999999996"/>
    <n v="0"/>
    <s v="UK"/>
    <x v="0"/>
  </r>
  <r>
    <n v="2024005397"/>
    <x v="67"/>
    <n v="2024"/>
    <x v="74"/>
    <s v="PROD_004"/>
    <s v="Desk Chair"/>
    <s v="Furniture"/>
    <n v="2"/>
    <n v="323.85000000000002"/>
    <n v="647.70000000000005"/>
    <n v="647.70000000000005"/>
    <n v="0"/>
    <s v="Sweden"/>
    <x v="2"/>
  </r>
  <r>
    <n v="2024005398"/>
    <x v="277"/>
    <n v="2024"/>
    <x v="165"/>
    <s v="PROD_001"/>
    <s v="Laptop Pro"/>
    <s v="Electronics"/>
    <n v="1"/>
    <n v="1093.98"/>
    <n v="1093.98"/>
    <n v="1093.98"/>
    <n v="0"/>
    <s v="Spain"/>
    <x v="3"/>
  </r>
  <r>
    <n v="2024005399"/>
    <x v="138"/>
    <n v="2024"/>
    <x v="81"/>
    <s v="PROD_008"/>
    <s v="Desk Lamp"/>
    <s v="Furniture"/>
    <n v="1"/>
    <n v="85.72"/>
    <n v="85.72"/>
    <n v="85.72"/>
    <n v="0"/>
    <s v="Sweden"/>
    <x v="3"/>
  </r>
  <r>
    <n v="2024005400"/>
    <x v="145"/>
    <n v="2024"/>
    <x v="137"/>
    <s v="PROD_001"/>
    <s v="Laptop Pro"/>
    <s v="Electronics"/>
    <n v="3"/>
    <n v="1103.28"/>
    <n v="3309.84"/>
    <n v="3309.84"/>
    <n v="0"/>
    <s v="Belgium"/>
    <x v="0"/>
  </r>
  <r>
    <n v="2024005401"/>
    <x v="286"/>
    <n v="2024"/>
    <x v="72"/>
    <s v="PROD_009"/>
    <s v="Phone Stand"/>
    <s v="Accessories"/>
    <n v="1"/>
    <n v="25.43"/>
    <n v="25.43"/>
    <n v="25.43"/>
    <n v="0"/>
    <s v="Netherlands"/>
    <x v="1"/>
  </r>
  <r>
    <n v="2024005402"/>
    <x v="289"/>
    <n v="2024"/>
    <x v="216"/>
    <s v="PROD_003"/>
    <s v="USB-C Cable"/>
    <s v="Electronics"/>
    <n v="2"/>
    <n v="14.13"/>
    <n v="28.26"/>
    <n v="28.26"/>
    <n v="0"/>
    <s v="Netherlands"/>
    <x v="1"/>
  </r>
  <r>
    <n v="2024005403"/>
    <x v="69"/>
    <n v="2024"/>
    <x v="84"/>
    <s v="PROD_001"/>
    <s v="Laptop Pro"/>
    <s v="Electronics"/>
    <n v="2"/>
    <n v="1130.44"/>
    <n v="2260.88"/>
    <n v="2260.88"/>
    <n v="0"/>
    <s v="France"/>
    <x v="2"/>
  </r>
  <r>
    <n v="2024005404"/>
    <x v="203"/>
    <n v="2024"/>
    <x v="0"/>
    <s v="PROD_002"/>
    <s v="Wireless Mouse"/>
    <s v="Electronics"/>
    <n v="2"/>
    <n v="42.42"/>
    <n v="84.84"/>
    <n v="84.84"/>
    <n v="0"/>
    <s v="Switzerland"/>
    <x v="2"/>
  </r>
  <r>
    <n v="2024005405"/>
    <x v="215"/>
    <n v="2024"/>
    <x v="0"/>
    <s v="PROD_007"/>
    <s v="Keyboard Mechanical"/>
    <s v="Electronics"/>
    <n v="1"/>
    <n v="123.66"/>
    <n v="123.66"/>
    <n v="123.66"/>
    <n v="0"/>
    <s v="Spain"/>
    <x v="0"/>
  </r>
  <r>
    <n v="2024005406"/>
    <x v="274"/>
    <n v="2024"/>
    <x v="74"/>
    <s v="PROD_001"/>
    <s v="Laptop Pro"/>
    <s v="Electronics"/>
    <n v="2"/>
    <n v="1217.98"/>
    <n v="2435.96"/>
    <n v="2435.96"/>
    <n v="0"/>
    <s v="Germany"/>
    <x v="2"/>
  </r>
  <r>
    <n v="2024005407"/>
    <x v="106"/>
    <n v="2024"/>
    <x v="287"/>
    <s v="PROD_006"/>
    <s v="Monitor 27&quot;"/>
    <s v="Electronics"/>
    <n v="1"/>
    <n v="398.85"/>
    <n v="398.85"/>
    <n v="398.85"/>
    <n v="0"/>
    <s v="France"/>
    <x v="2"/>
  </r>
  <r>
    <n v="2024005408"/>
    <x v="261"/>
    <n v="2024"/>
    <x v="0"/>
    <s v="PROD_006"/>
    <s v="Monitor 27&quot;"/>
    <s v="Electronics"/>
    <n v="1"/>
    <n v="401.17"/>
    <n v="401.17"/>
    <n v="401.17"/>
    <n v="0"/>
    <s v="UK"/>
    <x v="3"/>
  </r>
  <r>
    <n v="2024005409"/>
    <x v="19"/>
    <n v="2024"/>
    <x v="260"/>
    <s v="PROD_007"/>
    <s v="Keyboard Mechanical"/>
    <s v="Electronics"/>
    <n v="1"/>
    <n v="120.51"/>
    <n v="120.51"/>
    <n v="120.51"/>
    <n v="0"/>
    <s v="Italy"/>
    <x v="3"/>
  </r>
  <r>
    <n v="2024005410"/>
    <x v="302"/>
    <n v="2024"/>
    <x v="29"/>
    <s v="PROD_004"/>
    <s v="Desk Chair"/>
    <s v="Furniture"/>
    <n v="4"/>
    <n v="354.92"/>
    <n v="1419.68"/>
    <n v="1419.68"/>
    <n v="0"/>
    <s v="Germany"/>
    <x v="1"/>
  </r>
  <r>
    <n v="2024005411"/>
    <x v="236"/>
    <n v="2024"/>
    <x v="236"/>
    <s v="PROD_009"/>
    <s v="Phone Stand"/>
    <s v="Accessories"/>
    <n v="3"/>
    <n v="24.85"/>
    <n v="74.55"/>
    <n v="74.550000000000011"/>
    <n v="0"/>
    <s v="Germany"/>
    <x v="1"/>
  </r>
  <r>
    <n v="2024005412"/>
    <x v="120"/>
    <n v="2024"/>
    <x v="294"/>
    <s v="PROD_002"/>
    <s v="Wireless Mouse"/>
    <s v="Electronics"/>
    <n v="1"/>
    <n v="44.46"/>
    <n v="44.46"/>
    <n v="44.46"/>
    <n v="0"/>
    <s v="Italy"/>
    <x v="3"/>
  </r>
  <r>
    <n v="2024005413"/>
    <x v="54"/>
    <n v="2024"/>
    <x v="225"/>
    <s v="PROD_006"/>
    <s v="Monitor 27&quot;"/>
    <s v="Electronics"/>
    <n v="3"/>
    <n v="362.47"/>
    <n v="1087.4100000000001"/>
    <n v="1087.4100000000001"/>
    <n v="0"/>
    <s v="Germany"/>
    <x v="0"/>
  </r>
  <r>
    <n v="2024005414"/>
    <x v="203"/>
    <n v="2024"/>
    <x v="234"/>
    <s v="PROD_004"/>
    <s v="Desk Chair"/>
    <s v="Furniture"/>
    <n v="1"/>
    <n v="383.18"/>
    <n v="383.18"/>
    <n v="383.18"/>
    <n v="0"/>
    <s v="Netherlands"/>
    <x v="1"/>
  </r>
  <r>
    <n v="2024005415"/>
    <x v="54"/>
    <n v="2024"/>
    <x v="118"/>
    <s v="PROD_010"/>
    <s v="Webcam HD"/>
    <s v="Electronics"/>
    <n v="2"/>
    <n v="92.52"/>
    <n v="185.04"/>
    <n v="185.04"/>
    <n v="0"/>
    <s v="Spain"/>
    <x v="3"/>
  </r>
  <r>
    <n v="2024005416"/>
    <x v="221"/>
    <n v="2024"/>
    <x v="102"/>
    <s v="PROD_004"/>
    <s v="Desk Chair"/>
    <s v="Furniture"/>
    <n v="1"/>
    <n v="342.93"/>
    <n v="342.93"/>
    <n v="342.93"/>
    <n v="0"/>
    <s v="Belgium"/>
    <x v="2"/>
  </r>
  <r>
    <n v="2024005417"/>
    <x v="244"/>
    <n v="2024"/>
    <x v="63"/>
    <s v="PROD_007"/>
    <s v="Keyboard Mechanical"/>
    <s v="Electronics"/>
    <n v="2"/>
    <n v="110.12"/>
    <n v="220.24"/>
    <n v="220.24"/>
    <n v="0"/>
    <s v="Germany"/>
    <x v="3"/>
  </r>
  <r>
    <n v="2024005418"/>
    <x v="190"/>
    <n v="2024"/>
    <x v="264"/>
    <s v="PROD_010"/>
    <s v="Webcam HD"/>
    <s v="Electronics"/>
    <n v="5"/>
    <n v="104.02"/>
    <n v="520.1"/>
    <n v="520.1"/>
    <n v="0"/>
    <s v="Spain"/>
    <x v="1"/>
  </r>
  <r>
    <n v="2024005419"/>
    <x v="228"/>
    <n v="2024"/>
    <x v="149"/>
    <s v="PROD_001"/>
    <s v="Laptop Pro"/>
    <s v="Electronics"/>
    <n v="2"/>
    <n v="1243.33"/>
    <n v="2486.66"/>
    <n v="2486.66"/>
    <n v="0"/>
    <s v="Switzerland"/>
    <x v="0"/>
  </r>
  <r>
    <n v="2024005420"/>
    <x v="211"/>
    <n v="2024"/>
    <x v="172"/>
    <s v="PROD_003"/>
    <s v="USB-C Cable"/>
    <s v="Electronics"/>
    <n v="3"/>
    <n v="14.35"/>
    <n v="43.05"/>
    <n v="43.05"/>
    <n v="0"/>
    <s v="France"/>
    <x v="2"/>
  </r>
  <r>
    <n v="2024005421"/>
    <x v="156"/>
    <n v="2024"/>
    <x v="210"/>
    <s v="PROD_002"/>
    <s v="Wireless Mouse"/>
    <s v="Electronics"/>
    <n v="2"/>
    <n v="46.22"/>
    <n v="92.44"/>
    <n v="92.44"/>
    <n v="0"/>
    <s v="Italy"/>
    <x v="0"/>
  </r>
  <r>
    <n v="2024005422"/>
    <x v="69"/>
    <n v="2024"/>
    <x v="166"/>
    <s v="PROD_008"/>
    <s v="Desk Lamp"/>
    <s v="Furniture"/>
    <n v="1"/>
    <n v="83.16"/>
    <n v="83.16"/>
    <n v="83.16"/>
    <n v="0"/>
    <s v="Italy"/>
    <x v="2"/>
  </r>
  <r>
    <n v="2024005423"/>
    <x v="82"/>
    <n v="2024"/>
    <x v="0"/>
    <s v="PROD_002"/>
    <s v="Wireless Mouse"/>
    <s v="Electronics"/>
    <n v="1"/>
    <n v="43.98"/>
    <n v="43.98"/>
    <n v="43.98"/>
    <n v="0"/>
    <s v="Sweden"/>
    <x v="3"/>
  </r>
  <r>
    <n v="2024005424"/>
    <x v="305"/>
    <n v="2024"/>
    <x v="210"/>
    <s v="PROD_010"/>
    <s v="Webcam HD"/>
    <s v="Electronics"/>
    <n v="1"/>
    <n v="91.95"/>
    <n v="91.95"/>
    <n v="91.95"/>
    <n v="0"/>
    <s v="Belgium"/>
    <x v="0"/>
  </r>
  <r>
    <n v="2024005425"/>
    <x v="18"/>
    <n v="2024"/>
    <x v="127"/>
    <s v="PROD_003"/>
    <s v="USB-C Cable"/>
    <s v="Electronics"/>
    <n v="5"/>
    <n v="15.02"/>
    <n v="75.099999999999994"/>
    <n v="75.099999999999994"/>
    <n v="0"/>
    <s v="UK"/>
    <x v="2"/>
  </r>
  <r>
    <n v="2024005426"/>
    <x v="101"/>
    <n v="2024"/>
    <x v="8"/>
    <s v="PROD_008"/>
    <s v="Desk Lamp"/>
    <s v="Furniture"/>
    <n v="2"/>
    <n v="82.74"/>
    <n v="165.48"/>
    <n v="165.48"/>
    <n v="0"/>
    <s v="Switzerland"/>
    <x v="0"/>
  </r>
  <r>
    <n v="2024005427"/>
    <x v="353"/>
    <n v="2024"/>
    <x v="249"/>
    <s v="PROD_005"/>
    <s v="Standing Desk"/>
    <s v="Furniture"/>
    <n v="2"/>
    <n v="653.91999999999996"/>
    <n v="1307.8399999999999"/>
    <n v="1307.8399999999999"/>
    <n v="0"/>
    <s v="Sweden"/>
    <x v="1"/>
  </r>
  <r>
    <n v="2024005428"/>
    <x v="242"/>
    <n v="2024"/>
    <x v="100"/>
    <s v="PROD_003"/>
    <s v="USB-C Cable"/>
    <s v="Electronics"/>
    <n v="1"/>
    <n v="15.54"/>
    <n v="15.54"/>
    <n v="15.54"/>
    <n v="0"/>
    <s v="Belgium"/>
    <x v="3"/>
  </r>
  <r>
    <n v="2024005429"/>
    <x v="45"/>
    <n v="2024"/>
    <x v="183"/>
    <s v="PROD_003"/>
    <s v="USB-C Cable"/>
    <s v="Electronics"/>
    <n v="1"/>
    <n v="15.49"/>
    <n v="15.49"/>
    <n v="15.49"/>
    <n v="0"/>
    <s v="Italy"/>
    <x v="1"/>
  </r>
  <r>
    <n v="2024005430"/>
    <x v="345"/>
    <n v="2024"/>
    <x v="232"/>
    <s v="PROD_005"/>
    <s v="Standing Desk"/>
    <s v="Furniture"/>
    <n v="1"/>
    <n v="599.38"/>
    <n v="599.38"/>
    <n v="599.38"/>
    <n v="0"/>
    <s v="Switzerland"/>
    <x v="1"/>
  </r>
  <r>
    <n v="2024005431"/>
    <x v="274"/>
    <n v="2024"/>
    <x v="5"/>
    <s v="PROD_003"/>
    <s v="USB-C Cable"/>
    <s v="Electronics"/>
    <n v="1"/>
    <n v="16.079999999999998"/>
    <n v="16.079999999999998"/>
    <n v="16.079999999999998"/>
    <n v="0"/>
    <s v="Switzerland"/>
    <x v="3"/>
  </r>
  <r>
    <n v="2024005432"/>
    <x v="277"/>
    <n v="2024"/>
    <x v="81"/>
    <s v="PROD_003"/>
    <s v="USB-C Cable"/>
    <s v="Electronics"/>
    <n v="2"/>
    <n v="15.88"/>
    <n v="31.76"/>
    <n v="31.76"/>
    <n v="0"/>
    <s v="France"/>
    <x v="2"/>
  </r>
  <r>
    <n v="2024005433"/>
    <x v="120"/>
    <n v="2024"/>
    <x v="27"/>
    <s v="PROD_009"/>
    <s v="Phone Stand"/>
    <s v="Accessories"/>
    <n v="1"/>
    <n v="23"/>
    <n v="23"/>
    <n v="23"/>
    <n v="0"/>
    <s v="Sweden"/>
    <x v="0"/>
  </r>
  <r>
    <n v="2024005434"/>
    <x v="24"/>
    <n v="2024"/>
    <x v="253"/>
    <s v="PROD_010"/>
    <s v="Webcam HD"/>
    <s v="Electronics"/>
    <n v="1"/>
    <n v="91.55"/>
    <n v="91.55"/>
    <n v="91.55"/>
    <n v="0"/>
    <s v="UK"/>
    <x v="0"/>
  </r>
  <r>
    <n v="2024005435"/>
    <x v="252"/>
    <n v="2024"/>
    <x v="143"/>
    <s v="PROD_007"/>
    <s v="Keyboard Mechanical"/>
    <s v="Electronics"/>
    <n v="2"/>
    <n v="124.53"/>
    <n v="249.06"/>
    <n v="249.06"/>
    <n v="0"/>
    <s v="Netherlands"/>
    <x v="2"/>
  </r>
  <r>
    <n v="2024005436"/>
    <x v="86"/>
    <n v="2024"/>
    <x v="0"/>
    <s v="PROD_008"/>
    <s v="Desk Lamp"/>
    <s v="Furniture"/>
    <n v="1"/>
    <n v="79.16"/>
    <n v="79.16"/>
    <n v="79.16"/>
    <n v="0"/>
    <s v="Germany"/>
    <x v="0"/>
  </r>
  <r>
    <n v="2024005437"/>
    <x v="77"/>
    <n v="2024"/>
    <x v="288"/>
    <s v="PROD_005"/>
    <s v="Standing Desk"/>
    <s v="Furniture"/>
    <n v="2"/>
    <n v="623.09"/>
    <n v="1246.18"/>
    <n v="1246.18"/>
    <n v="0"/>
    <s v="Spain"/>
    <x v="3"/>
  </r>
  <r>
    <n v="2024005438"/>
    <x v="229"/>
    <n v="2024"/>
    <x v="168"/>
    <s v="PROD_007"/>
    <s v="Keyboard Mechanical"/>
    <s v="Electronics"/>
    <n v="1"/>
    <n v="118.05"/>
    <n v="118.05"/>
    <n v="118.05"/>
    <n v="0"/>
    <s v="Italy"/>
    <x v="3"/>
  </r>
  <r>
    <n v="2024005439"/>
    <x v="138"/>
    <n v="2024"/>
    <x v="235"/>
    <s v="PROD_009"/>
    <s v="Phone Stand"/>
    <s v="Accessories"/>
    <n v="2"/>
    <n v="26.49"/>
    <n v="52.98"/>
    <n v="52.98"/>
    <n v="0"/>
    <s v="Sweden"/>
    <x v="2"/>
  </r>
  <r>
    <n v="2024005440"/>
    <x v="65"/>
    <n v="2024"/>
    <x v="0"/>
    <s v="PROD_001"/>
    <s v="Laptop Pro"/>
    <s v="Electronics"/>
    <n v="3"/>
    <n v="1177.6199999999999"/>
    <n v="3532.86"/>
    <n v="3532.8599999999997"/>
    <n v="0"/>
    <s v="Belgium"/>
    <x v="1"/>
  </r>
  <r>
    <n v="2024005441"/>
    <x v="80"/>
    <n v="2024"/>
    <x v="209"/>
    <s v="PROD_003"/>
    <s v="USB-C Cable"/>
    <s v="Electronics"/>
    <n v="3"/>
    <n v="14.14"/>
    <n v="42.42"/>
    <n v="42.42"/>
    <n v="0"/>
    <s v="Italy"/>
    <x v="3"/>
  </r>
  <r>
    <n v="2024005442"/>
    <x v="169"/>
    <n v="2024"/>
    <x v="244"/>
    <s v="PROD_007"/>
    <s v="Keyboard Mechanical"/>
    <s v="Electronics"/>
    <n v="2"/>
    <n v="124.75"/>
    <n v="249.5"/>
    <n v="249.5"/>
    <n v="0"/>
    <s v="Spain"/>
    <x v="2"/>
  </r>
  <r>
    <n v="2024005443"/>
    <x v="202"/>
    <n v="2024"/>
    <x v="48"/>
    <s v="PROD_006"/>
    <s v="Monitor 27&quot;"/>
    <s v="Electronics"/>
    <n v="1"/>
    <n v="380.01"/>
    <n v="380.01"/>
    <n v="380.01"/>
    <n v="0"/>
    <s v="Spain"/>
    <x v="3"/>
  </r>
  <r>
    <n v="2024005444"/>
    <x v="52"/>
    <n v="2024"/>
    <x v="24"/>
    <s v="PROD_001"/>
    <s v="Laptop Pro"/>
    <s v="Electronics"/>
    <n v="2"/>
    <n v="1200.17"/>
    <n v="2400.34"/>
    <n v="2400.34"/>
    <n v="0"/>
    <s v="Sweden"/>
    <x v="1"/>
  </r>
  <r>
    <n v="2024005445"/>
    <x v="318"/>
    <n v="2024"/>
    <x v="271"/>
    <s v="PROD_006"/>
    <s v="Monitor 27&quot;"/>
    <s v="Electronics"/>
    <n v="2"/>
    <n v="397.22"/>
    <n v="794.44"/>
    <n v="794.44"/>
    <n v="0"/>
    <s v="Austria"/>
    <x v="0"/>
  </r>
  <r>
    <n v="2024005446"/>
    <x v="205"/>
    <n v="2024"/>
    <x v="224"/>
    <s v="PROD_003"/>
    <s v="USB-C Cable"/>
    <s v="Electronics"/>
    <n v="3"/>
    <n v="14.19"/>
    <n v="42.57"/>
    <n v="42.57"/>
    <n v="0"/>
    <s v="Switzerland"/>
    <x v="1"/>
  </r>
  <r>
    <n v="2024005447"/>
    <x v="94"/>
    <n v="2024"/>
    <x v="204"/>
    <s v="PROD_010"/>
    <s v="Webcam HD"/>
    <s v="Electronics"/>
    <n v="1"/>
    <n v="85.71"/>
    <n v="85.71"/>
    <n v="85.71"/>
    <n v="0"/>
    <s v="Sweden"/>
    <x v="0"/>
  </r>
  <r>
    <n v="2024005448"/>
    <x v="335"/>
    <n v="2024"/>
    <x v="0"/>
    <s v="PROD_010"/>
    <s v="Webcam HD"/>
    <s v="Electronics"/>
    <n v="2"/>
    <n v="94.04"/>
    <n v="188.08"/>
    <n v="188.08"/>
    <n v="0"/>
    <s v="Italy"/>
    <x v="3"/>
  </r>
  <r>
    <n v="2024005449"/>
    <x v="262"/>
    <n v="2024"/>
    <x v="225"/>
    <s v="PROD_007"/>
    <s v="Keyboard Mechanical"/>
    <s v="Electronics"/>
    <n v="4"/>
    <n v="117.22"/>
    <n v="468.88"/>
    <n v="468.88"/>
    <n v="0"/>
    <s v="Germany"/>
    <x v="0"/>
  </r>
  <r>
    <n v="2024005450"/>
    <x v="155"/>
    <n v="2024"/>
    <x v="0"/>
    <s v="PROD_009"/>
    <s v="Phone Stand"/>
    <s v="Accessories"/>
    <n v="1"/>
    <n v="25.63"/>
    <n v="25.63"/>
    <n v="25.63"/>
    <n v="0"/>
    <s v="France"/>
    <x v="3"/>
  </r>
  <r>
    <n v="2024005451"/>
    <x v="222"/>
    <n v="2024"/>
    <x v="0"/>
    <s v="PROD_009"/>
    <s v="Phone Stand"/>
    <s v="Accessories"/>
    <n v="3"/>
    <n v="24.54"/>
    <n v="73.62"/>
    <n v="73.62"/>
    <n v="0"/>
    <s v="Belgium"/>
    <x v="3"/>
  </r>
  <r>
    <n v="2024005452"/>
    <x v="4"/>
    <n v="2024"/>
    <x v="177"/>
    <s v="PROD_010"/>
    <s v="Webcam HD"/>
    <s v="Electronics"/>
    <n v="3"/>
    <n v="87.21"/>
    <n v="261.63"/>
    <n v="261.63"/>
    <n v="0"/>
    <s v="UK"/>
    <x v="2"/>
  </r>
  <r>
    <n v="2024005453"/>
    <x v="253"/>
    <n v="2024"/>
    <x v="128"/>
    <s v="PROD_003"/>
    <s v="USB-C Cable"/>
    <s v="Electronics"/>
    <n v="4"/>
    <n v="14.66"/>
    <n v="58.64"/>
    <n v="58.64"/>
    <n v="0"/>
    <s v="Netherlands"/>
    <x v="3"/>
  </r>
  <r>
    <n v="2024005454"/>
    <x v="18"/>
    <n v="2024"/>
    <x v="135"/>
    <s v="PROD_009"/>
    <s v="Phone Stand"/>
    <s v="Accessories"/>
    <n v="3"/>
    <n v="25.41"/>
    <n v="76.23"/>
    <n v="76.23"/>
    <n v="0"/>
    <s v="Switzerland"/>
    <x v="3"/>
  </r>
  <r>
    <n v="2024005455"/>
    <x v="54"/>
    <n v="2024"/>
    <x v="214"/>
    <s v="PROD_006"/>
    <s v="Monitor 27&quot;"/>
    <s v="Electronics"/>
    <n v="1"/>
    <n v="410.53"/>
    <n v="410.53"/>
    <n v="410.53"/>
    <n v="0"/>
    <s v="Netherlands"/>
    <x v="1"/>
  </r>
  <r>
    <n v="2024005456"/>
    <x v="309"/>
    <n v="2024"/>
    <x v="133"/>
    <s v="PROD_001"/>
    <s v="Laptop Pro"/>
    <s v="Electronics"/>
    <n v="5"/>
    <n v="1215.8900000000001"/>
    <n v="6079.45"/>
    <n v="6079.4500000000007"/>
    <n v="0"/>
    <s v="Belgium"/>
    <x v="3"/>
  </r>
  <r>
    <n v="2024005457"/>
    <x v="328"/>
    <n v="2024"/>
    <x v="273"/>
    <s v="PROD_009"/>
    <s v="Phone Stand"/>
    <s v="Accessories"/>
    <n v="1"/>
    <n v="22.74"/>
    <n v="22.74"/>
    <n v="22.74"/>
    <n v="0"/>
    <s v="Sweden"/>
    <x v="2"/>
  </r>
  <r>
    <n v="2024005458"/>
    <x v="293"/>
    <n v="2024"/>
    <x v="0"/>
    <s v="PROD_004"/>
    <s v="Desk Chair"/>
    <s v="Furniture"/>
    <n v="1"/>
    <n v="330.05"/>
    <n v="330.05"/>
    <n v="330.05"/>
    <n v="0"/>
    <s v="Italy"/>
    <x v="1"/>
  </r>
  <r>
    <n v="2024005459"/>
    <x v="235"/>
    <n v="2024"/>
    <x v="103"/>
    <s v="PROD_004"/>
    <s v="Desk Chair"/>
    <s v="Furniture"/>
    <n v="1"/>
    <n v="327.08999999999997"/>
    <n v="327.08999999999997"/>
    <n v="327.08999999999997"/>
    <n v="0"/>
    <s v="Belgium"/>
    <x v="2"/>
  </r>
  <r>
    <n v="2024005460"/>
    <x v="11"/>
    <n v="2024"/>
    <x v="48"/>
    <s v="PROD_008"/>
    <s v="Desk Lamp"/>
    <s v="Furniture"/>
    <n v="1"/>
    <n v="78.03"/>
    <n v="78.03"/>
    <n v="78.03"/>
    <n v="0"/>
    <s v="Italy"/>
    <x v="3"/>
  </r>
  <r>
    <n v="2024005461"/>
    <x v="196"/>
    <n v="2024"/>
    <x v="246"/>
    <s v="PROD_007"/>
    <s v="Keyboard Mechanical"/>
    <s v="Electronics"/>
    <n v="2"/>
    <n v="127.27"/>
    <n v="254.54"/>
    <n v="254.54"/>
    <n v="0"/>
    <s v="Netherlands"/>
    <x v="2"/>
  </r>
  <r>
    <n v="2024005462"/>
    <x v="285"/>
    <n v="2024"/>
    <x v="252"/>
    <s v="PROD_006"/>
    <s v="Monitor 27&quot;"/>
    <s v="Electronics"/>
    <n v="1"/>
    <n v="396.64"/>
    <n v="396.64"/>
    <n v="396.64"/>
    <n v="0"/>
    <s v="Switzerland"/>
    <x v="3"/>
  </r>
  <r>
    <n v="2024005463"/>
    <x v="42"/>
    <n v="2024"/>
    <x v="265"/>
    <s v="PROD_009"/>
    <s v="Phone Stand"/>
    <s v="Accessories"/>
    <n v="1"/>
    <n v="25.32"/>
    <n v="25.32"/>
    <n v="25.32"/>
    <n v="0"/>
    <s v="Italy"/>
    <x v="2"/>
  </r>
  <r>
    <n v="2024005464"/>
    <x v="50"/>
    <n v="2024"/>
    <x v="113"/>
    <s v="PROD_004"/>
    <s v="Desk Chair"/>
    <s v="Furniture"/>
    <n v="1"/>
    <n v="355.07"/>
    <n v="355.07"/>
    <n v="355.07"/>
    <n v="0"/>
    <s v="Italy"/>
    <x v="2"/>
  </r>
  <r>
    <n v="2024005465"/>
    <x v="240"/>
    <n v="2024"/>
    <x v="16"/>
    <s v="PROD_002"/>
    <s v="Wireless Mouse"/>
    <s v="Electronics"/>
    <n v="3"/>
    <n v="42.77"/>
    <n v="128.31"/>
    <n v="128.31"/>
    <n v="0"/>
    <s v="UK"/>
    <x v="0"/>
  </r>
  <r>
    <n v="2024005466"/>
    <x v="14"/>
    <n v="2024"/>
    <x v="0"/>
    <s v="PROD_007"/>
    <s v="Keyboard Mechanical"/>
    <s v="Electronics"/>
    <n v="5"/>
    <n v="118.45"/>
    <n v="592.25"/>
    <n v="592.25"/>
    <n v="0"/>
    <s v="France"/>
    <x v="0"/>
  </r>
  <r>
    <n v="2024005467"/>
    <x v="282"/>
    <n v="2024"/>
    <x v="246"/>
    <s v="PROD_003"/>
    <s v="USB-C Cable"/>
    <s v="Electronics"/>
    <n v="1"/>
    <n v="15.75"/>
    <n v="15.75"/>
    <n v="15.75"/>
    <n v="0"/>
    <s v="Austria"/>
    <x v="3"/>
  </r>
  <r>
    <n v="2024005468"/>
    <x v="345"/>
    <n v="2024"/>
    <x v="175"/>
    <s v="PROD_004"/>
    <s v="Desk Chair"/>
    <s v="Furniture"/>
    <n v="2"/>
    <n v="322.57"/>
    <n v="645.14"/>
    <n v="645.14"/>
    <n v="0"/>
    <s v="France"/>
    <x v="1"/>
  </r>
  <r>
    <n v="2024005469"/>
    <x v="4"/>
    <n v="2024"/>
    <x v="0"/>
    <s v="PROD_004"/>
    <s v="Desk Chair"/>
    <s v="Furniture"/>
    <n v="1"/>
    <n v="358.4"/>
    <n v="358.4"/>
    <n v="358.4"/>
    <n v="0"/>
    <s v="Belgium"/>
    <x v="1"/>
  </r>
  <r>
    <n v="2024005470"/>
    <x v="200"/>
    <n v="2024"/>
    <x v="0"/>
    <s v="PROD_004"/>
    <s v="Desk Chair"/>
    <s v="Furniture"/>
    <n v="2"/>
    <n v="330.41"/>
    <n v="660.82"/>
    <n v="660.82"/>
    <n v="0"/>
    <s v="Sweden"/>
    <x v="0"/>
  </r>
  <r>
    <n v="2024005471"/>
    <x v="46"/>
    <n v="2024"/>
    <x v="162"/>
    <s v="PROD_003"/>
    <s v="USB-C Cable"/>
    <s v="Electronics"/>
    <n v="4"/>
    <n v="16.09"/>
    <n v="64.36"/>
    <n v="64.36"/>
    <n v="0"/>
    <s v="Spain"/>
    <x v="0"/>
  </r>
  <r>
    <n v="2024005472"/>
    <x v="343"/>
    <n v="2024"/>
    <x v="5"/>
    <s v="PROD_001"/>
    <s v="Laptop Pro"/>
    <s v="Electronics"/>
    <n v="2"/>
    <n v="1200.25"/>
    <n v="2400.5"/>
    <n v="2400.5"/>
    <n v="0"/>
    <s v="Spain"/>
    <x v="2"/>
  </r>
  <r>
    <n v="2024005473"/>
    <x v="331"/>
    <n v="2024"/>
    <x v="174"/>
    <s v="PROD_003"/>
    <s v="USB-C Cable"/>
    <s v="Electronics"/>
    <n v="1"/>
    <n v="15.09"/>
    <n v="15.09"/>
    <n v="15.09"/>
    <n v="0"/>
    <s v="Belgium"/>
    <x v="0"/>
  </r>
  <r>
    <n v="2024005474"/>
    <x v="202"/>
    <n v="2024"/>
    <x v="217"/>
    <s v="PROD_004"/>
    <s v="Desk Chair"/>
    <s v="Furniture"/>
    <n v="2"/>
    <n v="332.14"/>
    <n v="664.28"/>
    <n v="664.28"/>
    <n v="0"/>
    <s v="France"/>
    <x v="1"/>
  </r>
  <r>
    <n v="2024005475"/>
    <x v="147"/>
    <n v="2024"/>
    <x v="0"/>
    <s v="PROD_006"/>
    <s v="Monitor 27&quot;"/>
    <s v="Electronics"/>
    <n v="3"/>
    <n v="383.68"/>
    <n v="1151.04"/>
    <n v="1151.04"/>
    <n v="0"/>
    <s v="Netherlands"/>
    <x v="1"/>
  </r>
  <r>
    <n v="2024005476"/>
    <x v="284"/>
    <n v="2024"/>
    <x v="177"/>
    <s v="PROD_004"/>
    <s v="Desk Chair"/>
    <s v="Furniture"/>
    <n v="2"/>
    <n v="399.96"/>
    <n v="799.92"/>
    <n v="799.92"/>
    <n v="0"/>
    <s v="Switzerland"/>
    <x v="1"/>
  </r>
  <r>
    <n v="2024005477"/>
    <x v="83"/>
    <n v="2024"/>
    <x v="0"/>
    <s v="PROD_003"/>
    <s v="USB-C Cable"/>
    <s v="Electronics"/>
    <n v="1"/>
    <n v="13.91"/>
    <n v="13.91"/>
    <n v="13.91"/>
    <n v="0"/>
    <s v="Spain"/>
    <x v="3"/>
  </r>
  <r>
    <n v="2024005478"/>
    <x v="123"/>
    <n v="2024"/>
    <x v="29"/>
    <s v="PROD_009"/>
    <s v="Phone Stand"/>
    <s v="Accessories"/>
    <n v="3"/>
    <n v="26.42"/>
    <n v="79.260000000000005"/>
    <n v="79.260000000000005"/>
    <n v="0"/>
    <s v="France"/>
    <x v="0"/>
  </r>
  <r>
    <n v="2024004948"/>
    <x v="374"/>
    <n v="2023"/>
    <x v="257"/>
    <s v="PROD_001"/>
    <s v="Laptop Pro"/>
    <s v="Electronics"/>
    <n v="1"/>
    <n v="1181.6099999999999"/>
    <n v="1181.6099999999999"/>
    <n v="1181.6099999999999"/>
    <n v="0"/>
    <s v="Germany"/>
    <x v="3"/>
  </r>
  <r>
    <n v="2024005480"/>
    <x v="297"/>
    <n v="2024"/>
    <x v="214"/>
    <s v="PROD_005"/>
    <s v="Standing Desk"/>
    <s v="Furniture"/>
    <n v="4"/>
    <n v="660.26"/>
    <n v="2641.04"/>
    <n v="2641.04"/>
    <n v="0"/>
    <s v="Sweden"/>
    <x v="0"/>
  </r>
  <r>
    <n v="2024005481"/>
    <x v="245"/>
    <n v="2024"/>
    <x v="0"/>
    <s v="PROD_001"/>
    <s v="Laptop Pro"/>
    <s v="Electronics"/>
    <n v="1"/>
    <n v="1204.8499999999999"/>
    <n v="1204.8499999999999"/>
    <n v="1204.8499999999999"/>
    <n v="0"/>
    <s v="Germany"/>
    <x v="1"/>
  </r>
  <r>
    <n v="2024005482"/>
    <x v="358"/>
    <n v="2024"/>
    <x v="224"/>
    <s v="PROD_010"/>
    <s v="Webcam HD"/>
    <s v="Electronics"/>
    <n v="3"/>
    <n v="94.24"/>
    <n v="282.72000000000003"/>
    <n v="282.71999999999997"/>
    <n v="0"/>
    <s v="UK"/>
    <x v="2"/>
  </r>
  <r>
    <n v="2024005483"/>
    <x v="321"/>
    <n v="2024"/>
    <x v="185"/>
    <s v="PROD_008"/>
    <s v="Desk Lamp"/>
    <s v="Furniture"/>
    <n v="1"/>
    <n v="81.12"/>
    <n v="81.12"/>
    <n v="81.12"/>
    <n v="0"/>
    <s v="Belgium"/>
    <x v="0"/>
  </r>
  <r>
    <n v="2024005484"/>
    <x v="226"/>
    <n v="2024"/>
    <x v="202"/>
    <s v="PROD_002"/>
    <s v="Wireless Mouse"/>
    <s v="Electronics"/>
    <n v="1"/>
    <n v="42.81"/>
    <n v="42.81"/>
    <n v="42.81"/>
    <n v="0"/>
    <s v="Spain"/>
    <x v="3"/>
  </r>
  <r>
    <n v="2024005485"/>
    <x v="21"/>
    <n v="2024"/>
    <x v="59"/>
    <s v="PROD_006"/>
    <s v="Monitor 27&quot;"/>
    <s v="Electronics"/>
    <n v="1"/>
    <n v="431.15"/>
    <n v="431.15"/>
    <n v="431.15"/>
    <n v="0"/>
    <s v="Austria"/>
    <x v="1"/>
  </r>
  <r>
    <n v="2024005486"/>
    <x v="123"/>
    <n v="2024"/>
    <x v="71"/>
    <s v="PROD_005"/>
    <s v="Standing Desk"/>
    <s v="Furniture"/>
    <n v="2"/>
    <n v="582.82000000000005"/>
    <n v="1165.6400000000001"/>
    <n v="1165.6400000000001"/>
    <n v="0"/>
    <s v="Sweden"/>
    <x v="2"/>
  </r>
  <r>
    <n v="2024005487"/>
    <x v="237"/>
    <n v="2024"/>
    <x v="123"/>
    <s v="PROD_001"/>
    <s v="Laptop Pro"/>
    <s v="Electronics"/>
    <n v="1"/>
    <n v="1155.1099999999999"/>
    <n v="1155.1099999999999"/>
    <n v="1155.1099999999999"/>
    <n v="0"/>
    <s v="Belgium"/>
    <x v="0"/>
  </r>
  <r>
    <n v="2024005488"/>
    <x v="110"/>
    <n v="2024"/>
    <x v="182"/>
    <s v="PROD_008"/>
    <s v="Desk Lamp"/>
    <s v="Furniture"/>
    <n v="3"/>
    <n v="80.239999999999995"/>
    <n v="240.72"/>
    <n v="240.71999999999997"/>
    <n v="0"/>
    <s v="Switzerland"/>
    <x v="1"/>
  </r>
  <r>
    <n v="2024005489"/>
    <x v="222"/>
    <n v="2024"/>
    <x v="77"/>
    <s v="PROD_004"/>
    <s v="Desk Chair"/>
    <s v="Furniture"/>
    <n v="3"/>
    <n v="338.09"/>
    <n v="1014.27"/>
    <n v="1014.27"/>
    <n v="0"/>
    <s v="Netherlands"/>
    <x v="0"/>
  </r>
  <r>
    <n v="2024005490"/>
    <x v="357"/>
    <n v="2024"/>
    <x v="46"/>
    <s v="PROD_010"/>
    <s v="Webcam HD"/>
    <s v="Electronics"/>
    <n v="1"/>
    <n v="91.81"/>
    <n v="91.81"/>
    <n v="91.81"/>
    <n v="0"/>
    <s v="Austria"/>
    <x v="3"/>
  </r>
  <r>
    <n v="2024005491"/>
    <x v="74"/>
    <n v="2024"/>
    <x v="254"/>
    <s v="PROD_002"/>
    <s v="Wireless Mouse"/>
    <s v="Electronics"/>
    <n v="1"/>
    <n v="45.41"/>
    <n v="45.41"/>
    <n v="45.41"/>
    <n v="0"/>
    <s v="Switzerland"/>
    <x v="3"/>
  </r>
  <r>
    <n v="2024005492"/>
    <x v="97"/>
    <n v="2024"/>
    <x v="92"/>
    <s v="PROD_001"/>
    <s v="Laptop Pro"/>
    <s v="Electronics"/>
    <n v="1"/>
    <n v="1373.51"/>
    <n v="1373.51"/>
    <n v="1373.51"/>
    <n v="0"/>
    <s v="Germany"/>
    <x v="3"/>
  </r>
  <r>
    <n v="2024005493"/>
    <x v="302"/>
    <n v="2024"/>
    <x v="65"/>
    <s v="PROD_005"/>
    <s v="Standing Desk"/>
    <s v="Furniture"/>
    <n v="1"/>
    <n v="617.59"/>
    <n v="617.59"/>
    <n v="617.59"/>
    <n v="0"/>
    <s v="Austria"/>
    <x v="2"/>
  </r>
  <r>
    <n v="2024005494"/>
    <x v="122"/>
    <n v="2024"/>
    <x v="43"/>
    <s v="PROD_006"/>
    <s v="Monitor 27&quot;"/>
    <s v="Electronics"/>
    <n v="2"/>
    <n v="432.73"/>
    <n v="865.46"/>
    <n v="865.46"/>
    <n v="0"/>
    <s v="UK"/>
    <x v="1"/>
  </r>
  <r>
    <n v="2024005495"/>
    <x v="179"/>
    <n v="2024"/>
    <x v="0"/>
    <s v="PROD_010"/>
    <s v="Webcam HD"/>
    <s v="Electronics"/>
    <n v="2"/>
    <n v="85.78"/>
    <n v="171.56"/>
    <n v="171.56"/>
    <n v="0"/>
    <s v="Spain"/>
    <x v="2"/>
  </r>
  <r>
    <n v="2024005496"/>
    <x v="20"/>
    <n v="2024"/>
    <x v="51"/>
    <s v="PROD_003"/>
    <s v="USB-C Cable"/>
    <s v="Electronics"/>
    <n v="4"/>
    <n v="15.16"/>
    <n v="60.64"/>
    <n v="60.64"/>
    <n v="0"/>
    <s v="Italy"/>
    <x v="3"/>
  </r>
  <r>
    <n v="2024005497"/>
    <x v="104"/>
    <n v="2024"/>
    <x v="55"/>
    <s v="PROD_007"/>
    <s v="Keyboard Mechanical"/>
    <s v="Electronics"/>
    <n v="1"/>
    <n v="127.07"/>
    <n v="127.07"/>
    <n v="127.07"/>
    <n v="0"/>
    <s v="UK"/>
    <x v="2"/>
  </r>
  <r>
    <n v="2024005498"/>
    <x v="193"/>
    <n v="2024"/>
    <x v="58"/>
    <s v="PROD_007"/>
    <s v="Keyboard Mechanical"/>
    <s v="Electronics"/>
    <n v="2"/>
    <n v="112.86"/>
    <n v="225.72"/>
    <n v="225.72"/>
    <n v="0"/>
    <s v="Italy"/>
    <x v="3"/>
  </r>
  <r>
    <n v="2024005499"/>
    <x v="132"/>
    <n v="2024"/>
    <x v="296"/>
    <s v="PROD_001"/>
    <s v="Laptop Pro"/>
    <s v="Electronics"/>
    <n v="3"/>
    <n v="1181.1099999999999"/>
    <n v="3543.33"/>
    <n v="3543.33"/>
    <n v="0"/>
    <s v="Spain"/>
    <x v="1"/>
  </r>
  <r>
    <n v="2024005500"/>
    <x v="233"/>
    <n v="2024"/>
    <x v="264"/>
    <s v="PROD_008"/>
    <s v="Desk Lamp"/>
    <s v="Furniture"/>
    <n v="1"/>
    <n v="78.23"/>
    <n v="78.23"/>
    <n v="78.23"/>
    <n v="0"/>
    <s v="Belgium"/>
    <x v="0"/>
  </r>
  <r>
    <n v="2024005501"/>
    <x v="140"/>
    <n v="2024"/>
    <x v="142"/>
    <s v="PROD_009"/>
    <s v="Phone Stand"/>
    <s v="Accessories"/>
    <n v="2"/>
    <n v="24.78"/>
    <n v="49.56"/>
    <n v="49.56"/>
    <n v="0"/>
    <s v="France"/>
    <x v="1"/>
  </r>
  <r>
    <n v="2024005502"/>
    <x v="190"/>
    <n v="2024"/>
    <x v="254"/>
    <s v="PROD_007"/>
    <s v="Keyboard Mechanical"/>
    <s v="Electronics"/>
    <n v="1"/>
    <n v="122.54"/>
    <n v="122.54"/>
    <n v="122.54"/>
    <n v="0"/>
    <s v="Austria"/>
    <x v="0"/>
  </r>
  <r>
    <n v="2024005503"/>
    <x v="256"/>
    <n v="2024"/>
    <x v="96"/>
    <s v="PROD_007"/>
    <s v="Keyboard Mechanical"/>
    <s v="Electronics"/>
    <n v="2"/>
    <n v="108.19"/>
    <n v="216.38"/>
    <n v="216.38"/>
    <n v="0"/>
    <s v="Spain"/>
    <x v="1"/>
  </r>
  <r>
    <n v="2024005504"/>
    <x v="342"/>
    <n v="2024"/>
    <x v="64"/>
    <s v="PROD_007"/>
    <s v="Keyboard Mechanical"/>
    <s v="Electronics"/>
    <n v="5"/>
    <n v="136.22"/>
    <n v="681.1"/>
    <n v="681.1"/>
    <n v="0"/>
    <s v="Sweden"/>
    <x v="3"/>
  </r>
  <r>
    <n v="2024005505"/>
    <x v="72"/>
    <n v="2024"/>
    <x v="0"/>
    <s v="PROD_003"/>
    <s v="USB-C Cable"/>
    <s v="Electronics"/>
    <n v="1"/>
    <n v="16.04"/>
    <n v="16.04"/>
    <n v="16.04"/>
    <n v="0"/>
    <s v="Italy"/>
    <x v="2"/>
  </r>
  <r>
    <n v="2024005506"/>
    <x v="297"/>
    <n v="2024"/>
    <x v="93"/>
    <s v="PROD_009"/>
    <s v="Phone Stand"/>
    <s v="Accessories"/>
    <n v="1"/>
    <n v="25.33"/>
    <n v="25.33"/>
    <n v="25.33"/>
    <n v="0"/>
    <s v="Belgium"/>
    <x v="3"/>
  </r>
  <r>
    <n v="2024005507"/>
    <x v="113"/>
    <n v="2024"/>
    <x v="186"/>
    <s v="PROD_003"/>
    <s v="USB-C Cable"/>
    <s v="Electronics"/>
    <n v="2"/>
    <n v="14.97"/>
    <n v="29.94"/>
    <n v="29.94"/>
    <n v="0"/>
    <s v="Spain"/>
    <x v="1"/>
  </r>
  <r>
    <n v="2024005508"/>
    <x v="83"/>
    <n v="2024"/>
    <x v="0"/>
    <s v="PROD_007"/>
    <s v="Keyboard Mechanical"/>
    <s v="Electronics"/>
    <n v="2"/>
    <n v="128.96"/>
    <n v="257.92"/>
    <n v="257.92"/>
    <n v="0"/>
    <s v="Belgium"/>
    <x v="2"/>
  </r>
  <r>
    <n v="2024005509"/>
    <x v="124"/>
    <n v="2024"/>
    <x v="0"/>
    <s v="PROD_010"/>
    <s v="Webcam HD"/>
    <s v="Electronics"/>
    <n v="1"/>
    <n v="92.81"/>
    <n v="92.81"/>
    <n v="92.81"/>
    <n v="0"/>
    <s v="Austria"/>
    <x v="0"/>
  </r>
  <r>
    <n v="2024005510"/>
    <x v="319"/>
    <n v="2024"/>
    <x v="211"/>
    <s v="PROD_009"/>
    <s v="Phone Stand"/>
    <s v="Accessories"/>
    <n v="1"/>
    <n v="24.02"/>
    <n v="24.02"/>
    <n v="24.02"/>
    <n v="0"/>
    <s v="Italy"/>
    <x v="2"/>
  </r>
  <r>
    <n v="2024005511"/>
    <x v="222"/>
    <n v="2024"/>
    <x v="274"/>
    <s v="PROD_006"/>
    <s v="Monitor 27&quot;"/>
    <s v="Electronics"/>
    <n v="1"/>
    <n v="390.86"/>
    <n v="390.86"/>
    <n v="390.86"/>
    <n v="0"/>
    <s v="Belgium"/>
    <x v="1"/>
  </r>
  <r>
    <n v="2024005512"/>
    <x v="163"/>
    <n v="2024"/>
    <x v="249"/>
    <s v="PROD_010"/>
    <s v="Webcam HD"/>
    <s v="Electronics"/>
    <n v="1"/>
    <n v="86.5"/>
    <n v="86.5"/>
    <n v="86.5"/>
    <n v="0"/>
    <s v="Italy"/>
    <x v="3"/>
  </r>
  <r>
    <n v="2024005513"/>
    <x v="156"/>
    <n v="2024"/>
    <x v="194"/>
    <s v="PROD_001"/>
    <s v="Laptop Pro"/>
    <s v="Electronics"/>
    <n v="1"/>
    <n v="1207.21"/>
    <n v="1207.21"/>
    <n v="1207.21"/>
    <n v="0"/>
    <s v="Sweden"/>
    <x v="0"/>
  </r>
  <r>
    <n v="2024005514"/>
    <x v="92"/>
    <n v="2024"/>
    <x v="251"/>
    <s v="PROD_008"/>
    <s v="Desk Lamp"/>
    <s v="Furniture"/>
    <n v="1"/>
    <n v="87.61"/>
    <n v="87.61"/>
    <n v="87.61"/>
    <n v="0"/>
    <s v="Sweden"/>
    <x v="1"/>
  </r>
  <r>
    <n v="2024005515"/>
    <x v="143"/>
    <n v="2024"/>
    <x v="86"/>
    <s v="PROD_007"/>
    <s v="Keyboard Mechanical"/>
    <s v="Electronics"/>
    <n v="2"/>
    <n v="119.93"/>
    <n v="239.86"/>
    <n v="239.86"/>
    <n v="0"/>
    <s v="France"/>
    <x v="0"/>
  </r>
  <r>
    <n v="2024005516"/>
    <x v="237"/>
    <n v="2024"/>
    <x v="273"/>
    <s v="PROD_003"/>
    <s v="USB-C Cable"/>
    <s v="Electronics"/>
    <n v="1"/>
    <n v="16.12"/>
    <n v="16.12"/>
    <n v="16.12"/>
    <n v="0"/>
    <s v="Switzerland"/>
    <x v="2"/>
  </r>
  <r>
    <n v="2024005517"/>
    <x v="15"/>
    <n v="2024"/>
    <x v="113"/>
    <s v="PROD_002"/>
    <s v="Wireless Mouse"/>
    <s v="Electronics"/>
    <n v="3"/>
    <n v="45.92"/>
    <n v="137.76"/>
    <n v="137.76"/>
    <n v="0"/>
    <s v="Spain"/>
    <x v="0"/>
  </r>
  <r>
    <n v="2024005518"/>
    <x v="95"/>
    <n v="2024"/>
    <x v="254"/>
    <s v="PROD_003"/>
    <s v="USB-C Cable"/>
    <s v="Electronics"/>
    <n v="2"/>
    <n v="15.53"/>
    <n v="31.06"/>
    <n v="31.06"/>
    <n v="0"/>
    <s v="Netherlands"/>
    <x v="1"/>
  </r>
  <r>
    <n v="2024005519"/>
    <x v="341"/>
    <n v="2024"/>
    <x v="68"/>
    <s v="PROD_008"/>
    <s v="Desk Lamp"/>
    <s v="Furniture"/>
    <n v="3"/>
    <n v="77.03"/>
    <n v="231.09"/>
    <n v="231.09"/>
    <n v="0"/>
    <s v="Belgium"/>
    <x v="0"/>
  </r>
  <r>
    <n v="2024005520"/>
    <x v="340"/>
    <n v="2024"/>
    <x v="43"/>
    <s v="PROD_009"/>
    <s v="Phone Stand"/>
    <s v="Accessories"/>
    <n v="1"/>
    <n v="24.94"/>
    <n v="24.94"/>
    <n v="24.94"/>
    <n v="0"/>
    <s v="Italy"/>
    <x v="1"/>
  </r>
  <r>
    <n v="2024005521"/>
    <x v="32"/>
    <n v="2024"/>
    <x v="146"/>
    <s v="PROD_008"/>
    <s v="Desk Lamp"/>
    <s v="Furniture"/>
    <n v="1"/>
    <n v="83.07"/>
    <n v="83.07"/>
    <n v="83.07"/>
    <n v="0"/>
    <s v="Italy"/>
    <x v="0"/>
  </r>
  <r>
    <n v="2024005522"/>
    <x v="131"/>
    <n v="2024"/>
    <x v="0"/>
    <s v="PROD_007"/>
    <s v="Keyboard Mechanical"/>
    <s v="Electronics"/>
    <n v="2"/>
    <n v="109.59"/>
    <n v="219.18"/>
    <n v="219.18"/>
    <n v="0"/>
    <s v="Germany"/>
    <x v="2"/>
  </r>
  <r>
    <n v="2024005523"/>
    <x v="365"/>
    <n v="2024"/>
    <x v="224"/>
    <s v="PROD_007"/>
    <s v="Keyboard Mechanical"/>
    <s v="Electronics"/>
    <n v="2"/>
    <n v="122.31"/>
    <n v="244.62"/>
    <n v="244.62"/>
    <n v="0"/>
    <s v="Spain"/>
    <x v="3"/>
  </r>
  <r>
    <n v="2024005524"/>
    <x v="221"/>
    <n v="2024"/>
    <x v="70"/>
    <s v="PROD_003"/>
    <s v="USB-C Cable"/>
    <s v="Electronics"/>
    <n v="2"/>
    <n v="14.57"/>
    <n v="29.14"/>
    <n v="29.14"/>
    <n v="0"/>
    <s v="Netherlands"/>
    <x v="0"/>
  </r>
  <r>
    <n v="2024005525"/>
    <x v="149"/>
    <n v="2024"/>
    <x v="208"/>
    <s v="PROD_002"/>
    <s v="Wireless Mouse"/>
    <s v="Electronics"/>
    <n v="1"/>
    <n v="39.630000000000003"/>
    <n v="39.630000000000003"/>
    <n v="39.630000000000003"/>
    <n v="0"/>
    <s v="Austria"/>
    <x v="1"/>
  </r>
  <r>
    <n v="2024005297"/>
    <x v="3"/>
    <n v="2024"/>
    <x v="19"/>
    <s v="PROD_004"/>
    <s v="Desk Chair"/>
    <s v="Furniture"/>
    <n v="3"/>
    <n v="368.12"/>
    <n v="1104.3599999999999"/>
    <n v="1104.3600000000001"/>
    <n v="0"/>
    <s v="Switzerland"/>
    <x v="2"/>
  </r>
  <r>
    <n v="2024005527"/>
    <x v="20"/>
    <n v="2024"/>
    <x v="233"/>
    <s v="PROD_001"/>
    <s v="Laptop Pro"/>
    <s v="Electronics"/>
    <n v="1"/>
    <n v="1130.28"/>
    <n v="1130.28"/>
    <n v="1130.28"/>
    <n v="0"/>
    <s v="Belgium"/>
    <x v="1"/>
  </r>
  <r>
    <n v="2024005528"/>
    <x v="294"/>
    <n v="2024"/>
    <x v="47"/>
    <s v="PROD_005"/>
    <s v="Standing Desk"/>
    <s v="Furniture"/>
    <n v="1"/>
    <n v="622.29"/>
    <n v="622.29"/>
    <n v="622.29"/>
    <n v="0"/>
    <s v="Austria"/>
    <x v="0"/>
  </r>
  <r>
    <n v="2024005529"/>
    <x v="18"/>
    <n v="2024"/>
    <x v="220"/>
    <s v="PROD_010"/>
    <s v="Webcam HD"/>
    <s v="Electronics"/>
    <n v="1"/>
    <n v="85.64"/>
    <n v="85.64"/>
    <n v="85.64"/>
    <n v="0"/>
    <s v="Spain"/>
    <x v="3"/>
  </r>
  <r>
    <n v="2024005530"/>
    <x v="330"/>
    <n v="2024"/>
    <x v="28"/>
    <s v="PROD_002"/>
    <s v="Wireless Mouse"/>
    <s v="Electronics"/>
    <n v="1"/>
    <n v="46.81"/>
    <n v="46.81"/>
    <n v="46.81"/>
    <n v="0"/>
    <s v="Italy"/>
    <x v="3"/>
  </r>
  <r>
    <n v="2024005531"/>
    <x v="293"/>
    <n v="2024"/>
    <x v="81"/>
    <s v="PROD_007"/>
    <s v="Keyboard Mechanical"/>
    <s v="Electronics"/>
    <n v="1"/>
    <n v="120.08"/>
    <n v="120.08"/>
    <n v="120.08"/>
    <n v="0"/>
    <s v="Belgium"/>
    <x v="3"/>
  </r>
  <r>
    <n v="2024005532"/>
    <x v="375"/>
    <n v="2023"/>
    <x v="154"/>
    <s v="PROD_005"/>
    <s v="Standing Desk"/>
    <s v="Furniture"/>
    <n v="1"/>
    <n v="617.25"/>
    <n v="617.25"/>
    <n v="617.25"/>
    <n v="0"/>
    <s v="Italy"/>
    <x v="1"/>
  </r>
  <r>
    <n v="2024005533"/>
    <x v="190"/>
    <n v="2024"/>
    <x v="0"/>
    <s v="PROD_009"/>
    <s v="Phone Stand"/>
    <s v="Accessories"/>
    <n v="5"/>
    <n v="25.61"/>
    <n v="128.05000000000001"/>
    <n v="128.05000000000001"/>
    <n v="0"/>
    <s v="Austria"/>
    <x v="2"/>
  </r>
  <r>
    <n v="2024005534"/>
    <x v="71"/>
    <n v="2024"/>
    <x v="296"/>
    <s v="PROD_010"/>
    <s v="Webcam HD"/>
    <s v="Electronics"/>
    <n v="1"/>
    <n v="88.71"/>
    <n v="88.71"/>
    <n v="88.71"/>
    <n v="0"/>
    <s v="Italy"/>
    <x v="0"/>
  </r>
  <r>
    <n v="2024005535"/>
    <x v="154"/>
    <n v="2024"/>
    <x v="0"/>
    <s v="PROD_008"/>
    <s v="Desk Lamp"/>
    <s v="Furniture"/>
    <n v="1"/>
    <n v="78.290000000000006"/>
    <n v="78.290000000000006"/>
    <n v="78.290000000000006"/>
    <n v="0"/>
    <s v="Sweden"/>
    <x v="3"/>
  </r>
  <r>
    <n v="2024005536"/>
    <x v="338"/>
    <n v="2024"/>
    <x v="162"/>
    <s v="PROD_008"/>
    <s v="Desk Lamp"/>
    <s v="Furniture"/>
    <n v="4"/>
    <n v="77.31"/>
    <n v="309.24"/>
    <n v="309.24"/>
    <n v="0"/>
    <s v="Austria"/>
    <x v="3"/>
  </r>
  <r>
    <n v="2024005537"/>
    <x v="74"/>
    <n v="2024"/>
    <x v="222"/>
    <s v="PROD_004"/>
    <s v="Desk Chair"/>
    <s v="Furniture"/>
    <n v="3"/>
    <n v="335.76"/>
    <n v="1007.28"/>
    <n v="1007.28"/>
    <n v="0"/>
    <s v="Austria"/>
    <x v="1"/>
  </r>
  <r>
    <n v="2024005538"/>
    <x v="223"/>
    <n v="2024"/>
    <x v="0"/>
    <s v="PROD_007"/>
    <s v="Keyboard Mechanical"/>
    <s v="Electronics"/>
    <n v="3"/>
    <n v="115.69"/>
    <n v="347.07"/>
    <n v="347.07"/>
    <n v="0"/>
    <s v="France"/>
    <x v="0"/>
  </r>
  <r>
    <n v="2024005539"/>
    <x v="17"/>
    <n v="2024"/>
    <x v="103"/>
    <s v="PROD_008"/>
    <s v="Desk Lamp"/>
    <s v="Furniture"/>
    <n v="1"/>
    <n v="81.45"/>
    <n v="81.45"/>
    <n v="81.45"/>
    <n v="0"/>
    <s v="Switzerland"/>
    <x v="1"/>
  </r>
  <r>
    <n v="2024005540"/>
    <x v="153"/>
    <n v="2024"/>
    <x v="289"/>
    <s v="PROD_004"/>
    <s v="Desk Chair"/>
    <s v="Furniture"/>
    <n v="3"/>
    <n v="334.95"/>
    <n v="1004.85"/>
    <n v="1004.8499999999999"/>
    <n v="0"/>
    <s v="Italy"/>
    <x v="3"/>
  </r>
  <r>
    <n v="2024005541"/>
    <x v="114"/>
    <n v="2024"/>
    <x v="241"/>
    <s v="PROD_007"/>
    <s v="Keyboard Mechanical"/>
    <s v="Electronics"/>
    <n v="1"/>
    <n v="129.13999999999999"/>
    <n v="129.13999999999999"/>
    <n v="129.13999999999999"/>
    <n v="0"/>
    <s v="Belgium"/>
    <x v="0"/>
  </r>
  <r>
    <n v="2024005542"/>
    <x v="239"/>
    <n v="2024"/>
    <x v="218"/>
    <s v="PROD_010"/>
    <s v="Webcam HD"/>
    <s v="Electronics"/>
    <n v="2"/>
    <n v="91.5"/>
    <n v="183"/>
    <n v="183"/>
    <n v="0"/>
    <s v="Austria"/>
    <x v="0"/>
  </r>
  <r>
    <n v="2024005543"/>
    <x v="50"/>
    <n v="2024"/>
    <x v="74"/>
    <s v="PROD_003"/>
    <s v="USB-C Cable"/>
    <s v="Electronics"/>
    <n v="2"/>
    <n v="14.25"/>
    <n v="28.5"/>
    <n v="28.5"/>
    <n v="0"/>
    <s v="UK"/>
    <x v="2"/>
  </r>
  <r>
    <n v="2024005544"/>
    <x v="47"/>
    <n v="2024"/>
    <x v="0"/>
    <s v="PROD_005"/>
    <s v="Standing Desk"/>
    <s v="Furniture"/>
    <n v="2"/>
    <n v="559.74"/>
    <n v="1119.48"/>
    <n v="1119.48"/>
    <n v="0"/>
    <s v="Austria"/>
    <x v="2"/>
  </r>
  <r>
    <n v="2024005545"/>
    <x v="84"/>
    <n v="2024"/>
    <x v="84"/>
    <s v="PROD_003"/>
    <s v="USB-C Cable"/>
    <s v="Electronics"/>
    <n v="1"/>
    <n v="15.21"/>
    <n v="15.21"/>
    <n v="15.21"/>
    <n v="0"/>
    <s v="Austria"/>
    <x v="2"/>
  </r>
  <r>
    <n v="2024005546"/>
    <x v="294"/>
    <n v="2024"/>
    <x v="10"/>
    <s v="PROD_002"/>
    <s v="Wireless Mouse"/>
    <s v="Electronics"/>
    <n v="2"/>
    <n v="48.19"/>
    <n v="96.38"/>
    <n v="96.38"/>
    <n v="0"/>
    <s v="UK"/>
    <x v="1"/>
  </r>
  <r>
    <n v="2024005547"/>
    <x v="127"/>
    <n v="2024"/>
    <x v="103"/>
    <s v="PROD_002"/>
    <s v="Wireless Mouse"/>
    <s v="Electronics"/>
    <n v="2"/>
    <n v="49.48"/>
    <n v="98.96"/>
    <n v="98.96"/>
    <n v="0"/>
    <s v="Austria"/>
    <x v="1"/>
  </r>
  <r>
    <n v="2024005548"/>
    <x v="343"/>
    <n v="2024"/>
    <x v="125"/>
    <s v="PROD_010"/>
    <s v="Webcam HD"/>
    <s v="Electronics"/>
    <n v="2"/>
    <n v="92"/>
    <n v="184"/>
    <n v="184"/>
    <n v="0"/>
    <s v="Germany"/>
    <x v="0"/>
  </r>
  <r>
    <n v="2024005549"/>
    <x v="338"/>
    <n v="2024"/>
    <x v="4"/>
    <s v="PROD_004"/>
    <s v="Desk Chair"/>
    <s v="Furniture"/>
    <n v="1"/>
    <n v="348.28"/>
    <n v="348.28"/>
    <n v="348.28"/>
    <n v="0"/>
    <s v="Germany"/>
    <x v="1"/>
  </r>
  <r>
    <n v="2024005550"/>
    <x v="274"/>
    <n v="2024"/>
    <x v="101"/>
    <s v="PROD_005"/>
    <s v="Standing Desk"/>
    <s v="Furniture"/>
    <n v="1"/>
    <n v="595.33000000000004"/>
    <n v="595.33000000000004"/>
    <n v="595.33000000000004"/>
    <n v="0"/>
    <s v="Netherlands"/>
    <x v="2"/>
  </r>
  <r>
    <n v="2024005551"/>
    <x v="32"/>
    <n v="2024"/>
    <x v="0"/>
    <s v="PROD_009"/>
    <s v="Phone Stand"/>
    <s v="Accessories"/>
    <n v="3"/>
    <n v="23.92"/>
    <n v="71.760000000000005"/>
    <n v="71.760000000000005"/>
    <n v="0"/>
    <s v="Belgium"/>
    <x v="3"/>
  </r>
  <r>
    <n v="2024005552"/>
    <x v="269"/>
    <n v="2024"/>
    <x v="0"/>
    <s v="PROD_008"/>
    <s v="Desk Lamp"/>
    <s v="Furniture"/>
    <n v="3"/>
    <n v="82.97"/>
    <n v="248.91"/>
    <n v="248.91"/>
    <n v="0"/>
    <s v="UK"/>
    <x v="1"/>
  </r>
  <r>
    <n v="2024005553"/>
    <x v="238"/>
    <n v="2024"/>
    <x v="167"/>
    <s v="PROD_008"/>
    <s v="Desk Lamp"/>
    <s v="Furniture"/>
    <n v="2"/>
    <n v="76.72"/>
    <n v="153.44"/>
    <n v="153.44"/>
    <n v="0"/>
    <s v="Austria"/>
    <x v="3"/>
  </r>
  <r>
    <n v="2024005554"/>
    <x v="46"/>
    <n v="2024"/>
    <x v="193"/>
    <s v="PROD_003"/>
    <s v="USB-C Cable"/>
    <s v="Electronics"/>
    <n v="1"/>
    <n v="14.4"/>
    <n v="14.4"/>
    <n v="14.4"/>
    <n v="0"/>
    <s v="France"/>
    <x v="0"/>
  </r>
  <r>
    <n v="2024002142"/>
    <x v="87"/>
    <n v="2024"/>
    <x v="255"/>
    <s v="PROD_009"/>
    <s v="Phone Stand"/>
    <s v="Accessories"/>
    <n v="2"/>
    <n v="25.41"/>
    <n v="50.82"/>
    <n v="50.82"/>
    <n v="0"/>
    <s v="Belgium"/>
    <x v="0"/>
  </r>
  <r>
    <n v="2024005556"/>
    <x v="70"/>
    <n v="2024"/>
    <x v="0"/>
    <s v="PROD_007"/>
    <s v="Keyboard Mechanical"/>
    <s v="Electronics"/>
    <n v="1"/>
    <n v="119.49"/>
    <n v="119.49"/>
    <n v="119.49"/>
    <n v="0"/>
    <s v="Italy"/>
    <x v="3"/>
  </r>
  <r>
    <n v="2024005557"/>
    <x v="67"/>
    <n v="2024"/>
    <x v="124"/>
    <s v="PROD_004"/>
    <s v="Desk Chair"/>
    <s v="Furniture"/>
    <n v="1"/>
    <n v="353.79"/>
    <n v="353.79"/>
    <n v="353.79"/>
    <n v="0"/>
    <s v="Belgium"/>
    <x v="0"/>
  </r>
  <r>
    <n v="2024005558"/>
    <x v="10"/>
    <n v="2024"/>
    <x v="128"/>
    <s v="PROD_009"/>
    <s v="Phone Stand"/>
    <s v="Accessories"/>
    <n v="1"/>
    <n v="24.07"/>
    <n v="24.07"/>
    <n v="24.07"/>
    <n v="0"/>
    <s v="Germany"/>
    <x v="1"/>
  </r>
  <r>
    <n v="2024005559"/>
    <x v="48"/>
    <n v="2024"/>
    <x v="58"/>
    <s v="PROD_004"/>
    <s v="Desk Chair"/>
    <s v="Furniture"/>
    <n v="3"/>
    <n v="321.64999999999998"/>
    <n v="964.95"/>
    <n v="964.94999999999993"/>
    <n v="0"/>
    <s v="Austria"/>
    <x v="0"/>
  </r>
  <r>
    <n v="2024005560"/>
    <x v="241"/>
    <n v="2024"/>
    <x v="79"/>
    <s v="PROD_007"/>
    <s v="Keyboard Mechanical"/>
    <s v="Electronics"/>
    <n v="1"/>
    <n v="116.31"/>
    <n v="116.31"/>
    <n v="116.31"/>
    <n v="0"/>
    <s v="Spain"/>
    <x v="0"/>
  </r>
  <r>
    <n v="2024005561"/>
    <x v="85"/>
    <n v="2024"/>
    <x v="153"/>
    <s v="PROD_010"/>
    <s v="Webcam HD"/>
    <s v="Electronics"/>
    <n v="1"/>
    <n v="91.97"/>
    <n v="91.97"/>
    <n v="91.97"/>
    <n v="0"/>
    <s v="Austria"/>
    <x v="0"/>
  </r>
  <r>
    <n v="2024005562"/>
    <x v="20"/>
    <n v="2024"/>
    <x v="0"/>
    <s v="PROD_005"/>
    <s v="Standing Desk"/>
    <s v="Furniture"/>
    <n v="1"/>
    <n v="655.26"/>
    <n v="655.26"/>
    <n v="655.26"/>
    <n v="0"/>
    <s v="Spain"/>
    <x v="0"/>
  </r>
  <r>
    <n v="2024005563"/>
    <x v="154"/>
    <n v="2024"/>
    <x v="152"/>
    <s v="PROD_006"/>
    <s v="Monitor 27&quot;"/>
    <s v="Electronics"/>
    <n v="2"/>
    <n v="392.18"/>
    <n v="784.36"/>
    <n v="784.36"/>
    <n v="0"/>
    <s v="Belgium"/>
    <x v="2"/>
  </r>
  <r>
    <n v="2024005564"/>
    <x v="39"/>
    <n v="2024"/>
    <x v="3"/>
    <s v="PROD_006"/>
    <s v="Monitor 27&quot;"/>
    <s v="Electronics"/>
    <n v="4"/>
    <n v="429.54"/>
    <n v="1718.16"/>
    <n v="1718.16"/>
    <n v="0"/>
    <s v="France"/>
    <x v="2"/>
  </r>
  <r>
    <n v="2024005565"/>
    <x v="283"/>
    <n v="2024"/>
    <x v="19"/>
    <s v="PROD_005"/>
    <s v="Standing Desk"/>
    <s v="Furniture"/>
    <n v="1"/>
    <n v="578.35"/>
    <n v="578.35"/>
    <n v="578.35"/>
    <n v="0"/>
    <s v="Spain"/>
    <x v="2"/>
  </r>
  <r>
    <n v="2024005566"/>
    <x v="280"/>
    <n v="2024"/>
    <x v="169"/>
    <s v="PROD_002"/>
    <s v="Wireless Mouse"/>
    <s v="Electronics"/>
    <n v="2"/>
    <n v="47.14"/>
    <n v="94.28"/>
    <n v="94.28"/>
    <n v="0"/>
    <s v="Belgium"/>
    <x v="1"/>
  </r>
  <r>
    <n v="2024005567"/>
    <x v="156"/>
    <n v="2024"/>
    <x v="2"/>
    <s v="PROD_002"/>
    <s v="Wireless Mouse"/>
    <s v="Electronics"/>
    <n v="1"/>
    <n v="42.26"/>
    <n v="42.26"/>
    <n v="42.26"/>
    <n v="0"/>
    <s v="Netherlands"/>
    <x v="0"/>
  </r>
  <r>
    <n v="2024005568"/>
    <x v="144"/>
    <n v="2024"/>
    <x v="21"/>
    <s v="PROD_001"/>
    <s v="Laptop Pro"/>
    <s v="Electronics"/>
    <n v="1"/>
    <n v="1178.21"/>
    <n v="1178.21"/>
    <n v="1178.21"/>
    <n v="0"/>
    <s v="Austria"/>
    <x v="0"/>
  </r>
  <r>
    <n v="2024005569"/>
    <x v="335"/>
    <n v="2024"/>
    <x v="117"/>
    <s v="PROD_001"/>
    <s v="Laptop Pro"/>
    <s v="Electronics"/>
    <n v="4"/>
    <n v="1204.23"/>
    <n v="4816.92"/>
    <n v="4816.92"/>
    <n v="0"/>
    <s v="Italy"/>
    <x v="1"/>
  </r>
  <r>
    <n v="2024004844"/>
    <x v="2"/>
    <n v="2024"/>
    <x v="267"/>
    <s v="PROD_002"/>
    <s v="Wireless Mouse"/>
    <s v="Electronics"/>
    <n v="1"/>
    <n v="45"/>
    <n v="45"/>
    <n v="45"/>
    <n v="0"/>
    <s v="France"/>
    <x v="0"/>
  </r>
  <r>
    <n v="2024005571"/>
    <x v="318"/>
    <n v="2024"/>
    <x v="269"/>
    <s v="PROD_001"/>
    <s v="Laptop Pro"/>
    <s v="Electronics"/>
    <n v="2"/>
    <n v="1238.24"/>
    <n v="2476.48"/>
    <n v="2476.48"/>
    <n v="0"/>
    <s v="Germany"/>
    <x v="0"/>
  </r>
  <r>
    <n v="2024005572"/>
    <x v="180"/>
    <n v="2024"/>
    <x v="275"/>
    <s v="PROD_002"/>
    <s v="Wireless Mouse"/>
    <s v="Electronics"/>
    <n v="2"/>
    <n v="46.76"/>
    <n v="93.52"/>
    <n v="93.52"/>
    <n v="0"/>
    <s v="Germany"/>
    <x v="2"/>
  </r>
  <r>
    <n v="2024005573"/>
    <x v="192"/>
    <n v="2024"/>
    <x v="257"/>
    <s v="PROD_006"/>
    <s v="Monitor 27&quot;"/>
    <s v="Electronics"/>
    <n v="1"/>
    <n v="398.81"/>
    <n v="398.81"/>
    <n v="398.81"/>
    <n v="0"/>
    <s v="Sweden"/>
    <x v="3"/>
  </r>
  <r>
    <n v="2024005574"/>
    <x v="244"/>
    <n v="2024"/>
    <x v="285"/>
    <s v="PROD_009"/>
    <s v="Phone Stand"/>
    <s v="Accessories"/>
    <n v="1"/>
    <n v="27.71"/>
    <n v="27.71"/>
    <n v="27.71"/>
    <n v="0"/>
    <s v="Austria"/>
    <x v="3"/>
  </r>
  <r>
    <n v="2024005575"/>
    <x v="325"/>
    <n v="2024"/>
    <x v="255"/>
    <s v="PROD_005"/>
    <s v="Standing Desk"/>
    <s v="Furniture"/>
    <n v="2"/>
    <n v="583.25"/>
    <n v="1166.5"/>
    <n v="1166.5"/>
    <n v="0"/>
    <s v="Austria"/>
    <x v="1"/>
  </r>
  <r>
    <n v="2024005576"/>
    <x v="183"/>
    <n v="2024"/>
    <x v="145"/>
    <s v="PROD_010"/>
    <s v="Webcam HD"/>
    <s v="Electronics"/>
    <n v="1"/>
    <n v="88.49"/>
    <n v="88.49"/>
    <n v="88.49"/>
    <n v="0"/>
    <s v="Italy"/>
    <x v="0"/>
  </r>
  <r>
    <n v="2024005577"/>
    <x v="246"/>
    <n v="2024"/>
    <x v="75"/>
    <s v="PROD_007"/>
    <s v="Keyboard Mechanical"/>
    <s v="Electronics"/>
    <n v="3"/>
    <n v="125.45"/>
    <n v="376.35"/>
    <n v="376.35"/>
    <n v="0"/>
    <s v="Belgium"/>
    <x v="1"/>
  </r>
  <r>
    <n v="2024005578"/>
    <x v="34"/>
    <n v="2024"/>
    <x v="71"/>
    <s v="PROD_007"/>
    <s v="Keyboard Mechanical"/>
    <s v="Electronics"/>
    <n v="2"/>
    <n v="106.84"/>
    <n v="213.68"/>
    <n v="213.68"/>
    <n v="0"/>
    <s v="Netherlands"/>
    <x v="2"/>
  </r>
  <r>
    <n v="2024005579"/>
    <x v="264"/>
    <n v="2024"/>
    <x v="107"/>
    <s v="PROD_005"/>
    <s v="Standing Desk"/>
    <s v="Furniture"/>
    <n v="3"/>
    <n v="620.47"/>
    <n v="1861.41"/>
    <n v="1861.41"/>
    <n v="0"/>
    <s v="UK"/>
    <x v="2"/>
  </r>
  <r>
    <n v="2024005580"/>
    <x v="348"/>
    <n v="2024"/>
    <x v="43"/>
    <s v="PROD_004"/>
    <s v="Desk Chair"/>
    <s v="Furniture"/>
    <n v="2"/>
    <n v="377"/>
    <n v="754"/>
    <n v="754"/>
    <n v="0"/>
    <s v="Italy"/>
    <x v="1"/>
  </r>
  <r>
    <n v="2024005581"/>
    <x v="229"/>
    <n v="2024"/>
    <x v="43"/>
    <s v="PROD_009"/>
    <s v="Phone Stand"/>
    <s v="Accessories"/>
    <n v="2"/>
    <n v="26.39"/>
    <n v="52.78"/>
    <n v="52.78"/>
    <n v="0"/>
    <s v="Germany"/>
    <x v="1"/>
  </r>
  <r>
    <n v="2024005582"/>
    <x v="208"/>
    <n v="2024"/>
    <x v="266"/>
    <s v="PROD_003"/>
    <s v="USB-C Cable"/>
    <s v="Electronics"/>
    <n v="1"/>
    <n v="14.69"/>
    <n v="14.69"/>
    <n v="14.69"/>
    <n v="0"/>
    <s v="France"/>
    <x v="0"/>
  </r>
  <r>
    <n v="2024005583"/>
    <x v="12"/>
    <n v="2024"/>
    <x v="190"/>
    <s v="PROD_008"/>
    <s v="Desk Lamp"/>
    <s v="Furniture"/>
    <n v="2"/>
    <n v="75.5"/>
    <n v="151"/>
    <n v="151"/>
    <n v="0"/>
    <s v="Sweden"/>
    <x v="0"/>
  </r>
  <r>
    <n v="2024005584"/>
    <x v="306"/>
    <n v="2024"/>
    <x v="228"/>
    <s v="PROD_004"/>
    <s v="Desk Chair"/>
    <s v="Furniture"/>
    <n v="2"/>
    <n v="339.01"/>
    <n v="678.02"/>
    <n v="678.02"/>
    <n v="0"/>
    <s v="Austria"/>
    <x v="3"/>
  </r>
  <r>
    <n v="2024005585"/>
    <x v="220"/>
    <n v="2024"/>
    <x v="91"/>
    <s v="PROD_009"/>
    <s v="Phone Stand"/>
    <s v="Accessories"/>
    <n v="3"/>
    <n v="23.91"/>
    <n v="71.73"/>
    <n v="71.73"/>
    <n v="0"/>
    <s v="Spain"/>
    <x v="0"/>
  </r>
  <r>
    <n v="2024005586"/>
    <x v="67"/>
    <n v="2024"/>
    <x v="151"/>
    <s v="PROD_008"/>
    <s v="Desk Lamp"/>
    <s v="Furniture"/>
    <n v="2"/>
    <n v="76.900000000000006"/>
    <n v="153.80000000000001"/>
    <n v="153.80000000000001"/>
    <n v="0"/>
    <s v="Belgium"/>
    <x v="3"/>
  </r>
  <r>
    <n v="2024005587"/>
    <x v="328"/>
    <n v="2024"/>
    <x v="52"/>
    <s v="PROD_008"/>
    <s v="Desk Lamp"/>
    <s v="Furniture"/>
    <n v="1"/>
    <n v="74.8"/>
    <n v="74.8"/>
    <n v="74.8"/>
    <n v="0"/>
    <s v="UK"/>
    <x v="0"/>
  </r>
  <r>
    <n v="2024005588"/>
    <x v="78"/>
    <n v="2024"/>
    <x v="277"/>
    <s v="PROD_001"/>
    <s v="Laptop Pro"/>
    <s v="Electronics"/>
    <n v="1"/>
    <n v="1227.99"/>
    <n v="1227.99"/>
    <n v="1227.99"/>
    <n v="0"/>
    <s v="Netherlands"/>
    <x v="3"/>
  </r>
  <r>
    <n v="2024005589"/>
    <x v="127"/>
    <n v="2024"/>
    <x v="96"/>
    <s v="PROD_009"/>
    <s v="Phone Stand"/>
    <s v="Accessories"/>
    <n v="1"/>
    <n v="23.63"/>
    <n v="23.63"/>
    <n v="23.63"/>
    <n v="0"/>
    <s v="Netherlands"/>
    <x v="3"/>
  </r>
  <r>
    <n v="2024005590"/>
    <x v="182"/>
    <n v="2024"/>
    <x v="0"/>
    <s v="PROD_010"/>
    <s v="Webcam HD"/>
    <s v="Electronics"/>
    <n v="4"/>
    <n v="92.12"/>
    <n v="368.48"/>
    <n v="368.48"/>
    <n v="0"/>
    <s v="France"/>
    <x v="0"/>
  </r>
  <r>
    <n v="2024005591"/>
    <x v="283"/>
    <n v="2024"/>
    <x v="163"/>
    <s v="PROD_010"/>
    <s v="Webcam HD"/>
    <s v="Electronics"/>
    <n v="1"/>
    <n v="92.02"/>
    <n v="92.02"/>
    <n v="92.02"/>
    <n v="0"/>
    <s v="UK"/>
    <x v="0"/>
  </r>
  <r>
    <n v="2024005592"/>
    <x v="62"/>
    <n v="2024"/>
    <x v="60"/>
    <s v="PROD_008"/>
    <s v="Desk Lamp"/>
    <s v="Furniture"/>
    <n v="1"/>
    <n v="82.87"/>
    <n v="82.87"/>
    <n v="82.87"/>
    <n v="0"/>
    <s v="Italy"/>
    <x v="1"/>
  </r>
  <r>
    <n v="2024005593"/>
    <x v="10"/>
    <n v="2024"/>
    <x v="0"/>
    <s v="PROD_007"/>
    <s v="Keyboard Mechanical"/>
    <s v="Electronics"/>
    <n v="2"/>
    <n v="117.77"/>
    <n v="235.54"/>
    <n v="235.54"/>
    <n v="0"/>
    <s v="Spain"/>
    <x v="2"/>
  </r>
  <r>
    <n v="2024005594"/>
    <x v="147"/>
    <n v="2024"/>
    <x v="178"/>
    <s v="PROD_004"/>
    <s v="Desk Chair"/>
    <s v="Furniture"/>
    <n v="1"/>
    <n v="348.49"/>
    <n v="348.49"/>
    <n v="348.49"/>
    <n v="0"/>
    <s v="Austria"/>
    <x v="0"/>
  </r>
  <r>
    <n v="2024005595"/>
    <x v="302"/>
    <n v="2024"/>
    <x v="0"/>
    <s v="PROD_006"/>
    <s v="Monitor 27&quot;"/>
    <s v="Electronics"/>
    <n v="5"/>
    <n v="389.04"/>
    <n v="1945.2"/>
    <n v="1945.2"/>
    <n v="0"/>
    <s v="UK"/>
    <x v="1"/>
  </r>
  <r>
    <n v="2024005596"/>
    <x v="358"/>
    <n v="2024"/>
    <x v="169"/>
    <s v="PROD_009"/>
    <s v="Phone Stand"/>
    <s v="Accessories"/>
    <n v="1"/>
    <n v="21.76"/>
    <n v="21.76"/>
    <n v="21.76"/>
    <n v="0"/>
    <s v="Spain"/>
    <x v="1"/>
  </r>
  <r>
    <n v="2024005597"/>
    <x v="3"/>
    <n v="2024"/>
    <x v="199"/>
    <s v="PROD_009"/>
    <s v="Phone Stand"/>
    <s v="Accessories"/>
    <n v="2"/>
    <n v="24.16"/>
    <n v="48.32"/>
    <n v="48.32"/>
    <n v="0"/>
    <s v="Netherlands"/>
    <x v="1"/>
  </r>
  <r>
    <n v="2024005598"/>
    <x v="156"/>
    <n v="2024"/>
    <x v="47"/>
    <s v="PROD_004"/>
    <s v="Desk Chair"/>
    <s v="Furniture"/>
    <n v="5"/>
    <n v="317.87"/>
    <n v="1589.35"/>
    <n v="1589.35"/>
    <n v="0"/>
    <s v="France"/>
    <x v="2"/>
  </r>
  <r>
    <n v="2024005599"/>
    <x v="120"/>
    <n v="2024"/>
    <x v="0"/>
    <s v="PROD_006"/>
    <s v="Monitor 27&quot;"/>
    <s v="Electronics"/>
    <n v="1"/>
    <n v="363.57"/>
    <n v="363.57"/>
    <n v="363.57"/>
    <n v="0"/>
    <s v="Germany"/>
    <x v="1"/>
  </r>
  <r>
    <n v="2024005600"/>
    <x v="119"/>
    <n v="2024"/>
    <x v="6"/>
    <s v="PROD_007"/>
    <s v="Keyboard Mechanical"/>
    <s v="Electronics"/>
    <n v="1"/>
    <n v="122.14"/>
    <n v="122.14"/>
    <n v="122.14"/>
    <n v="0"/>
    <s v="Austria"/>
    <x v="1"/>
  </r>
  <r>
    <n v="2024005601"/>
    <x v="8"/>
    <n v="2024"/>
    <x v="0"/>
    <s v="PROD_002"/>
    <s v="Wireless Mouse"/>
    <s v="Electronics"/>
    <n v="1"/>
    <n v="43.11"/>
    <n v="43.11"/>
    <n v="43.11"/>
    <n v="0"/>
    <s v="Belgium"/>
    <x v="3"/>
  </r>
  <r>
    <n v="2024005602"/>
    <x v="187"/>
    <n v="2024"/>
    <x v="282"/>
    <s v="PROD_003"/>
    <s v="USB-C Cable"/>
    <s v="Electronics"/>
    <n v="2"/>
    <n v="15.26"/>
    <n v="30.52"/>
    <n v="30.52"/>
    <n v="0"/>
    <s v="UK"/>
    <x v="3"/>
  </r>
  <r>
    <n v="2024005603"/>
    <x v="116"/>
    <n v="2024"/>
    <x v="248"/>
    <s v="PROD_007"/>
    <s v="Keyboard Mechanical"/>
    <s v="Electronics"/>
    <n v="1"/>
    <n v="122.37"/>
    <n v="122.37"/>
    <n v="122.37"/>
    <n v="0"/>
    <s v="Sweden"/>
    <x v="0"/>
  </r>
  <r>
    <n v="2024005604"/>
    <x v="111"/>
    <n v="2024"/>
    <x v="3"/>
    <s v="PROD_003"/>
    <s v="USB-C Cable"/>
    <s v="Electronics"/>
    <n v="3"/>
    <n v="14"/>
    <n v="42"/>
    <n v="42"/>
    <n v="0"/>
    <s v="Switzerland"/>
    <x v="3"/>
  </r>
  <r>
    <n v="2024005605"/>
    <x v="95"/>
    <n v="2024"/>
    <x v="102"/>
    <s v="PROD_004"/>
    <s v="Desk Chair"/>
    <s v="Furniture"/>
    <n v="1"/>
    <n v="378.98"/>
    <n v="378.98"/>
    <n v="378.98"/>
    <n v="0"/>
    <s v="Switzerland"/>
    <x v="3"/>
  </r>
  <r>
    <n v="2024005606"/>
    <x v="288"/>
    <n v="2024"/>
    <x v="55"/>
    <s v="PROD_007"/>
    <s v="Keyboard Mechanical"/>
    <s v="Electronics"/>
    <n v="2"/>
    <n v="122.67"/>
    <n v="245.34"/>
    <n v="245.34"/>
    <n v="0"/>
    <s v="Sweden"/>
    <x v="1"/>
  </r>
  <r>
    <n v="2024005607"/>
    <x v="140"/>
    <n v="2024"/>
    <x v="67"/>
    <s v="PROD_002"/>
    <s v="Wireless Mouse"/>
    <s v="Electronics"/>
    <n v="2"/>
    <n v="47.74"/>
    <n v="95.48"/>
    <n v="95.48"/>
    <n v="0"/>
    <s v="Spain"/>
    <x v="1"/>
  </r>
  <r>
    <n v="2024001446"/>
    <x v="291"/>
    <n v="2024"/>
    <x v="145"/>
    <s v="PROD_003"/>
    <s v="USB-C Cable"/>
    <s v="Electronics"/>
    <n v="2"/>
    <n v="15.73"/>
    <n v="31.46"/>
    <n v="31.46"/>
    <n v="0"/>
    <s v="Sweden"/>
    <x v="2"/>
  </r>
  <r>
    <n v="2024005609"/>
    <x v="319"/>
    <n v="2024"/>
    <x v="15"/>
    <s v="PROD_010"/>
    <s v="Webcam HD"/>
    <s v="Electronics"/>
    <n v="1"/>
    <n v="98.88"/>
    <n v="98.88"/>
    <n v="98.88"/>
    <n v="0"/>
    <s v="Switzerland"/>
    <x v="1"/>
  </r>
  <r>
    <n v="2024005610"/>
    <x v="270"/>
    <n v="2024"/>
    <x v="281"/>
    <s v="PROD_004"/>
    <s v="Desk Chair"/>
    <s v="Furniture"/>
    <n v="3"/>
    <n v="339"/>
    <n v="1017"/>
    <n v="1017"/>
    <n v="0"/>
    <s v="Italy"/>
    <x v="0"/>
  </r>
  <r>
    <n v="2024005611"/>
    <x v="72"/>
    <n v="2024"/>
    <x v="176"/>
    <s v="PROD_003"/>
    <s v="USB-C Cable"/>
    <s v="Electronics"/>
    <n v="1"/>
    <n v="15.16"/>
    <n v="15.16"/>
    <n v="15.16"/>
    <n v="0"/>
    <s v="Austria"/>
    <x v="1"/>
  </r>
  <r>
    <n v="2024005612"/>
    <x v="260"/>
    <n v="2024"/>
    <x v="214"/>
    <s v="PROD_007"/>
    <s v="Keyboard Mechanical"/>
    <s v="Electronics"/>
    <n v="1"/>
    <n v="117.42"/>
    <n v="117.42"/>
    <n v="117.42"/>
    <n v="0"/>
    <s v="Sweden"/>
    <x v="1"/>
  </r>
  <r>
    <n v="2024005613"/>
    <x v="274"/>
    <n v="2024"/>
    <x v="238"/>
    <s v="PROD_008"/>
    <s v="Desk Lamp"/>
    <s v="Furniture"/>
    <n v="1"/>
    <n v="75.709999999999994"/>
    <n v="75.709999999999994"/>
    <n v="75.709999999999994"/>
    <n v="0"/>
    <s v="France"/>
    <x v="2"/>
  </r>
  <r>
    <n v="2024005614"/>
    <x v="182"/>
    <n v="2024"/>
    <x v="147"/>
    <s v="PROD_010"/>
    <s v="Webcam HD"/>
    <s v="Electronics"/>
    <n v="1"/>
    <n v="90.96"/>
    <n v="90.96"/>
    <n v="90.96"/>
    <n v="0"/>
    <s v="France"/>
    <x v="1"/>
  </r>
  <r>
    <n v="2024005615"/>
    <x v="127"/>
    <n v="2024"/>
    <x v="67"/>
    <s v="PROD_005"/>
    <s v="Standing Desk"/>
    <s v="Furniture"/>
    <n v="3"/>
    <n v="582.30999999999995"/>
    <n v="1746.93"/>
    <n v="1746.9299999999998"/>
    <n v="0"/>
    <s v="Germany"/>
    <x v="1"/>
  </r>
  <r>
    <n v="2024005616"/>
    <x v="267"/>
    <n v="2024"/>
    <x v="118"/>
    <s v="PROD_009"/>
    <s v="Phone Stand"/>
    <s v="Accessories"/>
    <n v="1"/>
    <n v="23.81"/>
    <n v="23.81"/>
    <n v="23.81"/>
    <n v="0"/>
    <s v="Germany"/>
    <x v="0"/>
  </r>
  <r>
    <n v="2024005617"/>
    <x v="289"/>
    <n v="2024"/>
    <x v="0"/>
    <s v="PROD_004"/>
    <s v="Desk Chair"/>
    <s v="Furniture"/>
    <n v="1"/>
    <n v="357.87"/>
    <n v="357.87"/>
    <n v="357.87"/>
    <n v="0"/>
    <s v="Switzerland"/>
    <x v="3"/>
  </r>
  <r>
    <n v="2024005618"/>
    <x v="159"/>
    <n v="2024"/>
    <x v="103"/>
    <s v="PROD_004"/>
    <s v="Desk Chair"/>
    <s v="Furniture"/>
    <n v="1"/>
    <n v="360.06"/>
    <n v="360.06"/>
    <n v="360.06"/>
    <n v="0"/>
    <s v="Germany"/>
    <x v="0"/>
  </r>
  <r>
    <n v="2024005619"/>
    <x v="197"/>
    <n v="2024"/>
    <x v="72"/>
    <s v="PROD_009"/>
    <s v="Phone Stand"/>
    <s v="Accessories"/>
    <n v="5"/>
    <n v="25.61"/>
    <n v="128.05000000000001"/>
    <n v="128.05000000000001"/>
    <n v="0"/>
    <s v="Italy"/>
    <x v="0"/>
  </r>
  <r>
    <n v="2024005620"/>
    <x v="337"/>
    <n v="2024"/>
    <x v="295"/>
    <s v="PROD_010"/>
    <s v="Webcam HD"/>
    <s v="Electronics"/>
    <n v="2"/>
    <n v="92.67"/>
    <n v="185.34"/>
    <n v="185.34"/>
    <n v="0"/>
    <s v="Italy"/>
    <x v="1"/>
  </r>
  <r>
    <n v="2024005621"/>
    <x v="256"/>
    <n v="2024"/>
    <x v="221"/>
    <s v="PROD_010"/>
    <s v="Webcam HD"/>
    <s v="Electronics"/>
    <n v="1"/>
    <n v="87.35"/>
    <n v="87.35"/>
    <n v="87.35"/>
    <n v="0"/>
    <s v="UK"/>
    <x v="3"/>
  </r>
  <r>
    <n v="2024005622"/>
    <x v="75"/>
    <n v="2024"/>
    <x v="259"/>
    <s v="PROD_002"/>
    <s v="Wireless Mouse"/>
    <s v="Electronics"/>
    <n v="4"/>
    <n v="47.83"/>
    <n v="191.32"/>
    <n v="191.32"/>
    <n v="0"/>
    <s v="Netherlands"/>
    <x v="1"/>
  </r>
  <r>
    <n v="2024005623"/>
    <x v="113"/>
    <n v="2024"/>
    <x v="272"/>
    <s v="PROD_006"/>
    <s v="Monitor 27&quot;"/>
    <s v="Electronics"/>
    <n v="3"/>
    <n v="411.82"/>
    <n v="1235.46"/>
    <n v="1235.46"/>
    <n v="0"/>
    <s v="Netherlands"/>
    <x v="0"/>
  </r>
  <r>
    <n v="2024005624"/>
    <x v="21"/>
    <n v="2024"/>
    <x v="211"/>
    <s v="PROD_010"/>
    <s v="Webcam HD"/>
    <s v="Electronics"/>
    <n v="2"/>
    <n v="88.74"/>
    <n v="177.48"/>
    <n v="177.48"/>
    <n v="0"/>
    <s v="France"/>
    <x v="3"/>
  </r>
  <r>
    <n v="2024005625"/>
    <x v="51"/>
    <n v="2024"/>
    <x v="60"/>
    <s v="PROD_007"/>
    <s v="Keyboard Mechanical"/>
    <s v="Electronics"/>
    <n v="1"/>
    <n v="123.36"/>
    <n v="123.36"/>
    <n v="123.36"/>
    <n v="0"/>
    <s v="Sweden"/>
    <x v="0"/>
  </r>
  <r>
    <n v="2024005626"/>
    <x v="137"/>
    <n v="2024"/>
    <x v="80"/>
    <s v="PROD_010"/>
    <s v="Webcam HD"/>
    <s v="Electronics"/>
    <n v="3"/>
    <n v="83.81"/>
    <n v="251.43"/>
    <n v="251.43"/>
    <n v="0"/>
    <s v="Austria"/>
    <x v="0"/>
  </r>
  <r>
    <n v="2024005627"/>
    <x v="7"/>
    <n v="2024"/>
    <x v="229"/>
    <s v="PROD_002"/>
    <s v="Wireless Mouse"/>
    <s v="Electronics"/>
    <n v="1"/>
    <n v="47.56"/>
    <n v="47.56"/>
    <n v="47.56"/>
    <n v="0"/>
    <s v="Sweden"/>
    <x v="0"/>
  </r>
  <r>
    <n v="2024005628"/>
    <x v="305"/>
    <n v="2024"/>
    <x v="193"/>
    <s v="PROD_009"/>
    <s v="Phone Stand"/>
    <s v="Accessories"/>
    <n v="1"/>
    <n v="26.53"/>
    <n v="26.53"/>
    <n v="26.53"/>
    <n v="0"/>
    <s v="Germany"/>
    <x v="0"/>
  </r>
  <r>
    <n v="2024005629"/>
    <x v="317"/>
    <n v="2024"/>
    <x v="0"/>
    <s v="PROD_001"/>
    <s v="Laptop Pro"/>
    <s v="Electronics"/>
    <n v="3"/>
    <n v="1228.04"/>
    <n v="3684.12"/>
    <n v="3684.12"/>
    <n v="0"/>
    <s v="Netherlands"/>
    <x v="1"/>
  </r>
  <r>
    <n v="2024005630"/>
    <x v="202"/>
    <n v="2024"/>
    <x v="0"/>
    <s v="PROD_006"/>
    <s v="Monitor 27&quot;"/>
    <s v="Electronics"/>
    <n v="2"/>
    <n v="370.51"/>
    <n v="741.02"/>
    <n v="741.02"/>
    <n v="0"/>
    <s v="Spain"/>
    <x v="1"/>
  </r>
  <r>
    <n v="2024005631"/>
    <x v="242"/>
    <n v="2024"/>
    <x v="207"/>
    <s v="PROD_009"/>
    <s v="Phone Stand"/>
    <s v="Accessories"/>
    <n v="2"/>
    <n v="24.63"/>
    <n v="49.26"/>
    <n v="49.26"/>
    <n v="0"/>
    <s v="Germany"/>
    <x v="3"/>
  </r>
  <r>
    <n v="2024005632"/>
    <x v="234"/>
    <n v="2024"/>
    <x v="38"/>
    <s v="PROD_004"/>
    <s v="Desk Chair"/>
    <s v="Furniture"/>
    <n v="1"/>
    <n v="364.4"/>
    <n v="364.4"/>
    <n v="364.4"/>
    <n v="0"/>
    <s v="Belgium"/>
    <x v="2"/>
  </r>
  <r>
    <n v="2024005633"/>
    <x v="333"/>
    <n v="2024"/>
    <x v="290"/>
    <s v="PROD_008"/>
    <s v="Desk Lamp"/>
    <s v="Furniture"/>
    <n v="1"/>
    <n v="89.47"/>
    <n v="89.47"/>
    <n v="89.47"/>
    <n v="0"/>
    <s v="Switzerland"/>
    <x v="0"/>
  </r>
  <r>
    <n v="2024005634"/>
    <x v="102"/>
    <n v="2024"/>
    <x v="207"/>
    <s v="PROD_009"/>
    <s v="Phone Stand"/>
    <s v="Accessories"/>
    <n v="3"/>
    <n v="23.49"/>
    <n v="70.47"/>
    <n v="70.47"/>
    <n v="0"/>
    <s v="France"/>
    <x v="1"/>
  </r>
  <r>
    <n v="2024005635"/>
    <x v="274"/>
    <n v="2024"/>
    <x v="258"/>
    <s v="PROD_004"/>
    <s v="Desk Chair"/>
    <s v="Furniture"/>
    <n v="1"/>
    <n v="338.38"/>
    <n v="338.38"/>
    <n v="338.38"/>
    <n v="0"/>
    <s v="France"/>
    <x v="1"/>
  </r>
  <r>
    <n v="2024005636"/>
    <x v="208"/>
    <n v="2024"/>
    <x v="2"/>
    <s v="PROD_004"/>
    <s v="Desk Chair"/>
    <s v="Furniture"/>
    <n v="3"/>
    <n v="367.15"/>
    <n v="1101.45"/>
    <n v="1101.4499999999998"/>
    <n v="0"/>
    <s v="Belgium"/>
    <x v="2"/>
  </r>
  <r>
    <n v="2024005637"/>
    <x v="33"/>
    <n v="2024"/>
    <x v="118"/>
    <s v="PROD_010"/>
    <s v="Webcam HD"/>
    <s v="Electronics"/>
    <n v="3"/>
    <n v="89.68"/>
    <n v="269.04000000000002"/>
    <n v="269.04000000000002"/>
    <n v="0"/>
    <s v="France"/>
    <x v="0"/>
  </r>
  <r>
    <n v="2024005638"/>
    <x v="280"/>
    <n v="2024"/>
    <x v="294"/>
    <s v="PROD_005"/>
    <s v="Standing Desk"/>
    <s v="Furniture"/>
    <n v="3"/>
    <n v="585.83000000000004"/>
    <n v="1757.49"/>
    <n v="1757.4900000000002"/>
    <n v="0"/>
    <s v="France"/>
    <x v="1"/>
  </r>
  <r>
    <n v="2024005639"/>
    <x v="143"/>
    <n v="2024"/>
    <x v="194"/>
    <s v="PROD_004"/>
    <s v="Desk Chair"/>
    <s v="Furniture"/>
    <n v="1"/>
    <n v="358.55"/>
    <n v="358.55"/>
    <n v="358.55"/>
    <n v="0"/>
    <s v="France"/>
    <x v="1"/>
  </r>
  <r>
    <n v="2024005640"/>
    <x v="138"/>
    <n v="2024"/>
    <x v="60"/>
    <s v="PROD_007"/>
    <s v="Keyboard Mechanical"/>
    <s v="Electronics"/>
    <n v="1"/>
    <n v="124.61"/>
    <n v="124.61"/>
    <n v="124.61"/>
    <n v="0"/>
    <s v="Germany"/>
    <x v="1"/>
  </r>
  <r>
    <n v="2024005641"/>
    <x v="37"/>
    <n v="2024"/>
    <x v="118"/>
    <s v="PROD_009"/>
    <s v="Phone Stand"/>
    <s v="Accessories"/>
    <n v="2"/>
    <n v="25.56"/>
    <n v="51.12"/>
    <n v="51.12"/>
    <n v="0"/>
    <s v="Netherlands"/>
    <x v="3"/>
  </r>
  <r>
    <n v="2024005642"/>
    <x v="6"/>
    <n v="2024"/>
    <x v="10"/>
    <s v="PROD_004"/>
    <s v="Desk Chair"/>
    <s v="Furniture"/>
    <n v="3"/>
    <n v="341.03"/>
    <n v="1023.09"/>
    <n v="1023.0899999999999"/>
    <n v="0"/>
    <s v="Spain"/>
    <x v="3"/>
  </r>
  <r>
    <n v="2024005643"/>
    <x v="97"/>
    <n v="2024"/>
    <x v="112"/>
    <s v="PROD_002"/>
    <s v="Wireless Mouse"/>
    <s v="Electronics"/>
    <n v="1"/>
    <n v="43.46"/>
    <n v="43.46"/>
    <n v="43.46"/>
    <n v="0"/>
    <s v="Austria"/>
    <x v="2"/>
  </r>
  <r>
    <n v="2024005644"/>
    <x v="186"/>
    <n v="2024"/>
    <x v="0"/>
    <s v="PROD_008"/>
    <s v="Desk Lamp"/>
    <s v="Furniture"/>
    <n v="1"/>
    <n v="74.349999999999994"/>
    <n v="74.349999999999994"/>
    <n v="74.349999999999994"/>
    <n v="0"/>
    <s v="Spain"/>
    <x v="1"/>
  </r>
  <r>
    <n v="2024005645"/>
    <x v="188"/>
    <n v="2024"/>
    <x v="0"/>
    <s v="PROD_010"/>
    <s v="Webcam HD"/>
    <s v="Electronics"/>
    <n v="2"/>
    <n v="91.36"/>
    <n v="182.72"/>
    <n v="182.72"/>
    <n v="0"/>
    <s v="Germany"/>
    <x v="3"/>
  </r>
  <r>
    <n v="2024005646"/>
    <x v="308"/>
    <n v="2024"/>
    <x v="132"/>
    <s v="PROD_001"/>
    <s v="Laptop Pro"/>
    <s v="Electronics"/>
    <n v="5"/>
    <n v="1136.58"/>
    <n v="5682.9"/>
    <n v="5682.9"/>
    <n v="0"/>
    <s v="Sweden"/>
    <x v="3"/>
  </r>
  <r>
    <n v="2024005647"/>
    <x v="180"/>
    <n v="2024"/>
    <x v="79"/>
    <s v="PROD_002"/>
    <s v="Wireless Mouse"/>
    <s v="Electronics"/>
    <n v="2"/>
    <n v="45.42"/>
    <n v="90.84"/>
    <n v="90.84"/>
    <n v="0"/>
    <s v="UK"/>
    <x v="3"/>
  </r>
  <r>
    <n v="2024005648"/>
    <x v="340"/>
    <n v="2024"/>
    <x v="204"/>
    <s v="PROD_003"/>
    <s v="USB-C Cable"/>
    <s v="Electronics"/>
    <n v="1"/>
    <n v="14.45"/>
    <n v="14.45"/>
    <n v="14.45"/>
    <n v="0"/>
    <s v="Italy"/>
    <x v="1"/>
  </r>
  <r>
    <n v="2024005649"/>
    <x v="315"/>
    <n v="2024"/>
    <x v="282"/>
    <s v="PROD_002"/>
    <s v="Wireless Mouse"/>
    <s v="Electronics"/>
    <n v="2"/>
    <n v="46.48"/>
    <n v="92.96"/>
    <n v="92.96"/>
    <n v="0"/>
    <s v="Italy"/>
    <x v="2"/>
  </r>
  <r>
    <n v="2024005650"/>
    <x v="280"/>
    <n v="2024"/>
    <x v="104"/>
    <s v="PROD_008"/>
    <s v="Desk Lamp"/>
    <s v="Furniture"/>
    <n v="1"/>
    <n v="80.56"/>
    <n v="80.56"/>
    <n v="80.56"/>
    <n v="0"/>
    <s v="Sweden"/>
    <x v="2"/>
  </r>
  <r>
    <n v="2024005651"/>
    <x v="58"/>
    <n v="2024"/>
    <x v="29"/>
    <s v="PROD_005"/>
    <s v="Standing Desk"/>
    <s v="Furniture"/>
    <n v="2"/>
    <n v="587.38"/>
    <n v="1174.76"/>
    <n v="1174.76"/>
    <n v="0"/>
    <s v="Spain"/>
    <x v="3"/>
  </r>
  <r>
    <n v="2024005652"/>
    <x v="282"/>
    <n v="2024"/>
    <x v="9"/>
    <s v="PROD_003"/>
    <s v="USB-C Cable"/>
    <s v="Electronics"/>
    <n v="2"/>
    <n v="15.03"/>
    <n v="30.06"/>
    <n v="30.06"/>
    <n v="0"/>
    <s v="Sweden"/>
    <x v="1"/>
  </r>
  <r>
    <n v="2024005653"/>
    <x v="240"/>
    <n v="2024"/>
    <x v="270"/>
    <s v="PROD_005"/>
    <s v="Standing Desk"/>
    <s v="Furniture"/>
    <n v="4"/>
    <n v="618.04"/>
    <n v="2472.16"/>
    <n v="2472.16"/>
    <n v="0"/>
    <s v="Netherlands"/>
    <x v="2"/>
  </r>
  <r>
    <n v="2024005654"/>
    <x v="143"/>
    <n v="2024"/>
    <x v="22"/>
    <s v="PROD_009"/>
    <s v="Phone Stand"/>
    <s v="Accessories"/>
    <n v="3"/>
    <n v="24.82"/>
    <n v="74.459999999999994"/>
    <n v="74.460000000000008"/>
    <n v="0"/>
    <s v="Sweden"/>
    <x v="3"/>
  </r>
  <r>
    <n v="2024005655"/>
    <x v="109"/>
    <n v="2024"/>
    <x v="83"/>
    <s v="PROD_004"/>
    <s v="Desk Chair"/>
    <s v="Furniture"/>
    <n v="3"/>
    <n v="345.28"/>
    <n v="1035.8399999999999"/>
    <n v="1035.8399999999999"/>
    <n v="0"/>
    <s v="Switzerland"/>
    <x v="3"/>
  </r>
  <r>
    <n v="2024005656"/>
    <x v="109"/>
    <n v="2024"/>
    <x v="292"/>
    <s v="PROD_002"/>
    <s v="Wireless Mouse"/>
    <s v="Electronics"/>
    <n v="1"/>
    <n v="44.48"/>
    <n v="44.48"/>
    <n v="44.48"/>
    <n v="0"/>
    <s v="Italy"/>
    <x v="1"/>
  </r>
  <r>
    <n v="2024005657"/>
    <x v="367"/>
    <n v="2024"/>
    <x v="270"/>
    <s v="PROD_010"/>
    <s v="Webcam HD"/>
    <s v="Electronics"/>
    <n v="2"/>
    <n v="94.8"/>
    <n v="189.6"/>
    <n v="189.6"/>
    <n v="0"/>
    <s v="Spain"/>
    <x v="1"/>
  </r>
  <r>
    <n v="2024005658"/>
    <x v="149"/>
    <n v="2024"/>
    <x v="0"/>
    <s v="PROD_009"/>
    <s v="Phone Stand"/>
    <s v="Accessories"/>
    <n v="1"/>
    <n v="24.1"/>
    <n v="24.1"/>
    <n v="24.1"/>
    <n v="0"/>
    <s v="Switzerland"/>
    <x v="2"/>
  </r>
  <r>
    <n v="2024005659"/>
    <x v="219"/>
    <n v="2024"/>
    <x v="96"/>
    <s v="PROD_007"/>
    <s v="Keyboard Mechanical"/>
    <s v="Electronics"/>
    <n v="5"/>
    <n v="121.86"/>
    <n v="609.29999999999995"/>
    <n v="609.29999999999995"/>
    <n v="0"/>
    <s v="Italy"/>
    <x v="0"/>
  </r>
  <r>
    <n v="2024005660"/>
    <x v="73"/>
    <n v="2024"/>
    <x v="185"/>
    <s v="PROD_005"/>
    <s v="Standing Desk"/>
    <s v="Furniture"/>
    <n v="1"/>
    <n v="607.47"/>
    <n v="607.47"/>
    <n v="607.47"/>
    <n v="0"/>
    <s v="Netherlands"/>
    <x v="3"/>
  </r>
  <r>
    <n v="2024005661"/>
    <x v="329"/>
    <n v="2024"/>
    <x v="0"/>
    <s v="PROD_007"/>
    <s v="Keyboard Mechanical"/>
    <s v="Electronics"/>
    <n v="2"/>
    <n v="121.01"/>
    <n v="242.02"/>
    <n v="242.02"/>
    <n v="0"/>
    <s v="Italy"/>
    <x v="3"/>
  </r>
  <r>
    <n v="2024005662"/>
    <x v="17"/>
    <n v="2024"/>
    <x v="297"/>
    <s v="PROD_003"/>
    <s v="USB-C Cable"/>
    <s v="Electronics"/>
    <n v="1"/>
    <n v="14.19"/>
    <n v="14.19"/>
    <n v="14.19"/>
    <n v="0"/>
    <s v="Spain"/>
    <x v="2"/>
  </r>
  <r>
    <n v="2024005663"/>
    <x v="244"/>
    <n v="2024"/>
    <x v="221"/>
    <s v="PROD_002"/>
    <s v="Wireless Mouse"/>
    <s v="Electronics"/>
    <n v="2"/>
    <n v="47.29"/>
    <n v="94.58"/>
    <n v="94.58"/>
    <n v="0"/>
    <s v="Belgium"/>
    <x v="1"/>
  </r>
  <r>
    <n v="2024005664"/>
    <x v="202"/>
    <n v="2024"/>
    <x v="35"/>
    <s v="PROD_003"/>
    <s v="USB-C Cable"/>
    <s v="Electronics"/>
    <n v="2"/>
    <n v="16.02"/>
    <n v="32.04"/>
    <n v="32.04"/>
    <n v="0"/>
    <s v="UK"/>
    <x v="1"/>
  </r>
  <r>
    <n v="2024005665"/>
    <x v="87"/>
    <n v="2024"/>
    <x v="176"/>
    <s v="PROD_001"/>
    <s v="Laptop Pro"/>
    <s v="Electronics"/>
    <n v="1"/>
    <n v="1216.25"/>
    <n v="1216.25"/>
    <n v="1216.25"/>
    <n v="0"/>
    <s v="France"/>
    <x v="1"/>
  </r>
  <r>
    <n v="2024005666"/>
    <x v="79"/>
    <n v="2024"/>
    <x v="69"/>
    <s v="PROD_004"/>
    <s v="Desk Chair"/>
    <s v="Furniture"/>
    <n v="1"/>
    <n v="340.6"/>
    <n v="340.6"/>
    <n v="340.6"/>
    <n v="0"/>
    <s v="Italy"/>
    <x v="0"/>
  </r>
  <r>
    <n v="2024005667"/>
    <x v="302"/>
    <n v="2024"/>
    <x v="139"/>
    <s v="PROD_004"/>
    <s v="Desk Chair"/>
    <s v="Furniture"/>
    <n v="1"/>
    <n v="345.96"/>
    <n v="345.96"/>
    <n v="345.96"/>
    <n v="0"/>
    <s v="Austria"/>
    <x v="3"/>
  </r>
  <r>
    <n v="2024005668"/>
    <x v="180"/>
    <n v="2024"/>
    <x v="30"/>
    <s v="PROD_001"/>
    <s v="Laptop Pro"/>
    <s v="Electronics"/>
    <n v="1"/>
    <n v="1207.29"/>
    <n v="1207.29"/>
    <n v="1207.29"/>
    <n v="0"/>
    <s v="Belgium"/>
    <x v="2"/>
  </r>
  <r>
    <n v="2024005669"/>
    <x v="31"/>
    <n v="2024"/>
    <x v="237"/>
    <s v="PROD_002"/>
    <s v="Wireless Mouse"/>
    <s v="Electronics"/>
    <n v="3"/>
    <n v="46.1"/>
    <n v="138.30000000000001"/>
    <n v="138.30000000000001"/>
    <n v="0"/>
    <s v="Germany"/>
    <x v="0"/>
  </r>
  <r>
    <n v="2024005670"/>
    <x v="301"/>
    <n v="2024"/>
    <x v="130"/>
    <s v="PROD_002"/>
    <s v="Wireless Mouse"/>
    <s v="Electronics"/>
    <n v="3"/>
    <n v="46.57"/>
    <n v="139.71"/>
    <n v="139.71"/>
    <n v="0"/>
    <s v="Switzerland"/>
    <x v="1"/>
  </r>
  <r>
    <n v="2024005671"/>
    <x v="165"/>
    <n v="2024"/>
    <x v="0"/>
    <s v="PROD_007"/>
    <s v="Keyboard Mechanical"/>
    <s v="Electronics"/>
    <n v="4"/>
    <n v="120.52"/>
    <n v="482.08"/>
    <n v="482.08"/>
    <n v="0"/>
    <s v="Italy"/>
    <x v="3"/>
  </r>
  <r>
    <n v="2024005672"/>
    <x v="21"/>
    <n v="2024"/>
    <x v="0"/>
    <s v="PROD_006"/>
    <s v="Monitor 27&quot;"/>
    <s v="Electronics"/>
    <n v="4"/>
    <n v="377.3"/>
    <n v="1509.2"/>
    <n v="1509.2"/>
    <n v="0"/>
    <s v="Austria"/>
    <x v="0"/>
  </r>
  <r>
    <n v="2024005673"/>
    <x v="88"/>
    <n v="2024"/>
    <x v="0"/>
    <s v="PROD_010"/>
    <s v="Webcam HD"/>
    <s v="Electronics"/>
    <n v="1"/>
    <n v="88.6"/>
    <n v="88.6"/>
    <n v="88.6"/>
    <n v="0"/>
    <s v="UK"/>
    <x v="1"/>
  </r>
  <r>
    <n v="2024005674"/>
    <x v="376"/>
    <n v="2023"/>
    <x v="1"/>
    <s v="PROD_001"/>
    <s v="Laptop Pro"/>
    <s v="Electronics"/>
    <n v="2"/>
    <n v="1168.8699999999999"/>
    <n v="2337.7399999999998"/>
    <n v="2337.7399999999998"/>
    <n v="0"/>
    <s v="Austria"/>
    <x v="0"/>
  </r>
  <r>
    <n v="2024005675"/>
    <x v="308"/>
    <n v="2024"/>
    <x v="17"/>
    <s v="PROD_005"/>
    <s v="Standing Desk"/>
    <s v="Furniture"/>
    <n v="1"/>
    <n v="621.97"/>
    <n v="621.97"/>
    <n v="621.97"/>
    <n v="0"/>
    <s v="Spain"/>
    <x v="0"/>
  </r>
  <r>
    <n v="2024005676"/>
    <x v="52"/>
    <n v="2024"/>
    <x v="243"/>
    <s v="PROD_010"/>
    <s v="Webcam HD"/>
    <s v="Electronics"/>
    <n v="1"/>
    <n v="99.77"/>
    <n v="99.77"/>
    <n v="99.77"/>
    <n v="0"/>
    <s v="Belgium"/>
    <x v="2"/>
  </r>
  <r>
    <n v="2024005677"/>
    <x v="116"/>
    <n v="2024"/>
    <x v="108"/>
    <s v="PROD_004"/>
    <s v="Desk Chair"/>
    <s v="Furniture"/>
    <n v="1"/>
    <n v="360.81"/>
    <n v="360.81"/>
    <n v="360.81"/>
    <n v="0"/>
    <s v="France"/>
    <x v="3"/>
  </r>
  <r>
    <n v="2024005678"/>
    <x v="142"/>
    <n v="2024"/>
    <x v="93"/>
    <s v="PROD_001"/>
    <s v="Laptop Pro"/>
    <s v="Electronics"/>
    <n v="3"/>
    <n v="1261.05"/>
    <n v="3783.15"/>
    <n v="3783.1499999999996"/>
    <n v="0"/>
    <s v="Sweden"/>
    <x v="0"/>
  </r>
  <r>
    <n v="2024005679"/>
    <x v="30"/>
    <n v="2024"/>
    <x v="16"/>
    <s v="PROD_005"/>
    <s v="Standing Desk"/>
    <s v="Furniture"/>
    <n v="2"/>
    <n v="603.45000000000005"/>
    <n v="1206.9000000000001"/>
    <n v="1206.9000000000001"/>
    <n v="0"/>
    <s v="Austria"/>
    <x v="1"/>
  </r>
  <r>
    <n v="2024003318"/>
    <x v="195"/>
    <n v="2024"/>
    <x v="195"/>
    <s v="PROD_007"/>
    <s v="Keyboard Mechanical"/>
    <s v="Electronics"/>
    <n v="1"/>
    <n v="112.4"/>
    <n v="112.4"/>
    <n v="112.4"/>
    <n v="0"/>
    <s v="Netherlands"/>
    <x v="2"/>
  </r>
  <r>
    <n v="2024005681"/>
    <x v="0"/>
    <n v="2024"/>
    <x v="0"/>
    <s v="PROD_008"/>
    <s v="Desk Lamp"/>
    <s v="Furniture"/>
    <n v="1"/>
    <n v="80.3"/>
    <n v="80.3"/>
    <n v="80.3"/>
    <n v="0"/>
    <s v="Germany"/>
    <x v="1"/>
  </r>
  <r>
    <n v="2024005682"/>
    <x v="319"/>
    <n v="2024"/>
    <x v="200"/>
    <s v="PROD_001"/>
    <s v="Laptop Pro"/>
    <s v="Electronics"/>
    <n v="1"/>
    <n v="1204.42"/>
    <n v="1204.42"/>
    <n v="1204.42"/>
    <n v="0"/>
    <s v="Austria"/>
    <x v="3"/>
  </r>
  <r>
    <n v="2024005683"/>
    <x v="37"/>
    <n v="2024"/>
    <x v="78"/>
    <s v="PROD_006"/>
    <s v="Monitor 27&quot;"/>
    <s v="Electronics"/>
    <n v="3"/>
    <n v="384.31"/>
    <n v="1152.93"/>
    <n v="1152.93"/>
    <n v="0"/>
    <s v="Switzerland"/>
    <x v="1"/>
  </r>
  <r>
    <n v="2024005684"/>
    <x v="336"/>
    <n v="2024"/>
    <x v="277"/>
    <s v="PROD_008"/>
    <s v="Desk Lamp"/>
    <s v="Furniture"/>
    <n v="1"/>
    <n v="73.959999999999994"/>
    <n v="73.959999999999994"/>
    <n v="73.959999999999994"/>
    <n v="0"/>
    <s v="Netherlands"/>
    <x v="1"/>
  </r>
  <r>
    <n v="2024005685"/>
    <x v="283"/>
    <n v="2024"/>
    <x v="175"/>
    <s v="PROD_010"/>
    <s v="Webcam HD"/>
    <s v="Electronics"/>
    <n v="2"/>
    <n v="97.57"/>
    <n v="195.14"/>
    <n v="195.14"/>
    <n v="0"/>
    <s v="Sweden"/>
    <x v="0"/>
  </r>
  <r>
    <n v="2024005686"/>
    <x v="282"/>
    <n v="2024"/>
    <x v="286"/>
    <s v="PROD_005"/>
    <s v="Standing Desk"/>
    <s v="Furniture"/>
    <n v="3"/>
    <n v="563.16"/>
    <n v="1689.48"/>
    <n v="1689.48"/>
    <n v="0"/>
    <s v="Italy"/>
    <x v="0"/>
  </r>
  <r>
    <n v="2024005687"/>
    <x v="99"/>
    <n v="2024"/>
    <x v="1"/>
    <s v="PROD_006"/>
    <s v="Monitor 27&quot;"/>
    <s v="Electronics"/>
    <n v="3"/>
    <n v="401.29"/>
    <n v="1203.8699999999999"/>
    <n v="1203.8700000000001"/>
    <n v="0"/>
    <s v="Netherlands"/>
    <x v="2"/>
  </r>
  <r>
    <n v="2024005688"/>
    <x v="132"/>
    <n v="2024"/>
    <x v="13"/>
    <s v="PROD_004"/>
    <s v="Desk Chair"/>
    <s v="Furniture"/>
    <n v="5"/>
    <n v="330.29"/>
    <n v="1651.45"/>
    <n v="1651.45"/>
    <n v="0"/>
    <s v="Austria"/>
    <x v="1"/>
  </r>
  <r>
    <n v="2024005689"/>
    <x v="275"/>
    <n v="2024"/>
    <x v="53"/>
    <s v="PROD_004"/>
    <s v="Desk Chair"/>
    <s v="Furniture"/>
    <n v="1"/>
    <n v="347.45"/>
    <n v="347.45"/>
    <n v="347.45"/>
    <n v="0"/>
    <s v="Spain"/>
    <x v="1"/>
  </r>
  <r>
    <n v="2024005690"/>
    <x v="336"/>
    <n v="2024"/>
    <x v="294"/>
    <s v="PROD_007"/>
    <s v="Keyboard Mechanical"/>
    <s v="Electronics"/>
    <n v="1"/>
    <n v="117.54"/>
    <n v="117.54"/>
    <n v="117.54"/>
    <n v="0"/>
    <s v="Germany"/>
    <x v="1"/>
  </r>
  <r>
    <n v="2024005691"/>
    <x v="94"/>
    <n v="2024"/>
    <x v="202"/>
    <s v="PROD_008"/>
    <s v="Desk Lamp"/>
    <s v="Furniture"/>
    <n v="1"/>
    <n v="79.77"/>
    <n v="79.77"/>
    <n v="79.77"/>
    <n v="0"/>
    <s v="Switzerland"/>
    <x v="3"/>
  </r>
  <r>
    <n v="2024005692"/>
    <x v="154"/>
    <n v="2024"/>
    <x v="176"/>
    <s v="PROD_007"/>
    <s v="Keyboard Mechanical"/>
    <s v="Electronics"/>
    <n v="2"/>
    <n v="112.11"/>
    <n v="224.22"/>
    <n v="224.22"/>
    <n v="0"/>
    <s v="Austria"/>
    <x v="2"/>
  </r>
  <r>
    <n v="2024005693"/>
    <x v="103"/>
    <n v="2024"/>
    <x v="0"/>
    <s v="PROD_007"/>
    <s v="Keyboard Mechanical"/>
    <s v="Electronics"/>
    <n v="2"/>
    <n v="109.86"/>
    <n v="219.72"/>
    <n v="219.72"/>
    <n v="0"/>
    <s v="Sweden"/>
    <x v="2"/>
  </r>
  <r>
    <n v="2024005694"/>
    <x v="185"/>
    <n v="2024"/>
    <x v="128"/>
    <s v="PROD_007"/>
    <s v="Keyboard Mechanical"/>
    <s v="Electronics"/>
    <n v="1"/>
    <n v="117.77"/>
    <n v="117.77"/>
    <n v="117.77"/>
    <n v="0"/>
    <s v="Netherlands"/>
    <x v="0"/>
  </r>
  <r>
    <n v="2024005695"/>
    <x v="13"/>
    <n v="2024"/>
    <x v="0"/>
    <s v="PROD_009"/>
    <s v="Phone Stand"/>
    <s v="Accessories"/>
    <n v="1"/>
    <n v="26.39"/>
    <n v="26.39"/>
    <n v="26.39"/>
    <n v="0"/>
    <s v="UK"/>
    <x v="0"/>
  </r>
  <r>
    <n v="2024005696"/>
    <x v="108"/>
    <n v="2024"/>
    <x v="237"/>
    <s v="PROD_003"/>
    <s v="USB-C Cable"/>
    <s v="Electronics"/>
    <n v="1"/>
    <n v="16.04"/>
    <n v="16.04"/>
    <n v="16.04"/>
    <n v="0"/>
    <s v="Belgium"/>
    <x v="0"/>
  </r>
  <r>
    <n v="2024005697"/>
    <x v="204"/>
    <n v="2024"/>
    <x v="0"/>
    <s v="PROD_007"/>
    <s v="Keyboard Mechanical"/>
    <s v="Electronics"/>
    <n v="2"/>
    <n v="122.78"/>
    <n v="245.56"/>
    <n v="245.56"/>
    <n v="0"/>
    <s v="Sweden"/>
    <x v="1"/>
  </r>
  <r>
    <n v="2024005698"/>
    <x v="234"/>
    <n v="2024"/>
    <x v="193"/>
    <s v="PROD_004"/>
    <s v="Desk Chair"/>
    <s v="Furniture"/>
    <n v="1"/>
    <n v="362.88"/>
    <n v="362.88"/>
    <n v="362.88"/>
    <n v="0"/>
    <s v="Belgium"/>
    <x v="2"/>
  </r>
  <r>
    <n v="2024005699"/>
    <x v="346"/>
    <n v="2024"/>
    <x v="66"/>
    <s v="PROD_009"/>
    <s v="Phone Stand"/>
    <s v="Accessories"/>
    <n v="1"/>
    <n v="25.37"/>
    <n v="25.37"/>
    <n v="25.37"/>
    <n v="0"/>
    <s v="France"/>
    <x v="3"/>
  </r>
  <r>
    <n v="2024005700"/>
    <x v="48"/>
    <n v="2024"/>
    <x v="72"/>
    <s v="PROD_001"/>
    <s v="Laptop Pro"/>
    <s v="Electronics"/>
    <n v="1"/>
    <n v="1179.23"/>
    <n v="1179.23"/>
    <n v="1179.23"/>
    <n v="0"/>
    <s v="Belgium"/>
    <x v="1"/>
  </r>
  <r>
    <n v="2024005701"/>
    <x v="377"/>
    <n v="2023"/>
    <x v="177"/>
    <s v="PROD_004"/>
    <s v="Desk Chair"/>
    <s v="Furniture"/>
    <n v="1"/>
    <n v="316.76"/>
    <n v="316.76"/>
    <n v="316.76"/>
    <n v="0"/>
    <s v="France"/>
    <x v="1"/>
  </r>
  <r>
    <n v="2024005702"/>
    <x v="75"/>
    <n v="2024"/>
    <x v="100"/>
    <s v="PROD_002"/>
    <s v="Wireless Mouse"/>
    <s v="Electronics"/>
    <n v="1"/>
    <n v="45.53"/>
    <n v="45.53"/>
    <n v="45.53"/>
    <n v="0"/>
    <s v="Germany"/>
    <x v="3"/>
  </r>
  <r>
    <n v="2024005703"/>
    <x v="197"/>
    <n v="2024"/>
    <x v="258"/>
    <s v="PROD_004"/>
    <s v="Desk Chair"/>
    <s v="Furniture"/>
    <n v="1"/>
    <n v="360.52"/>
    <n v="360.52"/>
    <n v="360.52"/>
    <n v="0"/>
    <s v="Netherlands"/>
    <x v="1"/>
  </r>
  <r>
    <n v="2024005704"/>
    <x v="53"/>
    <n v="2024"/>
    <x v="0"/>
    <s v="PROD_004"/>
    <s v="Desk Chair"/>
    <s v="Furniture"/>
    <n v="1"/>
    <n v="324.20999999999998"/>
    <n v="324.20999999999998"/>
    <n v="324.20999999999998"/>
    <n v="0"/>
    <s v="Italy"/>
    <x v="2"/>
  </r>
  <r>
    <n v="2024005705"/>
    <x v="166"/>
    <n v="2024"/>
    <x v="115"/>
    <s v="PROD_006"/>
    <s v="Monitor 27&quot;"/>
    <s v="Electronics"/>
    <n v="4"/>
    <n v="390.45"/>
    <n v="1561.8"/>
    <n v="1561.8"/>
    <n v="0"/>
    <s v="Spain"/>
    <x v="2"/>
  </r>
  <r>
    <n v="2024005706"/>
    <x v="29"/>
    <n v="2024"/>
    <x v="0"/>
    <s v="PROD_007"/>
    <s v="Keyboard Mechanical"/>
    <s v="Electronics"/>
    <n v="3"/>
    <n v="115.83"/>
    <n v="347.49"/>
    <n v="347.49"/>
    <n v="0"/>
    <s v="Spain"/>
    <x v="3"/>
  </r>
  <r>
    <n v="2024005707"/>
    <x v="327"/>
    <n v="2024"/>
    <x v="0"/>
    <s v="PROD_005"/>
    <s v="Standing Desk"/>
    <s v="Furniture"/>
    <n v="1"/>
    <n v="578.78"/>
    <n v="578.78"/>
    <n v="578.78"/>
    <n v="0"/>
    <s v="Italy"/>
    <x v="3"/>
  </r>
  <r>
    <n v="2024005708"/>
    <x v="254"/>
    <n v="2024"/>
    <x v="79"/>
    <s v="PROD_010"/>
    <s v="Webcam HD"/>
    <s v="Electronics"/>
    <n v="2"/>
    <n v="91.51"/>
    <n v="183.02"/>
    <n v="183.02"/>
    <n v="0"/>
    <s v="Austria"/>
    <x v="0"/>
  </r>
  <r>
    <n v="2024005709"/>
    <x v="186"/>
    <n v="2024"/>
    <x v="221"/>
    <s v="PROD_008"/>
    <s v="Desk Lamp"/>
    <s v="Furniture"/>
    <n v="2"/>
    <n v="72.95"/>
    <n v="145.9"/>
    <n v="145.9"/>
    <n v="0"/>
    <s v="France"/>
    <x v="3"/>
  </r>
  <r>
    <n v="2024005710"/>
    <x v="203"/>
    <n v="2024"/>
    <x v="17"/>
    <s v="PROD_009"/>
    <s v="Phone Stand"/>
    <s v="Accessories"/>
    <n v="3"/>
    <n v="26.15"/>
    <n v="78.45"/>
    <n v="78.449999999999989"/>
    <n v="0"/>
    <s v="Germany"/>
    <x v="0"/>
  </r>
  <r>
    <n v="2024005711"/>
    <x v="33"/>
    <n v="2024"/>
    <x v="144"/>
    <s v="PROD_006"/>
    <s v="Monitor 27&quot;"/>
    <s v="Electronics"/>
    <n v="2"/>
    <n v="406.12"/>
    <n v="812.24"/>
    <n v="812.24"/>
    <n v="0"/>
    <s v="Italy"/>
    <x v="0"/>
  </r>
  <r>
    <n v="2024005712"/>
    <x v="205"/>
    <n v="2024"/>
    <x v="177"/>
    <s v="PROD_006"/>
    <s v="Monitor 27&quot;"/>
    <s v="Electronics"/>
    <n v="1"/>
    <n v="396.34"/>
    <n v="396.34"/>
    <n v="396.34"/>
    <n v="0"/>
    <s v="Sweden"/>
    <x v="1"/>
  </r>
  <r>
    <n v="2024005713"/>
    <x v="45"/>
    <n v="2024"/>
    <x v="31"/>
    <s v="PROD_009"/>
    <s v="Phone Stand"/>
    <s v="Accessories"/>
    <n v="2"/>
    <n v="24.13"/>
    <n v="48.26"/>
    <n v="48.26"/>
    <n v="0"/>
    <s v="UK"/>
    <x v="0"/>
  </r>
  <r>
    <n v="2024005714"/>
    <x v="123"/>
    <n v="2024"/>
    <x v="211"/>
    <s v="PROD_005"/>
    <s v="Standing Desk"/>
    <s v="Furniture"/>
    <n v="4"/>
    <n v="605.19000000000005"/>
    <n v="2420.7600000000002"/>
    <n v="2420.7600000000002"/>
    <n v="0"/>
    <s v="Spain"/>
    <x v="2"/>
  </r>
  <r>
    <n v="2024005715"/>
    <x v="59"/>
    <n v="2024"/>
    <x v="151"/>
    <s v="PROD_001"/>
    <s v="Laptop Pro"/>
    <s v="Electronics"/>
    <n v="3"/>
    <n v="1562.75"/>
    <n v="4688.25"/>
    <n v="4688.25"/>
    <n v="0"/>
    <s v="Italy"/>
    <x v="3"/>
  </r>
  <r>
    <n v="2024005716"/>
    <x v="149"/>
    <n v="2024"/>
    <x v="0"/>
    <s v="PROD_004"/>
    <s v="Desk Chair"/>
    <s v="Furniture"/>
    <n v="1"/>
    <n v="356.35"/>
    <n v="356.35"/>
    <n v="356.35"/>
    <n v="0"/>
    <s v="Netherlands"/>
    <x v="0"/>
  </r>
  <r>
    <n v="2024005717"/>
    <x v="225"/>
    <n v="2024"/>
    <x v="58"/>
    <s v="PROD_009"/>
    <s v="Phone Stand"/>
    <s v="Accessories"/>
    <n v="2"/>
    <n v="26.14"/>
    <n v="52.28"/>
    <n v="52.28"/>
    <n v="0"/>
    <s v="UK"/>
    <x v="3"/>
  </r>
  <r>
    <n v="2024005718"/>
    <x v="237"/>
    <n v="2024"/>
    <x v="174"/>
    <s v="PROD_008"/>
    <s v="Desk Lamp"/>
    <s v="Furniture"/>
    <n v="2"/>
    <n v="76.59"/>
    <n v="153.18"/>
    <n v="153.18"/>
    <n v="0"/>
    <s v="France"/>
    <x v="1"/>
  </r>
  <r>
    <n v="2024005719"/>
    <x v="269"/>
    <n v="2024"/>
    <x v="4"/>
    <s v="PROD_002"/>
    <s v="Wireless Mouse"/>
    <s v="Electronics"/>
    <n v="3"/>
    <n v="47.11"/>
    <n v="141.33000000000001"/>
    <n v="141.32999999999998"/>
    <n v="0"/>
    <s v="Netherlands"/>
    <x v="3"/>
  </r>
  <r>
    <n v="2024005720"/>
    <x v="26"/>
    <n v="2024"/>
    <x v="293"/>
    <s v="PROD_005"/>
    <s v="Standing Desk"/>
    <s v="Furniture"/>
    <n v="2"/>
    <n v="609.17999999999995"/>
    <n v="1218.3599999999999"/>
    <n v="1218.3599999999999"/>
    <n v="0"/>
    <s v="Germany"/>
    <x v="2"/>
  </r>
  <r>
    <n v="2024005721"/>
    <x v="146"/>
    <n v="2024"/>
    <x v="145"/>
    <s v="PROD_006"/>
    <s v="Monitor 27&quot;"/>
    <s v="Electronics"/>
    <n v="3"/>
    <n v="360.16"/>
    <n v="1080.48"/>
    <n v="1080.48"/>
    <n v="0"/>
    <s v="Spain"/>
    <x v="3"/>
  </r>
  <r>
    <n v="2024005722"/>
    <x v="277"/>
    <n v="2024"/>
    <x v="57"/>
    <s v="PROD_002"/>
    <s v="Wireless Mouse"/>
    <s v="Electronics"/>
    <n v="2"/>
    <n v="43.74"/>
    <n v="87.48"/>
    <n v="87.48"/>
    <n v="0"/>
    <s v="Italy"/>
    <x v="0"/>
  </r>
  <r>
    <n v="2024005723"/>
    <x v="325"/>
    <n v="2024"/>
    <x v="45"/>
    <s v="PROD_010"/>
    <s v="Webcam HD"/>
    <s v="Electronics"/>
    <n v="1"/>
    <n v="95.04"/>
    <n v="95.04"/>
    <n v="95.04"/>
    <n v="0"/>
    <s v="Sweden"/>
    <x v="0"/>
  </r>
  <r>
    <n v="2024005724"/>
    <x v="196"/>
    <n v="2024"/>
    <x v="122"/>
    <s v="PROD_008"/>
    <s v="Desk Lamp"/>
    <s v="Furniture"/>
    <n v="2"/>
    <n v="73.900000000000006"/>
    <n v="147.80000000000001"/>
    <n v="147.80000000000001"/>
    <n v="0"/>
    <s v="Belgium"/>
    <x v="0"/>
  </r>
  <r>
    <n v="2024005725"/>
    <x v="112"/>
    <n v="2024"/>
    <x v="214"/>
    <s v="PROD_009"/>
    <s v="Phone Stand"/>
    <s v="Accessories"/>
    <n v="5"/>
    <n v="27.12"/>
    <n v="135.6"/>
    <n v="135.6"/>
    <n v="0"/>
    <s v="Switzerland"/>
    <x v="2"/>
  </r>
  <r>
    <n v="2024005726"/>
    <x v="295"/>
    <n v="2024"/>
    <x v="175"/>
    <s v="PROD_005"/>
    <s v="Standing Desk"/>
    <s v="Furniture"/>
    <n v="2"/>
    <n v="614.19000000000005"/>
    <n v="1228.3800000000001"/>
    <n v="1228.3800000000001"/>
    <n v="0"/>
    <s v="Netherlands"/>
    <x v="2"/>
  </r>
  <r>
    <n v="2024005727"/>
    <x v="200"/>
    <n v="2024"/>
    <x v="10"/>
    <s v="PROD_007"/>
    <s v="Keyboard Mechanical"/>
    <s v="Electronics"/>
    <n v="3"/>
    <n v="116.75"/>
    <n v="350.25"/>
    <n v="350.25"/>
    <n v="0"/>
    <s v="Switzerland"/>
    <x v="1"/>
  </r>
  <r>
    <n v="2024005728"/>
    <x v="210"/>
    <n v="2024"/>
    <x v="0"/>
    <s v="PROD_004"/>
    <s v="Desk Chair"/>
    <s v="Furniture"/>
    <n v="1"/>
    <n v="366.38"/>
    <n v="366.38"/>
    <n v="366.38"/>
    <n v="0"/>
    <s v="UK"/>
    <x v="2"/>
  </r>
  <r>
    <n v="2024005729"/>
    <x v="293"/>
    <n v="2024"/>
    <x v="0"/>
    <s v="PROD_002"/>
    <s v="Wireless Mouse"/>
    <s v="Electronics"/>
    <n v="2"/>
    <n v="47.88"/>
    <n v="95.76"/>
    <n v="95.76"/>
    <n v="0"/>
    <s v="Italy"/>
    <x v="3"/>
  </r>
  <r>
    <n v="2024005730"/>
    <x v="264"/>
    <n v="2024"/>
    <x v="156"/>
    <s v="PROD_009"/>
    <s v="Phone Stand"/>
    <s v="Accessories"/>
    <n v="2"/>
    <n v="23.38"/>
    <n v="46.76"/>
    <n v="46.76"/>
    <n v="0"/>
    <s v="Netherlands"/>
    <x v="2"/>
  </r>
  <r>
    <n v="2024005731"/>
    <x v="214"/>
    <n v="2024"/>
    <x v="193"/>
    <s v="PROD_003"/>
    <s v="USB-C Cable"/>
    <s v="Electronics"/>
    <n v="1"/>
    <n v="14.73"/>
    <n v="14.73"/>
    <n v="14.73"/>
    <n v="0"/>
    <s v="Switzerland"/>
    <x v="3"/>
  </r>
  <r>
    <n v="2024005732"/>
    <x v="84"/>
    <n v="2024"/>
    <x v="244"/>
    <s v="PROD_005"/>
    <s v="Standing Desk"/>
    <s v="Furniture"/>
    <n v="2"/>
    <n v="604.09"/>
    <n v="1208.18"/>
    <n v="1208.18"/>
    <n v="0"/>
    <s v="Belgium"/>
    <x v="2"/>
  </r>
  <r>
    <n v="2024005733"/>
    <x v="156"/>
    <n v="2024"/>
    <x v="141"/>
    <s v="PROD_007"/>
    <s v="Keyboard Mechanical"/>
    <s v="Electronics"/>
    <n v="1"/>
    <n v="128.5"/>
    <n v="128.5"/>
    <n v="128.5"/>
    <n v="0"/>
    <s v="UK"/>
    <x v="1"/>
  </r>
  <r>
    <n v="2024005734"/>
    <x v="178"/>
    <n v="2024"/>
    <x v="30"/>
    <s v="PROD_004"/>
    <s v="Desk Chair"/>
    <s v="Furniture"/>
    <n v="1"/>
    <n v="344.43"/>
    <n v="344.43"/>
    <n v="344.43"/>
    <n v="0"/>
    <s v="Italy"/>
    <x v="2"/>
  </r>
  <r>
    <n v="2024005735"/>
    <x v="277"/>
    <n v="2024"/>
    <x v="296"/>
    <s v="PROD_002"/>
    <s v="Wireless Mouse"/>
    <s v="Electronics"/>
    <n v="1"/>
    <n v="46.64"/>
    <n v="46.64"/>
    <n v="46.64"/>
    <n v="0"/>
    <s v="France"/>
    <x v="2"/>
  </r>
  <r>
    <n v="2024005736"/>
    <x v="175"/>
    <n v="2024"/>
    <x v="226"/>
    <s v="PROD_007"/>
    <s v="Keyboard Mechanical"/>
    <s v="Electronics"/>
    <n v="3"/>
    <n v="114.91"/>
    <n v="344.73"/>
    <n v="344.73"/>
    <n v="0"/>
    <s v="France"/>
    <x v="3"/>
  </r>
  <r>
    <n v="2024005737"/>
    <x v="272"/>
    <n v="2024"/>
    <x v="240"/>
    <s v="PROD_005"/>
    <s v="Standing Desk"/>
    <s v="Furniture"/>
    <n v="1"/>
    <n v="575.98"/>
    <n v="575.98"/>
    <n v="575.98"/>
    <n v="0"/>
    <s v="Belgium"/>
    <x v="0"/>
  </r>
  <r>
    <n v="2024005738"/>
    <x v="328"/>
    <n v="2024"/>
    <x v="74"/>
    <s v="PROD_005"/>
    <s v="Standing Desk"/>
    <s v="Furniture"/>
    <n v="2"/>
    <n v="652.02"/>
    <n v="1304.04"/>
    <n v="1304.04"/>
    <n v="0"/>
    <s v="Spain"/>
    <x v="1"/>
  </r>
  <r>
    <n v="2024005739"/>
    <x v="358"/>
    <n v="2024"/>
    <x v="70"/>
    <s v="PROD_009"/>
    <s v="Phone Stand"/>
    <s v="Accessories"/>
    <n v="2"/>
    <n v="26.6"/>
    <n v="53.2"/>
    <n v="53.2"/>
    <n v="0"/>
    <s v="France"/>
    <x v="3"/>
  </r>
  <r>
    <n v="2024005740"/>
    <x v="146"/>
    <n v="2024"/>
    <x v="68"/>
    <s v="PROD_003"/>
    <s v="USB-C Cable"/>
    <s v="Electronics"/>
    <n v="1"/>
    <n v="15.78"/>
    <n v="15.78"/>
    <n v="15.78"/>
    <n v="0"/>
    <s v="Netherlands"/>
    <x v="0"/>
  </r>
  <r>
    <n v="2024005741"/>
    <x v="111"/>
    <n v="2024"/>
    <x v="206"/>
    <s v="PROD_007"/>
    <s v="Keyboard Mechanical"/>
    <s v="Electronics"/>
    <n v="2"/>
    <n v="128.21"/>
    <n v="256.42"/>
    <n v="256.42"/>
    <n v="0"/>
    <s v="Sweden"/>
    <x v="2"/>
  </r>
  <r>
    <n v="2024005742"/>
    <x v="127"/>
    <n v="2024"/>
    <x v="123"/>
    <s v="PROD_001"/>
    <s v="Laptop Pro"/>
    <s v="Electronics"/>
    <n v="4"/>
    <n v="1329.07"/>
    <n v="5316.28"/>
    <n v="5316.28"/>
    <n v="0"/>
    <s v="Netherlands"/>
    <x v="2"/>
  </r>
  <r>
    <n v="2024005743"/>
    <x v="308"/>
    <n v="2024"/>
    <x v="273"/>
    <s v="PROD_001"/>
    <s v="Laptop Pro"/>
    <s v="Electronics"/>
    <n v="2"/>
    <n v="1284.5899999999999"/>
    <n v="2569.1799999999998"/>
    <n v="2569.1799999999998"/>
    <n v="0"/>
    <s v="Switzerland"/>
    <x v="2"/>
  </r>
  <r>
    <n v="2024005744"/>
    <x v="29"/>
    <n v="2024"/>
    <x v="265"/>
    <s v="PROD_004"/>
    <s v="Desk Chair"/>
    <s v="Furniture"/>
    <n v="1"/>
    <n v="359.71"/>
    <n v="359.71"/>
    <n v="359.71"/>
    <n v="0"/>
    <s v="Switzerland"/>
    <x v="2"/>
  </r>
  <r>
    <n v="2024005745"/>
    <x v="91"/>
    <n v="2024"/>
    <x v="198"/>
    <s v="PROD_010"/>
    <s v="Webcam HD"/>
    <s v="Electronics"/>
    <n v="3"/>
    <n v="84.07"/>
    <n v="252.21"/>
    <n v="252.20999999999998"/>
    <n v="0"/>
    <s v="France"/>
    <x v="1"/>
  </r>
  <r>
    <n v="2024005746"/>
    <x v="339"/>
    <n v="2024"/>
    <x v="100"/>
    <s v="PROD_008"/>
    <s v="Desk Lamp"/>
    <s v="Furniture"/>
    <n v="1"/>
    <n v="78.349999999999994"/>
    <n v="78.349999999999994"/>
    <n v="78.349999999999994"/>
    <n v="0"/>
    <s v="Switzerland"/>
    <x v="1"/>
  </r>
  <r>
    <n v="2024005747"/>
    <x v="54"/>
    <n v="2024"/>
    <x v="243"/>
    <s v="PROD_009"/>
    <s v="Phone Stand"/>
    <s v="Accessories"/>
    <n v="1"/>
    <n v="25.04"/>
    <n v="25.04"/>
    <n v="25.04"/>
    <n v="0"/>
    <s v="France"/>
    <x v="3"/>
  </r>
  <r>
    <n v="2024005748"/>
    <x v="10"/>
    <n v="2024"/>
    <x v="60"/>
    <s v="PROD_006"/>
    <s v="Monitor 27&quot;"/>
    <s v="Electronics"/>
    <n v="1"/>
    <n v="396.16"/>
    <n v="396.16"/>
    <n v="396.16"/>
    <n v="0"/>
    <s v="Spain"/>
    <x v="1"/>
  </r>
  <r>
    <n v="2024005749"/>
    <x v="238"/>
    <n v="2024"/>
    <x v="78"/>
    <s v="PROD_002"/>
    <s v="Wireless Mouse"/>
    <s v="Electronics"/>
    <n v="3"/>
    <n v="46.02"/>
    <n v="138.06"/>
    <n v="138.06"/>
    <n v="0"/>
    <s v="Austria"/>
    <x v="1"/>
  </r>
  <r>
    <n v="2024005750"/>
    <x v="317"/>
    <n v="2024"/>
    <x v="230"/>
    <s v="PROD_006"/>
    <s v="Monitor 27&quot;"/>
    <s v="Electronics"/>
    <n v="2"/>
    <n v="426.16"/>
    <n v="852.32"/>
    <n v="852.32"/>
    <n v="0"/>
    <s v="Spain"/>
    <x v="2"/>
  </r>
  <r>
    <n v="2024005751"/>
    <x v="25"/>
    <n v="2024"/>
    <x v="0"/>
    <s v="PROD_003"/>
    <s v="USB-C Cable"/>
    <s v="Electronics"/>
    <n v="4"/>
    <n v="14.75"/>
    <n v="59"/>
    <n v="59"/>
    <n v="0"/>
    <s v="Switzerland"/>
    <x v="1"/>
  </r>
  <r>
    <n v="2024005752"/>
    <x v="235"/>
    <n v="2024"/>
    <x v="24"/>
    <s v="PROD_009"/>
    <s v="Phone Stand"/>
    <s v="Accessories"/>
    <n v="2"/>
    <n v="22.53"/>
    <n v="45.06"/>
    <n v="45.06"/>
    <n v="0"/>
    <s v="Spain"/>
    <x v="0"/>
  </r>
  <r>
    <n v="2024005753"/>
    <x v="336"/>
    <n v="2024"/>
    <x v="0"/>
    <s v="PROD_002"/>
    <s v="Wireless Mouse"/>
    <s v="Electronics"/>
    <n v="3"/>
    <n v="44.58"/>
    <n v="133.74"/>
    <n v="133.74"/>
    <n v="0"/>
    <s v="UK"/>
    <x v="2"/>
  </r>
  <r>
    <n v="2024005754"/>
    <x v="242"/>
    <n v="2024"/>
    <x v="114"/>
    <s v="PROD_010"/>
    <s v="Webcam HD"/>
    <s v="Electronics"/>
    <n v="3"/>
    <n v="92.57"/>
    <n v="277.70999999999998"/>
    <n v="277.70999999999998"/>
    <n v="0"/>
    <s v="Spain"/>
    <x v="1"/>
  </r>
  <r>
    <n v="2024005755"/>
    <x v="55"/>
    <n v="2024"/>
    <x v="0"/>
    <s v="PROD_003"/>
    <s v="USB-C Cable"/>
    <s v="Electronics"/>
    <n v="2"/>
    <n v="15.39"/>
    <n v="30.78"/>
    <n v="30.78"/>
    <n v="0"/>
    <s v="Germany"/>
    <x v="3"/>
  </r>
  <r>
    <n v="2024005756"/>
    <x v="289"/>
    <n v="2024"/>
    <x v="96"/>
    <s v="PROD_007"/>
    <s v="Keyboard Mechanical"/>
    <s v="Electronics"/>
    <n v="1"/>
    <n v="115.63"/>
    <n v="115.63"/>
    <n v="115.63"/>
    <n v="0"/>
    <s v="Switzerland"/>
    <x v="2"/>
  </r>
  <r>
    <n v="2024005757"/>
    <x v="107"/>
    <n v="2024"/>
    <x v="0"/>
    <s v="PROD_001"/>
    <s v="Laptop Pro"/>
    <s v="Electronics"/>
    <n v="1"/>
    <n v="1226.8699999999999"/>
    <n v="1226.8699999999999"/>
    <n v="1226.8699999999999"/>
    <n v="0"/>
    <s v="Switzerland"/>
    <x v="3"/>
  </r>
  <r>
    <n v="2024005758"/>
    <x v="336"/>
    <n v="2024"/>
    <x v="100"/>
    <s v="PROD_002"/>
    <s v="Wireless Mouse"/>
    <s v="Electronics"/>
    <n v="1"/>
    <n v="45.28"/>
    <n v="45.28"/>
    <n v="45.28"/>
    <n v="0"/>
    <s v="Belgium"/>
    <x v="1"/>
  </r>
  <r>
    <n v="2024005759"/>
    <x v="178"/>
    <n v="2024"/>
    <x v="143"/>
    <s v="PROD_010"/>
    <s v="Webcam HD"/>
    <s v="Electronics"/>
    <n v="1"/>
    <n v="89.71"/>
    <n v="89.71"/>
    <n v="89.71"/>
    <n v="0"/>
    <s v="Spain"/>
    <x v="2"/>
  </r>
  <r>
    <n v="2024005760"/>
    <x v="265"/>
    <n v="2024"/>
    <x v="132"/>
    <s v="PROD_005"/>
    <s v="Standing Desk"/>
    <s v="Furniture"/>
    <n v="1"/>
    <n v="583.58000000000004"/>
    <n v="583.58000000000004"/>
    <n v="583.58000000000004"/>
    <n v="0"/>
    <s v="France"/>
    <x v="3"/>
  </r>
  <r>
    <n v="2024005761"/>
    <x v="255"/>
    <n v="2024"/>
    <x v="0"/>
    <s v="PROD_009"/>
    <s v="Phone Stand"/>
    <s v="Accessories"/>
    <n v="1"/>
    <n v="24.83"/>
    <n v="24.83"/>
    <n v="24.83"/>
    <n v="0"/>
    <s v="Netherlands"/>
    <x v="1"/>
  </r>
  <r>
    <n v="2024005762"/>
    <x v="79"/>
    <n v="2024"/>
    <x v="264"/>
    <s v="PROD_002"/>
    <s v="Wireless Mouse"/>
    <s v="Electronics"/>
    <n v="1"/>
    <n v="42.34"/>
    <n v="42.34"/>
    <n v="42.34"/>
    <n v="0"/>
    <s v="Spain"/>
    <x v="3"/>
  </r>
  <r>
    <n v="2024005763"/>
    <x v="313"/>
    <n v="2024"/>
    <x v="164"/>
    <s v="PROD_009"/>
    <s v="Phone Stand"/>
    <s v="Accessories"/>
    <n v="1"/>
    <n v="24.37"/>
    <n v="24.37"/>
    <n v="24.37"/>
    <n v="0"/>
    <s v="Sweden"/>
    <x v="3"/>
  </r>
  <r>
    <n v="2024005764"/>
    <x v="326"/>
    <n v="2024"/>
    <x v="166"/>
    <s v="PROD_005"/>
    <s v="Standing Desk"/>
    <s v="Furniture"/>
    <n v="2"/>
    <n v="581.78"/>
    <n v="1163.56"/>
    <n v="1163.56"/>
    <n v="0"/>
    <s v="Belgium"/>
    <x v="0"/>
  </r>
  <r>
    <n v="2024005765"/>
    <x v="362"/>
    <n v="2024"/>
    <x v="230"/>
    <s v="PROD_006"/>
    <s v="Monitor 27&quot;"/>
    <s v="Electronics"/>
    <n v="2"/>
    <n v="388.15"/>
    <n v="776.3"/>
    <n v="776.3"/>
    <n v="0"/>
    <s v="Sweden"/>
    <x v="3"/>
  </r>
  <r>
    <n v="2024005766"/>
    <x v="163"/>
    <n v="2024"/>
    <x v="0"/>
    <s v="PROD_008"/>
    <s v="Desk Lamp"/>
    <s v="Furniture"/>
    <n v="2"/>
    <n v="73.849999999999994"/>
    <n v="147.69999999999999"/>
    <n v="147.69999999999999"/>
    <n v="0"/>
    <s v="Italy"/>
    <x v="2"/>
  </r>
  <r>
    <n v="2024005767"/>
    <x v="289"/>
    <n v="2024"/>
    <x v="140"/>
    <s v="PROD_002"/>
    <s v="Wireless Mouse"/>
    <s v="Electronics"/>
    <n v="1"/>
    <n v="42.48"/>
    <n v="42.48"/>
    <n v="42.48"/>
    <n v="0"/>
    <s v="Austria"/>
    <x v="0"/>
  </r>
  <r>
    <n v="2024005768"/>
    <x v="241"/>
    <n v="2024"/>
    <x v="0"/>
    <s v="PROD_004"/>
    <s v="Desk Chair"/>
    <s v="Furniture"/>
    <n v="1"/>
    <n v="335.2"/>
    <n v="335.2"/>
    <n v="335.2"/>
    <n v="0"/>
    <s v="Belgium"/>
    <x v="1"/>
  </r>
  <r>
    <n v="2024005769"/>
    <x v="269"/>
    <n v="2024"/>
    <x v="0"/>
    <s v="PROD_009"/>
    <s v="Phone Stand"/>
    <s v="Accessories"/>
    <n v="1"/>
    <n v="26.28"/>
    <n v="26.28"/>
    <n v="26.28"/>
    <n v="0"/>
    <s v="Austria"/>
    <x v="3"/>
  </r>
  <r>
    <n v="2024005770"/>
    <x v="82"/>
    <n v="2024"/>
    <x v="176"/>
    <s v="PROD_002"/>
    <s v="Wireless Mouse"/>
    <s v="Electronics"/>
    <n v="1"/>
    <n v="44.73"/>
    <n v="44.73"/>
    <n v="44.73"/>
    <n v="0"/>
    <s v="UK"/>
    <x v="0"/>
  </r>
  <r>
    <n v="2024005771"/>
    <x v="167"/>
    <n v="2024"/>
    <x v="27"/>
    <s v="PROD_007"/>
    <s v="Keyboard Mechanical"/>
    <s v="Electronics"/>
    <n v="1"/>
    <n v="130.83000000000001"/>
    <n v="130.83000000000001"/>
    <n v="130.83000000000001"/>
    <n v="0"/>
    <s v="Netherlands"/>
    <x v="1"/>
  </r>
  <r>
    <n v="2024005772"/>
    <x v="205"/>
    <n v="2024"/>
    <x v="53"/>
    <s v="PROD_006"/>
    <s v="Monitor 27&quot;"/>
    <s v="Electronics"/>
    <n v="2"/>
    <n v="401.49"/>
    <n v="802.98"/>
    <n v="802.98"/>
    <n v="0"/>
    <s v="Spain"/>
    <x v="0"/>
  </r>
  <r>
    <n v="2024005773"/>
    <x v="231"/>
    <n v="2024"/>
    <x v="70"/>
    <s v="PROD_010"/>
    <s v="Webcam HD"/>
    <s v="Electronics"/>
    <n v="1"/>
    <n v="85.41"/>
    <n v="85.41"/>
    <n v="85.41"/>
    <n v="0"/>
    <s v="Belgium"/>
    <x v="0"/>
  </r>
  <r>
    <n v="2024005774"/>
    <x v="296"/>
    <n v="2024"/>
    <x v="262"/>
    <s v="PROD_010"/>
    <s v="Webcam HD"/>
    <s v="Electronics"/>
    <n v="1"/>
    <n v="93.53"/>
    <n v="93.53"/>
    <n v="93.53"/>
    <n v="0"/>
    <s v="Sweden"/>
    <x v="1"/>
  </r>
  <r>
    <n v="2024005775"/>
    <x v="29"/>
    <n v="2024"/>
    <x v="0"/>
    <s v="PROD_009"/>
    <s v="Phone Stand"/>
    <s v="Accessories"/>
    <n v="2"/>
    <n v="24.29"/>
    <n v="48.58"/>
    <n v="48.58"/>
    <n v="0"/>
    <s v="Netherlands"/>
    <x v="0"/>
  </r>
  <r>
    <n v="2024005776"/>
    <x v="325"/>
    <n v="2024"/>
    <x v="0"/>
    <s v="PROD_002"/>
    <s v="Wireless Mouse"/>
    <s v="Electronics"/>
    <n v="2"/>
    <n v="44.16"/>
    <n v="88.32"/>
    <n v="88.32"/>
    <n v="0"/>
    <s v="UK"/>
    <x v="1"/>
  </r>
  <r>
    <n v="2024005777"/>
    <x v="181"/>
    <n v="2024"/>
    <x v="170"/>
    <s v="PROD_010"/>
    <s v="Webcam HD"/>
    <s v="Electronics"/>
    <n v="1"/>
    <n v="96.96"/>
    <n v="96.96"/>
    <n v="96.96"/>
    <n v="0"/>
    <s v="Germany"/>
    <x v="0"/>
  </r>
  <r>
    <n v="2024005778"/>
    <x v="267"/>
    <n v="2024"/>
    <x v="65"/>
    <s v="PROD_007"/>
    <s v="Keyboard Mechanical"/>
    <s v="Electronics"/>
    <n v="1"/>
    <n v="115.38"/>
    <n v="115.38"/>
    <n v="115.38"/>
    <n v="0"/>
    <s v="Italy"/>
    <x v="3"/>
  </r>
  <r>
    <n v="2024005779"/>
    <x v="6"/>
    <n v="2024"/>
    <x v="71"/>
    <s v="PROD_001"/>
    <s v="Laptop Pro"/>
    <s v="Electronics"/>
    <n v="1"/>
    <n v="1159.76"/>
    <n v="1159.76"/>
    <n v="1159.76"/>
    <n v="0"/>
    <s v="Belgium"/>
    <x v="1"/>
  </r>
  <r>
    <n v="2024005780"/>
    <x v="281"/>
    <n v="2024"/>
    <x v="0"/>
    <s v="PROD_004"/>
    <s v="Desk Chair"/>
    <s v="Furniture"/>
    <n v="4"/>
    <n v="371.4"/>
    <n v="1485.6"/>
    <n v="1485.6"/>
    <n v="0"/>
    <s v="Switzerland"/>
    <x v="3"/>
  </r>
  <r>
    <n v="2024005781"/>
    <x v="119"/>
    <n v="2024"/>
    <x v="52"/>
    <s v="PROD_006"/>
    <s v="Monitor 27&quot;"/>
    <s v="Electronics"/>
    <n v="1"/>
    <n v="408.09"/>
    <n v="408.09"/>
    <n v="408.09"/>
    <n v="0"/>
    <s v="Belgium"/>
    <x v="2"/>
  </r>
  <r>
    <n v="2024005782"/>
    <x v="187"/>
    <n v="2024"/>
    <x v="132"/>
    <s v="PROD_001"/>
    <s v="Laptop Pro"/>
    <s v="Electronics"/>
    <n v="2"/>
    <n v="1263.69"/>
    <n v="2527.38"/>
    <n v="2527.38"/>
    <n v="0"/>
    <s v="UK"/>
    <x v="2"/>
  </r>
  <r>
    <n v="2024005783"/>
    <x v="211"/>
    <n v="2024"/>
    <x v="67"/>
    <s v="PROD_003"/>
    <s v="USB-C Cable"/>
    <s v="Electronics"/>
    <n v="4"/>
    <n v="15.2"/>
    <n v="60.8"/>
    <n v="60.8"/>
    <n v="0"/>
    <s v="France"/>
    <x v="2"/>
  </r>
  <r>
    <n v="2024005784"/>
    <x v="249"/>
    <n v="2024"/>
    <x v="103"/>
    <s v="PROD_004"/>
    <s v="Desk Chair"/>
    <s v="Furniture"/>
    <n v="3"/>
    <n v="395.28"/>
    <n v="1185.8399999999999"/>
    <n v="1185.8399999999999"/>
    <n v="0"/>
    <s v="Switzerland"/>
    <x v="0"/>
  </r>
  <r>
    <n v="2024005785"/>
    <x v="293"/>
    <n v="2024"/>
    <x v="258"/>
    <s v="PROD_004"/>
    <s v="Desk Chair"/>
    <s v="Furniture"/>
    <n v="1"/>
    <n v="348.43"/>
    <n v="348.43"/>
    <n v="348.43"/>
    <n v="0"/>
    <s v="Belgium"/>
    <x v="1"/>
  </r>
  <r>
    <n v="2024005786"/>
    <x v="328"/>
    <n v="2024"/>
    <x v="134"/>
    <s v="PROD_010"/>
    <s v="Webcam HD"/>
    <s v="Electronics"/>
    <n v="4"/>
    <n v="88.05"/>
    <n v="352.2"/>
    <n v="352.2"/>
    <n v="0"/>
    <s v="Italy"/>
    <x v="3"/>
  </r>
  <r>
    <n v="2024005787"/>
    <x v="228"/>
    <n v="2024"/>
    <x v="119"/>
    <s v="PROD_003"/>
    <s v="USB-C Cable"/>
    <s v="Electronics"/>
    <n v="1"/>
    <n v="15.25"/>
    <n v="15.25"/>
    <n v="15.25"/>
    <n v="0"/>
    <s v="Germany"/>
    <x v="1"/>
  </r>
  <r>
    <n v="2024005788"/>
    <x v="360"/>
    <n v="2024"/>
    <x v="226"/>
    <s v="PROD_005"/>
    <s v="Standing Desk"/>
    <s v="Furniture"/>
    <n v="1"/>
    <n v="646.87"/>
    <n v="646.87"/>
    <n v="646.87"/>
    <n v="0"/>
    <s v="Italy"/>
    <x v="1"/>
  </r>
  <r>
    <n v="2024005789"/>
    <x v="43"/>
    <n v="2024"/>
    <x v="74"/>
    <s v="PROD_003"/>
    <s v="USB-C Cable"/>
    <s v="Electronics"/>
    <n v="2"/>
    <n v="14.88"/>
    <n v="29.76"/>
    <n v="29.76"/>
    <n v="0"/>
    <s v="Italy"/>
    <x v="0"/>
  </r>
  <r>
    <n v="2024005790"/>
    <x v="192"/>
    <n v="2024"/>
    <x v="140"/>
    <s v="PROD_006"/>
    <s v="Monitor 27&quot;"/>
    <s v="Electronics"/>
    <n v="1"/>
    <n v="390.25"/>
    <n v="390.25"/>
    <n v="390.25"/>
    <n v="0"/>
    <s v="UK"/>
    <x v="1"/>
  </r>
  <r>
    <n v="2024005791"/>
    <x v="15"/>
    <n v="2024"/>
    <x v="134"/>
    <s v="PROD_001"/>
    <s v="Laptop Pro"/>
    <s v="Electronics"/>
    <n v="4"/>
    <n v="1156.33"/>
    <n v="4625.32"/>
    <n v="4625.32"/>
    <n v="0"/>
    <s v="France"/>
    <x v="3"/>
  </r>
  <r>
    <n v="2024005792"/>
    <x v="103"/>
    <n v="2024"/>
    <x v="23"/>
    <s v="PROD_003"/>
    <s v="USB-C Cable"/>
    <s v="Electronics"/>
    <n v="1"/>
    <n v="14.81"/>
    <n v="14.81"/>
    <n v="14.81"/>
    <n v="0"/>
    <s v="Sweden"/>
    <x v="0"/>
  </r>
  <r>
    <n v="2024005793"/>
    <x v="81"/>
    <n v="2024"/>
    <x v="79"/>
    <s v="PROD_006"/>
    <s v="Monitor 27&quot;"/>
    <s v="Electronics"/>
    <n v="4"/>
    <n v="368.03"/>
    <n v="1472.12"/>
    <n v="1472.12"/>
    <n v="0"/>
    <s v="Austria"/>
    <x v="0"/>
  </r>
  <r>
    <n v="2024005794"/>
    <x v="9"/>
    <n v="2024"/>
    <x v="231"/>
    <s v="PROD_008"/>
    <s v="Desk Lamp"/>
    <s v="Furniture"/>
    <n v="1"/>
    <n v="76.88"/>
    <n v="76.88"/>
    <n v="76.88"/>
    <n v="0"/>
    <s v="Germany"/>
    <x v="1"/>
  </r>
  <r>
    <n v="2024005795"/>
    <x v="194"/>
    <n v="2024"/>
    <x v="205"/>
    <s v="PROD_010"/>
    <s v="Webcam HD"/>
    <s v="Electronics"/>
    <n v="2"/>
    <n v="92.05"/>
    <n v="184.1"/>
    <n v="184.1"/>
    <n v="0"/>
    <s v="Sweden"/>
    <x v="1"/>
  </r>
  <r>
    <n v="2024005796"/>
    <x v="191"/>
    <n v="2024"/>
    <x v="289"/>
    <s v="PROD_009"/>
    <s v="Phone Stand"/>
    <s v="Accessories"/>
    <n v="3"/>
    <n v="25.81"/>
    <n v="77.430000000000007"/>
    <n v="77.429999999999993"/>
    <n v="0"/>
    <s v="Italy"/>
    <x v="2"/>
  </r>
  <r>
    <n v="2024005797"/>
    <x v="70"/>
    <n v="2024"/>
    <x v="204"/>
    <s v="PROD_002"/>
    <s v="Wireless Mouse"/>
    <s v="Electronics"/>
    <n v="1"/>
    <n v="47.21"/>
    <n v="47.21"/>
    <n v="47.21"/>
    <n v="0"/>
    <s v="Italy"/>
    <x v="3"/>
  </r>
  <r>
    <n v="2024005798"/>
    <x v="330"/>
    <n v="2024"/>
    <x v="172"/>
    <s v="PROD_006"/>
    <s v="Monitor 27&quot;"/>
    <s v="Electronics"/>
    <n v="2"/>
    <n v="397.08"/>
    <n v="794.16"/>
    <n v="794.16"/>
    <n v="0"/>
    <s v="Germany"/>
    <x v="3"/>
  </r>
  <r>
    <n v="2024005799"/>
    <x v="274"/>
    <n v="2024"/>
    <x v="244"/>
    <s v="PROD_004"/>
    <s v="Desk Chair"/>
    <s v="Furniture"/>
    <n v="5"/>
    <n v="347.37"/>
    <n v="1736.85"/>
    <n v="1736.85"/>
    <n v="0"/>
    <s v="Belgium"/>
    <x v="1"/>
  </r>
  <r>
    <n v="2024005800"/>
    <x v="91"/>
    <n v="2024"/>
    <x v="23"/>
    <s v="PROD_002"/>
    <s v="Wireless Mouse"/>
    <s v="Electronics"/>
    <n v="5"/>
    <n v="45.3"/>
    <n v="226.5"/>
    <n v="226.5"/>
    <n v="0"/>
    <s v="Italy"/>
    <x v="2"/>
  </r>
  <r>
    <n v="2024005801"/>
    <x v="42"/>
    <n v="2024"/>
    <x v="69"/>
    <s v="PROD_005"/>
    <s v="Standing Desk"/>
    <s v="Furniture"/>
    <n v="1"/>
    <n v="609.19000000000005"/>
    <n v="609.19000000000005"/>
    <n v="609.19000000000005"/>
    <n v="0"/>
    <s v="Belgium"/>
    <x v="3"/>
  </r>
  <r>
    <n v="2024005802"/>
    <x v="99"/>
    <n v="2024"/>
    <x v="231"/>
    <s v="PROD_008"/>
    <s v="Desk Lamp"/>
    <s v="Furniture"/>
    <n v="3"/>
    <n v="75.69"/>
    <n v="227.07"/>
    <n v="227.07"/>
    <n v="0"/>
    <s v="Belgium"/>
    <x v="0"/>
  </r>
  <r>
    <n v="2024005803"/>
    <x v="284"/>
    <n v="2024"/>
    <x v="113"/>
    <s v="PROD_004"/>
    <s v="Desk Chair"/>
    <s v="Furniture"/>
    <n v="3"/>
    <n v="332.9"/>
    <n v="998.7"/>
    <n v="998.69999999999993"/>
    <n v="0"/>
    <s v="Germany"/>
    <x v="0"/>
  </r>
  <r>
    <n v="2024005804"/>
    <x v="59"/>
    <n v="2024"/>
    <x v="67"/>
    <s v="PROD_002"/>
    <s v="Wireless Mouse"/>
    <s v="Electronics"/>
    <n v="1"/>
    <n v="44.91"/>
    <n v="44.91"/>
    <n v="44.91"/>
    <n v="0"/>
    <s v="Spain"/>
    <x v="1"/>
  </r>
  <r>
    <n v="2024005805"/>
    <x v="66"/>
    <n v="2024"/>
    <x v="90"/>
    <s v="PROD_009"/>
    <s v="Phone Stand"/>
    <s v="Accessories"/>
    <n v="3"/>
    <n v="24.96"/>
    <n v="74.88"/>
    <n v="74.88"/>
    <n v="0"/>
    <s v="Spain"/>
    <x v="0"/>
  </r>
  <r>
    <n v="2024005806"/>
    <x v="239"/>
    <n v="2024"/>
    <x v="9"/>
    <s v="PROD_007"/>
    <s v="Keyboard Mechanical"/>
    <s v="Electronics"/>
    <n v="1"/>
    <n v="131.15"/>
    <n v="131.15"/>
    <n v="131.15"/>
    <n v="0"/>
    <s v="Netherlands"/>
    <x v="0"/>
  </r>
  <r>
    <n v="2024005532"/>
    <x v="119"/>
    <n v="2024"/>
    <x v="165"/>
    <s v="PROD_003"/>
    <s v="USB-C Cable"/>
    <s v="Electronics"/>
    <n v="3"/>
    <n v="14.17"/>
    <n v="42.51"/>
    <n v="42.51"/>
    <n v="0"/>
    <s v="Germany"/>
    <x v="0"/>
  </r>
  <r>
    <n v="2024005808"/>
    <x v="201"/>
    <n v="2024"/>
    <x v="0"/>
    <s v="PROD_006"/>
    <s v="Monitor 27&quot;"/>
    <s v="Electronics"/>
    <n v="1"/>
    <n v="367.29"/>
    <n v="367.29"/>
    <n v="367.29"/>
    <n v="0"/>
    <s v="UK"/>
    <x v="0"/>
  </r>
  <r>
    <n v="2024005809"/>
    <x v="176"/>
    <n v="2024"/>
    <x v="75"/>
    <s v="PROD_004"/>
    <s v="Desk Chair"/>
    <s v="Furniture"/>
    <n v="3"/>
    <n v="353.63"/>
    <n v="1060.8900000000001"/>
    <n v="1060.8899999999999"/>
    <n v="0"/>
    <s v="France"/>
    <x v="3"/>
  </r>
  <r>
    <n v="2024005810"/>
    <x v="106"/>
    <n v="2024"/>
    <x v="159"/>
    <s v="PROD_006"/>
    <s v="Monitor 27&quot;"/>
    <s v="Electronics"/>
    <n v="3"/>
    <n v="385.47"/>
    <n v="1156.4100000000001"/>
    <n v="1156.4100000000001"/>
    <n v="0"/>
    <s v="Netherlands"/>
    <x v="0"/>
  </r>
  <r>
    <n v="2024005811"/>
    <x v="53"/>
    <n v="2024"/>
    <x v="206"/>
    <s v="PROD_001"/>
    <s v="Laptop Pro"/>
    <s v="Electronics"/>
    <n v="4"/>
    <n v="1167.1500000000001"/>
    <n v="4668.6000000000004"/>
    <n v="4668.6000000000004"/>
    <n v="0"/>
    <s v="Italy"/>
    <x v="3"/>
  </r>
  <r>
    <n v="2024005812"/>
    <x v="259"/>
    <n v="2024"/>
    <x v="90"/>
    <s v="PROD_008"/>
    <s v="Desk Lamp"/>
    <s v="Furniture"/>
    <n v="2"/>
    <n v="74.150000000000006"/>
    <n v="148.30000000000001"/>
    <n v="148.30000000000001"/>
    <n v="0"/>
    <s v="Switzerland"/>
    <x v="0"/>
  </r>
  <r>
    <n v="2024005813"/>
    <x v="240"/>
    <n v="2024"/>
    <x v="7"/>
    <s v="PROD_009"/>
    <s v="Phone Stand"/>
    <s v="Accessories"/>
    <n v="2"/>
    <n v="25.11"/>
    <n v="50.22"/>
    <n v="50.22"/>
    <n v="0"/>
    <s v="Netherlands"/>
    <x v="3"/>
  </r>
  <r>
    <n v="2024005814"/>
    <x v="146"/>
    <n v="2024"/>
    <x v="124"/>
    <s v="PROD_008"/>
    <s v="Desk Lamp"/>
    <s v="Furniture"/>
    <n v="1"/>
    <n v="74.64"/>
    <n v="74.64"/>
    <n v="74.64"/>
    <n v="0"/>
    <s v="Spain"/>
    <x v="2"/>
  </r>
  <r>
    <n v="2024005815"/>
    <x v="35"/>
    <n v="2024"/>
    <x v="0"/>
    <s v="PROD_004"/>
    <s v="Desk Chair"/>
    <s v="Furniture"/>
    <n v="1"/>
    <n v="347.86"/>
    <n v="347.86"/>
    <n v="347.86"/>
    <n v="0"/>
    <s v="Netherlands"/>
    <x v="3"/>
  </r>
  <r>
    <n v="2024005816"/>
    <x v="304"/>
    <n v="2024"/>
    <x v="158"/>
    <s v="PROD_010"/>
    <s v="Webcam HD"/>
    <s v="Electronics"/>
    <n v="1"/>
    <n v="91.25"/>
    <n v="91.25"/>
    <n v="91.25"/>
    <n v="0"/>
    <s v="Netherlands"/>
    <x v="0"/>
  </r>
  <r>
    <n v="2024005817"/>
    <x v="130"/>
    <n v="2024"/>
    <x v="0"/>
    <s v="PROD_005"/>
    <s v="Standing Desk"/>
    <s v="Furniture"/>
    <n v="2"/>
    <n v="596.57000000000005"/>
    <n v="1193.1400000000001"/>
    <n v="1193.1400000000001"/>
    <n v="0"/>
    <s v="Spain"/>
    <x v="2"/>
  </r>
  <r>
    <n v="2024005818"/>
    <x v="338"/>
    <n v="2024"/>
    <x v="241"/>
    <s v="PROD_007"/>
    <s v="Keyboard Mechanical"/>
    <s v="Electronics"/>
    <n v="1"/>
    <n v="129.93"/>
    <n v="129.93"/>
    <n v="129.93"/>
    <n v="0"/>
    <s v="Italy"/>
    <x v="0"/>
  </r>
  <r>
    <n v="2024005819"/>
    <x v="164"/>
    <n v="2024"/>
    <x v="162"/>
    <s v="PROD_005"/>
    <s v="Standing Desk"/>
    <s v="Furniture"/>
    <n v="1"/>
    <n v="623.13"/>
    <n v="623.13"/>
    <n v="623.13"/>
    <n v="0"/>
    <s v="UK"/>
    <x v="3"/>
  </r>
  <r>
    <n v="2024005820"/>
    <x v="106"/>
    <n v="2024"/>
    <x v="22"/>
    <s v="PROD_007"/>
    <s v="Keyboard Mechanical"/>
    <s v="Electronics"/>
    <n v="3"/>
    <n v="114.14"/>
    <n v="342.42"/>
    <n v="342.42"/>
    <n v="0"/>
    <s v="Belgium"/>
    <x v="3"/>
  </r>
  <r>
    <n v="2024005821"/>
    <x v="110"/>
    <n v="2024"/>
    <x v="56"/>
    <s v="PROD_001"/>
    <s v="Laptop Pro"/>
    <s v="Electronics"/>
    <n v="1"/>
    <n v="1169.6500000000001"/>
    <n v="1169.6500000000001"/>
    <n v="1169.6500000000001"/>
    <n v="0"/>
    <s v="Switzerland"/>
    <x v="1"/>
  </r>
  <r>
    <n v="2024005822"/>
    <x v="127"/>
    <n v="2024"/>
    <x v="113"/>
    <s v="PROD_006"/>
    <s v="Monitor 27&quot;"/>
    <s v="Electronics"/>
    <n v="4"/>
    <n v="392.85"/>
    <n v="1571.4"/>
    <n v="1571.4"/>
    <n v="0"/>
    <s v="Spain"/>
    <x v="3"/>
  </r>
  <r>
    <n v="2024005823"/>
    <x v="178"/>
    <n v="2024"/>
    <x v="166"/>
    <s v="PROD_001"/>
    <s v="Laptop Pro"/>
    <s v="Electronics"/>
    <n v="1"/>
    <n v="1238.67"/>
    <n v="1238.67"/>
    <n v="1238.67"/>
    <n v="0"/>
    <s v="UK"/>
    <x v="0"/>
  </r>
  <r>
    <n v="2024005824"/>
    <x v="186"/>
    <n v="2024"/>
    <x v="108"/>
    <s v="PROD_005"/>
    <s v="Standing Desk"/>
    <s v="Furniture"/>
    <n v="1"/>
    <n v="620.54"/>
    <n v="620.54"/>
    <n v="620.54"/>
    <n v="0"/>
    <s v="Switzerland"/>
    <x v="0"/>
  </r>
  <r>
    <n v="2024005825"/>
    <x v="186"/>
    <n v="2024"/>
    <x v="291"/>
    <s v="PROD_001"/>
    <s v="Laptop Pro"/>
    <s v="Electronics"/>
    <n v="2"/>
    <n v="1116.46"/>
    <n v="2232.92"/>
    <n v="2232.92"/>
    <n v="0"/>
    <s v="Italy"/>
    <x v="2"/>
  </r>
  <r>
    <n v="2024005826"/>
    <x v="352"/>
    <n v="2024"/>
    <x v="259"/>
    <s v="PROD_002"/>
    <s v="Wireless Mouse"/>
    <s v="Electronics"/>
    <n v="0"/>
    <n v="45.08"/>
    <n v="0"/>
    <n v="0"/>
    <n v="0"/>
    <s v="Austria"/>
    <x v="1"/>
  </r>
  <r>
    <n v="2024005827"/>
    <x v="187"/>
    <n v="2024"/>
    <x v="288"/>
    <s v="PROD_007"/>
    <s v="Keyboard Mechanical"/>
    <s v="Electronics"/>
    <n v="2"/>
    <n v="123.07"/>
    <n v="246.14"/>
    <n v="246.14"/>
    <n v="0"/>
    <s v="UK"/>
    <x v="3"/>
  </r>
  <r>
    <n v="2024005828"/>
    <x v="36"/>
    <n v="2024"/>
    <x v="0"/>
    <s v="PROD_008"/>
    <s v="Desk Lamp"/>
    <s v="Furniture"/>
    <n v="3"/>
    <n v="79.17"/>
    <n v="237.51"/>
    <n v="237.51"/>
    <n v="0"/>
    <s v="Sweden"/>
    <x v="1"/>
  </r>
  <r>
    <n v="2024005829"/>
    <x v="276"/>
    <n v="2024"/>
    <x v="156"/>
    <s v="PROD_001"/>
    <s v="Laptop Pro"/>
    <s v="Electronics"/>
    <n v="2"/>
    <n v="1199.76"/>
    <n v="2399.52"/>
    <n v="2399.52"/>
    <n v="0"/>
    <s v="Spain"/>
    <x v="1"/>
  </r>
  <r>
    <n v="2024005830"/>
    <x v="177"/>
    <n v="2024"/>
    <x v="141"/>
    <s v="PROD_005"/>
    <s v="Standing Desk"/>
    <s v="Furniture"/>
    <n v="1"/>
    <n v="601.46"/>
    <n v="601.46"/>
    <n v="601.46"/>
    <n v="0"/>
    <s v="Belgium"/>
    <x v="3"/>
  </r>
  <r>
    <n v="2024005831"/>
    <x v="209"/>
    <n v="2024"/>
    <x v="256"/>
    <s v="PROD_003"/>
    <s v="USB-C Cable"/>
    <s v="Electronics"/>
    <n v="3"/>
    <n v="14.3"/>
    <n v="42.9"/>
    <n v="42.900000000000006"/>
    <n v="0"/>
    <s v="Spain"/>
    <x v="2"/>
  </r>
  <r>
    <n v="2024005832"/>
    <x v="250"/>
    <n v="2024"/>
    <x v="247"/>
    <s v="PROD_006"/>
    <s v="Monitor 27&quot;"/>
    <s v="Electronics"/>
    <n v="3"/>
    <n v="424.2"/>
    <n v="1272.5999999999999"/>
    <n v="1272.5999999999999"/>
    <n v="0"/>
    <s v="Sweden"/>
    <x v="3"/>
  </r>
  <r>
    <n v="2024005833"/>
    <x v="122"/>
    <n v="2024"/>
    <x v="0"/>
    <s v="PROD_009"/>
    <s v="Phone Stand"/>
    <s v="Accessories"/>
    <n v="1"/>
    <n v="23.78"/>
    <n v="23.78"/>
    <n v="23.78"/>
    <n v="0"/>
    <s v="UK"/>
    <x v="1"/>
  </r>
  <r>
    <n v="2024005834"/>
    <x v="209"/>
    <n v="2024"/>
    <x v="235"/>
    <s v="PROD_001"/>
    <s v="Laptop Pro"/>
    <s v="Electronics"/>
    <n v="2"/>
    <n v="1151"/>
    <n v="2302"/>
    <n v="2302"/>
    <n v="0"/>
    <s v="Austria"/>
    <x v="0"/>
  </r>
  <r>
    <n v="2024005835"/>
    <x v="298"/>
    <n v="2024"/>
    <x v="0"/>
    <s v="PROD_003"/>
    <s v="USB-C Cable"/>
    <s v="Electronics"/>
    <n v="1"/>
    <n v="14.87"/>
    <n v="14.87"/>
    <n v="14.87"/>
    <n v="0"/>
    <s v="Germany"/>
    <x v="3"/>
  </r>
  <r>
    <n v="2024005836"/>
    <x v="330"/>
    <n v="2024"/>
    <x v="8"/>
    <s v="PROD_001"/>
    <s v="Laptop Pro"/>
    <s v="Electronics"/>
    <n v="3"/>
    <n v="1179.8499999999999"/>
    <n v="3539.55"/>
    <n v="3539.5499999999997"/>
    <n v="0"/>
    <s v="UK"/>
    <x v="2"/>
  </r>
  <r>
    <n v="2024005837"/>
    <x v="86"/>
    <n v="2024"/>
    <x v="0"/>
    <s v="PROD_003"/>
    <s v="USB-C Cable"/>
    <s v="Electronics"/>
    <n v="2"/>
    <n v="15.04"/>
    <n v="30.08"/>
    <n v="30.08"/>
    <n v="0"/>
    <s v="France"/>
    <x v="2"/>
  </r>
  <r>
    <n v="2024005838"/>
    <x v="245"/>
    <n v="2024"/>
    <x v="168"/>
    <s v="PROD_010"/>
    <s v="Webcam HD"/>
    <s v="Electronics"/>
    <n v="1"/>
    <n v="86.52"/>
    <n v="86.52"/>
    <n v="86.52"/>
    <n v="0"/>
    <s v="Austria"/>
    <x v="0"/>
  </r>
  <r>
    <n v="2024005839"/>
    <x v="238"/>
    <n v="2024"/>
    <x v="16"/>
    <s v="PROD_009"/>
    <s v="Phone Stand"/>
    <s v="Accessories"/>
    <n v="1"/>
    <n v="26.79"/>
    <n v="26.79"/>
    <n v="26.79"/>
    <n v="0"/>
    <s v="Sweden"/>
    <x v="2"/>
  </r>
  <r>
    <n v="2024005840"/>
    <x v="171"/>
    <n v="2024"/>
    <x v="0"/>
    <s v="PROD_007"/>
    <s v="Keyboard Mechanical"/>
    <s v="Electronics"/>
    <n v="2"/>
    <n v="116.82"/>
    <n v="233.64"/>
    <n v="233.64"/>
    <n v="0"/>
    <s v="Germany"/>
    <x v="2"/>
  </r>
  <r>
    <n v="2024005841"/>
    <x v="280"/>
    <n v="2024"/>
    <x v="263"/>
    <s v="PROD_006"/>
    <s v="Monitor 27&quot;"/>
    <s v="Electronics"/>
    <n v="2"/>
    <n v="383.29"/>
    <n v="766.58"/>
    <n v="766.58"/>
    <n v="0"/>
    <s v="Italy"/>
    <x v="1"/>
  </r>
  <r>
    <n v="2024005842"/>
    <x v="62"/>
    <n v="2024"/>
    <x v="246"/>
    <s v="PROD_005"/>
    <s v="Standing Desk"/>
    <s v="Furniture"/>
    <n v="1"/>
    <n v="612.66999999999996"/>
    <n v="612.66999999999996"/>
    <n v="612.66999999999996"/>
    <n v="0"/>
    <s v="Spain"/>
    <x v="3"/>
  </r>
  <r>
    <n v="2024005843"/>
    <x v="137"/>
    <n v="2024"/>
    <x v="162"/>
    <s v="PROD_009"/>
    <s v="Phone Stand"/>
    <s v="Accessories"/>
    <n v="1"/>
    <n v="23.52"/>
    <n v="23.52"/>
    <n v="23.52"/>
    <n v="0"/>
    <s v="Belgium"/>
    <x v="2"/>
  </r>
  <r>
    <n v="2024005844"/>
    <x v="84"/>
    <n v="2024"/>
    <x v="266"/>
    <s v="PROD_007"/>
    <s v="Keyboard Mechanical"/>
    <s v="Electronics"/>
    <n v="1"/>
    <n v="117.51"/>
    <n v="117.51"/>
    <n v="117.51"/>
    <n v="0"/>
    <s v="Sweden"/>
    <x v="1"/>
  </r>
  <r>
    <n v="2024005845"/>
    <x v="100"/>
    <n v="2024"/>
    <x v="137"/>
    <s v="PROD_008"/>
    <s v="Desk Lamp"/>
    <s v="Furniture"/>
    <n v="1"/>
    <n v="81.27"/>
    <n v="81.27"/>
    <n v="81.27"/>
    <n v="0"/>
    <s v="Italy"/>
    <x v="2"/>
  </r>
  <r>
    <n v="2024005846"/>
    <x v="278"/>
    <n v="2024"/>
    <x v="283"/>
    <s v="PROD_003"/>
    <s v="USB-C Cable"/>
    <s v="Electronics"/>
    <n v="3"/>
    <n v="15.32"/>
    <n v="45.96"/>
    <n v="45.96"/>
    <n v="0"/>
    <s v="Switzerland"/>
    <x v="1"/>
  </r>
  <r>
    <n v="2024005847"/>
    <x v="10"/>
    <n v="2024"/>
    <x v="0"/>
    <s v="PROD_001"/>
    <s v="Laptop Pro"/>
    <s v="Electronics"/>
    <n v="1"/>
    <n v="1239.28"/>
    <n v="1239.28"/>
    <n v="1239.28"/>
    <n v="0"/>
    <s v="Belgium"/>
    <x v="0"/>
  </r>
  <r>
    <n v="2024005848"/>
    <x v="70"/>
    <n v="2024"/>
    <x v="54"/>
    <s v="PROD_004"/>
    <s v="Desk Chair"/>
    <s v="Furniture"/>
    <n v="3"/>
    <n v="356.02"/>
    <n v="1068.06"/>
    <n v="1068.06"/>
    <n v="0"/>
    <s v="Austria"/>
    <x v="2"/>
  </r>
  <r>
    <n v="2024005849"/>
    <x v="103"/>
    <n v="2024"/>
    <x v="107"/>
    <s v="PROD_001"/>
    <s v="Laptop Pro"/>
    <s v="Electronics"/>
    <n v="1"/>
    <n v="1137.78"/>
    <n v="1137.78"/>
    <n v="1137.78"/>
    <n v="0"/>
    <s v="Spain"/>
    <x v="2"/>
  </r>
  <r>
    <n v="2024005850"/>
    <x v="266"/>
    <n v="2024"/>
    <x v="92"/>
    <s v="PROD_001"/>
    <s v="Laptop Pro"/>
    <s v="Electronics"/>
    <n v="1"/>
    <n v="1255.9100000000001"/>
    <n v="1255.9100000000001"/>
    <n v="1255.9100000000001"/>
    <n v="0"/>
    <s v="Germany"/>
    <x v="3"/>
  </r>
  <r>
    <n v="2024005851"/>
    <x v="301"/>
    <n v="2024"/>
    <x v="55"/>
    <s v="PROD_005"/>
    <s v="Standing Desk"/>
    <s v="Furniture"/>
    <n v="5"/>
    <n v="613.89"/>
    <n v="3069.45"/>
    <n v="3069.45"/>
    <n v="0"/>
    <s v="UK"/>
    <x v="0"/>
  </r>
  <r>
    <n v="2024005852"/>
    <x v="113"/>
    <n v="2024"/>
    <x v="113"/>
    <s v="PROD_006"/>
    <s v="Monitor 27&quot;"/>
    <s v="Electronics"/>
    <n v="2"/>
    <n v="415.97"/>
    <n v="831.94"/>
    <n v="831.94"/>
    <n v="0"/>
    <s v="Switzerland"/>
    <x v="0"/>
  </r>
  <r>
    <n v="2024005853"/>
    <x v="243"/>
    <n v="2024"/>
    <x v="0"/>
    <s v="PROD_009"/>
    <s v="Phone Stand"/>
    <s v="Accessories"/>
    <n v="1"/>
    <n v="25.47"/>
    <n v="25.47"/>
    <n v="25.47"/>
    <n v="0"/>
    <s v="Austria"/>
    <x v="1"/>
  </r>
  <r>
    <n v="2024005854"/>
    <x v="148"/>
    <n v="2024"/>
    <x v="264"/>
    <s v="PROD_002"/>
    <s v="Wireless Mouse"/>
    <s v="Electronics"/>
    <n v="1"/>
    <n v="43.36"/>
    <n v="43.36"/>
    <n v="43.36"/>
    <n v="0"/>
    <s v="Spain"/>
    <x v="2"/>
  </r>
  <r>
    <n v="2024005855"/>
    <x v="131"/>
    <n v="2024"/>
    <x v="119"/>
    <s v="PROD_004"/>
    <s v="Desk Chair"/>
    <s v="Furniture"/>
    <n v="3"/>
    <n v="326.45999999999998"/>
    <n v="979.38"/>
    <n v="979.37999999999988"/>
    <n v="0"/>
    <s v="Italy"/>
    <x v="1"/>
  </r>
  <r>
    <n v="2024005856"/>
    <x v="325"/>
    <n v="2024"/>
    <x v="205"/>
    <s v="PROD_006"/>
    <s v="Monitor 27&quot;"/>
    <s v="Electronics"/>
    <n v="1"/>
    <n v="416.71"/>
    <n v="416.71"/>
    <n v="416.71"/>
    <n v="0"/>
    <s v="Spain"/>
    <x v="0"/>
  </r>
  <r>
    <n v="2024005857"/>
    <x v="220"/>
    <n v="2024"/>
    <x v="0"/>
    <s v="PROD_006"/>
    <s v="Monitor 27&quot;"/>
    <s v="Electronics"/>
    <n v="1"/>
    <n v="419.83"/>
    <n v="419.83"/>
    <n v="419.83"/>
    <n v="0"/>
    <s v="France"/>
    <x v="0"/>
  </r>
  <r>
    <n v="2024005858"/>
    <x v="334"/>
    <n v="2024"/>
    <x v="198"/>
    <s v="PROD_009"/>
    <s v="Phone Stand"/>
    <s v="Accessories"/>
    <n v="1"/>
    <n v="24.49"/>
    <n v="24.49"/>
    <n v="24.49"/>
    <n v="0"/>
    <s v="France"/>
    <x v="2"/>
  </r>
  <r>
    <n v="2024005859"/>
    <x v="322"/>
    <n v="2024"/>
    <x v="216"/>
    <s v="PROD_002"/>
    <s v="Wireless Mouse"/>
    <s v="Electronics"/>
    <n v="1"/>
    <n v="46.94"/>
    <n v="46.94"/>
    <n v="46.94"/>
    <n v="0"/>
    <s v="Germany"/>
    <x v="0"/>
  </r>
  <r>
    <n v="2024005860"/>
    <x v="157"/>
    <n v="2024"/>
    <x v="187"/>
    <s v="PROD_008"/>
    <s v="Desk Lamp"/>
    <s v="Furniture"/>
    <n v="2"/>
    <n v="71.989999999999995"/>
    <n v="143.97999999999999"/>
    <n v="143.97999999999999"/>
    <n v="0"/>
    <s v="Netherlands"/>
    <x v="1"/>
  </r>
  <r>
    <n v="2024005861"/>
    <x v="244"/>
    <n v="2024"/>
    <x v="154"/>
    <s v="PROD_007"/>
    <s v="Keyboard Mechanical"/>
    <s v="Electronics"/>
    <n v="1"/>
    <n v="117.24"/>
    <n v="117.24"/>
    <n v="117.24"/>
    <n v="0"/>
    <s v="Sweden"/>
    <x v="2"/>
  </r>
  <r>
    <n v="2024005862"/>
    <x v="221"/>
    <n v="2024"/>
    <x v="210"/>
    <s v="PROD_003"/>
    <s v="USB-C Cable"/>
    <s v="Electronics"/>
    <n v="1"/>
    <n v="15.7"/>
    <n v="15.7"/>
    <n v="15.7"/>
    <n v="0"/>
    <s v="Netherlands"/>
    <x v="3"/>
  </r>
  <r>
    <n v="2024005863"/>
    <x v="191"/>
    <n v="2024"/>
    <x v="0"/>
    <s v="PROD_001"/>
    <s v="Laptop Pro"/>
    <s v="Electronics"/>
    <n v="3"/>
    <n v="1210.53"/>
    <n v="3631.59"/>
    <n v="3631.59"/>
    <n v="0"/>
    <s v="Austria"/>
    <x v="3"/>
  </r>
  <r>
    <n v="2024005864"/>
    <x v="316"/>
    <n v="2024"/>
    <x v="250"/>
    <s v="PROD_004"/>
    <s v="Desk Chair"/>
    <s v="Furniture"/>
    <n v="1"/>
    <n v="337.75"/>
    <n v="337.75"/>
    <n v="337.75"/>
    <n v="0"/>
    <s v="Netherlands"/>
    <x v="0"/>
  </r>
  <r>
    <n v="2024005865"/>
    <x v="131"/>
    <n v="2024"/>
    <x v="191"/>
    <s v="PROD_003"/>
    <s v="USB-C Cable"/>
    <s v="Electronics"/>
    <n v="1"/>
    <n v="14.35"/>
    <n v="14.35"/>
    <n v="14.35"/>
    <n v="0"/>
    <s v="Switzerland"/>
    <x v="2"/>
  </r>
  <r>
    <n v="2024005866"/>
    <x v="68"/>
    <n v="2024"/>
    <x v="0"/>
    <s v="PROD_004"/>
    <s v="Desk Chair"/>
    <s v="Furniture"/>
    <n v="1"/>
    <n v="350"/>
    <n v="350"/>
    <n v="350"/>
    <n v="0"/>
    <s v="Switzerland"/>
    <x v="2"/>
  </r>
  <r>
    <n v="2024005867"/>
    <x v="356"/>
    <n v="2024"/>
    <x v="235"/>
    <s v="PROD_001"/>
    <s v="Laptop Pro"/>
    <s v="Electronics"/>
    <n v="2"/>
    <n v="1250.1300000000001"/>
    <n v="2500.2600000000002"/>
    <n v="2500.2600000000002"/>
    <n v="0"/>
    <s v="Spain"/>
    <x v="1"/>
  </r>
  <r>
    <n v="2024005868"/>
    <x v="76"/>
    <n v="2024"/>
    <x v="100"/>
    <s v="PROD_007"/>
    <s v="Keyboard Mechanical"/>
    <s v="Electronics"/>
    <n v="1"/>
    <n v="111.04"/>
    <n v="111.04"/>
    <n v="111.04"/>
    <n v="0"/>
    <s v="Sweden"/>
    <x v="1"/>
  </r>
  <r>
    <n v="2024005869"/>
    <x v="1"/>
    <n v="2024"/>
    <x v="59"/>
    <s v="PROD_009"/>
    <s v="Phone Stand"/>
    <s v="Accessories"/>
    <n v="1"/>
    <n v="26.26"/>
    <n v="26.26"/>
    <n v="26.26"/>
    <n v="0"/>
    <s v="Austria"/>
    <x v="1"/>
  </r>
  <r>
    <n v="2024005870"/>
    <x v="348"/>
    <n v="2024"/>
    <x v="233"/>
    <s v="PROD_010"/>
    <s v="Webcam HD"/>
    <s v="Electronics"/>
    <n v="1"/>
    <n v="86.79"/>
    <n v="86.79"/>
    <n v="86.79"/>
    <n v="0"/>
    <s v="UK"/>
    <x v="1"/>
  </r>
  <r>
    <n v="2024005871"/>
    <x v="128"/>
    <n v="2024"/>
    <x v="0"/>
    <s v="PROD_009"/>
    <s v="Phone Stand"/>
    <s v="Accessories"/>
    <n v="3"/>
    <n v="25.37"/>
    <n v="76.11"/>
    <n v="76.11"/>
    <n v="0"/>
    <s v="Netherlands"/>
    <x v="3"/>
  </r>
  <r>
    <n v="2024005872"/>
    <x v="378"/>
    <n v="2023"/>
    <x v="163"/>
    <s v="PROD_004"/>
    <s v="Desk Chair"/>
    <s v="Furniture"/>
    <n v="2"/>
    <n v="375.11"/>
    <n v="750.22"/>
    <n v="750.22"/>
    <n v="0"/>
    <s v="Germany"/>
    <x v="2"/>
  </r>
  <r>
    <n v="2024005873"/>
    <x v="93"/>
    <n v="2024"/>
    <x v="0"/>
    <s v="PROD_008"/>
    <s v="Desk Lamp"/>
    <s v="Furniture"/>
    <n v="3"/>
    <n v="83.56"/>
    <n v="250.68"/>
    <n v="250.68"/>
    <n v="0"/>
    <s v="Sweden"/>
    <x v="2"/>
  </r>
  <r>
    <n v="2024005874"/>
    <x v="298"/>
    <n v="2024"/>
    <x v="119"/>
    <s v="PROD_004"/>
    <s v="Desk Chair"/>
    <s v="Furniture"/>
    <n v="3"/>
    <n v="337.15"/>
    <n v="1011.45"/>
    <n v="1011.4499999999999"/>
    <n v="0"/>
    <s v="Sweden"/>
    <x v="1"/>
  </r>
  <r>
    <n v="2024005875"/>
    <x v="206"/>
    <n v="2024"/>
    <x v="0"/>
    <s v="PROD_008"/>
    <s v="Desk Lamp"/>
    <s v="Furniture"/>
    <n v="1"/>
    <n v="73.61"/>
    <n v="73.61"/>
    <n v="73.61"/>
    <n v="0"/>
    <s v="Sweden"/>
    <x v="1"/>
  </r>
  <r>
    <n v="2024005876"/>
    <x v="228"/>
    <n v="2024"/>
    <x v="38"/>
    <s v="PROD_004"/>
    <s v="Desk Chair"/>
    <s v="Furniture"/>
    <n v="2"/>
    <n v="375.22"/>
    <n v="750.44"/>
    <n v="750.44"/>
    <n v="0"/>
    <s v="Germany"/>
    <x v="0"/>
  </r>
  <r>
    <n v="2024005877"/>
    <x v="177"/>
    <n v="2024"/>
    <x v="174"/>
    <s v="PROD_001"/>
    <s v="Laptop Pro"/>
    <s v="Electronics"/>
    <n v="5"/>
    <n v="1241.6500000000001"/>
    <n v="6208.25"/>
    <n v="6208.25"/>
    <n v="0"/>
    <s v="Belgium"/>
    <x v="3"/>
  </r>
  <r>
    <n v="2024004896"/>
    <x v="160"/>
    <n v="2024"/>
    <x v="255"/>
    <s v="PROD_007"/>
    <s v="Keyboard Mechanical"/>
    <s v="Electronics"/>
    <n v="2"/>
    <n v="121.8"/>
    <n v="243.6"/>
    <n v="243.6"/>
    <n v="0"/>
    <s v="France"/>
    <x v="1"/>
  </r>
  <r>
    <n v="2024005879"/>
    <x v="233"/>
    <n v="2024"/>
    <x v="195"/>
    <s v="PROD_005"/>
    <s v="Standing Desk"/>
    <s v="Furniture"/>
    <n v="2"/>
    <n v="565.69000000000005"/>
    <n v="1131.3800000000001"/>
    <n v="1131.3800000000001"/>
    <n v="0"/>
    <s v="Germany"/>
    <x v="2"/>
  </r>
  <r>
    <n v="2024005880"/>
    <x v="270"/>
    <n v="2024"/>
    <x v="177"/>
    <s v="PROD_009"/>
    <s v="Phone Stand"/>
    <s v="Accessories"/>
    <n v="2"/>
    <n v="25.79"/>
    <n v="51.58"/>
    <n v="51.58"/>
    <n v="0"/>
    <s v="Spain"/>
    <x v="2"/>
  </r>
  <r>
    <n v="2024005881"/>
    <x v="293"/>
    <n v="2024"/>
    <x v="268"/>
    <s v="PROD_009"/>
    <s v="Phone Stand"/>
    <s v="Accessories"/>
    <n v="1"/>
    <n v="25.92"/>
    <n v="25.92"/>
    <n v="25.92"/>
    <n v="0"/>
    <s v="Spain"/>
    <x v="3"/>
  </r>
  <r>
    <n v="2024005882"/>
    <x v="259"/>
    <n v="2024"/>
    <x v="7"/>
    <s v="PROD_006"/>
    <s v="Monitor 27&quot;"/>
    <s v="Electronics"/>
    <n v="3"/>
    <n v="416.37"/>
    <n v="1249.1099999999999"/>
    <n v="1249.1100000000001"/>
    <n v="0"/>
    <s v="Spain"/>
    <x v="3"/>
  </r>
  <r>
    <n v="2024005883"/>
    <x v="267"/>
    <n v="2024"/>
    <x v="0"/>
    <s v="PROD_007"/>
    <s v="Keyboard Mechanical"/>
    <s v="Electronics"/>
    <n v="1"/>
    <n v="110.75"/>
    <n v="110.75"/>
    <n v="110.75"/>
    <n v="0"/>
    <s v="France"/>
    <x v="0"/>
  </r>
  <r>
    <n v="2024003299"/>
    <x v="314"/>
    <n v="2024"/>
    <x v="245"/>
    <s v="PROD_009"/>
    <s v="Phone Stand"/>
    <s v="Accessories"/>
    <n v="1"/>
    <n v="25.15"/>
    <n v="25.15"/>
    <n v="25.15"/>
    <n v="0"/>
    <s v="Spain"/>
    <x v="0"/>
  </r>
  <r>
    <n v="2024005885"/>
    <x v="66"/>
    <n v="2024"/>
    <x v="0"/>
    <s v="PROD_004"/>
    <s v="Desk Chair"/>
    <s v="Furniture"/>
    <n v="2"/>
    <n v="359.25"/>
    <n v="718.5"/>
    <n v="718.5"/>
    <n v="0"/>
    <s v="Belgium"/>
    <x v="0"/>
  </r>
  <r>
    <n v="2024005886"/>
    <x v="273"/>
    <n v="2024"/>
    <x v="253"/>
    <s v="PROD_005"/>
    <s v="Standing Desk"/>
    <s v="Furniture"/>
    <n v="1"/>
    <n v="561.9"/>
    <n v="561.9"/>
    <n v="561.9"/>
    <n v="0"/>
    <s v="Germany"/>
    <x v="2"/>
  </r>
  <r>
    <n v="2024005887"/>
    <x v="93"/>
    <n v="2024"/>
    <x v="117"/>
    <s v="PROD_001"/>
    <s v="Laptop Pro"/>
    <s v="Electronics"/>
    <n v="1"/>
    <n v="1197.98"/>
    <n v="1197.98"/>
    <n v="1197.98"/>
    <n v="0"/>
    <s v="UK"/>
    <x v="3"/>
  </r>
  <r>
    <n v="2024005888"/>
    <x v="348"/>
    <n v="2024"/>
    <x v="0"/>
    <s v="PROD_008"/>
    <s v="Desk Lamp"/>
    <s v="Furniture"/>
    <n v="4"/>
    <n v="83.78"/>
    <n v="335.12"/>
    <n v="335.12"/>
    <n v="0"/>
    <s v="Netherlands"/>
    <x v="2"/>
  </r>
  <r>
    <n v="2024005889"/>
    <x v="361"/>
    <n v="2024"/>
    <x v="253"/>
    <s v="PROD_004"/>
    <s v="Desk Chair"/>
    <s v="Furniture"/>
    <n v="1"/>
    <n v="371.14"/>
    <n v="371.14"/>
    <n v="371.14"/>
    <n v="0"/>
    <s v="Belgium"/>
    <x v="1"/>
  </r>
  <r>
    <n v="2024005890"/>
    <x v="180"/>
    <n v="2024"/>
    <x v="137"/>
    <s v="PROD_006"/>
    <s v="Monitor 27&quot;"/>
    <s v="Electronics"/>
    <n v="3"/>
    <n v="389.59"/>
    <n v="1168.77"/>
    <n v="1168.77"/>
    <n v="0"/>
    <s v="Switzerland"/>
    <x v="3"/>
  </r>
  <r>
    <n v="2024005891"/>
    <x v="55"/>
    <n v="2024"/>
    <x v="145"/>
    <s v="PROD_006"/>
    <s v="Monitor 27&quot;"/>
    <s v="Electronics"/>
    <n v="1"/>
    <n v="424.84"/>
    <n v="424.84"/>
    <n v="424.84"/>
    <n v="0"/>
    <s v="Switzerland"/>
    <x v="3"/>
  </r>
  <r>
    <n v="2024005892"/>
    <x v="157"/>
    <n v="2024"/>
    <x v="19"/>
    <s v="PROD_009"/>
    <s v="Phone Stand"/>
    <s v="Accessories"/>
    <n v="1"/>
    <n v="25.57"/>
    <n v="25.57"/>
    <n v="25.57"/>
    <n v="0"/>
    <s v="Spain"/>
    <x v="0"/>
  </r>
  <r>
    <n v="2024005893"/>
    <x v="8"/>
    <n v="2024"/>
    <x v="136"/>
    <s v="PROD_005"/>
    <s v="Standing Desk"/>
    <s v="Furniture"/>
    <n v="1"/>
    <n v="612.54999999999995"/>
    <n v="612.54999999999995"/>
    <n v="612.54999999999995"/>
    <n v="0"/>
    <s v="Austria"/>
    <x v="2"/>
  </r>
  <r>
    <n v="2024005894"/>
    <x v="367"/>
    <n v="2024"/>
    <x v="163"/>
    <s v="PROD_010"/>
    <s v="Webcam HD"/>
    <s v="Electronics"/>
    <n v="3"/>
    <n v="89.89"/>
    <n v="269.67"/>
    <n v="269.67"/>
    <n v="0"/>
    <s v="Italy"/>
    <x v="1"/>
  </r>
  <r>
    <n v="2024005895"/>
    <x v="120"/>
    <n v="2024"/>
    <x v="134"/>
    <s v="PROD_007"/>
    <s v="Keyboard Mechanical"/>
    <s v="Electronics"/>
    <n v="1"/>
    <n v="127.52"/>
    <n v="127.52"/>
    <n v="127.52"/>
    <n v="0"/>
    <s v="Switzerland"/>
    <x v="2"/>
  </r>
  <r>
    <n v="2024005896"/>
    <x v="214"/>
    <n v="2024"/>
    <x v="141"/>
    <s v="PROD_007"/>
    <s v="Keyboard Mechanical"/>
    <s v="Electronics"/>
    <n v="1"/>
    <n v="126.38"/>
    <n v="126.38"/>
    <n v="126.38"/>
    <n v="0"/>
    <s v="Belgium"/>
    <x v="0"/>
  </r>
  <r>
    <n v="2024005897"/>
    <x v="349"/>
    <n v="2024"/>
    <x v="119"/>
    <s v="PROD_008"/>
    <s v="Desk Lamp"/>
    <s v="Furniture"/>
    <n v="2"/>
    <n v="85.26"/>
    <n v="170.52"/>
    <n v="170.52"/>
    <n v="0"/>
    <s v="Spain"/>
    <x v="0"/>
  </r>
  <r>
    <n v="2024005898"/>
    <x v="201"/>
    <n v="2024"/>
    <x v="243"/>
    <s v="PROD_007"/>
    <s v="Keyboard Mechanical"/>
    <s v="Electronics"/>
    <n v="5"/>
    <n v="124.35"/>
    <n v="621.75"/>
    <n v="621.75"/>
    <n v="0"/>
    <s v="UK"/>
    <x v="3"/>
  </r>
  <r>
    <n v="2024005899"/>
    <x v="134"/>
    <n v="2024"/>
    <x v="229"/>
    <s v="PROD_009"/>
    <s v="Phone Stand"/>
    <s v="Accessories"/>
    <n v="1"/>
    <n v="23.74"/>
    <n v="23.74"/>
    <n v="23.74"/>
    <n v="0"/>
    <s v="Austria"/>
    <x v="3"/>
  </r>
  <r>
    <n v="2024005900"/>
    <x v="134"/>
    <n v="2024"/>
    <x v="250"/>
    <s v="PROD_010"/>
    <s v="Webcam HD"/>
    <s v="Electronics"/>
    <n v="1"/>
    <n v="94.79"/>
    <n v="94.79"/>
    <n v="94.79"/>
    <n v="0"/>
    <s v="Sweden"/>
    <x v="1"/>
  </r>
  <r>
    <n v="2024005901"/>
    <x v="149"/>
    <n v="2024"/>
    <x v="37"/>
    <s v="PROD_006"/>
    <s v="Monitor 27&quot;"/>
    <s v="Electronics"/>
    <n v="3"/>
    <n v="397.58"/>
    <n v="1192.74"/>
    <n v="1192.74"/>
    <n v="0"/>
    <s v="Spain"/>
    <x v="2"/>
  </r>
  <r>
    <n v="2024005902"/>
    <x v="268"/>
    <n v="2024"/>
    <x v="0"/>
    <s v="PROD_002"/>
    <s v="Wireless Mouse"/>
    <s v="Electronics"/>
    <n v="1"/>
    <n v="44.6"/>
    <n v="44.6"/>
    <n v="44.6"/>
    <n v="0"/>
    <s v="Belgium"/>
    <x v="3"/>
  </r>
  <r>
    <n v="2024005903"/>
    <x v="166"/>
    <n v="2024"/>
    <x v="268"/>
    <s v="PROD_003"/>
    <s v="USB-C Cable"/>
    <s v="Electronics"/>
    <n v="1"/>
    <n v="15.19"/>
    <n v="15.19"/>
    <n v="15.19"/>
    <n v="0"/>
    <s v="Switzerland"/>
    <x v="3"/>
  </r>
  <r>
    <n v="2024005904"/>
    <x v="233"/>
    <n v="2024"/>
    <x v="121"/>
    <s v="PROD_006"/>
    <s v="Monitor 27&quot;"/>
    <s v="Electronics"/>
    <n v="3"/>
    <n v="374.14"/>
    <n v="1122.42"/>
    <n v="1122.42"/>
    <n v="0"/>
    <s v="Netherlands"/>
    <x v="2"/>
  </r>
  <r>
    <n v="2024005905"/>
    <x v="286"/>
    <n v="2024"/>
    <x v="105"/>
    <s v="PROD_004"/>
    <s v="Desk Chair"/>
    <s v="Furniture"/>
    <n v="1"/>
    <n v="347.03"/>
    <n v="347.03"/>
    <n v="347.03"/>
    <n v="0"/>
    <s v="Sweden"/>
    <x v="2"/>
  </r>
  <r>
    <n v="2024005906"/>
    <x v="94"/>
    <n v="2024"/>
    <x v="280"/>
    <s v="PROD_004"/>
    <s v="Desk Chair"/>
    <s v="Furniture"/>
    <n v="1"/>
    <n v="328.57"/>
    <n v="328.57"/>
    <n v="328.57"/>
    <n v="0"/>
    <s v="Switzerland"/>
    <x v="2"/>
  </r>
  <r>
    <n v="2024005907"/>
    <x v="236"/>
    <n v="2024"/>
    <x v="31"/>
    <s v="PROD_010"/>
    <s v="Webcam HD"/>
    <s v="Electronics"/>
    <n v="1"/>
    <n v="84.92"/>
    <n v="84.92"/>
    <n v="84.92"/>
    <n v="0"/>
    <s v="France"/>
    <x v="3"/>
  </r>
  <r>
    <n v="2024005908"/>
    <x v="318"/>
    <n v="2024"/>
    <x v="155"/>
    <s v="PROD_008"/>
    <s v="Desk Lamp"/>
    <s v="Furniture"/>
    <n v="3"/>
    <n v="79.03"/>
    <n v="237.09"/>
    <n v="237.09"/>
    <n v="0"/>
    <s v="Switzerland"/>
    <x v="3"/>
  </r>
  <r>
    <n v="2024005909"/>
    <x v="90"/>
    <n v="2024"/>
    <x v="292"/>
    <s v="PROD_003"/>
    <s v="USB-C Cable"/>
    <s v="Electronics"/>
    <n v="1"/>
    <n v="16.079999999999998"/>
    <n v="16.079999999999998"/>
    <n v="16.079999999999998"/>
    <n v="0"/>
    <s v="France"/>
    <x v="1"/>
  </r>
  <r>
    <n v="2024005910"/>
    <x v="250"/>
    <n v="2024"/>
    <x v="11"/>
    <s v="PROD_006"/>
    <s v="Monitor 27&quot;"/>
    <s v="Electronics"/>
    <n v="4"/>
    <n v="405.92"/>
    <n v="1623.68"/>
    <n v="1623.68"/>
    <n v="0"/>
    <s v="Belgium"/>
    <x v="1"/>
  </r>
  <r>
    <n v="2024005911"/>
    <x v="211"/>
    <n v="2024"/>
    <x v="250"/>
    <s v="PROD_010"/>
    <s v="Webcam HD"/>
    <s v="Electronics"/>
    <n v="1"/>
    <n v="95"/>
    <n v="95"/>
    <n v="95"/>
    <n v="0"/>
    <s v="Switzerland"/>
    <x v="1"/>
  </r>
  <r>
    <n v="2024005912"/>
    <x v="47"/>
    <n v="2024"/>
    <x v="44"/>
    <s v="PROD_003"/>
    <s v="USB-C Cable"/>
    <s v="Electronics"/>
    <n v="3"/>
    <n v="15.21"/>
    <n v="45.63"/>
    <n v="45.63"/>
    <n v="0"/>
    <s v="France"/>
    <x v="2"/>
  </r>
  <r>
    <n v="2024005913"/>
    <x v="176"/>
    <n v="2024"/>
    <x v="258"/>
    <s v="PROD_003"/>
    <s v="USB-C Cable"/>
    <s v="Electronics"/>
    <n v="1"/>
    <n v="15.45"/>
    <n v="15.45"/>
    <n v="15.45"/>
    <n v="0"/>
    <s v="Netherlands"/>
    <x v="2"/>
  </r>
  <r>
    <n v="2024005914"/>
    <x v="106"/>
    <n v="2024"/>
    <x v="218"/>
    <s v="PROD_006"/>
    <s v="Monitor 27&quot;"/>
    <s v="Electronics"/>
    <n v="2"/>
    <n v="435.96"/>
    <n v="871.92"/>
    <n v="871.92"/>
    <n v="0"/>
    <s v="Sweden"/>
    <x v="3"/>
  </r>
  <r>
    <n v="2024005915"/>
    <x v="215"/>
    <n v="2024"/>
    <x v="189"/>
    <s v="PROD_007"/>
    <s v="Keyboard Mechanical"/>
    <s v="Electronics"/>
    <n v="2"/>
    <n v="123.46"/>
    <n v="246.92"/>
    <n v="246.92"/>
    <n v="0"/>
    <s v="Germany"/>
    <x v="0"/>
  </r>
  <r>
    <n v="2024005916"/>
    <x v="139"/>
    <n v="2024"/>
    <x v="229"/>
    <s v="PROD_008"/>
    <s v="Desk Lamp"/>
    <s v="Furniture"/>
    <n v="1"/>
    <n v="76.7"/>
    <n v="76.7"/>
    <n v="76.7"/>
    <n v="0"/>
    <s v="UK"/>
    <x v="0"/>
  </r>
  <r>
    <n v="2024005917"/>
    <x v="239"/>
    <n v="2024"/>
    <x v="0"/>
    <s v="PROD_010"/>
    <s v="Webcam HD"/>
    <s v="Electronics"/>
    <n v="1"/>
    <n v="101.85"/>
    <n v="101.85"/>
    <n v="101.85"/>
    <n v="0"/>
    <s v="Spain"/>
    <x v="2"/>
  </r>
  <r>
    <n v="2024005918"/>
    <x v="178"/>
    <n v="2024"/>
    <x v="16"/>
    <s v="PROD_005"/>
    <s v="Standing Desk"/>
    <s v="Furniture"/>
    <n v="1"/>
    <n v="606.47"/>
    <n v="606.47"/>
    <n v="606.47"/>
    <n v="0"/>
    <s v="UK"/>
    <x v="2"/>
  </r>
  <r>
    <n v="2024005919"/>
    <x v="324"/>
    <n v="2024"/>
    <x v="18"/>
    <s v="PROD_001"/>
    <s v="Laptop Pro"/>
    <s v="Electronics"/>
    <n v="3"/>
    <n v="1216.3900000000001"/>
    <n v="3649.17"/>
    <n v="3649.17"/>
    <n v="0"/>
    <s v="UK"/>
    <x v="3"/>
  </r>
  <r>
    <n v="2024005920"/>
    <x v="308"/>
    <n v="2024"/>
    <x v="158"/>
    <s v="PROD_010"/>
    <s v="Webcam HD"/>
    <s v="Electronics"/>
    <n v="1"/>
    <n v="82.47"/>
    <n v="82.47"/>
    <n v="82.47"/>
    <n v="0"/>
    <s v="UK"/>
    <x v="3"/>
  </r>
  <r>
    <n v="2024005921"/>
    <x v="117"/>
    <n v="2024"/>
    <x v="231"/>
    <s v="PROD_006"/>
    <s v="Monitor 27&quot;"/>
    <s v="Electronics"/>
    <n v="1"/>
    <n v="391.06"/>
    <n v="391.06"/>
    <n v="391.06"/>
    <n v="0"/>
    <s v="Belgium"/>
    <x v="2"/>
  </r>
  <r>
    <n v="2024005922"/>
    <x v="252"/>
    <n v="2024"/>
    <x v="143"/>
    <s v="PROD_003"/>
    <s v="USB-C Cable"/>
    <s v="Electronics"/>
    <n v="1"/>
    <n v="14.63"/>
    <n v="14.63"/>
    <n v="14.63"/>
    <n v="0"/>
    <s v="Switzerland"/>
    <x v="0"/>
  </r>
  <r>
    <n v="2024005923"/>
    <x v="39"/>
    <n v="2024"/>
    <x v="253"/>
    <s v="PROD_009"/>
    <s v="Phone Stand"/>
    <s v="Accessories"/>
    <n v="2"/>
    <n v="27.67"/>
    <n v="55.34"/>
    <n v="55.34"/>
    <n v="0"/>
    <s v="Switzerland"/>
    <x v="3"/>
  </r>
  <r>
    <n v="2024005924"/>
    <x v="286"/>
    <n v="2024"/>
    <x v="256"/>
    <s v="PROD_008"/>
    <s v="Desk Lamp"/>
    <s v="Furniture"/>
    <n v="1"/>
    <n v="82.16"/>
    <n v="82.16"/>
    <n v="82.16"/>
    <n v="0"/>
    <s v="Spain"/>
    <x v="2"/>
  </r>
  <r>
    <n v="2024005925"/>
    <x v="2"/>
    <n v="2024"/>
    <x v="182"/>
    <s v="PROD_005"/>
    <s v="Standing Desk"/>
    <s v="Furniture"/>
    <n v="4"/>
    <n v="564.73"/>
    <n v="2258.92"/>
    <n v="2258.92"/>
    <n v="0"/>
    <s v="Switzerland"/>
    <x v="0"/>
  </r>
  <r>
    <n v="2024005926"/>
    <x v="155"/>
    <n v="2024"/>
    <x v="145"/>
    <s v="PROD_006"/>
    <s v="Monitor 27&quot;"/>
    <s v="Electronics"/>
    <n v="2"/>
    <n v="387.57"/>
    <n v="775.14"/>
    <n v="775.14"/>
    <n v="0"/>
    <s v="Switzerland"/>
    <x v="3"/>
  </r>
  <r>
    <n v="2024005927"/>
    <x v="203"/>
    <n v="2024"/>
    <x v="28"/>
    <s v="PROD_010"/>
    <s v="Webcam HD"/>
    <s v="Electronics"/>
    <n v="3"/>
    <n v="93.82"/>
    <n v="281.45999999999998"/>
    <n v="281.45999999999998"/>
    <n v="0"/>
    <s v="Belgium"/>
    <x v="1"/>
  </r>
  <r>
    <n v="2024005928"/>
    <x v="219"/>
    <n v="2024"/>
    <x v="143"/>
    <s v="PROD_006"/>
    <s v="Monitor 27&quot;"/>
    <s v="Electronics"/>
    <n v="1"/>
    <n v="428.1"/>
    <n v="428.1"/>
    <n v="428.1"/>
    <n v="0"/>
    <s v="Netherlands"/>
    <x v="2"/>
  </r>
  <r>
    <n v="2024005929"/>
    <x v="24"/>
    <n v="2024"/>
    <x v="148"/>
    <s v="PROD_008"/>
    <s v="Desk Lamp"/>
    <s v="Furniture"/>
    <n v="2"/>
    <n v="83.78"/>
    <n v="167.56"/>
    <n v="167.56"/>
    <n v="0"/>
    <s v="Sweden"/>
    <x v="2"/>
  </r>
  <r>
    <n v="2024005930"/>
    <x v="141"/>
    <n v="2024"/>
    <x v="286"/>
    <s v="PROD_005"/>
    <s v="Standing Desk"/>
    <s v="Furniture"/>
    <n v="1"/>
    <n v="614.97"/>
    <n v="614.97"/>
    <n v="614.97"/>
    <n v="0"/>
    <s v="Austria"/>
    <x v="3"/>
  </r>
  <r>
    <n v="2024005931"/>
    <x v="318"/>
    <n v="2024"/>
    <x v="0"/>
    <s v="PROD_008"/>
    <s v="Desk Lamp"/>
    <s v="Furniture"/>
    <n v="3"/>
    <n v="82.69"/>
    <n v="248.07"/>
    <n v="248.07"/>
    <n v="0"/>
    <s v="France"/>
    <x v="2"/>
  </r>
  <r>
    <n v="2024005932"/>
    <x v="309"/>
    <n v="2024"/>
    <x v="0"/>
    <s v="PROD_007"/>
    <s v="Keyboard Mechanical"/>
    <s v="Electronics"/>
    <n v="1"/>
    <n v="120.92"/>
    <n v="120.92"/>
    <n v="120.92"/>
    <n v="0"/>
    <s v="Germany"/>
    <x v="3"/>
  </r>
  <r>
    <n v="2024005933"/>
    <x v="255"/>
    <n v="2024"/>
    <x v="122"/>
    <s v="PROD_001"/>
    <s v="Laptop Pro"/>
    <s v="Electronics"/>
    <n v="2"/>
    <n v="1154.93"/>
    <n v="2309.86"/>
    <n v="2309.86"/>
    <n v="0"/>
    <s v="Italy"/>
    <x v="2"/>
  </r>
  <r>
    <n v="2024005934"/>
    <x v="289"/>
    <n v="2024"/>
    <x v="264"/>
    <s v="PROD_004"/>
    <s v="Desk Chair"/>
    <s v="Furniture"/>
    <n v="4"/>
    <n v="338.44"/>
    <n v="1353.76"/>
    <n v="1353.76"/>
    <n v="0"/>
    <s v="Spain"/>
    <x v="1"/>
  </r>
  <r>
    <n v="2024005935"/>
    <x v="19"/>
    <n v="2024"/>
    <x v="41"/>
    <s v="PROD_009"/>
    <s v="Phone Stand"/>
    <s v="Accessories"/>
    <n v="2"/>
    <n v="25.84"/>
    <n v="51.68"/>
    <n v="51.68"/>
    <n v="0"/>
    <s v="Belgium"/>
    <x v="1"/>
  </r>
  <r>
    <n v="2024005936"/>
    <x v="265"/>
    <n v="2024"/>
    <x v="47"/>
    <s v="PROD_001"/>
    <s v="Laptop Pro"/>
    <s v="Electronics"/>
    <n v="1"/>
    <n v="1267.51"/>
    <n v="1267.51"/>
    <n v="1267.51"/>
    <n v="0"/>
    <s v="France"/>
    <x v="2"/>
  </r>
  <r>
    <n v="2024005937"/>
    <x v="234"/>
    <n v="2024"/>
    <x v="234"/>
    <s v="PROD_002"/>
    <s v="Wireless Mouse"/>
    <s v="Electronics"/>
    <n v="2"/>
    <n v="43.92"/>
    <n v="87.84"/>
    <n v="87.84"/>
    <n v="0"/>
    <s v="Italy"/>
    <x v="0"/>
  </r>
  <r>
    <n v="2024005938"/>
    <x v="45"/>
    <n v="2024"/>
    <x v="289"/>
    <s v="PROD_008"/>
    <s v="Desk Lamp"/>
    <s v="Furniture"/>
    <n v="1"/>
    <n v="87.23"/>
    <n v="87.23"/>
    <n v="87.23"/>
    <n v="0"/>
    <s v="Switzerland"/>
    <x v="2"/>
  </r>
  <r>
    <n v="2024005939"/>
    <x v="319"/>
    <n v="2024"/>
    <x v="0"/>
    <s v="PROD_008"/>
    <s v="Desk Lamp"/>
    <s v="Furniture"/>
    <n v="2"/>
    <n v="75.739999999999995"/>
    <n v="151.47999999999999"/>
    <n v="151.47999999999999"/>
    <n v="0"/>
    <s v="Sweden"/>
    <x v="1"/>
  </r>
  <r>
    <n v="2024005940"/>
    <x v="321"/>
    <n v="2024"/>
    <x v="197"/>
    <s v="PROD_004"/>
    <s v="Desk Chair"/>
    <s v="Furniture"/>
    <n v="1"/>
    <n v="381.64"/>
    <n v="381.64"/>
    <n v="381.64"/>
    <n v="0"/>
    <s v="UK"/>
    <x v="0"/>
  </r>
  <r>
    <n v="2024005941"/>
    <x v="224"/>
    <n v="2024"/>
    <x v="290"/>
    <s v="PROD_003"/>
    <s v="USB-C Cable"/>
    <s v="Electronics"/>
    <n v="1"/>
    <n v="15.49"/>
    <n v="15.49"/>
    <n v="15.49"/>
    <n v="0"/>
    <s v="Spain"/>
    <x v="3"/>
  </r>
  <r>
    <n v="2024005942"/>
    <x v="270"/>
    <n v="2024"/>
    <x v="79"/>
    <s v="PROD_010"/>
    <s v="Webcam HD"/>
    <s v="Electronics"/>
    <n v="3"/>
    <n v="84.14"/>
    <n v="252.42"/>
    <n v="252.42000000000002"/>
    <n v="0"/>
    <s v="Belgium"/>
    <x v="0"/>
  </r>
  <r>
    <n v="2024005943"/>
    <x v="197"/>
    <n v="2024"/>
    <x v="199"/>
    <s v="PROD_004"/>
    <s v="Desk Chair"/>
    <s v="Furniture"/>
    <n v="1"/>
    <n v="353.15"/>
    <n v="353.15"/>
    <n v="353.15"/>
    <n v="0"/>
    <s v="Italy"/>
    <x v="2"/>
  </r>
  <r>
    <n v="2024005944"/>
    <x v="212"/>
    <n v="2024"/>
    <x v="0"/>
    <s v="PROD_009"/>
    <s v="Phone Stand"/>
    <s v="Accessories"/>
    <n v="2"/>
    <n v="25.7"/>
    <n v="51.4"/>
    <n v="51.4"/>
    <n v="0"/>
    <s v="Italy"/>
    <x v="2"/>
  </r>
  <r>
    <n v="2024005945"/>
    <x v="208"/>
    <n v="2024"/>
    <x v="26"/>
    <s v="PROD_010"/>
    <s v="Webcam HD"/>
    <s v="Electronics"/>
    <n v="1"/>
    <n v="85.65"/>
    <n v="85.65"/>
    <n v="85.65"/>
    <n v="0"/>
    <s v="France"/>
    <x v="0"/>
  </r>
  <r>
    <n v="2024001987"/>
    <x v="285"/>
    <n v="2024"/>
    <x v="0"/>
    <s v="PROD_007"/>
    <s v="Keyboard Mechanical"/>
    <s v="Electronics"/>
    <n v="1"/>
    <n v="114.75"/>
    <n v="114.75"/>
    <n v="114.75"/>
    <n v="0"/>
    <s v="Germany"/>
    <x v="1"/>
  </r>
  <r>
    <n v="2024005947"/>
    <x v="110"/>
    <n v="2024"/>
    <x v="0"/>
    <s v="PROD_004"/>
    <s v="Desk Chair"/>
    <s v="Furniture"/>
    <n v="3"/>
    <n v="374.08"/>
    <n v="1122.24"/>
    <n v="1122.24"/>
    <n v="0"/>
    <s v="Spain"/>
    <x v="1"/>
  </r>
  <r>
    <n v="2024005948"/>
    <x v="315"/>
    <n v="2024"/>
    <x v="0"/>
    <s v="PROD_007"/>
    <s v="Keyboard Mechanical"/>
    <s v="Electronics"/>
    <n v="2"/>
    <n v="120.24"/>
    <n v="240.48"/>
    <n v="240.48"/>
    <n v="0"/>
    <s v="Belgium"/>
    <x v="2"/>
  </r>
  <r>
    <n v="2024005949"/>
    <x v="52"/>
    <n v="2024"/>
    <x v="9"/>
    <s v="PROD_004"/>
    <s v="Desk Chair"/>
    <s v="Furniture"/>
    <n v="3"/>
    <n v="344.21"/>
    <n v="1032.6300000000001"/>
    <n v="1032.6299999999999"/>
    <n v="0"/>
    <s v="Sweden"/>
    <x v="0"/>
  </r>
  <r>
    <n v="2024005950"/>
    <x v="167"/>
    <n v="2024"/>
    <x v="287"/>
    <s v="PROD_006"/>
    <s v="Monitor 27&quot;"/>
    <s v="Electronics"/>
    <n v="2"/>
    <n v="396.93"/>
    <n v="793.86"/>
    <n v="793.86"/>
    <n v="0"/>
    <s v="Switzerland"/>
    <x v="0"/>
  </r>
  <r>
    <n v="2024005951"/>
    <x v="213"/>
    <n v="2024"/>
    <x v="226"/>
    <s v="PROD_003"/>
    <s v="USB-C Cable"/>
    <s v="Electronics"/>
    <n v="5"/>
    <n v="14.58"/>
    <n v="72.900000000000006"/>
    <n v="72.900000000000006"/>
    <n v="0"/>
    <s v="France"/>
    <x v="2"/>
  </r>
  <r>
    <n v="2024005952"/>
    <x v="114"/>
    <n v="2024"/>
    <x v="212"/>
    <s v="PROD_006"/>
    <s v="Monitor 27&quot;"/>
    <s v="Electronics"/>
    <n v="1"/>
    <n v="370.67"/>
    <n v="370.67"/>
    <n v="370.67"/>
    <n v="0"/>
    <s v="Italy"/>
    <x v="0"/>
  </r>
  <r>
    <n v="2024005953"/>
    <x v="104"/>
    <n v="2024"/>
    <x v="289"/>
    <s v="PROD_008"/>
    <s v="Desk Lamp"/>
    <s v="Furniture"/>
    <n v="1"/>
    <n v="88.51"/>
    <n v="88.51"/>
    <n v="88.51"/>
    <n v="0"/>
    <s v="Switzerland"/>
    <x v="1"/>
  </r>
  <r>
    <n v="2024005954"/>
    <x v="379"/>
    <n v="2023"/>
    <x v="245"/>
    <s v="PROD_002"/>
    <s v="Wireless Mouse"/>
    <s v="Electronics"/>
    <n v="1"/>
    <n v="43.71"/>
    <n v="43.71"/>
    <n v="43.71"/>
    <n v="0"/>
    <s v="Switzerland"/>
    <x v="2"/>
  </r>
  <r>
    <n v="2024005955"/>
    <x v="62"/>
    <n v="2024"/>
    <x v="218"/>
    <s v="PROD_008"/>
    <s v="Desk Lamp"/>
    <s v="Furniture"/>
    <n v="3"/>
    <n v="78.709999999999994"/>
    <n v="236.13"/>
    <n v="236.13"/>
    <n v="0"/>
    <s v="Germany"/>
    <x v="1"/>
  </r>
  <r>
    <n v="2024005956"/>
    <x v="238"/>
    <n v="2024"/>
    <x v="0"/>
    <s v="PROD_006"/>
    <s v="Monitor 27&quot;"/>
    <s v="Electronics"/>
    <n v="4"/>
    <n v="372.16"/>
    <n v="1488.64"/>
    <n v="1488.64"/>
    <n v="0"/>
    <s v="France"/>
    <x v="0"/>
  </r>
  <r>
    <n v="2024005957"/>
    <x v="191"/>
    <n v="2024"/>
    <x v="80"/>
    <s v="PROD_009"/>
    <s v="Phone Stand"/>
    <s v="Accessories"/>
    <n v="2"/>
    <n v="24.43"/>
    <n v="48.86"/>
    <n v="48.86"/>
    <n v="0"/>
    <s v="Switzerland"/>
    <x v="2"/>
  </r>
  <r>
    <n v="2024005958"/>
    <x v="232"/>
    <n v="2024"/>
    <x v="244"/>
    <s v="PROD_008"/>
    <s v="Desk Lamp"/>
    <s v="Furniture"/>
    <n v="1"/>
    <n v="83.48"/>
    <n v="83.48"/>
    <n v="83.48"/>
    <n v="0"/>
    <s v="Austria"/>
    <x v="2"/>
  </r>
  <r>
    <n v="2024005959"/>
    <x v="185"/>
    <n v="2024"/>
    <x v="0"/>
    <s v="PROD_004"/>
    <s v="Desk Chair"/>
    <s v="Furniture"/>
    <n v="2"/>
    <n v="343.74"/>
    <n v="687.48"/>
    <n v="687.48"/>
    <n v="0"/>
    <s v="France"/>
    <x v="2"/>
  </r>
  <r>
    <n v="2024002647"/>
    <x v="308"/>
    <n v="2024"/>
    <x v="232"/>
    <s v="PROD_009"/>
    <s v="Phone Stand"/>
    <s v="Accessories"/>
    <n v="1"/>
    <n v="23.2"/>
    <n v="23.2"/>
    <n v="23.2"/>
    <n v="0"/>
    <s v="France"/>
    <x v="0"/>
  </r>
  <r>
    <n v="2024005961"/>
    <x v="82"/>
    <n v="2024"/>
    <x v="273"/>
    <s v="PROD_010"/>
    <s v="Webcam HD"/>
    <s v="Electronics"/>
    <n v="2"/>
    <n v="91.49"/>
    <n v="182.98"/>
    <n v="182.98"/>
    <n v="0"/>
    <s v="Spain"/>
    <x v="0"/>
  </r>
  <r>
    <n v="2024005962"/>
    <x v="71"/>
    <n v="2024"/>
    <x v="205"/>
    <s v="PROD_004"/>
    <s v="Desk Chair"/>
    <s v="Furniture"/>
    <n v="1"/>
    <n v="314.88"/>
    <n v="314.88"/>
    <n v="314.88"/>
    <n v="0"/>
    <s v="Germany"/>
    <x v="2"/>
  </r>
  <r>
    <n v="2024005963"/>
    <x v="238"/>
    <n v="2024"/>
    <x v="58"/>
    <s v="PROD_004"/>
    <s v="Desk Chair"/>
    <s v="Furniture"/>
    <n v="1"/>
    <n v="338.55"/>
    <n v="338.55"/>
    <n v="338.55"/>
    <n v="0"/>
    <s v="Belgium"/>
    <x v="1"/>
  </r>
  <r>
    <n v="2024005964"/>
    <x v="168"/>
    <n v="2024"/>
    <x v="256"/>
    <s v="PROD_001"/>
    <s v="Laptop Pro"/>
    <s v="Electronics"/>
    <n v="1"/>
    <n v="1242.1300000000001"/>
    <n v="1242.1300000000001"/>
    <n v="1242.1300000000001"/>
    <n v="0"/>
    <s v="Belgium"/>
    <x v="3"/>
  </r>
  <r>
    <n v="2024005965"/>
    <x v="23"/>
    <n v="2024"/>
    <x v="277"/>
    <s v="PROD_007"/>
    <s v="Keyboard Mechanical"/>
    <s v="Electronics"/>
    <n v="3"/>
    <n v="115.58"/>
    <n v="346.74"/>
    <n v="346.74"/>
    <n v="0"/>
    <s v="Switzerland"/>
    <x v="0"/>
  </r>
  <r>
    <n v="2024005966"/>
    <x v="380"/>
    <n v="2023"/>
    <x v="26"/>
    <s v="PROD_006"/>
    <s v="Monitor 27&quot;"/>
    <s v="Electronics"/>
    <n v="2"/>
    <n v="376.71"/>
    <n v="753.42"/>
    <n v="753.42"/>
    <n v="0"/>
    <s v="Austria"/>
    <x v="3"/>
  </r>
  <r>
    <n v="2024005967"/>
    <x v="24"/>
    <n v="2024"/>
    <x v="84"/>
    <s v="PROD_004"/>
    <s v="Desk Chair"/>
    <s v="Furniture"/>
    <n v="4"/>
    <n v="359.43"/>
    <n v="1437.72"/>
    <n v="1437.72"/>
    <n v="0"/>
    <s v="Italy"/>
    <x v="1"/>
  </r>
  <r>
    <n v="2024005968"/>
    <x v="131"/>
    <n v="2024"/>
    <x v="0"/>
    <s v="PROD_003"/>
    <s v="USB-C Cable"/>
    <s v="Electronics"/>
    <n v="1"/>
    <n v="14.19"/>
    <n v="14.19"/>
    <n v="14.19"/>
    <n v="0"/>
    <s v="Italy"/>
    <x v="3"/>
  </r>
  <r>
    <n v="2024005969"/>
    <x v="135"/>
    <n v="2024"/>
    <x v="0"/>
    <s v="PROD_009"/>
    <s v="Phone Stand"/>
    <s v="Accessories"/>
    <n v="2"/>
    <n v="22.92"/>
    <n v="45.84"/>
    <n v="45.84"/>
    <n v="0"/>
    <s v="Sweden"/>
    <x v="1"/>
  </r>
  <r>
    <n v="2024005970"/>
    <x v="331"/>
    <n v="2024"/>
    <x v="94"/>
    <s v="PROD_004"/>
    <s v="Desk Chair"/>
    <s v="Furniture"/>
    <n v="1"/>
    <n v="358.99"/>
    <n v="358.99"/>
    <n v="358.99"/>
    <n v="0"/>
    <s v="France"/>
    <x v="1"/>
  </r>
  <r>
    <n v="2024005971"/>
    <x v="219"/>
    <n v="2024"/>
    <x v="187"/>
    <s v="PROD_010"/>
    <s v="Webcam HD"/>
    <s v="Electronics"/>
    <n v="3"/>
    <n v="81.33"/>
    <n v="243.99"/>
    <n v="243.99"/>
    <n v="0"/>
    <s v="Italy"/>
    <x v="1"/>
  </r>
  <r>
    <n v="2024005972"/>
    <x v="333"/>
    <n v="2024"/>
    <x v="70"/>
    <s v="PROD_007"/>
    <s v="Keyboard Mechanical"/>
    <s v="Electronics"/>
    <n v="2"/>
    <n v="122.36"/>
    <n v="244.72"/>
    <n v="244.72"/>
    <n v="0"/>
    <s v="Switzerland"/>
    <x v="1"/>
  </r>
  <r>
    <n v="2024005973"/>
    <x v="54"/>
    <n v="2024"/>
    <x v="215"/>
    <s v="PROD_004"/>
    <s v="Desk Chair"/>
    <s v="Furniture"/>
    <n v="2"/>
    <n v="338.54"/>
    <n v="677.08"/>
    <n v="677.08"/>
    <n v="0"/>
    <s v="Austria"/>
    <x v="1"/>
  </r>
  <r>
    <n v="2024005974"/>
    <x v="207"/>
    <n v="2024"/>
    <x v="272"/>
    <s v="PROD_005"/>
    <s v="Standing Desk"/>
    <s v="Furniture"/>
    <n v="1"/>
    <n v="588.08000000000004"/>
    <n v="588.08000000000004"/>
    <n v="588.08000000000004"/>
    <n v="0"/>
    <s v="Belgium"/>
    <x v="3"/>
  </r>
  <r>
    <n v="2024005975"/>
    <x v="169"/>
    <n v="2024"/>
    <x v="211"/>
    <s v="PROD_004"/>
    <s v="Desk Chair"/>
    <s v="Furniture"/>
    <n v="1"/>
    <n v="330.86"/>
    <n v="330.86"/>
    <n v="330.86"/>
    <n v="0"/>
    <s v="UK"/>
    <x v="1"/>
  </r>
  <r>
    <n v="2024005976"/>
    <x v="152"/>
    <n v="2024"/>
    <x v="200"/>
    <s v="PROD_009"/>
    <s v="Phone Stand"/>
    <s v="Accessories"/>
    <n v="2"/>
    <n v="26.94"/>
    <n v="53.88"/>
    <n v="53.88"/>
    <n v="0"/>
    <s v="Italy"/>
    <x v="1"/>
  </r>
  <r>
    <n v="2024005977"/>
    <x v="27"/>
    <n v="2024"/>
    <x v="201"/>
    <s v="PROD_005"/>
    <s v="Standing Desk"/>
    <s v="Furniture"/>
    <n v="2"/>
    <n v="622.54"/>
    <n v="1245.08"/>
    <n v="1245.08"/>
    <n v="0"/>
    <s v="France"/>
    <x v="2"/>
  </r>
  <r>
    <n v="2024005978"/>
    <x v="110"/>
    <n v="2024"/>
    <x v="0"/>
    <s v="PROD_002"/>
    <s v="Wireless Mouse"/>
    <s v="Electronics"/>
    <n v="3"/>
    <n v="44.6"/>
    <n v="133.80000000000001"/>
    <n v="133.80000000000001"/>
    <n v="0"/>
    <s v="Belgium"/>
    <x v="2"/>
  </r>
  <r>
    <n v="2024005979"/>
    <x v="186"/>
    <n v="2024"/>
    <x v="276"/>
    <s v="PROD_008"/>
    <s v="Desk Lamp"/>
    <s v="Furniture"/>
    <n v="1"/>
    <n v="87.25"/>
    <n v="87.25"/>
    <n v="87.25"/>
    <n v="0"/>
    <s v="Italy"/>
    <x v="3"/>
  </r>
  <r>
    <n v="2024005980"/>
    <x v="1"/>
    <n v="2024"/>
    <x v="266"/>
    <s v="PROD_002"/>
    <s v="Wireless Mouse"/>
    <s v="Electronics"/>
    <n v="2"/>
    <n v="49.86"/>
    <n v="99.72"/>
    <n v="99.72"/>
    <n v="0"/>
    <s v="Switzerland"/>
    <x v="0"/>
  </r>
  <r>
    <n v="2024005981"/>
    <x v="185"/>
    <n v="2024"/>
    <x v="203"/>
    <s v="PROD_009"/>
    <s v="Phone Stand"/>
    <s v="Accessories"/>
    <n v="2"/>
    <n v="23.68"/>
    <n v="47.36"/>
    <n v="47.36"/>
    <n v="0"/>
    <s v="France"/>
    <x v="3"/>
  </r>
  <r>
    <n v="2024005982"/>
    <x v="62"/>
    <n v="2024"/>
    <x v="155"/>
    <s v="PROD_002"/>
    <s v="Wireless Mouse"/>
    <s v="Electronics"/>
    <n v="0"/>
    <n v="43.17"/>
    <n v="0"/>
    <n v="0"/>
    <n v="0"/>
    <s v="Germany"/>
    <x v="0"/>
  </r>
  <r>
    <n v="2024005983"/>
    <x v="122"/>
    <n v="2024"/>
    <x v="232"/>
    <s v="PROD_004"/>
    <s v="Desk Chair"/>
    <s v="Furniture"/>
    <n v="1"/>
    <n v="360.23"/>
    <n v="360.23"/>
    <n v="360.23"/>
    <n v="0"/>
    <s v="Spain"/>
    <x v="0"/>
  </r>
  <r>
    <n v="2024005984"/>
    <x v="194"/>
    <n v="2024"/>
    <x v="89"/>
    <s v="PROD_004"/>
    <s v="Desk Chair"/>
    <s v="Furniture"/>
    <n v="1"/>
    <n v="341.87"/>
    <n v="341.87"/>
    <n v="341.87"/>
    <n v="0"/>
    <s v="France"/>
    <x v="3"/>
  </r>
  <r>
    <n v="2024005985"/>
    <x v="364"/>
    <n v="2024"/>
    <x v="147"/>
    <s v="PROD_009"/>
    <s v="Phone Stand"/>
    <s v="Accessories"/>
    <n v="3"/>
    <n v="24.43"/>
    <n v="73.290000000000006"/>
    <n v="73.289999999999992"/>
    <n v="0"/>
    <s v="France"/>
    <x v="1"/>
  </r>
  <r>
    <n v="2024005986"/>
    <x v="115"/>
    <n v="2024"/>
    <x v="0"/>
    <s v="PROD_002"/>
    <s v="Wireless Mouse"/>
    <s v="Electronics"/>
    <n v="1"/>
    <n v="46.11"/>
    <n v="46.11"/>
    <n v="46.11"/>
    <n v="0"/>
    <s v="Italy"/>
    <x v="2"/>
  </r>
  <r>
    <n v="2024005987"/>
    <x v="268"/>
    <n v="2024"/>
    <x v="269"/>
    <s v="PROD_001"/>
    <s v="Laptop Pro"/>
    <s v="Electronics"/>
    <n v="1"/>
    <n v="1289.46"/>
    <n v="1289.46"/>
    <n v="1289.46"/>
    <n v="0"/>
    <s v="UK"/>
    <x v="2"/>
  </r>
  <r>
    <n v="2024005988"/>
    <x v="36"/>
    <n v="2024"/>
    <x v="219"/>
    <s v="PROD_007"/>
    <s v="Keyboard Mechanical"/>
    <s v="Electronics"/>
    <n v="2"/>
    <n v="123.96"/>
    <n v="247.92"/>
    <n v="247.92"/>
    <n v="0"/>
    <s v="Netherlands"/>
    <x v="0"/>
  </r>
  <r>
    <n v="2024005989"/>
    <x v="258"/>
    <n v="2024"/>
    <x v="127"/>
    <s v="PROD_003"/>
    <s v="USB-C Cable"/>
    <s v="Electronics"/>
    <n v="4"/>
    <n v="15.13"/>
    <n v="60.52"/>
    <n v="60.52"/>
    <n v="0"/>
    <s v="Switzerland"/>
    <x v="1"/>
  </r>
  <r>
    <n v="2024005990"/>
    <x v="84"/>
    <n v="2024"/>
    <x v="0"/>
    <s v="PROD_003"/>
    <s v="USB-C Cable"/>
    <s v="Electronics"/>
    <n v="3"/>
    <n v="15.11"/>
    <n v="45.33"/>
    <n v="45.33"/>
    <n v="0"/>
    <s v="Italy"/>
    <x v="3"/>
  </r>
  <r>
    <n v="2024005991"/>
    <x v="292"/>
    <n v="2024"/>
    <x v="207"/>
    <s v="PROD_005"/>
    <s v="Standing Desk"/>
    <s v="Furniture"/>
    <n v="1"/>
    <n v="579.07000000000005"/>
    <n v="579.07000000000005"/>
    <n v="579.07000000000005"/>
    <n v="0"/>
    <s v="Austria"/>
    <x v="1"/>
  </r>
  <r>
    <n v="2024005992"/>
    <x v="254"/>
    <n v="2024"/>
    <x v="246"/>
    <s v="PROD_003"/>
    <s v="USB-C Cable"/>
    <s v="Electronics"/>
    <n v="1"/>
    <n v="15"/>
    <n v="15"/>
    <n v="15"/>
    <n v="0"/>
    <s v="Switzerland"/>
    <x v="1"/>
  </r>
  <r>
    <n v="2024005993"/>
    <x v="308"/>
    <n v="2024"/>
    <x v="151"/>
    <s v="PROD_005"/>
    <s v="Standing Desk"/>
    <s v="Furniture"/>
    <n v="1"/>
    <n v="592.92999999999995"/>
    <n v="592.92999999999995"/>
    <n v="592.92999999999995"/>
    <n v="0"/>
    <s v="Switzerland"/>
    <x v="2"/>
  </r>
  <r>
    <n v="2024005994"/>
    <x v="59"/>
    <n v="2024"/>
    <x v="0"/>
    <s v="PROD_006"/>
    <s v="Monitor 27&quot;"/>
    <s v="Electronics"/>
    <n v="4"/>
    <n v="378.84"/>
    <n v="1515.36"/>
    <n v="1515.36"/>
    <n v="0"/>
    <s v="Netherlands"/>
    <x v="1"/>
  </r>
  <r>
    <n v="2024005995"/>
    <x v="309"/>
    <n v="2024"/>
    <x v="121"/>
    <s v="PROD_006"/>
    <s v="Monitor 27&quot;"/>
    <s v="Electronics"/>
    <n v="3"/>
    <n v="389.12"/>
    <n v="1167.3599999999999"/>
    <n v="1167.3600000000001"/>
    <n v="0"/>
    <s v="Switzerland"/>
    <x v="1"/>
  </r>
  <r>
    <n v="2024005996"/>
    <x v="62"/>
    <n v="2024"/>
    <x v="284"/>
    <s v="PROD_003"/>
    <s v="USB-C Cable"/>
    <s v="Electronics"/>
    <n v="3"/>
    <n v="14.93"/>
    <n v="44.79"/>
    <n v="44.79"/>
    <n v="0"/>
    <s v="Switzerland"/>
    <x v="1"/>
  </r>
  <r>
    <n v="2024005997"/>
    <x v="147"/>
    <n v="2024"/>
    <x v="11"/>
    <s v="PROD_008"/>
    <s v="Desk Lamp"/>
    <s v="Furniture"/>
    <n v="1"/>
    <n v="76.91"/>
    <n v="76.91"/>
    <n v="76.91"/>
    <n v="0"/>
    <s v="Sweden"/>
    <x v="2"/>
  </r>
  <r>
    <n v="2024005998"/>
    <x v="193"/>
    <n v="2024"/>
    <x v="183"/>
    <s v="PROD_009"/>
    <s v="Phone Stand"/>
    <s v="Accessories"/>
    <n v="3"/>
    <n v="22.41"/>
    <n v="67.23"/>
    <n v="67.23"/>
    <n v="0"/>
    <s v="Sweden"/>
    <x v="3"/>
  </r>
  <r>
    <n v="2024005999"/>
    <x v="183"/>
    <n v="2024"/>
    <x v="203"/>
    <s v="PROD_009"/>
    <s v="Phone Stand"/>
    <s v="Accessories"/>
    <n v="4"/>
    <n v="24.93"/>
    <n v="99.72"/>
    <n v="99.72"/>
    <n v="0"/>
    <s v="Switzerland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8CB7D-B910-4C90-9815-BF796EBD1EA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9" firstHeaderRow="1" firstDataRow="1" firstDataCol="1"/>
  <pivotFields count="17">
    <pivotField showAll="0"/>
    <pivotField numFmtId="164" showAll="0">
      <items count="382">
        <item x="377"/>
        <item x="373"/>
        <item x="375"/>
        <item x="370"/>
        <item x="380"/>
        <item x="376"/>
        <item x="374"/>
        <item x="369"/>
        <item x="371"/>
        <item x="372"/>
        <item x="363"/>
        <item x="379"/>
        <item x="257"/>
        <item x="368"/>
        <item x="378"/>
        <item x="241"/>
        <item x="8"/>
        <item x="175"/>
        <item x="148"/>
        <item x="16"/>
        <item x="308"/>
        <item x="129"/>
        <item x="237"/>
        <item x="171"/>
        <item x="220"/>
        <item x="172"/>
        <item x="143"/>
        <item x="105"/>
        <item x="322"/>
        <item x="11"/>
        <item x="343"/>
        <item x="144"/>
        <item x="328"/>
        <item x="225"/>
        <item x="223"/>
        <item x="238"/>
        <item x="34"/>
        <item x="116"/>
        <item x="224"/>
        <item x="142"/>
        <item x="271"/>
        <item x="296"/>
        <item x="98"/>
        <item x="149"/>
        <item x="315"/>
        <item x="336"/>
        <item x="341"/>
        <item x="360"/>
        <item x="92"/>
        <item x="7"/>
        <item x="366"/>
        <item x="306"/>
        <item x="247"/>
        <item x="42"/>
        <item x="362"/>
        <item x="252"/>
        <item x="213"/>
        <item x="197"/>
        <item x="186"/>
        <item x="17"/>
        <item x="170"/>
        <item x="75"/>
        <item x="14"/>
        <item x="124"/>
        <item x="361"/>
        <item x="353"/>
        <item x="22"/>
        <item x="65"/>
        <item x="268"/>
        <item x="139"/>
        <item x="295"/>
        <item x="325"/>
        <item x="204"/>
        <item x="152"/>
        <item x="47"/>
        <item x="263"/>
        <item x="154"/>
        <item x="45"/>
        <item x="185"/>
        <item x="233"/>
        <item x="234"/>
        <item x="355"/>
        <item x="246"/>
        <item x="192"/>
        <item x="203"/>
        <item x="329"/>
        <item x="301"/>
        <item x="151"/>
        <item x="275"/>
        <item x="61"/>
        <item x="66"/>
        <item x="193"/>
        <item x="126"/>
        <item x="167"/>
        <item x="340"/>
        <item x="158"/>
        <item x="78"/>
        <item x="244"/>
        <item x="182"/>
        <item x="196"/>
        <item x="53"/>
        <item x="127"/>
        <item x="219"/>
        <item x="51"/>
        <item x="157"/>
        <item x="70"/>
        <item x="118"/>
        <item x="249"/>
        <item x="102"/>
        <item x="114"/>
        <item x="21"/>
        <item x="128"/>
        <item x="270"/>
        <item x="37"/>
        <item x="255"/>
        <item x="216"/>
        <item x="194"/>
        <item x="0"/>
        <item x="32"/>
        <item x="333"/>
        <item x="228"/>
        <item x="229"/>
        <item x="198"/>
        <item x="99"/>
        <item x="364"/>
        <item x="110"/>
        <item x="339"/>
        <item x="23"/>
        <item x="190"/>
        <item x="60"/>
        <item x="279"/>
        <item x="50"/>
        <item x="83"/>
        <item x="130"/>
        <item x="245"/>
        <item x="342"/>
        <item x="218"/>
        <item x="287"/>
        <item x="26"/>
        <item x="298"/>
        <item x="88"/>
        <item x="357"/>
        <item x="337"/>
        <item x="141"/>
        <item x="168"/>
        <item x="346"/>
        <item x="107"/>
        <item x="297"/>
        <item x="211"/>
        <item x="5"/>
        <item x="12"/>
        <item x="145"/>
        <item x="349"/>
        <item x="104"/>
        <item x="304"/>
        <item x="71"/>
        <item x="231"/>
        <item x="44"/>
        <item x="64"/>
        <item x="77"/>
        <item x="79"/>
        <item x="291"/>
        <item x="140"/>
        <item x="120"/>
        <item x="205"/>
        <item x="209"/>
        <item x="179"/>
        <item x="33"/>
        <item x="239"/>
        <item x="212"/>
        <item x="76"/>
        <item x="111"/>
        <item x="352"/>
        <item x="146"/>
        <item x="162"/>
        <item x="123"/>
        <item x="248"/>
        <item x="277"/>
        <item x="309"/>
        <item x="68"/>
        <item x="86"/>
        <item x="201"/>
        <item x="283"/>
        <item x="280"/>
        <item x="156"/>
        <item x="276"/>
        <item x="199"/>
        <item x="103"/>
        <item x="253"/>
        <item x="258"/>
        <item x="345"/>
        <item x="232"/>
        <item x="58"/>
        <item x="326"/>
        <item x="46"/>
        <item x="38"/>
        <item x="119"/>
        <item x="176"/>
        <item x="354"/>
        <item x="281"/>
        <item x="222"/>
        <item x="138"/>
        <item x="4"/>
        <item x="52"/>
        <item x="137"/>
        <item x="242"/>
        <item x="227"/>
        <item x="165"/>
        <item x="348"/>
        <item x="334"/>
        <item x="230"/>
        <item x="316"/>
        <item x="20"/>
        <item x="169"/>
        <item x="359"/>
        <item x="133"/>
        <item x="131"/>
        <item x="305"/>
        <item x="54"/>
        <item x="288"/>
        <item x="299"/>
        <item x="294"/>
        <item x="206"/>
        <item x="132"/>
        <item x="122"/>
        <item x="177"/>
        <item x="365"/>
        <item x="74"/>
        <item x="260"/>
        <item x="1"/>
        <item x="159"/>
        <item x="63"/>
        <item x="202"/>
        <item x="285"/>
        <item x="318"/>
        <item x="302"/>
        <item x="84"/>
        <item x="56"/>
        <item x="24"/>
        <item x="181"/>
        <item x="153"/>
        <item x="15"/>
        <item x="324"/>
        <item x="183"/>
        <item x="67"/>
        <item x="13"/>
        <item x="214"/>
        <item x="31"/>
        <item x="189"/>
        <item x="161"/>
        <item x="106"/>
        <item x="286"/>
        <item x="97"/>
        <item x="310"/>
        <item x="272"/>
        <item x="265"/>
        <item x="59"/>
        <item x="221"/>
        <item x="332"/>
        <item x="250"/>
        <item x="180"/>
        <item x="274"/>
        <item x="240"/>
        <item x="93"/>
        <item x="55"/>
        <item x="226"/>
        <item x="27"/>
        <item x="344"/>
        <item x="115"/>
        <item x="25"/>
        <item x="39"/>
        <item x="261"/>
        <item x="320"/>
        <item x="81"/>
        <item x="314"/>
        <item x="217"/>
        <item x="210"/>
        <item x="358"/>
        <item x="100"/>
        <item x="338"/>
        <item x="254"/>
        <item x="173"/>
        <item x="136"/>
        <item x="155"/>
        <item x="166"/>
        <item x="200"/>
        <item x="208"/>
        <item x="41"/>
        <item x="273"/>
        <item x="347"/>
        <item x="311"/>
        <item x="91"/>
        <item x="164"/>
        <item x="317"/>
        <item x="57"/>
        <item x="243"/>
        <item x="278"/>
        <item x="19"/>
        <item x="256"/>
        <item x="87"/>
        <item x="35"/>
        <item x="312"/>
        <item x="82"/>
        <item x="290"/>
        <item x="264"/>
        <item x="121"/>
        <item x="94"/>
        <item x="147"/>
        <item x="113"/>
        <item x="289"/>
        <item x="10"/>
        <item x="236"/>
        <item x="29"/>
        <item x="313"/>
        <item x="331"/>
        <item x="184"/>
        <item x="191"/>
        <item x="95"/>
        <item x="30"/>
        <item x="174"/>
        <item x="85"/>
        <item x="235"/>
        <item x="300"/>
        <item x="109"/>
        <item x="195"/>
        <item x="80"/>
        <item x="73"/>
        <item x="43"/>
        <item x="3"/>
        <item x="101"/>
        <item x="6"/>
        <item x="36"/>
        <item x="125"/>
        <item x="49"/>
        <item x="292"/>
        <item x="269"/>
        <item x="112"/>
        <item x="40"/>
        <item x="117"/>
        <item x="188"/>
        <item x="350"/>
        <item x="69"/>
        <item x="284"/>
        <item x="259"/>
        <item x="330"/>
        <item x="18"/>
        <item x="178"/>
        <item x="293"/>
        <item x="187"/>
        <item x="321"/>
        <item x="89"/>
        <item x="335"/>
        <item x="266"/>
        <item x="282"/>
        <item x="267"/>
        <item x="327"/>
        <item x="303"/>
        <item x="215"/>
        <item x="251"/>
        <item x="351"/>
        <item x="307"/>
        <item x="367"/>
        <item x="72"/>
        <item x="356"/>
        <item x="48"/>
        <item x="9"/>
        <item x="90"/>
        <item x="108"/>
        <item x="163"/>
        <item x="62"/>
        <item x="134"/>
        <item x="323"/>
        <item x="262"/>
        <item x="150"/>
        <item x="28"/>
        <item x="319"/>
        <item x="135"/>
        <item x="160"/>
        <item x="207"/>
        <item x="96"/>
        <item x="2"/>
        <item t="default"/>
      </items>
    </pivotField>
    <pivotField numFmtId="49"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ant Recalculé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22CE6-38CF-4CEA-B87D-3657B3F7E72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7" firstHeaderRow="1" firstDataRow="1" firstDataCol="1"/>
  <pivotFields count="17">
    <pivotField showAll="0"/>
    <pivotField axis="axisRow" numFmtId="164" showAll="0">
      <items count="382">
        <item x="377"/>
        <item x="373"/>
        <item x="375"/>
        <item x="370"/>
        <item x="380"/>
        <item x="376"/>
        <item x="374"/>
        <item x="369"/>
        <item x="371"/>
        <item x="372"/>
        <item x="363"/>
        <item x="379"/>
        <item x="257"/>
        <item x="368"/>
        <item x="378"/>
        <item x="241"/>
        <item x="8"/>
        <item x="175"/>
        <item x="148"/>
        <item x="16"/>
        <item x="308"/>
        <item x="129"/>
        <item x="237"/>
        <item x="171"/>
        <item x="220"/>
        <item x="172"/>
        <item x="143"/>
        <item x="105"/>
        <item x="322"/>
        <item x="11"/>
        <item x="343"/>
        <item x="144"/>
        <item x="328"/>
        <item x="225"/>
        <item x="223"/>
        <item x="238"/>
        <item x="34"/>
        <item x="116"/>
        <item x="224"/>
        <item x="142"/>
        <item x="271"/>
        <item x="296"/>
        <item x="98"/>
        <item x="149"/>
        <item x="315"/>
        <item x="336"/>
        <item x="341"/>
        <item x="360"/>
        <item x="92"/>
        <item x="7"/>
        <item x="366"/>
        <item x="306"/>
        <item x="247"/>
        <item x="42"/>
        <item x="362"/>
        <item x="252"/>
        <item x="213"/>
        <item x="197"/>
        <item x="186"/>
        <item x="17"/>
        <item x="170"/>
        <item x="75"/>
        <item x="14"/>
        <item x="124"/>
        <item x="361"/>
        <item x="353"/>
        <item x="22"/>
        <item x="65"/>
        <item x="268"/>
        <item x="139"/>
        <item x="295"/>
        <item x="325"/>
        <item x="204"/>
        <item x="152"/>
        <item x="47"/>
        <item x="263"/>
        <item x="154"/>
        <item x="45"/>
        <item x="185"/>
        <item x="233"/>
        <item x="234"/>
        <item x="355"/>
        <item x="246"/>
        <item x="192"/>
        <item x="203"/>
        <item x="329"/>
        <item x="301"/>
        <item x="151"/>
        <item x="275"/>
        <item x="61"/>
        <item x="66"/>
        <item x="193"/>
        <item x="126"/>
        <item x="167"/>
        <item x="340"/>
        <item x="158"/>
        <item x="78"/>
        <item x="244"/>
        <item x="182"/>
        <item x="196"/>
        <item x="53"/>
        <item x="127"/>
        <item x="219"/>
        <item x="51"/>
        <item x="157"/>
        <item x="70"/>
        <item x="118"/>
        <item x="249"/>
        <item x="102"/>
        <item x="114"/>
        <item x="21"/>
        <item x="128"/>
        <item x="270"/>
        <item x="37"/>
        <item x="255"/>
        <item x="216"/>
        <item x="194"/>
        <item x="0"/>
        <item x="32"/>
        <item x="333"/>
        <item x="228"/>
        <item x="229"/>
        <item x="198"/>
        <item x="99"/>
        <item x="364"/>
        <item x="110"/>
        <item x="339"/>
        <item x="23"/>
        <item x="190"/>
        <item x="60"/>
        <item x="279"/>
        <item x="50"/>
        <item x="83"/>
        <item x="130"/>
        <item x="245"/>
        <item x="342"/>
        <item x="218"/>
        <item x="287"/>
        <item x="26"/>
        <item x="298"/>
        <item x="88"/>
        <item x="357"/>
        <item x="337"/>
        <item x="141"/>
        <item x="168"/>
        <item x="346"/>
        <item x="107"/>
        <item x="297"/>
        <item x="211"/>
        <item x="5"/>
        <item x="12"/>
        <item x="145"/>
        <item x="349"/>
        <item x="104"/>
        <item x="304"/>
        <item x="71"/>
        <item x="231"/>
        <item x="44"/>
        <item x="64"/>
        <item x="77"/>
        <item x="79"/>
        <item x="291"/>
        <item x="140"/>
        <item x="120"/>
        <item x="205"/>
        <item x="209"/>
        <item x="179"/>
        <item x="33"/>
        <item x="239"/>
        <item x="212"/>
        <item x="76"/>
        <item x="111"/>
        <item x="352"/>
        <item x="146"/>
        <item x="162"/>
        <item x="123"/>
        <item x="248"/>
        <item x="277"/>
        <item x="309"/>
        <item x="68"/>
        <item x="86"/>
        <item x="201"/>
        <item x="283"/>
        <item x="280"/>
        <item x="156"/>
        <item x="276"/>
        <item x="199"/>
        <item x="103"/>
        <item x="253"/>
        <item x="258"/>
        <item x="345"/>
        <item x="232"/>
        <item x="58"/>
        <item x="326"/>
        <item x="46"/>
        <item x="38"/>
        <item x="119"/>
        <item x="176"/>
        <item x="354"/>
        <item x="281"/>
        <item x="222"/>
        <item x="138"/>
        <item x="4"/>
        <item x="52"/>
        <item x="137"/>
        <item x="242"/>
        <item x="227"/>
        <item x="165"/>
        <item x="348"/>
        <item x="334"/>
        <item x="230"/>
        <item x="316"/>
        <item x="20"/>
        <item x="169"/>
        <item x="359"/>
        <item x="133"/>
        <item x="131"/>
        <item x="305"/>
        <item x="54"/>
        <item x="288"/>
        <item x="299"/>
        <item x="294"/>
        <item x="206"/>
        <item x="132"/>
        <item x="122"/>
        <item x="177"/>
        <item x="365"/>
        <item x="74"/>
        <item x="260"/>
        <item x="1"/>
        <item x="159"/>
        <item x="63"/>
        <item x="202"/>
        <item x="285"/>
        <item x="318"/>
        <item x="302"/>
        <item x="84"/>
        <item x="56"/>
        <item x="24"/>
        <item x="181"/>
        <item x="153"/>
        <item x="15"/>
        <item x="324"/>
        <item x="183"/>
        <item x="67"/>
        <item x="13"/>
        <item x="214"/>
        <item x="31"/>
        <item x="189"/>
        <item x="161"/>
        <item x="106"/>
        <item x="286"/>
        <item x="97"/>
        <item x="310"/>
        <item x="272"/>
        <item x="265"/>
        <item x="59"/>
        <item x="221"/>
        <item x="332"/>
        <item x="250"/>
        <item x="180"/>
        <item x="274"/>
        <item x="240"/>
        <item x="93"/>
        <item x="55"/>
        <item x="226"/>
        <item x="27"/>
        <item x="344"/>
        <item x="115"/>
        <item x="25"/>
        <item x="39"/>
        <item x="261"/>
        <item x="320"/>
        <item x="81"/>
        <item x="314"/>
        <item x="217"/>
        <item x="210"/>
        <item x="358"/>
        <item x="100"/>
        <item x="338"/>
        <item x="254"/>
        <item x="173"/>
        <item x="136"/>
        <item x="155"/>
        <item x="166"/>
        <item x="200"/>
        <item x="208"/>
        <item x="41"/>
        <item x="273"/>
        <item x="347"/>
        <item x="311"/>
        <item x="91"/>
        <item x="164"/>
        <item x="317"/>
        <item x="57"/>
        <item x="243"/>
        <item x="278"/>
        <item x="19"/>
        <item x="256"/>
        <item x="87"/>
        <item x="35"/>
        <item x="312"/>
        <item x="82"/>
        <item x="290"/>
        <item x="264"/>
        <item x="121"/>
        <item x="94"/>
        <item x="147"/>
        <item x="113"/>
        <item x="289"/>
        <item x="10"/>
        <item x="236"/>
        <item x="29"/>
        <item x="313"/>
        <item x="331"/>
        <item x="184"/>
        <item x="191"/>
        <item x="95"/>
        <item x="30"/>
        <item x="174"/>
        <item x="85"/>
        <item x="235"/>
        <item x="300"/>
        <item x="109"/>
        <item x="195"/>
        <item x="80"/>
        <item x="73"/>
        <item x="43"/>
        <item x="3"/>
        <item x="101"/>
        <item x="6"/>
        <item x="36"/>
        <item x="125"/>
        <item x="49"/>
        <item x="292"/>
        <item x="269"/>
        <item x="112"/>
        <item x="40"/>
        <item x="117"/>
        <item x="188"/>
        <item x="350"/>
        <item x="69"/>
        <item x="284"/>
        <item x="259"/>
        <item x="330"/>
        <item x="18"/>
        <item x="178"/>
        <item x="293"/>
        <item x="187"/>
        <item x="321"/>
        <item x="89"/>
        <item x="335"/>
        <item x="266"/>
        <item x="282"/>
        <item x="267"/>
        <item x="327"/>
        <item x="303"/>
        <item x="215"/>
        <item x="251"/>
        <item x="351"/>
        <item x="307"/>
        <item x="367"/>
        <item x="72"/>
        <item x="356"/>
        <item x="48"/>
        <item x="9"/>
        <item x="90"/>
        <item x="108"/>
        <item x="163"/>
        <item x="62"/>
        <item x="134"/>
        <item x="323"/>
        <item x="262"/>
        <item x="150"/>
        <item x="28"/>
        <item x="319"/>
        <item x="135"/>
        <item x="160"/>
        <item x="207"/>
        <item x="96"/>
        <item x="2"/>
        <item t="default"/>
      </items>
    </pivotField>
    <pivotField numFmtId="49"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tant Recalculé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F12FF-65BB-47CD-82B5-BF7BD0D076D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5" firstHeaderRow="1" firstDataRow="1" firstDataCol="1"/>
  <pivotFields count="17">
    <pivotField showAll="0"/>
    <pivotField numFmtId="164" showAll="0">
      <items count="382">
        <item x="377"/>
        <item x="373"/>
        <item x="375"/>
        <item x="370"/>
        <item x="380"/>
        <item x="376"/>
        <item x="374"/>
        <item x="369"/>
        <item x="371"/>
        <item x="372"/>
        <item x="363"/>
        <item x="379"/>
        <item x="257"/>
        <item x="368"/>
        <item x="378"/>
        <item x="241"/>
        <item x="8"/>
        <item x="175"/>
        <item x="148"/>
        <item x="16"/>
        <item x="308"/>
        <item x="129"/>
        <item x="237"/>
        <item x="171"/>
        <item x="220"/>
        <item x="172"/>
        <item x="143"/>
        <item x="105"/>
        <item x="322"/>
        <item x="11"/>
        <item x="343"/>
        <item x="144"/>
        <item x="328"/>
        <item x="225"/>
        <item x="223"/>
        <item x="238"/>
        <item x="34"/>
        <item x="116"/>
        <item x="224"/>
        <item x="142"/>
        <item x="271"/>
        <item x="296"/>
        <item x="98"/>
        <item x="149"/>
        <item x="315"/>
        <item x="336"/>
        <item x="341"/>
        <item x="360"/>
        <item x="92"/>
        <item x="7"/>
        <item x="366"/>
        <item x="306"/>
        <item x="247"/>
        <item x="42"/>
        <item x="362"/>
        <item x="252"/>
        <item x="213"/>
        <item x="197"/>
        <item x="186"/>
        <item x="17"/>
        <item x="170"/>
        <item x="75"/>
        <item x="14"/>
        <item x="124"/>
        <item x="361"/>
        <item x="353"/>
        <item x="22"/>
        <item x="65"/>
        <item x="268"/>
        <item x="139"/>
        <item x="295"/>
        <item x="325"/>
        <item x="204"/>
        <item x="152"/>
        <item x="47"/>
        <item x="263"/>
        <item x="154"/>
        <item x="45"/>
        <item x="185"/>
        <item x="233"/>
        <item x="234"/>
        <item x="355"/>
        <item x="246"/>
        <item x="192"/>
        <item x="203"/>
        <item x="329"/>
        <item x="301"/>
        <item x="151"/>
        <item x="275"/>
        <item x="61"/>
        <item x="66"/>
        <item x="193"/>
        <item x="126"/>
        <item x="167"/>
        <item x="340"/>
        <item x="158"/>
        <item x="78"/>
        <item x="244"/>
        <item x="182"/>
        <item x="196"/>
        <item x="53"/>
        <item x="127"/>
        <item x="219"/>
        <item x="51"/>
        <item x="157"/>
        <item x="70"/>
        <item x="118"/>
        <item x="249"/>
        <item x="102"/>
        <item x="114"/>
        <item x="21"/>
        <item x="128"/>
        <item x="270"/>
        <item x="37"/>
        <item x="255"/>
        <item x="216"/>
        <item x="194"/>
        <item x="0"/>
        <item x="32"/>
        <item x="333"/>
        <item x="228"/>
        <item x="229"/>
        <item x="198"/>
        <item x="99"/>
        <item x="364"/>
        <item x="110"/>
        <item x="339"/>
        <item x="23"/>
        <item x="190"/>
        <item x="60"/>
        <item x="279"/>
        <item x="50"/>
        <item x="83"/>
        <item x="130"/>
        <item x="245"/>
        <item x="342"/>
        <item x="218"/>
        <item x="287"/>
        <item x="26"/>
        <item x="298"/>
        <item x="88"/>
        <item x="357"/>
        <item x="337"/>
        <item x="141"/>
        <item x="168"/>
        <item x="346"/>
        <item x="107"/>
        <item x="297"/>
        <item x="211"/>
        <item x="5"/>
        <item x="12"/>
        <item x="145"/>
        <item x="349"/>
        <item x="104"/>
        <item x="304"/>
        <item x="71"/>
        <item x="231"/>
        <item x="44"/>
        <item x="64"/>
        <item x="77"/>
        <item x="79"/>
        <item x="291"/>
        <item x="140"/>
        <item x="120"/>
        <item x="205"/>
        <item x="209"/>
        <item x="179"/>
        <item x="33"/>
        <item x="239"/>
        <item x="212"/>
        <item x="76"/>
        <item x="111"/>
        <item x="352"/>
        <item x="146"/>
        <item x="162"/>
        <item x="123"/>
        <item x="248"/>
        <item x="277"/>
        <item x="309"/>
        <item x="68"/>
        <item x="86"/>
        <item x="201"/>
        <item x="283"/>
        <item x="280"/>
        <item x="156"/>
        <item x="276"/>
        <item x="199"/>
        <item x="103"/>
        <item x="253"/>
        <item x="258"/>
        <item x="345"/>
        <item x="232"/>
        <item x="58"/>
        <item x="326"/>
        <item x="46"/>
        <item x="38"/>
        <item x="119"/>
        <item x="176"/>
        <item x="354"/>
        <item x="281"/>
        <item x="222"/>
        <item x="138"/>
        <item x="4"/>
        <item x="52"/>
        <item x="137"/>
        <item x="242"/>
        <item x="227"/>
        <item x="165"/>
        <item x="348"/>
        <item x="334"/>
        <item x="230"/>
        <item x="316"/>
        <item x="20"/>
        <item x="169"/>
        <item x="359"/>
        <item x="133"/>
        <item x="131"/>
        <item x="305"/>
        <item x="54"/>
        <item x="288"/>
        <item x="299"/>
        <item x="294"/>
        <item x="206"/>
        <item x="132"/>
        <item x="122"/>
        <item x="177"/>
        <item x="365"/>
        <item x="74"/>
        <item x="260"/>
        <item x="1"/>
        <item x="159"/>
        <item x="63"/>
        <item x="202"/>
        <item x="285"/>
        <item x="318"/>
        <item x="302"/>
        <item x="84"/>
        <item x="56"/>
        <item x="24"/>
        <item x="181"/>
        <item x="153"/>
        <item x="15"/>
        <item x="324"/>
        <item x="183"/>
        <item x="67"/>
        <item x="13"/>
        <item x="214"/>
        <item x="31"/>
        <item x="189"/>
        <item x="161"/>
        <item x="106"/>
        <item x="286"/>
        <item x="97"/>
        <item x="310"/>
        <item x="272"/>
        <item x="265"/>
        <item x="59"/>
        <item x="221"/>
        <item x="332"/>
        <item x="250"/>
        <item x="180"/>
        <item x="274"/>
        <item x="240"/>
        <item x="93"/>
        <item x="55"/>
        <item x="226"/>
        <item x="27"/>
        <item x="344"/>
        <item x="115"/>
        <item x="25"/>
        <item x="39"/>
        <item x="261"/>
        <item x="320"/>
        <item x="81"/>
        <item x="314"/>
        <item x="217"/>
        <item x="210"/>
        <item x="358"/>
        <item x="100"/>
        <item x="338"/>
        <item x="254"/>
        <item x="173"/>
        <item x="136"/>
        <item x="155"/>
        <item x="166"/>
        <item x="200"/>
        <item x="208"/>
        <item x="41"/>
        <item x="273"/>
        <item x="347"/>
        <item x="311"/>
        <item x="91"/>
        <item x="164"/>
        <item x="317"/>
        <item x="57"/>
        <item x="243"/>
        <item x="278"/>
        <item x="19"/>
        <item x="256"/>
        <item x="87"/>
        <item x="35"/>
        <item x="312"/>
        <item x="82"/>
        <item x="290"/>
        <item x="264"/>
        <item x="121"/>
        <item x="94"/>
        <item x="147"/>
        <item x="113"/>
        <item x="289"/>
        <item x="10"/>
        <item x="236"/>
        <item x="29"/>
        <item x="313"/>
        <item x="331"/>
        <item x="184"/>
        <item x="191"/>
        <item x="95"/>
        <item x="30"/>
        <item x="174"/>
        <item x="85"/>
        <item x="235"/>
        <item x="300"/>
        <item x="109"/>
        <item x="195"/>
        <item x="80"/>
        <item x="73"/>
        <item x="43"/>
        <item x="3"/>
        <item x="101"/>
        <item x="6"/>
        <item x="36"/>
        <item x="125"/>
        <item x="49"/>
        <item x="292"/>
        <item x="269"/>
        <item x="112"/>
        <item x="40"/>
        <item x="117"/>
        <item x="188"/>
        <item x="350"/>
        <item x="69"/>
        <item x="284"/>
        <item x="259"/>
        <item x="330"/>
        <item x="18"/>
        <item x="178"/>
        <item x="293"/>
        <item x="187"/>
        <item x="321"/>
        <item x="89"/>
        <item x="335"/>
        <item x="266"/>
        <item x="282"/>
        <item x="267"/>
        <item x="327"/>
        <item x="303"/>
        <item x="215"/>
        <item x="251"/>
        <item x="351"/>
        <item x="307"/>
        <item x="367"/>
        <item x="72"/>
        <item x="356"/>
        <item x="48"/>
        <item x="9"/>
        <item x="90"/>
        <item x="108"/>
        <item x="163"/>
        <item x="62"/>
        <item x="134"/>
        <item x="323"/>
        <item x="262"/>
        <item x="150"/>
        <item x="28"/>
        <item x="319"/>
        <item x="135"/>
        <item x="160"/>
        <item x="207"/>
        <item x="96"/>
        <item x="2"/>
        <item t="default"/>
      </items>
    </pivotField>
    <pivotField numFmtId="49" showAll="0"/>
    <pivotField axis="axisRow" showAll="0" measureFilter="1" sortType="descending">
      <items count="301">
        <item x="66"/>
        <item x="234"/>
        <item x="264"/>
        <item x="278"/>
        <item x="74"/>
        <item x="64"/>
        <item x="52"/>
        <item x="173"/>
        <item x="51"/>
        <item x="41"/>
        <item x="119"/>
        <item x="58"/>
        <item x="126"/>
        <item x="6"/>
        <item x="133"/>
        <item x="288"/>
        <item x="96"/>
        <item x="265"/>
        <item x="245"/>
        <item x="285"/>
        <item x="5"/>
        <item x="3"/>
        <item x="65"/>
        <item x="226"/>
        <item x="259"/>
        <item x="113"/>
        <item x="106"/>
        <item x="59"/>
        <item x="172"/>
        <item x="71"/>
        <item x="206"/>
        <item x="178"/>
        <item x="236"/>
        <item x="287"/>
        <item x="43"/>
        <item x="33"/>
        <item x="293"/>
        <item x="91"/>
        <item x="110"/>
        <item x="247"/>
        <item x="12"/>
        <item x="0"/>
        <item x="231"/>
        <item x="179"/>
        <item x="125"/>
        <item x="225"/>
        <item x="36"/>
        <item x="246"/>
        <item x="284"/>
        <item x="143"/>
        <item x="251"/>
        <item x="252"/>
        <item x="214"/>
        <item x="8"/>
        <item x="101"/>
        <item x="204"/>
        <item x="111"/>
        <item x="129"/>
        <item x="240"/>
        <item x="88"/>
        <item x="260"/>
        <item x="13"/>
        <item x="11"/>
        <item x="205"/>
        <item x="10"/>
        <item x="258"/>
        <item x="164"/>
        <item x="220"/>
        <item x="49"/>
        <item x="84"/>
        <item x="276"/>
        <item x="134"/>
        <item x="197"/>
        <item x="154"/>
        <item x="69"/>
        <item x="198"/>
        <item x="159"/>
        <item x="75"/>
        <item x="166"/>
        <item x="233"/>
        <item x="298"/>
        <item x="163"/>
        <item x="212"/>
        <item x="97"/>
        <item x="286"/>
        <item x="189"/>
        <item x="139"/>
        <item x="1"/>
        <item x="89"/>
        <item x="137"/>
        <item x="209"/>
        <item x="34"/>
        <item x="142"/>
        <item x="222"/>
        <item x="29"/>
        <item x="269"/>
        <item x="242"/>
        <item x="70"/>
        <item x="24"/>
        <item x="218"/>
        <item x="193"/>
        <item x="254"/>
        <item x="201"/>
        <item x="31"/>
        <item x="44"/>
        <item x="161"/>
        <item x="184"/>
        <item x="195"/>
        <item x="200"/>
        <item x="152"/>
        <item x="109"/>
        <item x="270"/>
        <item x="171"/>
        <item x="124"/>
        <item x="93"/>
        <item x="210"/>
        <item x="56"/>
        <item x="244"/>
        <item x="216"/>
        <item x="122"/>
        <item x="17"/>
        <item x="107"/>
        <item x="123"/>
        <item x="235"/>
        <item x="144"/>
        <item x="219"/>
        <item x="77"/>
        <item x="16"/>
        <item x="23"/>
        <item x="146"/>
        <item x="277"/>
        <item x="151"/>
        <item x="94"/>
        <item x="239"/>
        <item x="267"/>
        <item x="53"/>
        <item x="18"/>
        <item x="72"/>
        <item x="208"/>
        <item x="85"/>
        <item x="165"/>
        <item x="294"/>
        <item x="158"/>
        <item x="266"/>
        <item x="121"/>
        <item x="81"/>
        <item x="22"/>
        <item x="215"/>
        <item x="255"/>
        <item x="141"/>
        <item x="50"/>
        <item x="47"/>
        <item x="176"/>
        <item x="78"/>
        <item x="224"/>
        <item x="148"/>
        <item x="90"/>
        <item x="104"/>
        <item x="92"/>
        <item x="167"/>
        <item x="136"/>
        <item x="130"/>
        <item x="262"/>
        <item x="169"/>
        <item x="188"/>
        <item x="99"/>
        <item x="157"/>
        <item x="86"/>
        <item x="230"/>
        <item x="32"/>
        <item x="211"/>
        <item x="177"/>
        <item x="155"/>
        <item x="30"/>
        <item x="98"/>
        <item x="114"/>
        <item x="46"/>
        <item x="187"/>
        <item x="299"/>
        <item x="162"/>
        <item x="132"/>
        <item x="186"/>
        <item x="170"/>
        <item x="257"/>
        <item x="40"/>
        <item x="182"/>
        <item x="21"/>
        <item x="127"/>
        <item x="297"/>
        <item x="35"/>
        <item x="261"/>
        <item x="39"/>
        <item x="232"/>
        <item x="26"/>
        <item x="27"/>
        <item x="128"/>
        <item x="103"/>
        <item x="295"/>
        <item x="275"/>
        <item x="112"/>
        <item x="60"/>
        <item x="54"/>
        <item x="57"/>
        <item x="249"/>
        <item x="280"/>
        <item x="7"/>
        <item x="241"/>
        <item x="156"/>
        <item x="243"/>
        <item x="116"/>
        <item x="194"/>
        <item x="228"/>
        <item x="9"/>
        <item x="135"/>
        <item x="237"/>
        <item x="223"/>
        <item x="45"/>
        <item x="14"/>
        <item x="168"/>
        <item x="185"/>
        <item x="274"/>
        <item x="221"/>
        <item x="115"/>
        <item x="62"/>
        <item x="273"/>
        <item x="281"/>
        <item x="117"/>
        <item x="174"/>
        <item x="83"/>
        <item x="263"/>
        <item x="180"/>
        <item x="279"/>
        <item x="19"/>
        <item x="181"/>
        <item x="73"/>
        <item x="82"/>
        <item x="15"/>
        <item x="28"/>
        <item x="79"/>
        <item x="291"/>
        <item x="160"/>
        <item x="55"/>
        <item x="283"/>
        <item x="271"/>
        <item x="118"/>
        <item x="105"/>
        <item x="20"/>
        <item x="190"/>
        <item x="227"/>
        <item x="42"/>
        <item x="68"/>
        <item x="282"/>
        <item x="250"/>
        <item x="25"/>
        <item x="175"/>
        <item x="61"/>
        <item x="76"/>
        <item x="2"/>
        <item x="67"/>
        <item x="183"/>
        <item x="147"/>
        <item x="120"/>
        <item x="102"/>
        <item x="138"/>
        <item x="87"/>
        <item x="100"/>
        <item x="191"/>
        <item x="192"/>
        <item x="248"/>
        <item x="196"/>
        <item x="4"/>
        <item x="229"/>
        <item x="217"/>
        <item x="131"/>
        <item x="37"/>
        <item x="199"/>
        <item x="153"/>
        <item x="253"/>
        <item x="38"/>
        <item x="289"/>
        <item x="292"/>
        <item x="145"/>
        <item x="63"/>
        <item x="203"/>
        <item x="207"/>
        <item x="48"/>
        <item x="95"/>
        <item x="140"/>
        <item x="150"/>
        <item x="290"/>
        <item x="238"/>
        <item x="108"/>
        <item x="296"/>
        <item x="149"/>
        <item x="213"/>
        <item x="202"/>
        <item x="272"/>
        <item x="268"/>
        <item x="256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numFmtId="165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1">
    <i>
      <x v="41"/>
    </i>
    <i>
      <x v="69"/>
    </i>
    <i>
      <x v="18"/>
    </i>
    <i>
      <x v="222"/>
    </i>
    <i>
      <x v="245"/>
    </i>
    <i>
      <x v="64"/>
    </i>
    <i>
      <x v="87"/>
    </i>
    <i>
      <x v="207"/>
    </i>
    <i>
      <x v="252"/>
    </i>
    <i>
      <x v="136"/>
    </i>
    <i t="grand">
      <x/>
    </i>
  </rowItems>
  <colItems count="1">
    <i/>
  </colItems>
  <dataFields count="1">
    <dataField name="Sum of Montant Recalculé" fld="10" baseField="0" baseItem="0" numFmtId="165"/>
  </dataField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3900-BB19-4E24-B924-CA9E4AAD3AB3}">
  <sheetPr>
    <tabColor theme="1" tint="0.499984740745262"/>
  </sheetPr>
  <dimension ref="A1:N5001"/>
  <sheetViews>
    <sheetView showGridLines="0" zoomScale="77" workbookViewId="0">
      <selection activeCell="S13" sqref="S13"/>
    </sheetView>
  </sheetViews>
  <sheetFormatPr defaultRowHeight="14.4" x14ac:dyDescent="0.3"/>
  <cols>
    <col min="1" max="1" width="15.21875" bestFit="1" customWidth="1"/>
    <col min="2" max="2" width="10.33203125" bestFit="1" customWidth="1"/>
    <col min="3" max="3" width="6.44140625" bestFit="1" customWidth="1"/>
    <col min="4" max="4" width="11.88671875" bestFit="1" customWidth="1"/>
    <col min="5" max="5" width="13.21875" bestFit="1" customWidth="1"/>
    <col min="6" max="6" width="18.77734375" bestFit="1" customWidth="1"/>
    <col min="7" max="7" width="10.44140625" bestFit="1" customWidth="1"/>
    <col min="8" max="8" width="8.6640625" bestFit="1" customWidth="1"/>
    <col min="9" max="9" width="9.6640625" bestFit="1" customWidth="1"/>
    <col min="10" max="10" width="9.21875" bestFit="1" customWidth="1"/>
    <col min="11" max="11" width="17.109375" bestFit="1" customWidth="1"/>
    <col min="12" max="12" width="6.21875" bestFit="1" customWidth="1"/>
    <col min="13" max="13" width="10.88671875" bestFit="1" customWidth="1"/>
    <col min="14" max="14" width="7.88671875" bestFit="1" customWidth="1"/>
  </cols>
  <sheetData>
    <row r="1" spans="1:14" x14ac:dyDescent="0.3">
      <c r="A1" s="10" t="s">
        <v>0</v>
      </c>
      <c r="B1" s="10" t="s">
        <v>1</v>
      </c>
      <c r="C1" s="10" t="s">
        <v>377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378</v>
      </c>
      <c r="L1" s="10" t="s">
        <v>379</v>
      </c>
      <c r="M1" s="10" t="s">
        <v>9</v>
      </c>
      <c r="N1" s="10" t="s">
        <v>10</v>
      </c>
    </row>
    <row r="2" spans="1:14" x14ac:dyDescent="0.3">
      <c r="A2">
        <v>2024001000</v>
      </c>
      <c r="B2" s="1">
        <v>45394</v>
      </c>
      <c r="C2" s="11">
        <f>YEAR(B2)</f>
        <v>2024</v>
      </c>
      <c r="D2" t="s">
        <v>11</v>
      </c>
      <c r="E2" t="s">
        <v>12</v>
      </c>
      <c r="F2" t="s">
        <v>13</v>
      </c>
      <c r="G2" t="s">
        <v>14</v>
      </c>
      <c r="H2">
        <v>4</v>
      </c>
      <c r="I2" s="2">
        <v>361.33</v>
      </c>
      <c r="J2" s="2">
        <v>1445.32</v>
      </c>
      <c r="K2" s="2">
        <f>I2*H2</f>
        <v>1445.32</v>
      </c>
      <c r="L2" s="2">
        <f>J2-K2</f>
        <v>0</v>
      </c>
      <c r="M2" t="s">
        <v>15</v>
      </c>
      <c r="N2" t="s">
        <v>16</v>
      </c>
    </row>
    <row r="3" spans="1:14" x14ac:dyDescent="0.3">
      <c r="A3">
        <v>2024001001</v>
      </c>
      <c r="B3" s="1">
        <v>45506</v>
      </c>
      <c r="C3" s="11">
        <f t="shared" ref="C3:C66" si="0">YEAR(B3)</f>
        <v>2024</v>
      </c>
      <c r="D3" t="s">
        <v>17</v>
      </c>
      <c r="E3" t="s">
        <v>18</v>
      </c>
      <c r="F3" t="s">
        <v>19</v>
      </c>
      <c r="G3" t="s">
        <v>14</v>
      </c>
      <c r="H3">
        <v>2</v>
      </c>
      <c r="I3" s="2">
        <v>645.69000000000005</v>
      </c>
      <c r="J3" s="2">
        <v>1291.3800000000001</v>
      </c>
      <c r="K3" s="2">
        <f t="shared" ref="K3:K66" si="1">I3*H3</f>
        <v>1291.3800000000001</v>
      </c>
      <c r="L3" s="2">
        <f t="shared" ref="L3:L66" si="2">J3-K3</f>
        <v>0</v>
      </c>
      <c r="M3" t="s">
        <v>20</v>
      </c>
      <c r="N3" t="s">
        <v>21</v>
      </c>
    </row>
    <row r="4" spans="1:14" x14ac:dyDescent="0.3">
      <c r="A4">
        <v>2024001002</v>
      </c>
      <c r="B4" s="1">
        <v>45657</v>
      </c>
      <c r="C4" s="11">
        <f t="shared" si="0"/>
        <v>2024</v>
      </c>
      <c r="D4" t="s">
        <v>22</v>
      </c>
      <c r="E4" t="s">
        <v>23</v>
      </c>
      <c r="F4" t="s">
        <v>24</v>
      </c>
      <c r="G4" t="s">
        <v>14</v>
      </c>
      <c r="H4">
        <v>3</v>
      </c>
      <c r="I4" s="2">
        <v>77.680000000000007</v>
      </c>
      <c r="J4" s="2">
        <v>233.04</v>
      </c>
      <c r="K4" s="2">
        <f t="shared" si="1"/>
        <v>233.04000000000002</v>
      </c>
      <c r="L4" s="2">
        <f t="shared" si="2"/>
        <v>0</v>
      </c>
      <c r="M4" t="s">
        <v>25</v>
      </c>
      <c r="N4" t="s">
        <v>26</v>
      </c>
    </row>
    <row r="5" spans="1:14" x14ac:dyDescent="0.3">
      <c r="A5">
        <v>2024001003</v>
      </c>
      <c r="B5" s="1">
        <v>45605</v>
      </c>
      <c r="C5" s="11">
        <f t="shared" si="0"/>
        <v>2024</v>
      </c>
      <c r="D5" t="s">
        <v>27</v>
      </c>
      <c r="E5" t="s">
        <v>28</v>
      </c>
      <c r="F5" t="s">
        <v>29</v>
      </c>
      <c r="G5" t="s">
        <v>30</v>
      </c>
      <c r="H5">
        <v>1</v>
      </c>
      <c r="I5" s="2">
        <v>24.34</v>
      </c>
      <c r="J5" s="2">
        <v>24.34</v>
      </c>
      <c r="K5" s="2">
        <f t="shared" si="1"/>
        <v>24.34</v>
      </c>
      <c r="L5" s="2">
        <f t="shared" si="2"/>
        <v>0</v>
      </c>
      <c r="M5" t="s">
        <v>31</v>
      </c>
      <c r="N5" t="s">
        <v>32</v>
      </c>
    </row>
    <row r="6" spans="1:14" x14ac:dyDescent="0.3">
      <c r="A6">
        <v>2024001004</v>
      </c>
      <c r="B6" s="1">
        <v>45479</v>
      </c>
      <c r="C6" s="11">
        <f t="shared" si="0"/>
        <v>2024</v>
      </c>
      <c r="D6" t="s">
        <v>33</v>
      </c>
      <c r="E6" t="s">
        <v>34</v>
      </c>
      <c r="F6" t="s">
        <v>35</v>
      </c>
      <c r="G6" t="s">
        <v>36</v>
      </c>
      <c r="H6">
        <v>1</v>
      </c>
      <c r="I6" s="2">
        <v>14.98</v>
      </c>
      <c r="J6" s="2">
        <v>14.98</v>
      </c>
      <c r="K6" s="2">
        <f t="shared" si="1"/>
        <v>14.98</v>
      </c>
      <c r="L6" s="2">
        <f t="shared" si="2"/>
        <v>0</v>
      </c>
      <c r="M6" t="s">
        <v>25</v>
      </c>
      <c r="N6" t="s">
        <v>21</v>
      </c>
    </row>
    <row r="7" spans="1:14" x14ac:dyDescent="0.3">
      <c r="A7">
        <v>2024001005</v>
      </c>
      <c r="B7" s="1">
        <v>45426</v>
      </c>
      <c r="C7" s="11">
        <f t="shared" si="0"/>
        <v>2024</v>
      </c>
      <c r="D7" t="s">
        <v>37</v>
      </c>
      <c r="E7" t="s">
        <v>28</v>
      </c>
      <c r="F7" t="s">
        <v>29</v>
      </c>
      <c r="G7" t="s">
        <v>30</v>
      </c>
      <c r="H7">
        <v>1</v>
      </c>
      <c r="I7" s="2">
        <v>25.44</v>
      </c>
      <c r="J7" s="2">
        <v>25.44</v>
      </c>
      <c r="K7" s="2">
        <f t="shared" si="1"/>
        <v>25.44</v>
      </c>
      <c r="L7" s="2">
        <f t="shared" si="2"/>
        <v>0</v>
      </c>
      <c r="M7" t="s">
        <v>38</v>
      </c>
      <c r="N7" t="s">
        <v>26</v>
      </c>
    </row>
    <row r="8" spans="1:14" x14ac:dyDescent="0.3">
      <c r="A8">
        <v>2024001006</v>
      </c>
      <c r="B8" s="1">
        <v>45607</v>
      </c>
      <c r="C8" s="11">
        <f t="shared" si="0"/>
        <v>2024</v>
      </c>
      <c r="D8" t="s">
        <v>39</v>
      </c>
      <c r="E8" t="s">
        <v>40</v>
      </c>
      <c r="F8" t="s">
        <v>41</v>
      </c>
      <c r="G8" t="s">
        <v>36</v>
      </c>
      <c r="H8">
        <v>1</v>
      </c>
      <c r="I8" s="2">
        <v>46.75</v>
      </c>
      <c r="J8" s="2">
        <v>46.75</v>
      </c>
      <c r="K8" s="2">
        <f t="shared" si="1"/>
        <v>46.75</v>
      </c>
      <c r="L8" s="2">
        <f t="shared" si="2"/>
        <v>0</v>
      </c>
      <c r="M8" t="s">
        <v>20</v>
      </c>
      <c r="N8" t="s">
        <v>21</v>
      </c>
    </row>
    <row r="9" spans="1:14" x14ac:dyDescent="0.3">
      <c r="A9">
        <v>2024001007</v>
      </c>
      <c r="B9" s="1">
        <v>45326</v>
      </c>
      <c r="C9" s="11">
        <f t="shared" si="0"/>
        <v>2024</v>
      </c>
      <c r="D9" t="s">
        <v>42</v>
      </c>
      <c r="E9" t="s">
        <v>43</v>
      </c>
      <c r="F9" t="s">
        <v>44</v>
      </c>
      <c r="G9" t="s">
        <v>36</v>
      </c>
      <c r="H9">
        <v>1</v>
      </c>
      <c r="I9" s="2">
        <v>1133.93</v>
      </c>
      <c r="J9" s="2">
        <v>1133.93</v>
      </c>
      <c r="K9" s="2">
        <f t="shared" si="1"/>
        <v>1133.93</v>
      </c>
      <c r="L9" s="2">
        <f t="shared" si="2"/>
        <v>0</v>
      </c>
      <c r="M9" t="s">
        <v>20</v>
      </c>
      <c r="N9" t="s">
        <v>32</v>
      </c>
    </row>
    <row r="10" spans="1:14" x14ac:dyDescent="0.3">
      <c r="A10">
        <v>2024001008</v>
      </c>
      <c r="B10" s="1">
        <v>45293</v>
      </c>
      <c r="C10" s="11">
        <f t="shared" si="0"/>
        <v>2024</v>
      </c>
      <c r="D10" t="s">
        <v>45</v>
      </c>
      <c r="E10" t="s">
        <v>46</v>
      </c>
      <c r="F10" t="s">
        <v>47</v>
      </c>
      <c r="G10" t="s">
        <v>36</v>
      </c>
      <c r="H10">
        <v>2</v>
      </c>
      <c r="I10" s="2">
        <v>80.2</v>
      </c>
      <c r="J10" s="2">
        <v>160.4</v>
      </c>
      <c r="K10" s="2">
        <f t="shared" si="1"/>
        <v>160.4</v>
      </c>
      <c r="L10" s="2">
        <f t="shared" si="2"/>
        <v>0</v>
      </c>
      <c r="M10" t="s">
        <v>38</v>
      </c>
      <c r="N10" t="s">
        <v>16</v>
      </c>
    </row>
    <row r="11" spans="1:14" x14ac:dyDescent="0.3">
      <c r="A11">
        <v>2024001009</v>
      </c>
      <c r="B11" s="1">
        <v>45642</v>
      </c>
      <c r="C11" s="11">
        <f t="shared" si="0"/>
        <v>2024</v>
      </c>
      <c r="D11" t="s">
        <v>33</v>
      </c>
      <c r="E11" t="s">
        <v>23</v>
      </c>
      <c r="F11" t="s">
        <v>24</v>
      </c>
      <c r="G11" t="s">
        <v>14</v>
      </c>
      <c r="H11">
        <v>2</v>
      </c>
      <c r="I11" s="2">
        <v>75.819999999999993</v>
      </c>
      <c r="J11" s="2">
        <v>151.63999999999999</v>
      </c>
      <c r="K11" s="2">
        <f t="shared" si="1"/>
        <v>151.63999999999999</v>
      </c>
      <c r="L11" s="2">
        <f t="shared" si="2"/>
        <v>0</v>
      </c>
      <c r="M11" t="s">
        <v>48</v>
      </c>
      <c r="N11" t="s">
        <v>16</v>
      </c>
    </row>
    <row r="12" spans="1:14" x14ac:dyDescent="0.3">
      <c r="A12">
        <v>2024001010</v>
      </c>
      <c r="B12" s="1">
        <v>45587</v>
      </c>
      <c r="C12" s="11">
        <f t="shared" si="0"/>
        <v>2024</v>
      </c>
      <c r="D12" t="s">
        <v>49</v>
      </c>
      <c r="E12" t="s">
        <v>40</v>
      </c>
      <c r="F12" t="s">
        <v>41</v>
      </c>
      <c r="G12" t="s">
        <v>36</v>
      </c>
      <c r="H12">
        <v>2</v>
      </c>
      <c r="I12" s="2">
        <v>46.04</v>
      </c>
      <c r="J12" s="2">
        <v>92.08</v>
      </c>
      <c r="K12" s="2">
        <f t="shared" si="1"/>
        <v>92.08</v>
      </c>
      <c r="L12" s="2">
        <f t="shared" si="2"/>
        <v>0</v>
      </c>
      <c r="M12" t="s">
        <v>48</v>
      </c>
      <c r="N12" t="s">
        <v>26</v>
      </c>
    </row>
    <row r="13" spans="1:14" x14ac:dyDescent="0.3">
      <c r="A13">
        <v>2024001011</v>
      </c>
      <c r="B13" s="1">
        <v>45306</v>
      </c>
      <c r="C13" s="11">
        <f t="shared" si="0"/>
        <v>2024</v>
      </c>
      <c r="D13" t="s">
        <v>50</v>
      </c>
      <c r="E13" t="s">
        <v>28</v>
      </c>
      <c r="F13" t="s">
        <v>29</v>
      </c>
      <c r="G13" t="s">
        <v>30</v>
      </c>
      <c r="H13">
        <v>5</v>
      </c>
      <c r="I13" s="2">
        <v>25.11</v>
      </c>
      <c r="J13" s="2">
        <v>125.55</v>
      </c>
      <c r="K13" s="2">
        <f t="shared" si="1"/>
        <v>125.55</v>
      </c>
      <c r="L13" s="2">
        <f t="shared" si="2"/>
        <v>0</v>
      </c>
      <c r="M13" t="s">
        <v>20</v>
      </c>
      <c r="N13" t="s">
        <v>26</v>
      </c>
    </row>
    <row r="14" spans="1:14" x14ac:dyDescent="0.3">
      <c r="A14">
        <v>2024001012</v>
      </c>
      <c r="B14" s="1">
        <v>45427</v>
      </c>
      <c r="C14" s="11">
        <f t="shared" si="0"/>
        <v>2024</v>
      </c>
      <c r="D14" t="s">
        <v>51</v>
      </c>
      <c r="E14" t="s">
        <v>34</v>
      </c>
      <c r="F14" t="s">
        <v>35</v>
      </c>
      <c r="G14" t="s">
        <v>36</v>
      </c>
      <c r="H14">
        <v>2</v>
      </c>
      <c r="I14" s="2">
        <v>15.67</v>
      </c>
      <c r="J14" s="2">
        <v>31.34</v>
      </c>
      <c r="K14" s="2">
        <f t="shared" si="1"/>
        <v>31.34</v>
      </c>
      <c r="L14" s="2">
        <f t="shared" si="2"/>
        <v>0</v>
      </c>
      <c r="M14" t="s">
        <v>25</v>
      </c>
      <c r="N14" t="s">
        <v>16</v>
      </c>
    </row>
    <row r="15" spans="1:14" x14ac:dyDescent="0.3">
      <c r="A15">
        <v>2024001013</v>
      </c>
      <c r="B15" s="1">
        <v>45522</v>
      </c>
      <c r="C15" s="11">
        <f t="shared" si="0"/>
        <v>2024</v>
      </c>
      <c r="D15" t="s">
        <v>52</v>
      </c>
      <c r="E15" t="s">
        <v>53</v>
      </c>
      <c r="F15" t="s">
        <v>54</v>
      </c>
      <c r="G15" t="s">
        <v>36</v>
      </c>
      <c r="H15">
        <v>3</v>
      </c>
      <c r="I15" s="2">
        <v>124.53</v>
      </c>
      <c r="J15" s="2">
        <v>373.59</v>
      </c>
      <c r="K15" s="2">
        <f t="shared" si="1"/>
        <v>373.59000000000003</v>
      </c>
      <c r="L15" s="2">
        <f t="shared" si="2"/>
        <v>0</v>
      </c>
      <c r="M15" t="s">
        <v>55</v>
      </c>
      <c r="N15" t="s">
        <v>26</v>
      </c>
    </row>
    <row r="16" spans="1:14" x14ac:dyDescent="0.3">
      <c r="A16">
        <v>2024001014</v>
      </c>
      <c r="B16" s="1">
        <v>45339</v>
      </c>
      <c r="C16" s="11">
        <f t="shared" si="0"/>
        <v>2024</v>
      </c>
      <c r="D16" t="s">
        <v>56</v>
      </c>
      <c r="E16" t="s">
        <v>23</v>
      </c>
      <c r="F16" t="s">
        <v>24</v>
      </c>
      <c r="G16" t="s">
        <v>14</v>
      </c>
      <c r="H16">
        <v>2</v>
      </c>
      <c r="I16" s="2">
        <v>73.7</v>
      </c>
      <c r="J16" s="2">
        <v>147.4</v>
      </c>
      <c r="K16" s="2">
        <f t="shared" si="1"/>
        <v>147.4</v>
      </c>
      <c r="L16" s="2">
        <f t="shared" si="2"/>
        <v>0</v>
      </c>
      <c r="M16" t="s">
        <v>57</v>
      </c>
      <c r="N16" t="s">
        <v>26</v>
      </c>
    </row>
    <row r="17" spans="1:14" x14ac:dyDescent="0.3">
      <c r="A17">
        <v>2024001015</v>
      </c>
      <c r="B17" s="1">
        <v>45518</v>
      </c>
      <c r="C17" s="11">
        <f t="shared" si="0"/>
        <v>2024</v>
      </c>
      <c r="D17" t="s">
        <v>11</v>
      </c>
      <c r="E17" t="s">
        <v>18</v>
      </c>
      <c r="F17" t="s">
        <v>19</v>
      </c>
      <c r="G17" t="s">
        <v>14</v>
      </c>
      <c r="H17">
        <v>5</v>
      </c>
      <c r="I17" s="2">
        <v>619.14</v>
      </c>
      <c r="J17" s="2">
        <v>3095.7</v>
      </c>
      <c r="K17" s="2">
        <f t="shared" si="1"/>
        <v>3095.7</v>
      </c>
      <c r="L17" s="2">
        <f t="shared" si="2"/>
        <v>0</v>
      </c>
      <c r="M17" t="s">
        <v>57</v>
      </c>
      <c r="N17" t="s">
        <v>26</v>
      </c>
    </row>
    <row r="18" spans="1:14" x14ac:dyDescent="0.3">
      <c r="A18">
        <v>2024001016</v>
      </c>
      <c r="B18" s="1">
        <v>45296</v>
      </c>
      <c r="C18" s="11">
        <f t="shared" si="0"/>
        <v>2024</v>
      </c>
      <c r="D18" t="s">
        <v>58</v>
      </c>
      <c r="E18" t="s">
        <v>53</v>
      </c>
      <c r="F18" t="s">
        <v>54</v>
      </c>
      <c r="G18" t="s">
        <v>36</v>
      </c>
      <c r="H18">
        <v>3</v>
      </c>
      <c r="I18" s="2">
        <v>140.22999999999999</v>
      </c>
      <c r="J18" s="2">
        <v>420.69</v>
      </c>
      <c r="K18" s="2">
        <f t="shared" si="1"/>
        <v>420.68999999999994</v>
      </c>
      <c r="L18" s="2">
        <f t="shared" si="2"/>
        <v>0</v>
      </c>
      <c r="M18" t="s">
        <v>31</v>
      </c>
      <c r="N18" t="s">
        <v>16</v>
      </c>
    </row>
    <row r="19" spans="1:14" x14ac:dyDescent="0.3">
      <c r="A19">
        <v>2024001017</v>
      </c>
      <c r="B19" s="1">
        <v>45657</v>
      </c>
      <c r="C19" s="11">
        <f t="shared" si="0"/>
        <v>2024</v>
      </c>
      <c r="D19" t="s">
        <v>51</v>
      </c>
      <c r="E19" t="s">
        <v>53</v>
      </c>
      <c r="F19" t="s">
        <v>54</v>
      </c>
      <c r="G19" t="s">
        <v>36</v>
      </c>
      <c r="H19">
        <v>1</v>
      </c>
      <c r="I19" s="2">
        <v>114.48</v>
      </c>
      <c r="J19" s="2">
        <v>114.48</v>
      </c>
      <c r="K19" s="2">
        <f t="shared" si="1"/>
        <v>114.48</v>
      </c>
      <c r="L19" s="2">
        <f t="shared" si="2"/>
        <v>0</v>
      </c>
      <c r="M19" t="s">
        <v>38</v>
      </c>
      <c r="N19" t="s">
        <v>16</v>
      </c>
    </row>
    <row r="20" spans="1:14" x14ac:dyDescent="0.3">
      <c r="A20">
        <v>2024001018</v>
      </c>
      <c r="B20" s="1">
        <v>45522</v>
      </c>
      <c r="C20" s="11">
        <f t="shared" si="0"/>
        <v>2024</v>
      </c>
      <c r="D20" t="s">
        <v>59</v>
      </c>
      <c r="E20" t="s">
        <v>12</v>
      </c>
      <c r="F20" t="s">
        <v>13</v>
      </c>
      <c r="G20" t="s">
        <v>14</v>
      </c>
      <c r="H20">
        <v>4</v>
      </c>
      <c r="I20" s="2">
        <v>378.4</v>
      </c>
      <c r="J20" s="2">
        <v>1513.6</v>
      </c>
      <c r="K20" s="2">
        <f t="shared" si="1"/>
        <v>1513.6</v>
      </c>
      <c r="L20" s="2">
        <f t="shared" si="2"/>
        <v>0</v>
      </c>
      <c r="M20" t="s">
        <v>55</v>
      </c>
      <c r="N20" t="s">
        <v>16</v>
      </c>
    </row>
    <row r="21" spans="1:14" x14ac:dyDescent="0.3">
      <c r="A21">
        <v>2024001019</v>
      </c>
      <c r="B21" s="1">
        <v>45336</v>
      </c>
      <c r="C21" s="11">
        <f t="shared" si="0"/>
        <v>2024</v>
      </c>
      <c r="D21" t="s">
        <v>11</v>
      </c>
      <c r="E21" t="s">
        <v>28</v>
      </c>
      <c r="F21" t="s">
        <v>29</v>
      </c>
      <c r="G21" t="s">
        <v>30</v>
      </c>
      <c r="H21">
        <v>1</v>
      </c>
      <c r="I21" s="2">
        <v>26.03</v>
      </c>
      <c r="J21" s="2">
        <v>26.03</v>
      </c>
      <c r="K21" s="2">
        <f t="shared" si="1"/>
        <v>26.03</v>
      </c>
      <c r="L21" s="2">
        <f t="shared" si="2"/>
        <v>0</v>
      </c>
      <c r="M21" t="s">
        <v>38</v>
      </c>
      <c r="N21" t="s">
        <v>16</v>
      </c>
    </row>
    <row r="22" spans="1:14" x14ac:dyDescent="0.3">
      <c r="A22">
        <v>2024001020</v>
      </c>
      <c r="B22" s="1">
        <v>45622</v>
      </c>
      <c r="C22" s="11">
        <f t="shared" si="0"/>
        <v>2024</v>
      </c>
      <c r="D22" t="s">
        <v>60</v>
      </c>
      <c r="E22" t="s">
        <v>46</v>
      </c>
      <c r="F22" t="s">
        <v>47</v>
      </c>
      <c r="G22" t="s">
        <v>36</v>
      </c>
      <c r="H22">
        <v>1</v>
      </c>
      <c r="I22" s="2">
        <v>93.26</v>
      </c>
      <c r="J22" s="2">
        <v>93.26</v>
      </c>
      <c r="K22" s="2">
        <f t="shared" si="1"/>
        <v>93.26</v>
      </c>
      <c r="L22" s="2">
        <f t="shared" si="2"/>
        <v>0</v>
      </c>
      <c r="M22" t="s">
        <v>61</v>
      </c>
      <c r="N22" t="s">
        <v>26</v>
      </c>
    </row>
    <row r="23" spans="1:14" x14ac:dyDescent="0.3">
      <c r="A23">
        <v>2024001021</v>
      </c>
      <c r="B23" s="1">
        <v>45574</v>
      </c>
      <c r="C23" s="11">
        <f t="shared" si="0"/>
        <v>2024</v>
      </c>
      <c r="D23" t="s">
        <v>62</v>
      </c>
      <c r="E23" t="s">
        <v>12</v>
      </c>
      <c r="F23" t="s">
        <v>13</v>
      </c>
      <c r="G23" t="s">
        <v>14</v>
      </c>
      <c r="H23">
        <v>1</v>
      </c>
      <c r="I23" s="2">
        <v>345.52</v>
      </c>
      <c r="J23" s="2">
        <v>345.52</v>
      </c>
      <c r="K23" s="2">
        <f t="shared" si="1"/>
        <v>345.52</v>
      </c>
      <c r="L23" s="2">
        <f t="shared" si="2"/>
        <v>0</v>
      </c>
      <c r="M23" t="s">
        <v>57</v>
      </c>
      <c r="N23" t="s">
        <v>21</v>
      </c>
    </row>
    <row r="24" spans="1:14" x14ac:dyDescent="0.3">
      <c r="A24">
        <v>2024001022</v>
      </c>
      <c r="B24" s="1">
        <v>45489</v>
      </c>
      <c r="C24" s="11">
        <f t="shared" si="0"/>
        <v>2024</v>
      </c>
      <c r="D24" t="s">
        <v>63</v>
      </c>
      <c r="E24" t="s">
        <v>18</v>
      </c>
      <c r="F24" t="s">
        <v>19</v>
      </c>
      <c r="G24" t="s">
        <v>14</v>
      </c>
      <c r="H24">
        <v>2</v>
      </c>
      <c r="I24" s="2">
        <v>572.79</v>
      </c>
      <c r="J24" s="2">
        <v>1145.58</v>
      </c>
      <c r="K24" s="2">
        <f t="shared" si="1"/>
        <v>1145.58</v>
      </c>
      <c r="L24" s="2">
        <f t="shared" si="2"/>
        <v>0</v>
      </c>
      <c r="M24" t="s">
        <v>64</v>
      </c>
      <c r="N24" t="s">
        <v>32</v>
      </c>
    </row>
    <row r="25" spans="1:14" x14ac:dyDescent="0.3">
      <c r="A25">
        <v>2024001023</v>
      </c>
      <c r="B25" s="1">
        <v>45387</v>
      </c>
      <c r="C25" s="11">
        <f t="shared" si="0"/>
        <v>2024</v>
      </c>
      <c r="D25" t="s">
        <v>65</v>
      </c>
      <c r="E25" t="s">
        <v>12</v>
      </c>
      <c r="F25" t="s">
        <v>13</v>
      </c>
      <c r="G25" t="s">
        <v>14</v>
      </c>
      <c r="H25">
        <v>1</v>
      </c>
      <c r="I25" s="2">
        <v>335.7</v>
      </c>
      <c r="J25" s="2">
        <v>335.7</v>
      </c>
      <c r="K25" s="2">
        <f t="shared" si="1"/>
        <v>335.7</v>
      </c>
      <c r="L25" s="2">
        <f t="shared" si="2"/>
        <v>0</v>
      </c>
      <c r="M25" t="s">
        <v>61</v>
      </c>
      <c r="N25" t="s">
        <v>16</v>
      </c>
    </row>
    <row r="26" spans="1:14" x14ac:dyDescent="0.3">
      <c r="A26">
        <v>2024001024</v>
      </c>
      <c r="B26" s="1">
        <v>45343</v>
      </c>
      <c r="C26" s="11">
        <f t="shared" si="0"/>
        <v>2024</v>
      </c>
      <c r="D26" t="s">
        <v>11</v>
      </c>
      <c r="E26" t="s">
        <v>53</v>
      </c>
      <c r="F26" t="s">
        <v>54</v>
      </c>
      <c r="G26" t="s">
        <v>36</v>
      </c>
      <c r="H26">
        <v>1</v>
      </c>
      <c r="I26" s="2">
        <v>113.56</v>
      </c>
      <c r="J26" s="2">
        <v>113.56</v>
      </c>
      <c r="K26" s="2">
        <f t="shared" si="1"/>
        <v>113.56</v>
      </c>
      <c r="L26" s="2">
        <f t="shared" si="2"/>
        <v>0</v>
      </c>
      <c r="M26" t="s">
        <v>61</v>
      </c>
      <c r="N26" t="s">
        <v>21</v>
      </c>
    </row>
    <row r="27" spans="1:14" x14ac:dyDescent="0.3">
      <c r="A27">
        <v>2024001025</v>
      </c>
      <c r="B27" s="1">
        <v>45404</v>
      </c>
      <c r="C27" s="11">
        <f t="shared" si="0"/>
        <v>2024</v>
      </c>
      <c r="D27" t="s">
        <v>11</v>
      </c>
      <c r="E27" t="s">
        <v>40</v>
      </c>
      <c r="F27" t="s">
        <v>41</v>
      </c>
      <c r="G27" t="s">
        <v>36</v>
      </c>
      <c r="H27">
        <v>2</v>
      </c>
      <c r="I27" s="2">
        <v>42.77</v>
      </c>
      <c r="J27" s="2">
        <v>85.54</v>
      </c>
      <c r="K27" s="2">
        <f t="shared" si="1"/>
        <v>85.54</v>
      </c>
      <c r="L27" s="2">
        <f t="shared" si="2"/>
        <v>0</v>
      </c>
      <c r="M27" t="s">
        <v>64</v>
      </c>
      <c r="N27" t="s">
        <v>21</v>
      </c>
    </row>
    <row r="28" spans="1:14" x14ac:dyDescent="0.3">
      <c r="A28">
        <v>2024001026</v>
      </c>
      <c r="B28" s="1">
        <v>45515</v>
      </c>
      <c r="C28" s="11">
        <f t="shared" si="0"/>
        <v>2024</v>
      </c>
      <c r="D28" t="s">
        <v>11</v>
      </c>
      <c r="E28" t="s">
        <v>43</v>
      </c>
      <c r="F28" t="s">
        <v>44</v>
      </c>
      <c r="G28" t="s">
        <v>36</v>
      </c>
      <c r="H28">
        <v>2</v>
      </c>
      <c r="I28" s="2">
        <v>1220.28</v>
      </c>
      <c r="J28" s="2">
        <v>2440.56</v>
      </c>
      <c r="K28" s="2">
        <f t="shared" si="1"/>
        <v>2440.56</v>
      </c>
      <c r="L28" s="2">
        <f t="shared" si="2"/>
        <v>0</v>
      </c>
      <c r="M28" t="s">
        <v>31</v>
      </c>
      <c r="N28" t="s">
        <v>32</v>
      </c>
    </row>
    <row r="29" spans="1:14" x14ac:dyDescent="0.3">
      <c r="A29">
        <v>2024001027</v>
      </c>
      <c r="B29" s="1">
        <v>45489</v>
      </c>
      <c r="C29" s="11">
        <f t="shared" si="0"/>
        <v>2024</v>
      </c>
      <c r="D29" t="s">
        <v>66</v>
      </c>
      <c r="E29" t="s">
        <v>12</v>
      </c>
      <c r="F29" t="s">
        <v>13</v>
      </c>
      <c r="G29" t="s">
        <v>14</v>
      </c>
      <c r="H29">
        <v>1</v>
      </c>
      <c r="I29" s="2">
        <v>384.55</v>
      </c>
      <c r="J29" s="2">
        <v>384.55</v>
      </c>
      <c r="K29" s="2">
        <f t="shared" si="1"/>
        <v>384.55</v>
      </c>
      <c r="L29" s="2">
        <f t="shared" si="2"/>
        <v>0</v>
      </c>
      <c r="M29" t="s">
        <v>20</v>
      </c>
      <c r="N29" t="s">
        <v>21</v>
      </c>
    </row>
    <row r="30" spans="1:14" x14ac:dyDescent="0.3">
      <c r="A30">
        <v>2024001028</v>
      </c>
      <c r="B30" s="1">
        <v>45546</v>
      </c>
      <c r="C30" s="11">
        <f t="shared" si="0"/>
        <v>2024</v>
      </c>
      <c r="D30" t="s">
        <v>11</v>
      </c>
      <c r="E30" t="s">
        <v>67</v>
      </c>
      <c r="F30" t="s">
        <v>68</v>
      </c>
      <c r="G30" t="s">
        <v>36</v>
      </c>
      <c r="H30">
        <v>1</v>
      </c>
      <c r="I30" s="2">
        <v>428.1</v>
      </c>
      <c r="J30" s="2">
        <v>428.1</v>
      </c>
      <c r="K30" s="2">
        <f t="shared" si="1"/>
        <v>428.1</v>
      </c>
      <c r="L30" s="2">
        <f t="shared" si="2"/>
        <v>0</v>
      </c>
      <c r="M30" t="s">
        <v>61</v>
      </c>
      <c r="N30" t="s">
        <v>26</v>
      </c>
    </row>
    <row r="31" spans="1:14" x14ac:dyDescent="0.3">
      <c r="A31">
        <v>2024001029</v>
      </c>
      <c r="B31" s="1">
        <v>45415</v>
      </c>
      <c r="C31" s="11">
        <f t="shared" si="0"/>
        <v>2024</v>
      </c>
      <c r="D31" t="s">
        <v>69</v>
      </c>
      <c r="E31" t="s">
        <v>67</v>
      </c>
      <c r="F31" t="s">
        <v>68</v>
      </c>
      <c r="G31" t="s">
        <v>36</v>
      </c>
      <c r="H31">
        <v>2</v>
      </c>
      <c r="I31" s="2">
        <v>427.85</v>
      </c>
      <c r="J31" s="2">
        <v>855.7</v>
      </c>
      <c r="K31" s="2">
        <f t="shared" si="1"/>
        <v>855.7</v>
      </c>
      <c r="L31" s="2">
        <f t="shared" si="2"/>
        <v>0</v>
      </c>
      <c r="M31" t="s">
        <v>57</v>
      </c>
      <c r="N31" t="s">
        <v>32</v>
      </c>
    </row>
    <row r="32" spans="1:14" x14ac:dyDescent="0.3">
      <c r="A32">
        <v>2024001030</v>
      </c>
      <c r="B32" s="1">
        <v>45543</v>
      </c>
      <c r="C32" s="11">
        <f t="shared" si="0"/>
        <v>2024</v>
      </c>
      <c r="D32" t="s">
        <v>70</v>
      </c>
      <c r="E32" t="s">
        <v>12</v>
      </c>
      <c r="F32" t="s">
        <v>13</v>
      </c>
      <c r="G32" t="s">
        <v>14</v>
      </c>
      <c r="H32">
        <v>2</v>
      </c>
      <c r="I32" s="2">
        <v>359.39</v>
      </c>
      <c r="J32" s="2">
        <v>718.78</v>
      </c>
      <c r="K32" s="2">
        <f t="shared" si="1"/>
        <v>718.78</v>
      </c>
      <c r="L32" s="2">
        <f t="shared" si="2"/>
        <v>0</v>
      </c>
      <c r="M32" t="s">
        <v>15</v>
      </c>
      <c r="N32" t="s">
        <v>16</v>
      </c>
    </row>
    <row r="33" spans="1:14" x14ac:dyDescent="0.3">
      <c r="A33">
        <v>2024001031</v>
      </c>
      <c r="B33" s="1">
        <v>45651</v>
      </c>
      <c r="C33" s="11">
        <f t="shared" si="0"/>
        <v>2024</v>
      </c>
      <c r="D33" t="s">
        <v>71</v>
      </c>
      <c r="E33" t="s">
        <v>28</v>
      </c>
      <c r="F33" t="s">
        <v>29</v>
      </c>
      <c r="G33" t="s">
        <v>30</v>
      </c>
      <c r="H33">
        <v>1</v>
      </c>
      <c r="I33" s="2">
        <v>23.86</v>
      </c>
      <c r="J33" s="2">
        <v>23.86</v>
      </c>
      <c r="K33" s="2">
        <f t="shared" si="1"/>
        <v>23.86</v>
      </c>
      <c r="L33" s="2">
        <f t="shared" si="2"/>
        <v>0</v>
      </c>
      <c r="M33" t="s">
        <v>15</v>
      </c>
      <c r="N33" t="s">
        <v>21</v>
      </c>
    </row>
    <row r="34" spans="1:14" x14ac:dyDescent="0.3">
      <c r="A34">
        <v>2024001032</v>
      </c>
      <c r="B34" s="1">
        <v>45589</v>
      </c>
      <c r="C34" s="11">
        <f t="shared" si="0"/>
        <v>2024</v>
      </c>
      <c r="D34" t="s">
        <v>72</v>
      </c>
      <c r="E34" t="s">
        <v>53</v>
      </c>
      <c r="F34" t="s">
        <v>54</v>
      </c>
      <c r="G34" t="s">
        <v>36</v>
      </c>
      <c r="H34">
        <v>2</v>
      </c>
      <c r="I34" s="2">
        <v>121.36</v>
      </c>
      <c r="J34" s="2">
        <v>242.72</v>
      </c>
      <c r="K34" s="2">
        <f t="shared" si="1"/>
        <v>242.72</v>
      </c>
      <c r="L34" s="2">
        <f t="shared" si="2"/>
        <v>0</v>
      </c>
      <c r="M34" t="s">
        <v>61</v>
      </c>
      <c r="N34" t="s">
        <v>16</v>
      </c>
    </row>
    <row r="35" spans="1:14" x14ac:dyDescent="0.3">
      <c r="A35">
        <v>2024001033</v>
      </c>
      <c r="B35" s="1">
        <v>45595</v>
      </c>
      <c r="C35" s="11">
        <f t="shared" si="0"/>
        <v>2024</v>
      </c>
      <c r="D35" t="s">
        <v>73</v>
      </c>
      <c r="E35" t="s">
        <v>18</v>
      </c>
      <c r="F35" t="s">
        <v>19</v>
      </c>
      <c r="G35" t="s">
        <v>14</v>
      </c>
      <c r="H35">
        <v>4</v>
      </c>
      <c r="I35" s="2">
        <v>639.21</v>
      </c>
      <c r="J35" s="2">
        <v>2556.84</v>
      </c>
      <c r="K35" s="2">
        <f t="shared" si="1"/>
        <v>2556.84</v>
      </c>
      <c r="L35" s="2">
        <f t="shared" si="2"/>
        <v>0</v>
      </c>
      <c r="M35" t="s">
        <v>15</v>
      </c>
      <c r="N35" t="s">
        <v>26</v>
      </c>
    </row>
    <row r="36" spans="1:14" x14ac:dyDescent="0.3">
      <c r="A36">
        <v>2024001034</v>
      </c>
      <c r="B36" s="1">
        <v>45524</v>
      </c>
      <c r="C36" s="11">
        <f t="shared" si="0"/>
        <v>2024</v>
      </c>
      <c r="D36" t="s">
        <v>72</v>
      </c>
      <c r="E36" t="s">
        <v>34</v>
      </c>
      <c r="F36" t="s">
        <v>35</v>
      </c>
      <c r="G36" t="s">
        <v>36</v>
      </c>
      <c r="H36">
        <v>2</v>
      </c>
      <c r="I36" s="2">
        <v>15.46</v>
      </c>
      <c r="J36" s="2">
        <v>30.92</v>
      </c>
      <c r="K36" s="2">
        <f t="shared" si="1"/>
        <v>30.92</v>
      </c>
      <c r="L36" s="2">
        <f t="shared" si="2"/>
        <v>0</v>
      </c>
      <c r="M36" t="s">
        <v>61</v>
      </c>
      <c r="N36" t="s">
        <v>32</v>
      </c>
    </row>
    <row r="37" spans="1:14" x14ac:dyDescent="0.3">
      <c r="A37">
        <v>2024001035</v>
      </c>
      <c r="B37" s="1">
        <v>45395</v>
      </c>
      <c r="C37" s="11">
        <f t="shared" si="0"/>
        <v>2024</v>
      </c>
      <c r="D37" t="s">
        <v>73</v>
      </c>
      <c r="E37" t="s">
        <v>34</v>
      </c>
      <c r="F37" t="s">
        <v>35</v>
      </c>
      <c r="G37" t="s">
        <v>36</v>
      </c>
      <c r="H37">
        <v>1</v>
      </c>
      <c r="I37" s="2">
        <v>15.91</v>
      </c>
      <c r="J37" s="2">
        <v>15.91</v>
      </c>
      <c r="K37" s="2">
        <f t="shared" si="1"/>
        <v>15.91</v>
      </c>
      <c r="L37" s="2">
        <f t="shared" si="2"/>
        <v>0</v>
      </c>
      <c r="M37" t="s">
        <v>48</v>
      </c>
      <c r="N37" t="s">
        <v>21</v>
      </c>
    </row>
    <row r="38" spans="1:14" x14ac:dyDescent="0.3">
      <c r="A38">
        <v>2024001036</v>
      </c>
      <c r="B38" s="1">
        <v>45444</v>
      </c>
      <c r="C38" s="11">
        <f t="shared" si="0"/>
        <v>2024</v>
      </c>
      <c r="D38" t="s">
        <v>74</v>
      </c>
      <c r="E38" t="s">
        <v>67</v>
      </c>
      <c r="F38" t="s">
        <v>68</v>
      </c>
      <c r="G38" t="s">
        <v>36</v>
      </c>
      <c r="H38">
        <v>1</v>
      </c>
      <c r="I38" s="2">
        <v>399.9</v>
      </c>
      <c r="J38" s="2">
        <v>399.9</v>
      </c>
      <c r="K38" s="2">
        <f t="shared" si="1"/>
        <v>399.9</v>
      </c>
      <c r="L38" s="2">
        <f t="shared" si="2"/>
        <v>0</v>
      </c>
      <c r="M38" t="s">
        <v>38</v>
      </c>
      <c r="N38" t="s">
        <v>32</v>
      </c>
    </row>
    <row r="39" spans="1:14" x14ac:dyDescent="0.3">
      <c r="A39">
        <v>2024001037</v>
      </c>
      <c r="B39" s="1">
        <v>45426</v>
      </c>
      <c r="C39" s="11">
        <f t="shared" si="0"/>
        <v>2024</v>
      </c>
      <c r="D39" t="s">
        <v>75</v>
      </c>
      <c r="E39" t="s">
        <v>43</v>
      </c>
      <c r="F39" t="s">
        <v>44</v>
      </c>
      <c r="G39" t="s">
        <v>36</v>
      </c>
      <c r="H39">
        <v>1</v>
      </c>
      <c r="I39" s="2">
        <v>1177</v>
      </c>
      <c r="J39" s="2">
        <v>1177</v>
      </c>
      <c r="K39" s="2">
        <f t="shared" si="1"/>
        <v>1177</v>
      </c>
      <c r="L39" s="2">
        <f t="shared" si="2"/>
        <v>0</v>
      </c>
      <c r="M39" t="s">
        <v>57</v>
      </c>
      <c r="N39" t="s">
        <v>16</v>
      </c>
    </row>
    <row r="40" spans="1:14" x14ac:dyDescent="0.3">
      <c r="A40">
        <v>2024001038</v>
      </c>
      <c r="B40" s="1">
        <v>45313</v>
      </c>
      <c r="C40" s="11">
        <f t="shared" si="0"/>
        <v>2024</v>
      </c>
      <c r="D40" t="s">
        <v>76</v>
      </c>
      <c r="E40" t="s">
        <v>67</v>
      </c>
      <c r="F40" t="s">
        <v>68</v>
      </c>
      <c r="G40" t="s">
        <v>36</v>
      </c>
      <c r="H40">
        <v>5</v>
      </c>
      <c r="I40" s="2">
        <v>418.21</v>
      </c>
      <c r="J40" s="2">
        <v>2091.0500000000002</v>
      </c>
      <c r="K40" s="2">
        <f t="shared" si="1"/>
        <v>2091.0499999999997</v>
      </c>
      <c r="L40" s="2">
        <f t="shared" si="2"/>
        <v>0</v>
      </c>
      <c r="M40" t="s">
        <v>55</v>
      </c>
      <c r="N40" t="s">
        <v>26</v>
      </c>
    </row>
    <row r="41" spans="1:14" x14ac:dyDescent="0.3">
      <c r="A41">
        <v>2024001039</v>
      </c>
      <c r="B41" s="1">
        <v>45577</v>
      </c>
      <c r="C41" s="11">
        <f t="shared" si="0"/>
        <v>2024</v>
      </c>
      <c r="D41" t="s">
        <v>11</v>
      </c>
      <c r="E41" t="s">
        <v>43</v>
      </c>
      <c r="F41" t="s">
        <v>44</v>
      </c>
      <c r="G41" t="s">
        <v>36</v>
      </c>
      <c r="H41">
        <v>2</v>
      </c>
      <c r="I41" s="2">
        <v>1198.22</v>
      </c>
      <c r="J41" s="2">
        <v>2396.44</v>
      </c>
      <c r="K41" s="2">
        <f t="shared" si="1"/>
        <v>2396.44</v>
      </c>
      <c r="L41" s="2">
        <f t="shared" si="2"/>
        <v>0</v>
      </c>
      <c r="M41" t="s">
        <v>61</v>
      </c>
      <c r="N41" t="s">
        <v>26</v>
      </c>
    </row>
    <row r="42" spans="1:14" x14ac:dyDescent="0.3">
      <c r="A42">
        <v>2024001040</v>
      </c>
      <c r="B42" s="1">
        <v>45608</v>
      </c>
      <c r="C42" s="11">
        <f t="shared" si="0"/>
        <v>2024</v>
      </c>
      <c r="D42" t="s">
        <v>70</v>
      </c>
      <c r="E42" t="s">
        <v>12</v>
      </c>
      <c r="F42" t="s">
        <v>13</v>
      </c>
      <c r="G42" t="s">
        <v>14</v>
      </c>
      <c r="H42">
        <v>1</v>
      </c>
      <c r="I42" s="2">
        <v>331.26</v>
      </c>
      <c r="J42" s="2">
        <v>331.26</v>
      </c>
      <c r="K42" s="2">
        <f t="shared" si="1"/>
        <v>331.26</v>
      </c>
      <c r="L42" s="2">
        <f t="shared" si="2"/>
        <v>0</v>
      </c>
      <c r="M42" t="s">
        <v>25</v>
      </c>
      <c r="N42" t="s">
        <v>16</v>
      </c>
    </row>
    <row r="43" spans="1:14" x14ac:dyDescent="0.3">
      <c r="A43">
        <v>2024001041</v>
      </c>
      <c r="B43" s="1">
        <v>45390</v>
      </c>
      <c r="C43" s="11">
        <f t="shared" si="0"/>
        <v>2024</v>
      </c>
      <c r="D43" t="s">
        <v>65</v>
      </c>
      <c r="E43" t="s">
        <v>18</v>
      </c>
      <c r="F43" t="s">
        <v>19</v>
      </c>
      <c r="G43" t="s">
        <v>14</v>
      </c>
      <c r="H43">
        <v>4</v>
      </c>
      <c r="I43" s="2">
        <v>614.47</v>
      </c>
      <c r="J43" s="2">
        <v>2457.88</v>
      </c>
      <c r="K43" s="2">
        <f t="shared" si="1"/>
        <v>2457.88</v>
      </c>
      <c r="L43" s="2">
        <f t="shared" si="2"/>
        <v>0</v>
      </c>
      <c r="M43" t="s">
        <v>61</v>
      </c>
      <c r="N43" t="s">
        <v>16</v>
      </c>
    </row>
    <row r="44" spans="1:14" x14ac:dyDescent="0.3">
      <c r="A44">
        <v>2024001042</v>
      </c>
      <c r="B44" s="1">
        <v>45472</v>
      </c>
      <c r="C44" s="11">
        <f t="shared" si="0"/>
        <v>2024</v>
      </c>
      <c r="D44" t="s">
        <v>77</v>
      </c>
      <c r="E44" t="s">
        <v>34</v>
      </c>
      <c r="F44" t="s">
        <v>35</v>
      </c>
      <c r="G44" t="s">
        <v>36</v>
      </c>
      <c r="H44">
        <v>5</v>
      </c>
      <c r="I44" s="2">
        <v>14.84</v>
      </c>
      <c r="J44" s="2">
        <v>74.2</v>
      </c>
      <c r="K44" s="2">
        <f t="shared" si="1"/>
        <v>74.2</v>
      </c>
      <c r="L44" s="2">
        <f t="shared" si="2"/>
        <v>0</v>
      </c>
      <c r="M44" t="s">
        <v>15</v>
      </c>
      <c r="N44" t="s">
        <v>26</v>
      </c>
    </row>
    <row r="45" spans="1:14" x14ac:dyDescent="0.3">
      <c r="A45">
        <v>2024001043</v>
      </c>
      <c r="B45" s="1">
        <v>45547</v>
      </c>
      <c r="C45" s="11">
        <f t="shared" si="0"/>
        <v>2024</v>
      </c>
      <c r="D45" t="s">
        <v>60</v>
      </c>
      <c r="E45" t="s">
        <v>40</v>
      </c>
      <c r="F45" t="s">
        <v>41</v>
      </c>
      <c r="G45" t="s">
        <v>36</v>
      </c>
      <c r="H45">
        <v>2</v>
      </c>
      <c r="I45" s="2">
        <v>43.93</v>
      </c>
      <c r="J45" s="2">
        <v>87.86</v>
      </c>
      <c r="K45" s="2">
        <f t="shared" si="1"/>
        <v>87.86</v>
      </c>
      <c r="L45" s="2">
        <f t="shared" si="2"/>
        <v>0</v>
      </c>
      <c r="M45" t="s">
        <v>64</v>
      </c>
      <c r="N45" t="s">
        <v>16</v>
      </c>
    </row>
    <row r="46" spans="1:14" x14ac:dyDescent="0.3">
      <c r="A46">
        <v>2024001044</v>
      </c>
      <c r="B46" s="1">
        <v>45614</v>
      </c>
      <c r="C46" s="11">
        <f t="shared" si="0"/>
        <v>2024</v>
      </c>
      <c r="D46" t="s">
        <v>78</v>
      </c>
      <c r="E46" t="s">
        <v>23</v>
      </c>
      <c r="F46" t="s">
        <v>24</v>
      </c>
      <c r="G46" t="s">
        <v>14</v>
      </c>
      <c r="H46">
        <v>1</v>
      </c>
      <c r="I46" s="2">
        <v>75.41</v>
      </c>
      <c r="J46" s="2">
        <v>75.41</v>
      </c>
      <c r="K46" s="2">
        <f t="shared" si="1"/>
        <v>75.41</v>
      </c>
      <c r="L46" s="2">
        <f t="shared" si="2"/>
        <v>0</v>
      </c>
      <c r="M46" t="s">
        <v>31</v>
      </c>
      <c r="N46" t="s">
        <v>16</v>
      </c>
    </row>
    <row r="47" spans="1:14" x14ac:dyDescent="0.3">
      <c r="A47">
        <v>2024001045</v>
      </c>
      <c r="B47" s="1">
        <v>45564</v>
      </c>
      <c r="C47" s="11">
        <f t="shared" si="0"/>
        <v>2024</v>
      </c>
      <c r="D47" t="s">
        <v>79</v>
      </c>
      <c r="E47" t="s">
        <v>43</v>
      </c>
      <c r="F47" t="s">
        <v>44</v>
      </c>
      <c r="G47" t="s">
        <v>36</v>
      </c>
      <c r="H47">
        <v>1</v>
      </c>
      <c r="I47" s="2">
        <v>1283.3800000000001</v>
      </c>
      <c r="J47" s="2">
        <v>1283.3800000000001</v>
      </c>
      <c r="K47" s="2">
        <f t="shared" si="1"/>
        <v>1283.3800000000001</v>
      </c>
      <c r="L47" s="2">
        <f t="shared" si="2"/>
        <v>0</v>
      </c>
      <c r="M47" t="s">
        <v>64</v>
      </c>
      <c r="N47" t="s">
        <v>32</v>
      </c>
    </row>
    <row r="48" spans="1:14" x14ac:dyDescent="0.3">
      <c r="A48">
        <v>2024001046</v>
      </c>
      <c r="B48" s="1">
        <v>45330</v>
      </c>
      <c r="C48" s="11">
        <f t="shared" si="0"/>
        <v>2024</v>
      </c>
      <c r="D48" t="s">
        <v>80</v>
      </c>
      <c r="E48" t="s">
        <v>53</v>
      </c>
      <c r="F48" t="s">
        <v>54</v>
      </c>
      <c r="G48" t="s">
        <v>36</v>
      </c>
      <c r="H48">
        <v>1</v>
      </c>
      <c r="I48" s="2">
        <v>123.94</v>
      </c>
      <c r="J48" s="2">
        <v>123.94</v>
      </c>
      <c r="K48" s="2">
        <f t="shared" si="1"/>
        <v>123.94</v>
      </c>
      <c r="L48" s="2">
        <f t="shared" si="2"/>
        <v>0</v>
      </c>
      <c r="M48" t="s">
        <v>31</v>
      </c>
      <c r="N48" t="s">
        <v>21</v>
      </c>
    </row>
    <row r="49" spans="1:14" x14ac:dyDescent="0.3">
      <c r="A49">
        <v>2024001047</v>
      </c>
      <c r="B49" s="1">
        <v>45604</v>
      </c>
      <c r="C49" s="11">
        <f t="shared" si="0"/>
        <v>2024</v>
      </c>
      <c r="D49" t="s">
        <v>81</v>
      </c>
      <c r="E49" t="s">
        <v>12</v>
      </c>
      <c r="F49" t="s">
        <v>13</v>
      </c>
      <c r="G49" t="s">
        <v>14</v>
      </c>
      <c r="H49">
        <v>2</v>
      </c>
      <c r="I49" s="2">
        <v>324.87</v>
      </c>
      <c r="J49" s="2">
        <v>649.74</v>
      </c>
      <c r="K49" s="2">
        <f t="shared" si="1"/>
        <v>649.74</v>
      </c>
      <c r="L49" s="2">
        <f t="shared" si="2"/>
        <v>0</v>
      </c>
      <c r="M49" t="s">
        <v>57</v>
      </c>
      <c r="N49" t="s">
        <v>21</v>
      </c>
    </row>
    <row r="50" spans="1:14" x14ac:dyDescent="0.3">
      <c r="A50">
        <v>2024001048</v>
      </c>
      <c r="B50" s="1">
        <v>45434</v>
      </c>
      <c r="C50" s="11">
        <f t="shared" si="0"/>
        <v>2024</v>
      </c>
      <c r="D50" t="s">
        <v>82</v>
      </c>
      <c r="E50" t="s">
        <v>40</v>
      </c>
      <c r="F50" t="s">
        <v>41</v>
      </c>
      <c r="G50" t="s">
        <v>36</v>
      </c>
      <c r="H50">
        <v>1</v>
      </c>
      <c r="I50" s="2">
        <v>43.91</v>
      </c>
      <c r="J50" s="2">
        <v>43.91</v>
      </c>
      <c r="K50" s="2">
        <f t="shared" si="1"/>
        <v>43.91</v>
      </c>
      <c r="L50" s="2">
        <f t="shared" si="2"/>
        <v>0</v>
      </c>
      <c r="M50" t="s">
        <v>48</v>
      </c>
      <c r="N50" t="s">
        <v>16</v>
      </c>
    </row>
    <row r="51" spans="1:14" x14ac:dyDescent="0.3">
      <c r="A51">
        <v>2024001049</v>
      </c>
      <c r="B51" s="1">
        <v>45354</v>
      </c>
      <c r="C51" s="11">
        <f t="shared" si="0"/>
        <v>2024</v>
      </c>
      <c r="D51" t="s">
        <v>83</v>
      </c>
      <c r="E51" t="s">
        <v>67</v>
      </c>
      <c r="F51" t="s">
        <v>68</v>
      </c>
      <c r="G51" t="s">
        <v>36</v>
      </c>
      <c r="H51">
        <v>2</v>
      </c>
      <c r="I51" s="2">
        <v>401.64</v>
      </c>
      <c r="J51" s="2">
        <v>803.28</v>
      </c>
      <c r="K51" s="2">
        <f t="shared" si="1"/>
        <v>803.28</v>
      </c>
      <c r="L51" s="2">
        <f t="shared" si="2"/>
        <v>0</v>
      </c>
      <c r="M51" t="s">
        <v>64</v>
      </c>
      <c r="N51" t="s">
        <v>26</v>
      </c>
    </row>
    <row r="52" spans="1:14" x14ac:dyDescent="0.3">
      <c r="A52">
        <v>2024001050</v>
      </c>
      <c r="B52" s="1">
        <v>45471</v>
      </c>
      <c r="C52" s="11">
        <f t="shared" si="0"/>
        <v>2024</v>
      </c>
      <c r="D52" t="s">
        <v>80</v>
      </c>
      <c r="E52" t="s">
        <v>67</v>
      </c>
      <c r="F52" t="s">
        <v>68</v>
      </c>
      <c r="G52" t="s">
        <v>36</v>
      </c>
      <c r="H52">
        <v>1</v>
      </c>
      <c r="I52" s="2">
        <v>360.17</v>
      </c>
      <c r="J52" s="2">
        <v>360.17</v>
      </c>
      <c r="K52" s="2">
        <f t="shared" si="1"/>
        <v>360.17</v>
      </c>
      <c r="L52" s="2">
        <f t="shared" si="2"/>
        <v>0</v>
      </c>
      <c r="M52" t="s">
        <v>20</v>
      </c>
      <c r="N52" t="s">
        <v>26</v>
      </c>
    </row>
    <row r="53" spans="1:14" x14ac:dyDescent="0.3">
      <c r="A53">
        <v>2024001051</v>
      </c>
      <c r="B53" s="1">
        <v>45351</v>
      </c>
      <c r="C53" s="11">
        <f t="shared" si="0"/>
        <v>2024</v>
      </c>
      <c r="D53" t="s">
        <v>11</v>
      </c>
      <c r="E53" t="s">
        <v>18</v>
      </c>
      <c r="F53" t="s">
        <v>19</v>
      </c>
      <c r="G53" t="s">
        <v>14</v>
      </c>
      <c r="H53">
        <v>1</v>
      </c>
      <c r="I53" s="2">
        <v>612.78</v>
      </c>
      <c r="J53" s="2">
        <v>612.78</v>
      </c>
      <c r="K53" s="2">
        <f t="shared" si="1"/>
        <v>612.78</v>
      </c>
      <c r="L53" s="2">
        <f t="shared" si="2"/>
        <v>0</v>
      </c>
      <c r="M53" t="s">
        <v>64</v>
      </c>
      <c r="N53" t="s">
        <v>26</v>
      </c>
    </row>
    <row r="54" spans="1:14" x14ac:dyDescent="0.3">
      <c r="A54">
        <v>2024001052</v>
      </c>
      <c r="B54" s="1">
        <v>45641</v>
      </c>
      <c r="C54" s="11">
        <f t="shared" si="0"/>
        <v>2024</v>
      </c>
      <c r="D54" t="s">
        <v>84</v>
      </c>
      <c r="E54" t="s">
        <v>34</v>
      </c>
      <c r="F54" t="s">
        <v>35</v>
      </c>
      <c r="G54" t="s">
        <v>36</v>
      </c>
      <c r="H54">
        <v>0</v>
      </c>
      <c r="I54" s="2">
        <v>13.48</v>
      </c>
      <c r="J54" s="2">
        <v>0</v>
      </c>
      <c r="K54" s="2">
        <f t="shared" si="1"/>
        <v>0</v>
      </c>
      <c r="L54" s="2">
        <f t="shared" si="2"/>
        <v>0</v>
      </c>
      <c r="M54" t="s">
        <v>61</v>
      </c>
      <c r="N54" t="s">
        <v>32</v>
      </c>
    </row>
    <row r="55" spans="1:14" x14ac:dyDescent="0.3">
      <c r="A55">
        <v>2024001053</v>
      </c>
      <c r="B55" s="1">
        <v>45610</v>
      </c>
      <c r="C55" s="11">
        <f t="shared" si="0"/>
        <v>2024</v>
      </c>
      <c r="D55" t="s">
        <v>85</v>
      </c>
      <c r="E55" t="s">
        <v>46</v>
      </c>
      <c r="F55" t="s">
        <v>47</v>
      </c>
      <c r="G55" t="s">
        <v>36</v>
      </c>
      <c r="H55">
        <v>1</v>
      </c>
      <c r="I55" s="2">
        <v>90.84</v>
      </c>
      <c r="J55" s="2">
        <v>90.84</v>
      </c>
      <c r="K55" s="2">
        <f t="shared" si="1"/>
        <v>90.84</v>
      </c>
      <c r="L55" s="2">
        <f t="shared" si="2"/>
        <v>0</v>
      </c>
      <c r="M55" t="s">
        <v>25</v>
      </c>
      <c r="N55" t="s">
        <v>16</v>
      </c>
    </row>
    <row r="56" spans="1:14" x14ac:dyDescent="0.3">
      <c r="A56">
        <v>2024001054</v>
      </c>
      <c r="B56" s="1">
        <v>45408</v>
      </c>
      <c r="C56" s="11">
        <f t="shared" si="0"/>
        <v>2024</v>
      </c>
      <c r="D56" t="s">
        <v>86</v>
      </c>
      <c r="E56" t="s">
        <v>28</v>
      </c>
      <c r="F56" t="s">
        <v>29</v>
      </c>
      <c r="G56" t="s">
        <v>30</v>
      </c>
      <c r="H56">
        <v>2</v>
      </c>
      <c r="I56" s="2">
        <v>23.06</v>
      </c>
      <c r="J56" s="2">
        <v>46.12</v>
      </c>
      <c r="K56" s="2">
        <f t="shared" si="1"/>
        <v>46.12</v>
      </c>
      <c r="L56" s="2">
        <f t="shared" si="2"/>
        <v>0</v>
      </c>
      <c r="M56" t="s">
        <v>64</v>
      </c>
      <c r="N56" t="s">
        <v>32</v>
      </c>
    </row>
    <row r="57" spans="1:14" x14ac:dyDescent="0.3">
      <c r="A57">
        <v>2024001055</v>
      </c>
      <c r="B57" s="1">
        <v>45380</v>
      </c>
      <c r="C57" s="11">
        <f t="shared" si="0"/>
        <v>2024</v>
      </c>
      <c r="D57" t="s">
        <v>11</v>
      </c>
      <c r="E57" t="s">
        <v>23</v>
      </c>
      <c r="F57" t="s">
        <v>24</v>
      </c>
      <c r="G57" t="s">
        <v>14</v>
      </c>
      <c r="H57">
        <v>4</v>
      </c>
      <c r="I57" s="2">
        <v>78.63</v>
      </c>
      <c r="J57" s="2">
        <v>314.52</v>
      </c>
      <c r="K57" s="2">
        <f t="shared" si="1"/>
        <v>314.52</v>
      </c>
      <c r="L57" s="2">
        <f t="shared" si="2"/>
        <v>0</v>
      </c>
      <c r="M57" t="s">
        <v>61</v>
      </c>
      <c r="N57" t="s">
        <v>32</v>
      </c>
    </row>
    <row r="58" spans="1:14" x14ac:dyDescent="0.3">
      <c r="A58">
        <v>2024001056</v>
      </c>
      <c r="B58" s="1">
        <v>45480</v>
      </c>
      <c r="C58" s="11">
        <f t="shared" si="0"/>
        <v>2024</v>
      </c>
      <c r="D58" t="s">
        <v>87</v>
      </c>
      <c r="E58" t="s">
        <v>18</v>
      </c>
      <c r="F58" t="s">
        <v>19</v>
      </c>
      <c r="G58" t="s">
        <v>14</v>
      </c>
      <c r="H58">
        <v>2</v>
      </c>
      <c r="I58" s="2">
        <v>554.41999999999996</v>
      </c>
      <c r="J58" s="2">
        <v>1108.8399999999999</v>
      </c>
      <c r="K58" s="2">
        <f t="shared" si="1"/>
        <v>1108.8399999999999</v>
      </c>
      <c r="L58" s="2">
        <f t="shared" si="2"/>
        <v>0</v>
      </c>
      <c r="M58" t="s">
        <v>57</v>
      </c>
      <c r="N58" t="s">
        <v>26</v>
      </c>
    </row>
    <row r="59" spans="1:14" x14ac:dyDescent="0.3">
      <c r="A59">
        <v>2024001057</v>
      </c>
      <c r="B59" s="1">
        <v>45377</v>
      </c>
      <c r="C59" s="11">
        <f t="shared" si="0"/>
        <v>2024</v>
      </c>
      <c r="D59" t="s">
        <v>88</v>
      </c>
      <c r="E59" t="s">
        <v>18</v>
      </c>
      <c r="F59" t="s">
        <v>19</v>
      </c>
      <c r="G59" t="s">
        <v>14</v>
      </c>
      <c r="H59">
        <v>1</v>
      </c>
      <c r="I59" s="2">
        <v>585.47</v>
      </c>
      <c r="J59" s="2">
        <v>585.47</v>
      </c>
      <c r="K59" s="2">
        <f t="shared" si="1"/>
        <v>585.47</v>
      </c>
      <c r="L59" s="2">
        <f t="shared" si="2"/>
        <v>0</v>
      </c>
      <c r="M59" t="s">
        <v>38</v>
      </c>
      <c r="N59" t="s">
        <v>26</v>
      </c>
    </row>
    <row r="60" spans="1:14" x14ac:dyDescent="0.3">
      <c r="A60">
        <v>2024001058</v>
      </c>
      <c r="B60" s="1">
        <v>45495</v>
      </c>
      <c r="C60" s="11">
        <f t="shared" si="0"/>
        <v>2024</v>
      </c>
      <c r="D60" t="s">
        <v>58</v>
      </c>
      <c r="E60" t="s">
        <v>46</v>
      </c>
      <c r="F60" t="s">
        <v>47</v>
      </c>
      <c r="G60" t="s">
        <v>36</v>
      </c>
      <c r="H60">
        <v>1</v>
      </c>
      <c r="I60" s="2">
        <v>84.17</v>
      </c>
      <c r="J60" s="2">
        <v>84.17</v>
      </c>
      <c r="K60" s="2">
        <f t="shared" si="1"/>
        <v>84.17</v>
      </c>
      <c r="L60" s="2">
        <f t="shared" si="2"/>
        <v>0</v>
      </c>
      <c r="M60" t="s">
        <v>25</v>
      </c>
      <c r="N60" t="s">
        <v>21</v>
      </c>
    </row>
    <row r="61" spans="1:14" x14ac:dyDescent="0.3">
      <c r="A61">
        <v>2024001059</v>
      </c>
      <c r="B61" s="1">
        <v>45541</v>
      </c>
      <c r="C61" s="11">
        <f t="shared" si="0"/>
        <v>2024</v>
      </c>
      <c r="D61" t="s">
        <v>89</v>
      </c>
      <c r="E61" t="s">
        <v>67</v>
      </c>
      <c r="F61" t="s">
        <v>68</v>
      </c>
      <c r="G61" t="s">
        <v>36</v>
      </c>
      <c r="H61">
        <v>2</v>
      </c>
      <c r="I61" s="2">
        <v>397.9</v>
      </c>
      <c r="J61" s="2">
        <v>795.8</v>
      </c>
      <c r="K61" s="2">
        <f t="shared" si="1"/>
        <v>795.8</v>
      </c>
      <c r="L61" s="2">
        <f t="shared" si="2"/>
        <v>0</v>
      </c>
      <c r="M61" t="s">
        <v>55</v>
      </c>
      <c r="N61" t="s">
        <v>32</v>
      </c>
    </row>
    <row r="62" spans="1:14" x14ac:dyDescent="0.3">
      <c r="A62">
        <v>2024001060</v>
      </c>
      <c r="B62" s="1">
        <v>45514</v>
      </c>
      <c r="C62" s="11">
        <f t="shared" si="0"/>
        <v>2024</v>
      </c>
      <c r="D62" t="s">
        <v>90</v>
      </c>
      <c r="E62" t="s">
        <v>34</v>
      </c>
      <c r="F62" t="s">
        <v>35</v>
      </c>
      <c r="G62" t="s">
        <v>36</v>
      </c>
      <c r="H62">
        <v>2</v>
      </c>
      <c r="I62" s="2">
        <v>15.3</v>
      </c>
      <c r="J62" s="2">
        <v>30.6</v>
      </c>
      <c r="K62" s="2">
        <f t="shared" si="1"/>
        <v>30.6</v>
      </c>
      <c r="L62" s="2">
        <f t="shared" si="2"/>
        <v>0</v>
      </c>
      <c r="M62" t="s">
        <v>38</v>
      </c>
      <c r="N62" t="s">
        <v>32</v>
      </c>
    </row>
    <row r="63" spans="1:14" x14ac:dyDescent="0.3">
      <c r="A63">
        <v>2024001061</v>
      </c>
      <c r="B63" s="1">
        <v>45571</v>
      </c>
      <c r="C63" s="11">
        <f t="shared" si="0"/>
        <v>2024</v>
      </c>
      <c r="D63" t="s">
        <v>66</v>
      </c>
      <c r="E63" t="s">
        <v>40</v>
      </c>
      <c r="F63" t="s">
        <v>41</v>
      </c>
      <c r="G63" t="s">
        <v>36</v>
      </c>
      <c r="H63">
        <v>1</v>
      </c>
      <c r="I63" s="2">
        <v>47.05</v>
      </c>
      <c r="J63" s="2">
        <v>47.05</v>
      </c>
      <c r="K63" s="2">
        <f t="shared" si="1"/>
        <v>47.05</v>
      </c>
      <c r="L63" s="2">
        <f t="shared" si="2"/>
        <v>0</v>
      </c>
      <c r="M63" t="s">
        <v>38</v>
      </c>
      <c r="N63" t="s">
        <v>32</v>
      </c>
    </row>
    <row r="64" spans="1:14" x14ac:dyDescent="0.3">
      <c r="A64">
        <v>2024001062</v>
      </c>
      <c r="B64" s="1">
        <v>45469</v>
      </c>
      <c r="C64" s="11">
        <f t="shared" si="0"/>
        <v>2024</v>
      </c>
      <c r="D64" t="s">
        <v>11</v>
      </c>
      <c r="E64" t="s">
        <v>34</v>
      </c>
      <c r="F64" t="s">
        <v>35</v>
      </c>
      <c r="G64" t="s">
        <v>36</v>
      </c>
      <c r="H64">
        <v>2</v>
      </c>
      <c r="I64" s="2">
        <v>16.600000000000001</v>
      </c>
      <c r="J64" s="2">
        <v>33.200000000000003</v>
      </c>
      <c r="K64" s="2">
        <f t="shared" si="1"/>
        <v>33.200000000000003</v>
      </c>
      <c r="L64" s="2">
        <f t="shared" si="2"/>
        <v>0</v>
      </c>
      <c r="M64" t="s">
        <v>25</v>
      </c>
      <c r="N64" t="s">
        <v>32</v>
      </c>
    </row>
    <row r="65" spans="1:14" x14ac:dyDescent="0.3">
      <c r="A65">
        <v>2024001063</v>
      </c>
      <c r="B65" s="1">
        <v>45614</v>
      </c>
      <c r="C65" s="11">
        <f t="shared" si="0"/>
        <v>2024</v>
      </c>
      <c r="D65" t="s">
        <v>50</v>
      </c>
      <c r="E65" t="s">
        <v>43</v>
      </c>
      <c r="F65" t="s">
        <v>44</v>
      </c>
      <c r="G65" t="s">
        <v>36</v>
      </c>
      <c r="H65">
        <v>2</v>
      </c>
      <c r="I65" s="2">
        <v>1082.8699999999999</v>
      </c>
      <c r="J65" s="2">
        <v>2165.7399999999998</v>
      </c>
      <c r="K65" s="2">
        <f t="shared" si="1"/>
        <v>2165.7399999999998</v>
      </c>
      <c r="L65" s="2">
        <f t="shared" si="2"/>
        <v>0</v>
      </c>
      <c r="M65" t="s">
        <v>55</v>
      </c>
      <c r="N65" t="s">
        <v>26</v>
      </c>
    </row>
    <row r="66" spans="1:14" x14ac:dyDescent="0.3">
      <c r="A66">
        <v>2024001064</v>
      </c>
      <c r="B66" s="1">
        <v>45533</v>
      </c>
      <c r="C66" s="11">
        <f t="shared" si="0"/>
        <v>2024</v>
      </c>
      <c r="D66" t="s">
        <v>91</v>
      </c>
      <c r="E66" t="s">
        <v>53</v>
      </c>
      <c r="F66" t="s">
        <v>54</v>
      </c>
      <c r="G66" t="s">
        <v>36</v>
      </c>
      <c r="H66">
        <v>1</v>
      </c>
      <c r="I66" s="2">
        <v>125.31</v>
      </c>
      <c r="J66" s="2">
        <v>125.31</v>
      </c>
      <c r="K66" s="2">
        <f t="shared" si="1"/>
        <v>125.31</v>
      </c>
      <c r="L66" s="2">
        <f t="shared" si="2"/>
        <v>0</v>
      </c>
      <c r="M66" t="s">
        <v>31</v>
      </c>
      <c r="N66" t="s">
        <v>16</v>
      </c>
    </row>
    <row r="67" spans="1:14" x14ac:dyDescent="0.3">
      <c r="A67">
        <v>2024001065</v>
      </c>
      <c r="B67" s="1">
        <v>45406</v>
      </c>
      <c r="C67" s="11">
        <f t="shared" ref="C67:C130" si="3">YEAR(B67)</f>
        <v>2024</v>
      </c>
      <c r="D67" t="s">
        <v>92</v>
      </c>
      <c r="E67" t="s">
        <v>53</v>
      </c>
      <c r="F67" t="s">
        <v>54</v>
      </c>
      <c r="G67" t="s">
        <v>36</v>
      </c>
      <c r="H67">
        <v>1</v>
      </c>
      <c r="I67" s="2">
        <v>117.21</v>
      </c>
      <c r="J67" s="2">
        <v>117.21</v>
      </c>
      <c r="K67" s="2">
        <f t="shared" ref="K67:K130" si="4">I67*H67</f>
        <v>117.21</v>
      </c>
      <c r="L67" s="2">
        <f t="shared" ref="L67:L130" si="5">J67-K67</f>
        <v>0</v>
      </c>
      <c r="M67" t="s">
        <v>25</v>
      </c>
      <c r="N67" t="s">
        <v>16</v>
      </c>
    </row>
    <row r="68" spans="1:14" x14ac:dyDescent="0.3">
      <c r="A68">
        <v>2024001066</v>
      </c>
      <c r="B68" s="1">
        <v>45366</v>
      </c>
      <c r="C68" s="11">
        <f t="shared" si="3"/>
        <v>2024</v>
      </c>
      <c r="D68" t="s">
        <v>93</v>
      </c>
      <c r="E68" t="s">
        <v>18</v>
      </c>
      <c r="F68" t="s">
        <v>19</v>
      </c>
      <c r="G68" t="s">
        <v>14</v>
      </c>
      <c r="H68">
        <v>4</v>
      </c>
      <c r="I68" s="2">
        <v>533.5</v>
      </c>
      <c r="J68" s="2">
        <v>2134</v>
      </c>
      <c r="K68" s="2">
        <f t="shared" si="4"/>
        <v>2134</v>
      </c>
      <c r="L68" s="2">
        <f t="shared" si="5"/>
        <v>0</v>
      </c>
      <c r="M68" t="s">
        <v>20</v>
      </c>
      <c r="N68" t="s">
        <v>32</v>
      </c>
    </row>
    <row r="69" spans="1:14" x14ac:dyDescent="0.3">
      <c r="A69">
        <v>2024001067</v>
      </c>
      <c r="B69" s="1">
        <v>45518</v>
      </c>
      <c r="C69" s="11">
        <f t="shared" si="3"/>
        <v>2024</v>
      </c>
      <c r="D69" t="s">
        <v>94</v>
      </c>
      <c r="E69" t="s">
        <v>34</v>
      </c>
      <c r="F69" t="s">
        <v>35</v>
      </c>
      <c r="G69" t="s">
        <v>36</v>
      </c>
      <c r="H69">
        <v>1</v>
      </c>
      <c r="I69" s="2">
        <v>16.04</v>
      </c>
      <c r="J69" s="2">
        <v>16.04</v>
      </c>
      <c r="K69" s="2">
        <f t="shared" si="4"/>
        <v>16.04</v>
      </c>
      <c r="L69" s="2">
        <f t="shared" si="5"/>
        <v>0</v>
      </c>
      <c r="M69" t="s">
        <v>55</v>
      </c>
      <c r="N69" t="s">
        <v>26</v>
      </c>
    </row>
    <row r="70" spans="1:14" x14ac:dyDescent="0.3">
      <c r="A70">
        <v>2024001068</v>
      </c>
      <c r="B70" s="1">
        <v>45657</v>
      </c>
      <c r="C70" s="11">
        <f t="shared" si="3"/>
        <v>2024</v>
      </c>
      <c r="D70" t="s">
        <v>95</v>
      </c>
      <c r="E70" t="s">
        <v>53</v>
      </c>
      <c r="F70" t="s">
        <v>54</v>
      </c>
      <c r="G70" t="s">
        <v>36</v>
      </c>
      <c r="H70">
        <v>4</v>
      </c>
      <c r="I70" s="2">
        <v>118.69</v>
      </c>
      <c r="J70" s="2">
        <v>474.76</v>
      </c>
      <c r="K70" s="2">
        <f t="shared" si="4"/>
        <v>474.76</v>
      </c>
      <c r="L70" s="2">
        <f t="shared" si="5"/>
        <v>0</v>
      </c>
      <c r="M70" t="s">
        <v>15</v>
      </c>
      <c r="N70" t="s">
        <v>26</v>
      </c>
    </row>
    <row r="71" spans="1:14" x14ac:dyDescent="0.3">
      <c r="A71">
        <v>2024001069</v>
      </c>
      <c r="B71" s="1">
        <v>45646</v>
      </c>
      <c r="C71" s="11">
        <f t="shared" si="3"/>
        <v>2024</v>
      </c>
      <c r="D71" t="s">
        <v>96</v>
      </c>
      <c r="E71" t="s">
        <v>43</v>
      </c>
      <c r="F71" t="s">
        <v>44</v>
      </c>
      <c r="G71" t="s">
        <v>36</v>
      </c>
      <c r="H71">
        <v>2</v>
      </c>
      <c r="I71" s="2">
        <v>1265.93</v>
      </c>
      <c r="J71" s="2">
        <v>2531.86</v>
      </c>
      <c r="K71" s="2">
        <f t="shared" si="4"/>
        <v>2531.86</v>
      </c>
      <c r="L71" s="2">
        <f t="shared" si="5"/>
        <v>0</v>
      </c>
      <c r="M71" t="s">
        <v>38</v>
      </c>
      <c r="N71" t="s">
        <v>32</v>
      </c>
    </row>
    <row r="72" spans="1:14" x14ac:dyDescent="0.3">
      <c r="A72">
        <v>2024001070</v>
      </c>
      <c r="B72" s="1">
        <v>45508</v>
      </c>
      <c r="C72" s="11">
        <f t="shared" si="3"/>
        <v>2024</v>
      </c>
      <c r="D72" t="s">
        <v>69</v>
      </c>
      <c r="E72" t="s">
        <v>34</v>
      </c>
      <c r="F72" t="s">
        <v>35</v>
      </c>
      <c r="G72" t="s">
        <v>36</v>
      </c>
      <c r="H72">
        <v>1</v>
      </c>
      <c r="I72" s="2">
        <v>14.8</v>
      </c>
      <c r="J72" s="2">
        <v>14.8</v>
      </c>
      <c r="K72" s="2">
        <f t="shared" si="4"/>
        <v>14.8</v>
      </c>
      <c r="L72" s="2">
        <f t="shared" si="5"/>
        <v>0</v>
      </c>
      <c r="M72" t="s">
        <v>38</v>
      </c>
      <c r="N72" t="s">
        <v>21</v>
      </c>
    </row>
    <row r="73" spans="1:14" x14ac:dyDescent="0.3">
      <c r="A73">
        <v>2024001071</v>
      </c>
      <c r="B73" s="1">
        <v>45435</v>
      </c>
      <c r="C73" s="11">
        <f t="shared" si="3"/>
        <v>2024</v>
      </c>
      <c r="D73" t="s">
        <v>97</v>
      </c>
      <c r="E73" t="s">
        <v>34</v>
      </c>
      <c r="F73" t="s">
        <v>35</v>
      </c>
      <c r="G73" t="s">
        <v>36</v>
      </c>
      <c r="H73">
        <v>2</v>
      </c>
      <c r="I73" s="2">
        <v>14.54</v>
      </c>
      <c r="J73" s="2">
        <v>29.08</v>
      </c>
      <c r="K73" s="2">
        <f t="shared" si="4"/>
        <v>29.08</v>
      </c>
      <c r="L73" s="2">
        <f t="shared" si="5"/>
        <v>0</v>
      </c>
      <c r="M73" t="s">
        <v>38</v>
      </c>
      <c r="N73" t="s">
        <v>21</v>
      </c>
    </row>
    <row r="74" spans="1:14" x14ac:dyDescent="0.3">
      <c r="A74">
        <v>2024001072</v>
      </c>
      <c r="B74" s="1">
        <v>45344</v>
      </c>
      <c r="C74" s="11">
        <f t="shared" si="3"/>
        <v>2024</v>
      </c>
      <c r="D74" t="s">
        <v>98</v>
      </c>
      <c r="E74" t="s">
        <v>28</v>
      </c>
      <c r="F74" t="s">
        <v>29</v>
      </c>
      <c r="G74" t="s">
        <v>30</v>
      </c>
      <c r="H74">
        <v>1</v>
      </c>
      <c r="I74" s="2">
        <v>25.41</v>
      </c>
      <c r="J74" s="2">
        <v>25.41</v>
      </c>
      <c r="K74" s="2">
        <f t="shared" si="4"/>
        <v>25.41</v>
      </c>
      <c r="L74" s="2">
        <f t="shared" si="5"/>
        <v>0</v>
      </c>
      <c r="M74" t="s">
        <v>55</v>
      </c>
      <c r="N74" t="s">
        <v>21</v>
      </c>
    </row>
    <row r="75" spans="1:14" x14ac:dyDescent="0.3">
      <c r="A75">
        <v>2024001073</v>
      </c>
      <c r="B75" s="1">
        <v>45367</v>
      </c>
      <c r="C75" s="11">
        <f t="shared" si="3"/>
        <v>2024</v>
      </c>
      <c r="D75" t="s">
        <v>99</v>
      </c>
      <c r="E75" t="s">
        <v>46</v>
      </c>
      <c r="F75" t="s">
        <v>47</v>
      </c>
      <c r="G75" t="s">
        <v>36</v>
      </c>
      <c r="H75">
        <v>3</v>
      </c>
      <c r="I75" s="2">
        <v>97.54</v>
      </c>
      <c r="J75" s="2">
        <v>292.62</v>
      </c>
      <c r="K75" s="2">
        <f t="shared" si="4"/>
        <v>292.62</v>
      </c>
      <c r="L75" s="2">
        <f t="shared" si="5"/>
        <v>0</v>
      </c>
      <c r="M75" t="s">
        <v>61</v>
      </c>
      <c r="N75" t="s">
        <v>26</v>
      </c>
    </row>
    <row r="76" spans="1:14" x14ac:dyDescent="0.3">
      <c r="A76">
        <v>2024001074</v>
      </c>
      <c r="B76" s="1">
        <v>45521</v>
      </c>
      <c r="C76" s="11">
        <f t="shared" si="3"/>
        <v>2024</v>
      </c>
      <c r="D76" t="s">
        <v>100</v>
      </c>
      <c r="E76" t="s">
        <v>23</v>
      </c>
      <c r="F76" t="s">
        <v>24</v>
      </c>
      <c r="G76" t="s">
        <v>14</v>
      </c>
      <c r="H76">
        <v>1</v>
      </c>
      <c r="I76" s="2">
        <v>82.24</v>
      </c>
      <c r="J76" s="2">
        <v>82.24</v>
      </c>
      <c r="K76" s="2">
        <f t="shared" si="4"/>
        <v>82.24</v>
      </c>
      <c r="L76" s="2">
        <f t="shared" si="5"/>
        <v>0</v>
      </c>
      <c r="M76" t="s">
        <v>25</v>
      </c>
      <c r="N76" t="s">
        <v>26</v>
      </c>
    </row>
    <row r="77" spans="1:14" x14ac:dyDescent="0.3">
      <c r="A77">
        <v>2024001075</v>
      </c>
      <c r="B77" s="1">
        <v>45456</v>
      </c>
      <c r="C77" s="11">
        <f t="shared" si="3"/>
        <v>2024</v>
      </c>
      <c r="D77" t="s">
        <v>101</v>
      </c>
      <c r="E77" t="s">
        <v>43</v>
      </c>
      <c r="F77" t="s">
        <v>44</v>
      </c>
      <c r="G77" t="s">
        <v>36</v>
      </c>
      <c r="H77">
        <v>3</v>
      </c>
      <c r="I77" s="2">
        <v>1252.3499999999999</v>
      </c>
      <c r="J77" s="2">
        <v>3757.05</v>
      </c>
      <c r="K77" s="2">
        <f t="shared" si="4"/>
        <v>3757.0499999999997</v>
      </c>
      <c r="L77" s="2">
        <f t="shared" si="5"/>
        <v>0</v>
      </c>
      <c r="M77" t="s">
        <v>61</v>
      </c>
      <c r="N77" t="s">
        <v>21</v>
      </c>
    </row>
    <row r="78" spans="1:14" x14ac:dyDescent="0.3">
      <c r="A78">
        <v>2024001076</v>
      </c>
      <c r="B78" s="1">
        <v>45618</v>
      </c>
      <c r="C78" s="11">
        <f t="shared" si="3"/>
        <v>2024</v>
      </c>
      <c r="D78" t="s">
        <v>93</v>
      </c>
      <c r="E78" t="s">
        <v>12</v>
      </c>
      <c r="F78" t="s">
        <v>13</v>
      </c>
      <c r="G78" t="s">
        <v>14</v>
      </c>
      <c r="H78">
        <v>1</v>
      </c>
      <c r="I78" s="2">
        <v>347.13</v>
      </c>
      <c r="J78" s="2">
        <v>347.13</v>
      </c>
      <c r="K78" s="2">
        <f t="shared" si="4"/>
        <v>347.13</v>
      </c>
      <c r="L78" s="2">
        <f t="shared" si="5"/>
        <v>0</v>
      </c>
      <c r="M78" t="s">
        <v>64</v>
      </c>
      <c r="N78" t="s">
        <v>21</v>
      </c>
    </row>
    <row r="79" spans="1:14" x14ac:dyDescent="0.3">
      <c r="A79">
        <v>2024001077</v>
      </c>
      <c r="B79" s="1">
        <v>45382</v>
      </c>
      <c r="C79" s="11">
        <f t="shared" si="3"/>
        <v>2024</v>
      </c>
      <c r="D79" t="s">
        <v>102</v>
      </c>
      <c r="E79" t="s">
        <v>46</v>
      </c>
      <c r="F79" t="s">
        <v>47</v>
      </c>
      <c r="G79" t="s">
        <v>36</v>
      </c>
      <c r="H79">
        <v>1</v>
      </c>
      <c r="I79" s="2">
        <v>98.37</v>
      </c>
      <c r="J79" s="2">
        <v>98.37</v>
      </c>
      <c r="K79" s="2">
        <f t="shared" si="4"/>
        <v>98.37</v>
      </c>
      <c r="L79" s="2">
        <f t="shared" si="5"/>
        <v>0</v>
      </c>
      <c r="M79" t="s">
        <v>57</v>
      </c>
      <c r="N79" t="s">
        <v>26</v>
      </c>
    </row>
    <row r="80" spans="1:14" x14ac:dyDescent="0.3">
      <c r="A80">
        <v>2024001078</v>
      </c>
      <c r="B80" s="1">
        <v>45432</v>
      </c>
      <c r="C80" s="11">
        <f t="shared" si="3"/>
        <v>2024</v>
      </c>
      <c r="D80" t="s">
        <v>103</v>
      </c>
      <c r="E80" t="s">
        <v>46</v>
      </c>
      <c r="F80" t="s">
        <v>47</v>
      </c>
      <c r="G80" t="s">
        <v>36</v>
      </c>
      <c r="H80">
        <v>2</v>
      </c>
      <c r="I80" s="2">
        <v>92.91</v>
      </c>
      <c r="J80" s="2">
        <v>185.82</v>
      </c>
      <c r="K80" s="2">
        <f t="shared" si="4"/>
        <v>185.82</v>
      </c>
      <c r="L80" s="2">
        <f t="shared" si="5"/>
        <v>0</v>
      </c>
      <c r="M80" t="s">
        <v>15</v>
      </c>
      <c r="N80" t="s">
        <v>26</v>
      </c>
    </row>
    <row r="81" spans="1:14" x14ac:dyDescent="0.3">
      <c r="A81">
        <v>2024001079</v>
      </c>
      <c r="B81" s="1">
        <v>45639</v>
      </c>
      <c r="C81" s="11">
        <f t="shared" si="3"/>
        <v>2024</v>
      </c>
      <c r="D81" t="s">
        <v>83</v>
      </c>
      <c r="E81" t="s">
        <v>28</v>
      </c>
      <c r="F81" t="s">
        <v>29</v>
      </c>
      <c r="G81" t="s">
        <v>30</v>
      </c>
      <c r="H81">
        <v>1</v>
      </c>
      <c r="I81" s="2">
        <v>25.67</v>
      </c>
      <c r="J81" s="2">
        <v>25.67</v>
      </c>
      <c r="K81" s="2">
        <f t="shared" si="4"/>
        <v>25.67</v>
      </c>
      <c r="L81" s="2">
        <f t="shared" si="5"/>
        <v>0</v>
      </c>
      <c r="M81" t="s">
        <v>61</v>
      </c>
      <c r="N81" t="s">
        <v>26</v>
      </c>
    </row>
    <row r="82" spans="1:14" x14ac:dyDescent="0.3">
      <c r="A82">
        <v>2024001080</v>
      </c>
      <c r="B82" s="1">
        <v>45603</v>
      </c>
      <c r="C82" s="11">
        <f t="shared" si="3"/>
        <v>2024</v>
      </c>
      <c r="D82" t="s">
        <v>104</v>
      </c>
      <c r="E82" t="s">
        <v>67</v>
      </c>
      <c r="F82" t="s">
        <v>68</v>
      </c>
      <c r="G82" t="s">
        <v>36</v>
      </c>
      <c r="H82">
        <v>3</v>
      </c>
      <c r="I82" s="2">
        <v>400.91</v>
      </c>
      <c r="J82" s="2">
        <v>1202.73</v>
      </c>
      <c r="K82" s="2">
        <f t="shared" si="4"/>
        <v>1202.73</v>
      </c>
      <c r="L82" s="2">
        <f t="shared" si="5"/>
        <v>0</v>
      </c>
      <c r="M82" t="s">
        <v>25</v>
      </c>
      <c r="N82" t="s">
        <v>32</v>
      </c>
    </row>
    <row r="83" spans="1:14" x14ac:dyDescent="0.3">
      <c r="A83">
        <v>2024001081</v>
      </c>
      <c r="B83" s="1">
        <v>45504</v>
      </c>
      <c r="C83" s="11">
        <f t="shared" si="3"/>
        <v>2024</v>
      </c>
      <c r="D83" t="s">
        <v>105</v>
      </c>
      <c r="E83" t="s">
        <v>18</v>
      </c>
      <c r="F83" t="s">
        <v>19</v>
      </c>
      <c r="G83" t="s">
        <v>14</v>
      </c>
      <c r="H83">
        <v>1</v>
      </c>
      <c r="I83" s="2">
        <v>611.67999999999995</v>
      </c>
      <c r="J83" s="2">
        <v>611.67999999999995</v>
      </c>
      <c r="K83" s="2">
        <f t="shared" si="4"/>
        <v>611.67999999999995</v>
      </c>
      <c r="L83" s="2">
        <f t="shared" si="5"/>
        <v>0</v>
      </c>
      <c r="M83" t="s">
        <v>57</v>
      </c>
      <c r="N83" t="s">
        <v>32</v>
      </c>
    </row>
    <row r="84" spans="1:14" x14ac:dyDescent="0.3">
      <c r="A84">
        <v>2024001082</v>
      </c>
      <c r="B84" s="1">
        <v>45338</v>
      </c>
      <c r="C84" s="11">
        <f t="shared" si="3"/>
        <v>2024</v>
      </c>
      <c r="D84" t="s">
        <v>65</v>
      </c>
      <c r="E84" t="s">
        <v>43</v>
      </c>
      <c r="F84" t="s">
        <v>44</v>
      </c>
      <c r="G84" t="s">
        <v>36</v>
      </c>
      <c r="H84">
        <v>2</v>
      </c>
      <c r="I84" s="2">
        <v>1329.19</v>
      </c>
      <c r="J84" s="2">
        <v>2658.38</v>
      </c>
      <c r="K84" s="2">
        <f t="shared" si="4"/>
        <v>2658.38</v>
      </c>
      <c r="L84" s="2">
        <f t="shared" si="5"/>
        <v>0</v>
      </c>
      <c r="M84" t="s">
        <v>64</v>
      </c>
      <c r="N84" t="s">
        <v>21</v>
      </c>
    </row>
    <row r="85" spans="1:14" x14ac:dyDescent="0.3">
      <c r="A85">
        <v>2024001083</v>
      </c>
      <c r="B85" s="1">
        <v>45435</v>
      </c>
      <c r="C85" s="11">
        <f t="shared" si="3"/>
        <v>2024</v>
      </c>
      <c r="D85" t="s">
        <v>106</v>
      </c>
      <c r="E85" t="s">
        <v>46</v>
      </c>
      <c r="F85" t="s">
        <v>47</v>
      </c>
      <c r="G85" t="s">
        <v>36</v>
      </c>
      <c r="H85">
        <v>4</v>
      </c>
      <c r="I85" s="2">
        <v>86.55</v>
      </c>
      <c r="J85" s="2">
        <v>346.2</v>
      </c>
      <c r="K85" s="2">
        <f t="shared" si="4"/>
        <v>346.2</v>
      </c>
      <c r="L85" s="2">
        <f t="shared" si="5"/>
        <v>0</v>
      </c>
      <c r="M85" t="s">
        <v>20</v>
      </c>
      <c r="N85" t="s">
        <v>16</v>
      </c>
    </row>
    <row r="86" spans="1:14" x14ac:dyDescent="0.3">
      <c r="A86">
        <v>2024001084</v>
      </c>
      <c r="B86" s="1">
        <v>45447</v>
      </c>
      <c r="C86" s="11">
        <f t="shared" si="3"/>
        <v>2024</v>
      </c>
      <c r="D86" t="s">
        <v>11</v>
      </c>
      <c r="E86" t="s">
        <v>18</v>
      </c>
      <c r="F86" t="s">
        <v>19</v>
      </c>
      <c r="G86" t="s">
        <v>14</v>
      </c>
      <c r="H86">
        <v>1</v>
      </c>
      <c r="I86" s="2">
        <v>595.27</v>
      </c>
      <c r="J86" s="2">
        <v>595.27</v>
      </c>
      <c r="K86" s="2">
        <f t="shared" si="4"/>
        <v>595.27</v>
      </c>
      <c r="L86" s="2">
        <f t="shared" si="5"/>
        <v>0</v>
      </c>
      <c r="M86" t="s">
        <v>31</v>
      </c>
      <c r="N86" t="s">
        <v>32</v>
      </c>
    </row>
    <row r="87" spans="1:14" x14ac:dyDescent="0.3">
      <c r="A87">
        <v>2024001085</v>
      </c>
      <c r="B87" s="1">
        <v>45469</v>
      </c>
      <c r="C87" s="11">
        <f t="shared" si="3"/>
        <v>2024</v>
      </c>
      <c r="D87" t="s">
        <v>107</v>
      </c>
      <c r="E87" t="s">
        <v>18</v>
      </c>
      <c r="F87" t="s">
        <v>19</v>
      </c>
      <c r="G87" t="s">
        <v>14</v>
      </c>
      <c r="H87">
        <v>5</v>
      </c>
      <c r="I87" s="2">
        <v>559.35</v>
      </c>
      <c r="J87" s="2">
        <v>2796.75</v>
      </c>
      <c r="K87" s="2">
        <f t="shared" si="4"/>
        <v>2796.75</v>
      </c>
      <c r="L87" s="2">
        <f t="shared" si="5"/>
        <v>0</v>
      </c>
      <c r="M87" t="s">
        <v>64</v>
      </c>
      <c r="N87" t="s">
        <v>21</v>
      </c>
    </row>
    <row r="88" spans="1:14" x14ac:dyDescent="0.3">
      <c r="A88">
        <v>2024001086</v>
      </c>
      <c r="B88" s="1">
        <v>45436</v>
      </c>
      <c r="C88" s="11">
        <f t="shared" si="3"/>
        <v>2024</v>
      </c>
      <c r="D88" t="s">
        <v>108</v>
      </c>
      <c r="E88" t="s">
        <v>43</v>
      </c>
      <c r="F88" t="s">
        <v>44</v>
      </c>
      <c r="G88" t="s">
        <v>36</v>
      </c>
      <c r="H88">
        <v>1</v>
      </c>
      <c r="I88" s="2">
        <v>1109.1300000000001</v>
      </c>
      <c r="J88" s="2">
        <v>1109.1300000000001</v>
      </c>
      <c r="K88" s="2">
        <f t="shared" si="4"/>
        <v>1109.1300000000001</v>
      </c>
      <c r="L88" s="2">
        <f t="shared" si="5"/>
        <v>0</v>
      </c>
      <c r="M88" t="s">
        <v>57</v>
      </c>
      <c r="N88" t="s">
        <v>26</v>
      </c>
    </row>
    <row r="89" spans="1:14" x14ac:dyDescent="0.3">
      <c r="A89">
        <v>2024001087</v>
      </c>
      <c r="B89" s="1">
        <v>45373</v>
      </c>
      <c r="C89" s="11">
        <f t="shared" si="3"/>
        <v>2024</v>
      </c>
      <c r="D89" t="s">
        <v>109</v>
      </c>
      <c r="E89" t="s">
        <v>18</v>
      </c>
      <c r="F89" t="s">
        <v>19</v>
      </c>
      <c r="G89" t="s">
        <v>14</v>
      </c>
      <c r="H89">
        <v>2</v>
      </c>
      <c r="I89" s="2">
        <v>620.39</v>
      </c>
      <c r="J89" s="2">
        <v>1240.78</v>
      </c>
      <c r="K89" s="2">
        <f t="shared" si="4"/>
        <v>1240.78</v>
      </c>
      <c r="L89" s="2">
        <f t="shared" si="5"/>
        <v>0</v>
      </c>
      <c r="M89" t="s">
        <v>55</v>
      </c>
      <c r="N89" t="s">
        <v>16</v>
      </c>
    </row>
    <row r="90" spans="1:14" x14ac:dyDescent="0.3">
      <c r="A90">
        <v>2024001088</v>
      </c>
      <c r="B90" s="1">
        <v>45603</v>
      </c>
      <c r="C90" s="11">
        <f t="shared" si="3"/>
        <v>2024</v>
      </c>
      <c r="D90" t="s">
        <v>96</v>
      </c>
      <c r="E90" t="s">
        <v>40</v>
      </c>
      <c r="F90" t="s">
        <v>41</v>
      </c>
      <c r="G90" t="s">
        <v>36</v>
      </c>
      <c r="H90">
        <v>2</v>
      </c>
      <c r="I90" s="2">
        <v>44.3</v>
      </c>
      <c r="J90" s="2">
        <v>88.6</v>
      </c>
      <c r="K90" s="2">
        <f t="shared" si="4"/>
        <v>88.6</v>
      </c>
      <c r="L90" s="2">
        <f t="shared" si="5"/>
        <v>0</v>
      </c>
      <c r="M90" t="s">
        <v>64</v>
      </c>
      <c r="N90" t="s">
        <v>26</v>
      </c>
    </row>
    <row r="91" spans="1:14" x14ac:dyDescent="0.3">
      <c r="A91">
        <v>2024001089</v>
      </c>
      <c r="B91" s="1">
        <v>45437</v>
      </c>
      <c r="C91" s="11">
        <f t="shared" si="3"/>
        <v>2024</v>
      </c>
      <c r="D91" t="s">
        <v>110</v>
      </c>
      <c r="E91" t="s">
        <v>43</v>
      </c>
      <c r="F91" t="s">
        <v>44</v>
      </c>
      <c r="G91" t="s">
        <v>36</v>
      </c>
      <c r="H91">
        <v>1</v>
      </c>
      <c r="I91" s="2">
        <v>1129.81</v>
      </c>
      <c r="J91" s="2">
        <v>1129.81</v>
      </c>
      <c r="K91" s="2">
        <f t="shared" si="4"/>
        <v>1129.81</v>
      </c>
      <c r="L91" s="2">
        <f t="shared" si="5"/>
        <v>0</v>
      </c>
      <c r="M91" t="s">
        <v>31</v>
      </c>
      <c r="N91" t="s">
        <v>21</v>
      </c>
    </row>
    <row r="92" spans="1:14" x14ac:dyDescent="0.3">
      <c r="A92">
        <v>2024001090</v>
      </c>
      <c r="B92" s="1">
        <v>45508</v>
      </c>
      <c r="C92" s="11">
        <f t="shared" si="3"/>
        <v>2024</v>
      </c>
      <c r="D92" t="s">
        <v>111</v>
      </c>
      <c r="E92" t="s">
        <v>43</v>
      </c>
      <c r="F92" t="s">
        <v>44</v>
      </c>
      <c r="G92" t="s">
        <v>36</v>
      </c>
      <c r="H92">
        <v>3</v>
      </c>
      <c r="I92" s="2">
        <v>1052.8599999999999</v>
      </c>
      <c r="J92" s="2">
        <v>3158.58</v>
      </c>
      <c r="K92" s="2">
        <f t="shared" si="4"/>
        <v>3158.58</v>
      </c>
      <c r="L92" s="2">
        <f t="shared" si="5"/>
        <v>0</v>
      </c>
      <c r="M92" t="s">
        <v>61</v>
      </c>
      <c r="N92" t="s">
        <v>26</v>
      </c>
    </row>
    <row r="93" spans="1:14" x14ac:dyDescent="0.3">
      <c r="A93">
        <v>2024001091</v>
      </c>
      <c r="B93" s="1">
        <v>45602</v>
      </c>
      <c r="C93" s="11">
        <f t="shared" si="3"/>
        <v>2024</v>
      </c>
      <c r="D93" t="s">
        <v>112</v>
      </c>
      <c r="E93" t="s">
        <v>43</v>
      </c>
      <c r="F93" t="s">
        <v>44</v>
      </c>
      <c r="G93" t="s">
        <v>36</v>
      </c>
      <c r="H93">
        <v>2</v>
      </c>
      <c r="I93" s="2">
        <v>1145.92</v>
      </c>
      <c r="J93" s="2">
        <v>2291.84</v>
      </c>
      <c r="K93" s="2">
        <f t="shared" si="4"/>
        <v>2291.84</v>
      </c>
      <c r="L93" s="2">
        <f t="shared" si="5"/>
        <v>0</v>
      </c>
      <c r="M93" t="s">
        <v>25</v>
      </c>
      <c r="N93" t="s">
        <v>16</v>
      </c>
    </row>
    <row r="94" spans="1:14" x14ac:dyDescent="0.3">
      <c r="A94">
        <v>2024001092</v>
      </c>
      <c r="B94" s="1">
        <v>45550</v>
      </c>
      <c r="C94" s="11">
        <f t="shared" si="3"/>
        <v>2024</v>
      </c>
      <c r="D94" t="s">
        <v>113</v>
      </c>
      <c r="E94" t="s">
        <v>18</v>
      </c>
      <c r="F94" t="s">
        <v>19</v>
      </c>
      <c r="G94" t="s">
        <v>14</v>
      </c>
      <c r="H94">
        <v>2</v>
      </c>
      <c r="I94" s="2">
        <v>580.66999999999996</v>
      </c>
      <c r="J94" s="2">
        <v>1161.3399999999999</v>
      </c>
      <c r="K94" s="2">
        <f t="shared" si="4"/>
        <v>1161.3399999999999</v>
      </c>
      <c r="L94" s="2">
        <f t="shared" si="5"/>
        <v>0</v>
      </c>
      <c r="M94" t="s">
        <v>25</v>
      </c>
      <c r="N94" t="s">
        <v>16</v>
      </c>
    </row>
    <row r="95" spans="1:14" x14ac:dyDescent="0.3">
      <c r="A95">
        <v>2024001093</v>
      </c>
      <c r="B95" s="1">
        <v>45657</v>
      </c>
      <c r="C95" s="11">
        <f t="shared" si="3"/>
        <v>2024</v>
      </c>
      <c r="D95" t="s">
        <v>114</v>
      </c>
      <c r="E95" t="s">
        <v>34</v>
      </c>
      <c r="F95" t="s">
        <v>35</v>
      </c>
      <c r="G95" t="s">
        <v>36</v>
      </c>
      <c r="H95">
        <v>1</v>
      </c>
      <c r="I95" s="2">
        <v>16.02</v>
      </c>
      <c r="J95" s="2">
        <v>16.02</v>
      </c>
      <c r="K95" s="2">
        <f t="shared" si="4"/>
        <v>16.02</v>
      </c>
      <c r="L95" s="2">
        <f t="shared" si="5"/>
        <v>0</v>
      </c>
      <c r="M95" t="s">
        <v>38</v>
      </c>
      <c r="N95" t="s">
        <v>16</v>
      </c>
    </row>
    <row r="96" spans="1:14" x14ac:dyDescent="0.3">
      <c r="A96">
        <v>2024001094</v>
      </c>
      <c r="B96" s="1">
        <v>45579</v>
      </c>
      <c r="C96" s="11">
        <f t="shared" si="3"/>
        <v>2024</v>
      </c>
      <c r="D96" t="s">
        <v>11</v>
      </c>
      <c r="E96" t="s">
        <v>40</v>
      </c>
      <c r="F96" t="s">
        <v>41</v>
      </c>
      <c r="G96" t="s">
        <v>36</v>
      </c>
      <c r="H96">
        <v>1</v>
      </c>
      <c r="I96" s="2">
        <v>45.75</v>
      </c>
      <c r="J96" s="2">
        <v>45.75</v>
      </c>
      <c r="K96" s="2">
        <f t="shared" si="4"/>
        <v>45.75</v>
      </c>
      <c r="L96" s="2">
        <f t="shared" si="5"/>
        <v>0</v>
      </c>
      <c r="M96" t="s">
        <v>55</v>
      </c>
      <c r="N96" t="s">
        <v>16</v>
      </c>
    </row>
    <row r="97" spans="1:14" x14ac:dyDescent="0.3">
      <c r="A97">
        <v>2024001095</v>
      </c>
      <c r="B97" s="1">
        <v>45409</v>
      </c>
      <c r="C97" s="11">
        <f t="shared" si="3"/>
        <v>2024</v>
      </c>
      <c r="D97" t="s">
        <v>115</v>
      </c>
      <c r="E97" t="s">
        <v>40</v>
      </c>
      <c r="F97" t="s">
        <v>41</v>
      </c>
      <c r="G97" t="s">
        <v>36</v>
      </c>
      <c r="H97">
        <v>3</v>
      </c>
      <c r="I97" s="2">
        <v>43.32</v>
      </c>
      <c r="J97" s="2">
        <v>129.96</v>
      </c>
      <c r="K97" s="2">
        <f t="shared" si="4"/>
        <v>129.96</v>
      </c>
      <c r="L97" s="2">
        <f t="shared" si="5"/>
        <v>0</v>
      </c>
      <c r="M97" t="s">
        <v>64</v>
      </c>
      <c r="N97" t="s">
        <v>32</v>
      </c>
    </row>
    <row r="98" spans="1:14" x14ac:dyDescent="0.3">
      <c r="A98">
        <v>2024001096</v>
      </c>
      <c r="B98" s="1">
        <v>45513</v>
      </c>
      <c r="C98" s="11">
        <f t="shared" si="3"/>
        <v>2024</v>
      </c>
      <c r="D98" t="s">
        <v>116</v>
      </c>
      <c r="E98" t="s">
        <v>28</v>
      </c>
      <c r="F98" t="s">
        <v>29</v>
      </c>
      <c r="G98" t="s">
        <v>30</v>
      </c>
      <c r="H98">
        <v>2</v>
      </c>
      <c r="I98" s="2">
        <v>21.74</v>
      </c>
      <c r="J98" s="2">
        <v>43.48</v>
      </c>
      <c r="K98" s="2">
        <f t="shared" si="4"/>
        <v>43.48</v>
      </c>
      <c r="L98" s="2">
        <f t="shared" si="5"/>
        <v>0</v>
      </c>
      <c r="M98" t="s">
        <v>25</v>
      </c>
      <c r="N98" t="s">
        <v>26</v>
      </c>
    </row>
    <row r="99" spans="1:14" x14ac:dyDescent="0.3">
      <c r="A99">
        <v>2024001097</v>
      </c>
      <c r="B99" s="1">
        <v>45657</v>
      </c>
      <c r="C99" s="11">
        <f t="shared" si="3"/>
        <v>2024</v>
      </c>
      <c r="D99" t="s">
        <v>117</v>
      </c>
      <c r="E99" t="s">
        <v>34</v>
      </c>
      <c r="F99" t="s">
        <v>35</v>
      </c>
      <c r="G99" t="s">
        <v>36</v>
      </c>
      <c r="H99">
        <v>4</v>
      </c>
      <c r="I99" s="2">
        <v>14.51</v>
      </c>
      <c r="J99" s="2">
        <v>58.04</v>
      </c>
      <c r="K99" s="2">
        <f t="shared" si="4"/>
        <v>58.04</v>
      </c>
      <c r="L99" s="2">
        <f t="shared" si="5"/>
        <v>0</v>
      </c>
      <c r="M99" t="s">
        <v>55</v>
      </c>
      <c r="N99" t="s">
        <v>16</v>
      </c>
    </row>
    <row r="100" spans="1:14" x14ac:dyDescent="0.3">
      <c r="A100">
        <v>2024001098</v>
      </c>
      <c r="B100" s="1">
        <v>45597</v>
      </c>
      <c r="C100" s="11">
        <f t="shared" si="3"/>
        <v>2024</v>
      </c>
      <c r="D100" t="s">
        <v>118</v>
      </c>
      <c r="E100" t="s">
        <v>40</v>
      </c>
      <c r="F100" t="s">
        <v>41</v>
      </c>
      <c r="G100" t="s">
        <v>36</v>
      </c>
      <c r="H100">
        <v>1</v>
      </c>
      <c r="I100" s="2">
        <v>46.99</v>
      </c>
      <c r="J100" s="2">
        <v>46.99</v>
      </c>
      <c r="K100" s="2">
        <f t="shared" si="4"/>
        <v>46.99</v>
      </c>
      <c r="L100" s="2">
        <f t="shared" si="5"/>
        <v>0</v>
      </c>
      <c r="M100" t="s">
        <v>38</v>
      </c>
      <c r="N100" t="s">
        <v>26</v>
      </c>
    </row>
    <row r="101" spans="1:14" x14ac:dyDescent="0.3">
      <c r="A101">
        <v>2024001099</v>
      </c>
      <c r="B101" s="1">
        <v>45457</v>
      </c>
      <c r="C101" s="11">
        <f t="shared" si="3"/>
        <v>2024</v>
      </c>
      <c r="D101" t="s">
        <v>119</v>
      </c>
      <c r="E101" t="s">
        <v>53</v>
      </c>
      <c r="F101" t="s">
        <v>54</v>
      </c>
      <c r="G101" t="s">
        <v>36</v>
      </c>
      <c r="H101">
        <v>2</v>
      </c>
      <c r="I101" s="2">
        <v>119.18</v>
      </c>
      <c r="J101" s="2">
        <v>238.36</v>
      </c>
      <c r="K101" s="2">
        <f t="shared" si="4"/>
        <v>238.36</v>
      </c>
      <c r="L101" s="2">
        <f t="shared" si="5"/>
        <v>0</v>
      </c>
      <c r="M101" t="s">
        <v>61</v>
      </c>
      <c r="N101" t="s">
        <v>26</v>
      </c>
    </row>
    <row r="102" spans="1:14" x14ac:dyDescent="0.3">
      <c r="A102">
        <v>2024001100</v>
      </c>
      <c r="B102" s="1">
        <v>45576</v>
      </c>
      <c r="C102" s="11">
        <f t="shared" si="3"/>
        <v>2024</v>
      </c>
      <c r="D102" t="s">
        <v>120</v>
      </c>
      <c r="E102" t="s">
        <v>23</v>
      </c>
      <c r="F102" t="s">
        <v>24</v>
      </c>
      <c r="G102" t="s">
        <v>14</v>
      </c>
      <c r="H102">
        <v>3</v>
      </c>
      <c r="I102" s="2">
        <v>80.510000000000005</v>
      </c>
      <c r="J102" s="2">
        <v>241.53</v>
      </c>
      <c r="K102" s="2">
        <f t="shared" si="4"/>
        <v>241.53000000000003</v>
      </c>
      <c r="L102" s="2">
        <f t="shared" si="5"/>
        <v>0</v>
      </c>
      <c r="M102" t="s">
        <v>55</v>
      </c>
      <c r="N102" t="s">
        <v>26</v>
      </c>
    </row>
    <row r="103" spans="1:14" x14ac:dyDescent="0.3">
      <c r="A103">
        <v>2024001101</v>
      </c>
      <c r="B103" s="1">
        <v>45417</v>
      </c>
      <c r="C103" s="11">
        <f t="shared" si="3"/>
        <v>2024</v>
      </c>
      <c r="D103" t="s">
        <v>121</v>
      </c>
      <c r="E103" t="s">
        <v>34</v>
      </c>
      <c r="F103" t="s">
        <v>35</v>
      </c>
      <c r="G103" t="s">
        <v>36</v>
      </c>
      <c r="H103">
        <v>2</v>
      </c>
      <c r="I103" s="2">
        <v>14.64</v>
      </c>
      <c r="J103" s="2">
        <v>29.28</v>
      </c>
      <c r="K103" s="2">
        <f t="shared" si="4"/>
        <v>29.28</v>
      </c>
      <c r="L103" s="2">
        <f t="shared" si="5"/>
        <v>0</v>
      </c>
      <c r="M103" t="s">
        <v>15</v>
      </c>
      <c r="N103" t="s">
        <v>21</v>
      </c>
    </row>
    <row r="104" spans="1:14" x14ac:dyDescent="0.3">
      <c r="A104">
        <v>2024001102</v>
      </c>
      <c r="B104" s="1">
        <v>45627</v>
      </c>
      <c r="C104" s="11">
        <f t="shared" si="3"/>
        <v>2024</v>
      </c>
      <c r="D104" t="s">
        <v>11</v>
      </c>
      <c r="E104" t="s">
        <v>67</v>
      </c>
      <c r="F104" t="s">
        <v>68</v>
      </c>
      <c r="G104" t="s">
        <v>36</v>
      </c>
      <c r="H104">
        <v>2</v>
      </c>
      <c r="I104" s="2">
        <v>411.2</v>
      </c>
      <c r="J104" s="2">
        <v>822.4</v>
      </c>
      <c r="K104" s="2">
        <f t="shared" si="4"/>
        <v>822.4</v>
      </c>
      <c r="L104" s="2">
        <f t="shared" si="5"/>
        <v>0</v>
      </c>
      <c r="M104" t="s">
        <v>48</v>
      </c>
      <c r="N104" t="s">
        <v>21</v>
      </c>
    </row>
    <row r="105" spans="1:14" x14ac:dyDescent="0.3">
      <c r="A105">
        <v>2024001103</v>
      </c>
      <c r="B105" s="1">
        <v>45643</v>
      </c>
      <c r="C105" s="11">
        <f t="shared" si="3"/>
        <v>2024</v>
      </c>
      <c r="D105" t="s">
        <v>75</v>
      </c>
      <c r="E105" t="s">
        <v>40</v>
      </c>
      <c r="F105" t="s">
        <v>41</v>
      </c>
      <c r="G105" t="s">
        <v>36</v>
      </c>
      <c r="H105">
        <v>2</v>
      </c>
      <c r="I105" s="2">
        <v>42.95</v>
      </c>
      <c r="J105" s="2">
        <v>85.9</v>
      </c>
      <c r="K105" s="2">
        <f t="shared" si="4"/>
        <v>85.9</v>
      </c>
      <c r="L105" s="2">
        <f t="shared" si="5"/>
        <v>0</v>
      </c>
      <c r="M105" t="s">
        <v>57</v>
      </c>
      <c r="N105" t="s">
        <v>21</v>
      </c>
    </row>
    <row r="106" spans="1:14" x14ac:dyDescent="0.3">
      <c r="A106">
        <v>2024001104</v>
      </c>
      <c r="B106" s="1">
        <v>45568</v>
      </c>
      <c r="C106" s="11">
        <f t="shared" si="3"/>
        <v>2024</v>
      </c>
      <c r="D106" t="s">
        <v>122</v>
      </c>
      <c r="E106" t="s">
        <v>40</v>
      </c>
      <c r="F106" t="s">
        <v>41</v>
      </c>
      <c r="G106" t="s">
        <v>36</v>
      </c>
      <c r="H106">
        <v>1</v>
      </c>
      <c r="I106" s="2">
        <v>44.76</v>
      </c>
      <c r="J106" s="2">
        <v>44.76</v>
      </c>
      <c r="K106" s="2">
        <f t="shared" si="4"/>
        <v>44.76</v>
      </c>
      <c r="L106" s="2">
        <f t="shared" si="5"/>
        <v>0</v>
      </c>
      <c r="M106" t="s">
        <v>31</v>
      </c>
      <c r="N106" t="s">
        <v>16</v>
      </c>
    </row>
    <row r="107" spans="1:14" x14ac:dyDescent="0.3">
      <c r="A107">
        <v>2024001105</v>
      </c>
      <c r="B107" s="1">
        <v>45325</v>
      </c>
      <c r="C107" s="11">
        <f t="shared" si="3"/>
        <v>2024</v>
      </c>
      <c r="D107" t="s">
        <v>123</v>
      </c>
      <c r="E107" t="s">
        <v>46</v>
      </c>
      <c r="F107" t="s">
        <v>47</v>
      </c>
      <c r="G107" t="s">
        <v>36</v>
      </c>
      <c r="H107">
        <v>2</v>
      </c>
      <c r="I107" s="2">
        <v>85.34</v>
      </c>
      <c r="J107" s="2">
        <v>170.68</v>
      </c>
      <c r="K107" s="2">
        <f t="shared" si="4"/>
        <v>170.68</v>
      </c>
      <c r="L107" s="2">
        <f t="shared" si="5"/>
        <v>0</v>
      </c>
      <c r="M107" t="s">
        <v>48</v>
      </c>
      <c r="N107" t="s">
        <v>16</v>
      </c>
    </row>
    <row r="108" spans="1:14" x14ac:dyDescent="0.3">
      <c r="A108">
        <v>2024001106</v>
      </c>
      <c r="B108" s="1">
        <v>45540</v>
      </c>
      <c r="C108" s="11">
        <f t="shared" si="3"/>
        <v>2024</v>
      </c>
      <c r="D108" t="s">
        <v>84</v>
      </c>
      <c r="E108" t="s">
        <v>28</v>
      </c>
      <c r="F108" t="s">
        <v>29</v>
      </c>
      <c r="G108" t="s">
        <v>30</v>
      </c>
      <c r="H108">
        <v>2</v>
      </c>
      <c r="I108" s="2">
        <v>23.47</v>
      </c>
      <c r="J108" s="2">
        <v>46.94</v>
      </c>
      <c r="K108" s="2">
        <f t="shared" si="4"/>
        <v>46.94</v>
      </c>
      <c r="L108" s="2">
        <f t="shared" si="5"/>
        <v>0</v>
      </c>
      <c r="M108" t="s">
        <v>61</v>
      </c>
      <c r="N108" t="s">
        <v>16</v>
      </c>
    </row>
    <row r="109" spans="1:14" x14ac:dyDescent="0.3">
      <c r="A109">
        <v>2024001107</v>
      </c>
      <c r="B109" s="1">
        <v>45583</v>
      </c>
      <c r="C109" s="11">
        <f t="shared" si="3"/>
        <v>2024</v>
      </c>
      <c r="D109" t="s">
        <v>124</v>
      </c>
      <c r="E109" t="s">
        <v>23</v>
      </c>
      <c r="F109" t="s">
        <v>24</v>
      </c>
      <c r="G109" t="s">
        <v>14</v>
      </c>
      <c r="H109">
        <v>2</v>
      </c>
      <c r="I109" s="2">
        <v>80.17</v>
      </c>
      <c r="J109" s="2">
        <v>160.34</v>
      </c>
      <c r="K109" s="2">
        <f t="shared" si="4"/>
        <v>160.34</v>
      </c>
      <c r="L109" s="2">
        <f t="shared" si="5"/>
        <v>0</v>
      </c>
      <c r="M109" t="s">
        <v>38</v>
      </c>
      <c r="N109" t="s">
        <v>21</v>
      </c>
    </row>
    <row r="110" spans="1:14" x14ac:dyDescent="0.3">
      <c r="A110">
        <v>2024001108</v>
      </c>
      <c r="B110" s="1">
        <v>45594</v>
      </c>
      <c r="C110" s="11">
        <f t="shared" si="3"/>
        <v>2024</v>
      </c>
      <c r="D110" t="s">
        <v>125</v>
      </c>
      <c r="E110" t="s">
        <v>23</v>
      </c>
      <c r="F110" t="s">
        <v>24</v>
      </c>
      <c r="G110" t="s">
        <v>14</v>
      </c>
      <c r="H110">
        <v>1</v>
      </c>
      <c r="I110" s="2">
        <v>73.94</v>
      </c>
      <c r="J110" s="2">
        <v>73.94</v>
      </c>
      <c r="K110" s="2">
        <f t="shared" si="4"/>
        <v>73.94</v>
      </c>
      <c r="L110" s="2">
        <f t="shared" si="5"/>
        <v>0</v>
      </c>
      <c r="M110" t="s">
        <v>20</v>
      </c>
      <c r="N110" t="s">
        <v>16</v>
      </c>
    </row>
    <row r="111" spans="1:14" x14ac:dyDescent="0.3">
      <c r="A111">
        <v>2024001109</v>
      </c>
      <c r="B111" s="1">
        <v>45656</v>
      </c>
      <c r="C111" s="11">
        <f t="shared" si="3"/>
        <v>2024</v>
      </c>
      <c r="D111" t="s">
        <v>126</v>
      </c>
      <c r="E111" t="s">
        <v>23</v>
      </c>
      <c r="F111" t="s">
        <v>24</v>
      </c>
      <c r="G111" t="s">
        <v>14</v>
      </c>
      <c r="H111">
        <v>1</v>
      </c>
      <c r="I111" s="2">
        <v>85.47</v>
      </c>
      <c r="J111" s="2">
        <v>85.47</v>
      </c>
      <c r="K111" s="2">
        <f t="shared" si="4"/>
        <v>85.47</v>
      </c>
      <c r="L111" s="2">
        <f t="shared" si="5"/>
        <v>0</v>
      </c>
      <c r="M111" t="s">
        <v>57</v>
      </c>
      <c r="N111" t="s">
        <v>21</v>
      </c>
    </row>
    <row r="112" spans="1:14" x14ac:dyDescent="0.3">
      <c r="A112">
        <v>2024001110</v>
      </c>
      <c r="B112" s="1">
        <v>45529</v>
      </c>
      <c r="C112" s="11">
        <f t="shared" si="3"/>
        <v>2024</v>
      </c>
      <c r="D112" t="s">
        <v>127</v>
      </c>
      <c r="E112" t="s">
        <v>40</v>
      </c>
      <c r="F112" t="s">
        <v>41</v>
      </c>
      <c r="G112" t="s">
        <v>36</v>
      </c>
      <c r="H112">
        <v>1</v>
      </c>
      <c r="I112" s="2">
        <v>41.39</v>
      </c>
      <c r="J112" s="2">
        <v>41.39</v>
      </c>
      <c r="K112" s="2">
        <f t="shared" si="4"/>
        <v>41.39</v>
      </c>
      <c r="L112" s="2">
        <f t="shared" si="5"/>
        <v>0</v>
      </c>
      <c r="M112" t="s">
        <v>48</v>
      </c>
      <c r="N112" t="s">
        <v>21</v>
      </c>
    </row>
    <row r="113" spans="1:14" x14ac:dyDescent="0.3">
      <c r="A113">
        <v>2024001111</v>
      </c>
      <c r="B113" s="1">
        <v>45319</v>
      </c>
      <c r="C113" s="11">
        <f t="shared" si="3"/>
        <v>2024</v>
      </c>
      <c r="D113" t="s">
        <v>102</v>
      </c>
      <c r="E113" t="s">
        <v>53</v>
      </c>
      <c r="F113" t="s">
        <v>54</v>
      </c>
      <c r="G113" t="s">
        <v>36</v>
      </c>
      <c r="H113">
        <v>1</v>
      </c>
      <c r="I113" s="2">
        <v>121.22</v>
      </c>
      <c r="J113" s="2">
        <v>121.22</v>
      </c>
      <c r="K113" s="2">
        <f t="shared" si="4"/>
        <v>121.22</v>
      </c>
      <c r="L113" s="2">
        <f t="shared" si="5"/>
        <v>0</v>
      </c>
      <c r="M113" t="s">
        <v>15</v>
      </c>
      <c r="N113" t="s">
        <v>16</v>
      </c>
    </row>
    <row r="114" spans="1:14" x14ac:dyDescent="0.3">
      <c r="A114">
        <v>2024001112</v>
      </c>
      <c r="B114" s="1">
        <v>45417</v>
      </c>
      <c r="C114" s="11">
        <f t="shared" si="3"/>
        <v>2024</v>
      </c>
      <c r="D114" t="s">
        <v>128</v>
      </c>
      <c r="E114" t="s">
        <v>28</v>
      </c>
      <c r="F114" t="s">
        <v>29</v>
      </c>
      <c r="G114" t="s">
        <v>30</v>
      </c>
      <c r="H114">
        <v>3</v>
      </c>
      <c r="I114" s="2">
        <v>27.11</v>
      </c>
      <c r="J114" s="2">
        <v>81.33</v>
      </c>
      <c r="K114" s="2">
        <f t="shared" si="4"/>
        <v>81.33</v>
      </c>
      <c r="L114" s="2">
        <f t="shared" si="5"/>
        <v>0</v>
      </c>
      <c r="M114" t="s">
        <v>57</v>
      </c>
      <c r="N114" t="s">
        <v>26</v>
      </c>
    </row>
    <row r="115" spans="1:14" x14ac:dyDescent="0.3">
      <c r="A115">
        <v>2024001113</v>
      </c>
      <c r="B115" s="1">
        <v>45400</v>
      </c>
      <c r="C115" s="11">
        <f t="shared" si="3"/>
        <v>2024</v>
      </c>
      <c r="D115" t="s">
        <v>129</v>
      </c>
      <c r="E115" t="s">
        <v>12</v>
      </c>
      <c r="F115" t="s">
        <v>13</v>
      </c>
      <c r="G115" t="s">
        <v>14</v>
      </c>
      <c r="H115">
        <v>2</v>
      </c>
      <c r="I115" s="2">
        <v>365.43</v>
      </c>
      <c r="J115" s="2">
        <v>730.86</v>
      </c>
      <c r="K115" s="2">
        <f t="shared" si="4"/>
        <v>730.86</v>
      </c>
      <c r="L115" s="2">
        <f t="shared" si="5"/>
        <v>0</v>
      </c>
      <c r="M115" t="s">
        <v>55</v>
      </c>
      <c r="N115" t="s">
        <v>21</v>
      </c>
    </row>
    <row r="116" spans="1:14" x14ac:dyDescent="0.3">
      <c r="A116">
        <v>2024001114</v>
      </c>
      <c r="B116" s="1">
        <v>45555</v>
      </c>
      <c r="C116" s="11">
        <f t="shared" si="3"/>
        <v>2024</v>
      </c>
      <c r="D116" t="s">
        <v>130</v>
      </c>
      <c r="E116" t="s">
        <v>34</v>
      </c>
      <c r="F116" t="s">
        <v>35</v>
      </c>
      <c r="G116" t="s">
        <v>36</v>
      </c>
      <c r="H116">
        <v>1</v>
      </c>
      <c r="I116" s="2">
        <v>15.53</v>
      </c>
      <c r="J116" s="2">
        <v>15.53</v>
      </c>
      <c r="K116" s="2">
        <f t="shared" si="4"/>
        <v>15.53</v>
      </c>
      <c r="L116" s="2">
        <f t="shared" si="5"/>
        <v>0</v>
      </c>
      <c r="M116" t="s">
        <v>55</v>
      </c>
      <c r="N116" t="s">
        <v>21</v>
      </c>
    </row>
    <row r="117" spans="1:14" x14ac:dyDescent="0.3">
      <c r="A117">
        <v>2024001115</v>
      </c>
      <c r="B117" s="1">
        <v>45606</v>
      </c>
      <c r="C117" s="11">
        <f t="shared" si="3"/>
        <v>2024</v>
      </c>
      <c r="D117" t="s">
        <v>131</v>
      </c>
      <c r="E117" t="s">
        <v>28</v>
      </c>
      <c r="F117" t="s">
        <v>29</v>
      </c>
      <c r="G117" t="s">
        <v>30</v>
      </c>
      <c r="H117">
        <v>1</v>
      </c>
      <c r="I117" s="2">
        <v>24.64</v>
      </c>
      <c r="J117" s="2">
        <v>24.64</v>
      </c>
      <c r="K117" s="2">
        <f t="shared" si="4"/>
        <v>24.64</v>
      </c>
      <c r="L117" s="2">
        <f t="shared" si="5"/>
        <v>0</v>
      </c>
      <c r="M117" t="s">
        <v>64</v>
      </c>
      <c r="N117" t="s">
        <v>26</v>
      </c>
    </row>
    <row r="118" spans="1:14" x14ac:dyDescent="0.3">
      <c r="A118">
        <v>2024001116</v>
      </c>
      <c r="B118" s="1">
        <v>45489</v>
      </c>
      <c r="C118" s="11">
        <f t="shared" si="3"/>
        <v>2024</v>
      </c>
      <c r="D118" t="s">
        <v>132</v>
      </c>
      <c r="E118" t="s">
        <v>53</v>
      </c>
      <c r="F118" t="s">
        <v>54</v>
      </c>
      <c r="G118" t="s">
        <v>36</v>
      </c>
      <c r="H118">
        <v>1</v>
      </c>
      <c r="I118" s="2">
        <v>124.78</v>
      </c>
      <c r="J118" s="2">
        <v>124.78</v>
      </c>
      <c r="K118" s="2">
        <f t="shared" si="4"/>
        <v>124.78</v>
      </c>
      <c r="L118" s="2">
        <f t="shared" si="5"/>
        <v>0</v>
      </c>
      <c r="M118" t="s">
        <v>64</v>
      </c>
      <c r="N118" t="s">
        <v>16</v>
      </c>
    </row>
    <row r="119" spans="1:14" x14ac:dyDescent="0.3">
      <c r="A119">
        <v>2024001117</v>
      </c>
      <c r="B119" s="1">
        <v>45385</v>
      </c>
      <c r="C119" s="11">
        <f t="shared" si="3"/>
        <v>2024</v>
      </c>
      <c r="D119" t="s">
        <v>56</v>
      </c>
      <c r="E119" t="s">
        <v>28</v>
      </c>
      <c r="F119" t="s">
        <v>29</v>
      </c>
      <c r="G119" t="s">
        <v>30</v>
      </c>
      <c r="H119">
        <v>2</v>
      </c>
      <c r="I119" s="2">
        <v>25.18</v>
      </c>
      <c r="J119" s="2">
        <v>50.36</v>
      </c>
      <c r="K119" s="2">
        <f t="shared" si="4"/>
        <v>50.36</v>
      </c>
      <c r="L119" s="2">
        <f t="shared" si="5"/>
        <v>0</v>
      </c>
      <c r="M119" t="s">
        <v>20</v>
      </c>
      <c r="N119" t="s">
        <v>16</v>
      </c>
    </row>
    <row r="120" spans="1:14" x14ac:dyDescent="0.3">
      <c r="A120">
        <v>2024001118</v>
      </c>
      <c r="B120" s="1">
        <v>45464</v>
      </c>
      <c r="C120" s="11">
        <f t="shared" si="3"/>
        <v>2024</v>
      </c>
      <c r="D120" t="s">
        <v>128</v>
      </c>
      <c r="E120" t="s">
        <v>18</v>
      </c>
      <c r="F120" t="s">
        <v>19</v>
      </c>
      <c r="G120" t="s">
        <v>14</v>
      </c>
      <c r="H120">
        <v>1</v>
      </c>
      <c r="I120" s="2">
        <v>577.1</v>
      </c>
      <c r="J120" s="2">
        <v>577.1</v>
      </c>
      <c r="K120" s="2">
        <f t="shared" si="4"/>
        <v>577.1</v>
      </c>
      <c r="L120" s="2">
        <f t="shared" si="5"/>
        <v>0</v>
      </c>
      <c r="M120" t="s">
        <v>61</v>
      </c>
      <c r="N120" t="s">
        <v>32</v>
      </c>
    </row>
    <row r="121" spans="1:14" x14ac:dyDescent="0.3">
      <c r="A121">
        <v>2024001119</v>
      </c>
      <c r="B121" s="1">
        <v>45404</v>
      </c>
      <c r="C121" s="11">
        <f t="shared" si="3"/>
        <v>2024</v>
      </c>
      <c r="D121" t="s">
        <v>133</v>
      </c>
      <c r="E121" t="s">
        <v>43</v>
      </c>
      <c r="F121" t="s">
        <v>44</v>
      </c>
      <c r="G121" t="s">
        <v>36</v>
      </c>
      <c r="H121">
        <v>2</v>
      </c>
      <c r="I121" s="2">
        <v>1091.71</v>
      </c>
      <c r="J121" s="2">
        <v>2183.42</v>
      </c>
      <c r="K121" s="2">
        <f t="shared" si="4"/>
        <v>2183.42</v>
      </c>
      <c r="L121" s="2">
        <f t="shared" si="5"/>
        <v>0</v>
      </c>
      <c r="M121" t="s">
        <v>64</v>
      </c>
      <c r="N121" t="s">
        <v>26</v>
      </c>
    </row>
    <row r="122" spans="1:14" x14ac:dyDescent="0.3">
      <c r="A122">
        <v>2024001120</v>
      </c>
      <c r="B122" s="1">
        <v>45430</v>
      </c>
      <c r="C122" s="11">
        <f t="shared" si="3"/>
        <v>2024</v>
      </c>
      <c r="D122" t="s">
        <v>115</v>
      </c>
      <c r="E122" t="s">
        <v>43</v>
      </c>
      <c r="F122" t="s">
        <v>44</v>
      </c>
      <c r="G122" t="s">
        <v>36</v>
      </c>
      <c r="H122">
        <v>1</v>
      </c>
      <c r="I122" s="2">
        <v>1324.02</v>
      </c>
      <c r="J122" s="2">
        <v>1324.02</v>
      </c>
      <c r="K122" s="2">
        <f t="shared" si="4"/>
        <v>1324.02</v>
      </c>
      <c r="L122" s="2">
        <f t="shared" si="5"/>
        <v>0</v>
      </c>
      <c r="M122" t="s">
        <v>31</v>
      </c>
      <c r="N122" t="s">
        <v>32</v>
      </c>
    </row>
    <row r="123" spans="1:14" x14ac:dyDescent="0.3">
      <c r="A123">
        <v>2024001121</v>
      </c>
      <c r="B123" s="1">
        <v>45304</v>
      </c>
      <c r="C123" s="11">
        <f t="shared" si="3"/>
        <v>2024</v>
      </c>
      <c r="D123" t="s">
        <v>134</v>
      </c>
      <c r="E123" t="s">
        <v>40</v>
      </c>
      <c r="F123" t="s">
        <v>41</v>
      </c>
      <c r="G123" t="s">
        <v>36</v>
      </c>
      <c r="H123">
        <v>1</v>
      </c>
      <c r="I123" s="2">
        <v>40.619999999999997</v>
      </c>
      <c r="J123" s="2">
        <v>40.619999999999997</v>
      </c>
      <c r="K123" s="2">
        <f t="shared" si="4"/>
        <v>40.619999999999997</v>
      </c>
      <c r="L123" s="2">
        <f t="shared" si="5"/>
        <v>0</v>
      </c>
      <c r="M123" t="s">
        <v>25</v>
      </c>
      <c r="N123" t="s">
        <v>26</v>
      </c>
    </row>
    <row r="124" spans="1:14" x14ac:dyDescent="0.3">
      <c r="A124">
        <v>2024001122</v>
      </c>
      <c r="B124" s="1">
        <v>45564</v>
      </c>
      <c r="C124" s="11">
        <f t="shared" si="3"/>
        <v>2024</v>
      </c>
      <c r="D124" t="s">
        <v>135</v>
      </c>
      <c r="E124" t="s">
        <v>23</v>
      </c>
      <c r="F124" t="s">
        <v>24</v>
      </c>
      <c r="G124" t="s">
        <v>14</v>
      </c>
      <c r="H124">
        <v>2</v>
      </c>
      <c r="I124" s="2">
        <v>79.150000000000006</v>
      </c>
      <c r="J124" s="2">
        <v>158.30000000000001</v>
      </c>
      <c r="K124" s="2">
        <f t="shared" si="4"/>
        <v>158.30000000000001</v>
      </c>
      <c r="L124" s="2">
        <f t="shared" si="5"/>
        <v>0</v>
      </c>
      <c r="M124" t="s">
        <v>25</v>
      </c>
      <c r="N124" t="s">
        <v>16</v>
      </c>
    </row>
    <row r="125" spans="1:14" x14ac:dyDescent="0.3">
      <c r="A125">
        <v>2024001123</v>
      </c>
      <c r="B125" s="1">
        <v>45527</v>
      </c>
      <c r="C125" s="11">
        <f t="shared" si="3"/>
        <v>2024</v>
      </c>
      <c r="D125" t="s">
        <v>63</v>
      </c>
      <c r="E125" t="s">
        <v>40</v>
      </c>
      <c r="F125" t="s">
        <v>41</v>
      </c>
      <c r="G125" t="s">
        <v>36</v>
      </c>
      <c r="H125">
        <v>1</v>
      </c>
      <c r="I125" s="2">
        <v>45.36</v>
      </c>
      <c r="J125" s="2">
        <v>45.36</v>
      </c>
      <c r="K125" s="2">
        <f t="shared" si="4"/>
        <v>45.36</v>
      </c>
      <c r="L125" s="2">
        <f t="shared" si="5"/>
        <v>0</v>
      </c>
      <c r="M125" t="s">
        <v>57</v>
      </c>
      <c r="N125" t="s">
        <v>26</v>
      </c>
    </row>
    <row r="126" spans="1:14" x14ac:dyDescent="0.3">
      <c r="A126">
        <v>2024001124</v>
      </c>
      <c r="B126" s="1">
        <v>45587</v>
      </c>
      <c r="C126" s="11">
        <f t="shared" si="3"/>
        <v>2024</v>
      </c>
      <c r="D126" t="s">
        <v>136</v>
      </c>
      <c r="E126" t="s">
        <v>23</v>
      </c>
      <c r="F126" t="s">
        <v>24</v>
      </c>
      <c r="G126" t="s">
        <v>14</v>
      </c>
      <c r="H126">
        <v>3</v>
      </c>
      <c r="I126" s="2">
        <v>83.05</v>
      </c>
      <c r="J126" s="2">
        <v>249.15</v>
      </c>
      <c r="K126" s="2">
        <f t="shared" si="4"/>
        <v>249.14999999999998</v>
      </c>
      <c r="L126" s="2">
        <f t="shared" si="5"/>
        <v>0</v>
      </c>
      <c r="M126" t="s">
        <v>57</v>
      </c>
      <c r="N126" t="s">
        <v>26</v>
      </c>
    </row>
    <row r="127" spans="1:14" x14ac:dyDescent="0.3">
      <c r="A127">
        <v>2024001125</v>
      </c>
      <c r="B127" s="1">
        <v>45456</v>
      </c>
      <c r="C127" s="11">
        <f t="shared" si="3"/>
        <v>2024</v>
      </c>
      <c r="D127" t="s">
        <v>122</v>
      </c>
      <c r="E127" t="s">
        <v>34</v>
      </c>
      <c r="F127" t="s">
        <v>35</v>
      </c>
      <c r="G127" t="s">
        <v>36</v>
      </c>
      <c r="H127">
        <v>2</v>
      </c>
      <c r="I127" s="2">
        <v>15.48</v>
      </c>
      <c r="J127" s="2">
        <v>30.96</v>
      </c>
      <c r="K127" s="2">
        <f t="shared" si="4"/>
        <v>30.96</v>
      </c>
      <c r="L127" s="2">
        <f t="shared" si="5"/>
        <v>0</v>
      </c>
      <c r="M127" t="s">
        <v>31</v>
      </c>
      <c r="N127" t="s">
        <v>16</v>
      </c>
    </row>
    <row r="128" spans="1:14" x14ac:dyDescent="0.3">
      <c r="A128">
        <v>2024001059</v>
      </c>
      <c r="B128" s="1">
        <v>45423</v>
      </c>
      <c r="C128" s="11">
        <f t="shared" si="3"/>
        <v>2024</v>
      </c>
      <c r="D128" t="s">
        <v>137</v>
      </c>
      <c r="E128" t="s">
        <v>46</v>
      </c>
      <c r="F128" t="s">
        <v>47</v>
      </c>
      <c r="G128" t="s">
        <v>36</v>
      </c>
      <c r="H128">
        <v>1</v>
      </c>
      <c r="I128" s="2">
        <v>88.87</v>
      </c>
      <c r="J128" s="2">
        <v>88.87</v>
      </c>
      <c r="K128" s="2">
        <f t="shared" si="4"/>
        <v>88.87</v>
      </c>
      <c r="L128" s="2">
        <f t="shared" si="5"/>
        <v>0</v>
      </c>
      <c r="M128" t="s">
        <v>57</v>
      </c>
      <c r="N128" t="s">
        <v>26</v>
      </c>
    </row>
    <row r="129" spans="1:14" x14ac:dyDescent="0.3">
      <c r="A129">
        <v>2024001127</v>
      </c>
      <c r="B129" s="1">
        <v>45644</v>
      </c>
      <c r="C129" s="11">
        <f t="shared" si="3"/>
        <v>2024</v>
      </c>
      <c r="D129" t="s">
        <v>113</v>
      </c>
      <c r="E129" t="s">
        <v>43</v>
      </c>
      <c r="F129" t="s">
        <v>44</v>
      </c>
      <c r="G129" t="s">
        <v>36</v>
      </c>
      <c r="H129">
        <v>1</v>
      </c>
      <c r="I129" s="2">
        <v>1278.06</v>
      </c>
      <c r="J129" s="2">
        <v>1278.06</v>
      </c>
      <c r="K129" s="2">
        <f t="shared" si="4"/>
        <v>1278.06</v>
      </c>
      <c r="L129" s="2">
        <f t="shared" si="5"/>
        <v>0</v>
      </c>
      <c r="M129" t="s">
        <v>61</v>
      </c>
      <c r="N129" t="s">
        <v>21</v>
      </c>
    </row>
    <row r="130" spans="1:14" x14ac:dyDescent="0.3">
      <c r="A130">
        <v>2024001128</v>
      </c>
      <c r="B130" s="1">
        <v>45600</v>
      </c>
      <c r="C130" s="11">
        <f t="shared" si="3"/>
        <v>2024</v>
      </c>
      <c r="D130" t="s">
        <v>79</v>
      </c>
      <c r="E130" t="s">
        <v>23</v>
      </c>
      <c r="F130" t="s">
        <v>24</v>
      </c>
      <c r="G130" t="s">
        <v>14</v>
      </c>
      <c r="H130">
        <v>2</v>
      </c>
      <c r="I130" s="2">
        <v>74.09</v>
      </c>
      <c r="J130" s="2">
        <v>148.18</v>
      </c>
      <c r="K130" s="2">
        <f t="shared" si="4"/>
        <v>148.18</v>
      </c>
      <c r="L130" s="2">
        <f t="shared" si="5"/>
        <v>0</v>
      </c>
      <c r="M130" t="s">
        <v>38</v>
      </c>
      <c r="N130" t="s">
        <v>21</v>
      </c>
    </row>
    <row r="131" spans="1:14" x14ac:dyDescent="0.3">
      <c r="A131">
        <v>2024001129</v>
      </c>
      <c r="B131" s="1">
        <v>45402</v>
      </c>
      <c r="C131" s="11">
        <f t="shared" ref="C131:C194" si="6">YEAR(B131)</f>
        <v>2024</v>
      </c>
      <c r="D131" t="s">
        <v>138</v>
      </c>
      <c r="E131" t="s">
        <v>43</v>
      </c>
      <c r="F131" t="s">
        <v>44</v>
      </c>
      <c r="G131" t="s">
        <v>36</v>
      </c>
      <c r="H131">
        <v>2</v>
      </c>
      <c r="I131" s="2">
        <v>1268.6300000000001</v>
      </c>
      <c r="J131" s="2">
        <v>2537.2600000000002</v>
      </c>
      <c r="K131" s="2">
        <f t="shared" ref="K131:K194" si="7">I131*H131</f>
        <v>2537.2600000000002</v>
      </c>
      <c r="L131" s="2">
        <f t="shared" ref="L131:L194" si="8">J131-K131</f>
        <v>0</v>
      </c>
      <c r="M131" t="s">
        <v>15</v>
      </c>
      <c r="N131" t="s">
        <v>21</v>
      </c>
    </row>
    <row r="132" spans="1:14" x14ac:dyDescent="0.3">
      <c r="A132">
        <v>2024001130</v>
      </c>
      <c r="B132" s="1">
        <v>45448</v>
      </c>
      <c r="C132" s="11">
        <f t="shared" si="6"/>
        <v>2024</v>
      </c>
      <c r="D132" t="s">
        <v>139</v>
      </c>
      <c r="E132" t="s">
        <v>28</v>
      </c>
      <c r="F132" t="s">
        <v>29</v>
      </c>
      <c r="G132" t="s">
        <v>30</v>
      </c>
      <c r="H132">
        <v>1</v>
      </c>
      <c r="I132" s="2">
        <v>26.04</v>
      </c>
      <c r="J132" s="2">
        <v>26.04</v>
      </c>
      <c r="K132" s="2">
        <f t="shared" si="7"/>
        <v>26.04</v>
      </c>
      <c r="L132" s="2">
        <f t="shared" si="8"/>
        <v>0</v>
      </c>
      <c r="M132" t="s">
        <v>38</v>
      </c>
      <c r="N132" t="s">
        <v>16</v>
      </c>
    </row>
    <row r="133" spans="1:14" x14ac:dyDescent="0.3">
      <c r="A133">
        <v>2024001131</v>
      </c>
      <c r="B133" s="1">
        <v>45613</v>
      </c>
      <c r="C133" s="11">
        <f t="shared" si="6"/>
        <v>2024</v>
      </c>
      <c r="D133" t="s">
        <v>89</v>
      </c>
      <c r="E133" t="s">
        <v>18</v>
      </c>
      <c r="F133" t="s">
        <v>19</v>
      </c>
      <c r="G133" t="s">
        <v>14</v>
      </c>
      <c r="H133">
        <v>3</v>
      </c>
      <c r="I133" s="2">
        <v>574.32000000000005</v>
      </c>
      <c r="J133" s="2">
        <v>1722.96</v>
      </c>
      <c r="K133" s="2">
        <f t="shared" si="7"/>
        <v>1722.96</v>
      </c>
      <c r="L133" s="2">
        <f t="shared" si="8"/>
        <v>0</v>
      </c>
      <c r="M133" t="s">
        <v>61</v>
      </c>
      <c r="N133" t="s">
        <v>16</v>
      </c>
    </row>
    <row r="134" spans="1:14" x14ac:dyDescent="0.3">
      <c r="A134">
        <v>2024001132</v>
      </c>
      <c r="B134" s="1">
        <v>45585</v>
      </c>
      <c r="C134" s="11">
        <f t="shared" si="6"/>
        <v>2024</v>
      </c>
      <c r="D134" t="s">
        <v>140</v>
      </c>
      <c r="E134" t="s">
        <v>12</v>
      </c>
      <c r="F134" t="s">
        <v>13</v>
      </c>
      <c r="G134" t="s">
        <v>14</v>
      </c>
      <c r="H134">
        <v>1</v>
      </c>
      <c r="I134" s="2">
        <v>350.97</v>
      </c>
      <c r="J134" s="2">
        <v>350.97</v>
      </c>
      <c r="K134" s="2">
        <f t="shared" si="7"/>
        <v>350.97</v>
      </c>
      <c r="L134" s="2">
        <f t="shared" si="8"/>
        <v>0</v>
      </c>
      <c r="M134" t="s">
        <v>20</v>
      </c>
      <c r="N134" t="s">
        <v>26</v>
      </c>
    </row>
    <row r="135" spans="1:14" x14ac:dyDescent="0.3">
      <c r="A135">
        <v>2024001133</v>
      </c>
      <c r="B135" s="1">
        <v>45448</v>
      </c>
      <c r="C135" s="11">
        <f t="shared" si="6"/>
        <v>2024</v>
      </c>
      <c r="D135" t="s">
        <v>11</v>
      </c>
      <c r="E135" t="s">
        <v>12</v>
      </c>
      <c r="F135" t="s">
        <v>13</v>
      </c>
      <c r="G135" t="s">
        <v>14</v>
      </c>
      <c r="H135">
        <v>2</v>
      </c>
      <c r="I135" s="2">
        <v>393.85</v>
      </c>
      <c r="J135" s="2">
        <v>787.7</v>
      </c>
      <c r="K135" s="2">
        <f t="shared" si="7"/>
        <v>787.7</v>
      </c>
      <c r="L135" s="2">
        <f t="shared" si="8"/>
        <v>0</v>
      </c>
      <c r="M135" t="s">
        <v>55</v>
      </c>
      <c r="N135" t="s">
        <v>21</v>
      </c>
    </row>
    <row r="136" spans="1:14" x14ac:dyDescent="0.3">
      <c r="A136">
        <v>2024001134</v>
      </c>
      <c r="B136" s="1">
        <v>45386</v>
      </c>
      <c r="C136" s="11">
        <f t="shared" si="6"/>
        <v>2024</v>
      </c>
      <c r="D136" t="s">
        <v>141</v>
      </c>
      <c r="E136" t="s">
        <v>34</v>
      </c>
      <c r="F136" t="s">
        <v>35</v>
      </c>
      <c r="G136" t="s">
        <v>36</v>
      </c>
      <c r="H136">
        <v>2</v>
      </c>
      <c r="I136" s="2">
        <v>15.54</v>
      </c>
      <c r="J136" s="2">
        <v>31.08</v>
      </c>
      <c r="K136" s="2">
        <f t="shared" si="7"/>
        <v>31.08</v>
      </c>
      <c r="L136" s="2">
        <f t="shared" si="8"/>
        <v>0</v>
      </c>
      <c r="M136" t="s">
        <v>38</v>
      </c>
      <c r="N136" t="s">
        <v>21</v>
      </c>
    </row>
    <row r="137" spans="1:14" x14ac:dyDescent="0.3">
      <c r="A137">
        <v>2024001135</v>
      </c>
      <c r="B137" s="1">
        <v>45545</v>
      </c>
      <c r="C137" s="11">
        <f t="shared" si="6"/>
        <v>2024</v>
      </c>
      <c r="D137" t="s">
        <v>11</v>
      </c>
      <c r="E137" t="s">
        <v>46</v>
      </c>
      <c r="F137" t="s">
        <v>47</v>
      </c>
      <c r="G137" t="s">
        <v>36</v>
      </c>
      <c r="H137">
        <v>1</v>
      </c>
      <c r="I137" s="2">
        <v>97.05</v>
      </c>
      <c r="J137" s="2">
        <v>97.05</v>
      </c>
      <c r="K137" s="2">
        <f t="shared" si="7"/>
        <v>97.05</v>
      </c>
      <c r="L137" s="2">
        <f t="shared" si="8"/>
        <v>0</v>
      </c>
      <c r="M137" t="s">
        <v>64</v>
      </c>
      <c r="N137" t="s">
        <v>32</v>
      </c>
    </row>
    <row r="138" spans="1:14" x14ac:dyDescent="0.3">
      <c r="A138">
        <v>2024001136</v>
      </c>
      <c r="B138" s="1">
        <v>45314</v>
      </c>
      <c r="C138" s="11">
        <f t="shared" si="6"/>
        <v>2024</v>
      </c>
      <c r="D138" t="s">
        <v>58</v>
      </c>
      <c r="E138" t="s">
        <v>23</v>
      </c>
      <c r="F138" t="s">
        <v>24</v>
      </c>
      <c r="G138" t="s">
        <v>14</v>
      </c>
      <c r="H138">
        <v>2</v>
      </c>
      <c r="I138" s="2">
        <v>79.19</v>
      </c>
      <c r="J138" s="2">
        <v>158.38</v>
      </c>
      <c r="K138" s="2">
        <f t="shared" si="7"/>
        <v>158.38</v>
      </c>
      <c r="L138" s="2">
        <f t="shared" si="8"/>
        <v>0</v>
      </c>
      <c r="M138" t="s">
        <v>38</v>
      </c>
      <c r="N138" t="s">
        <v>32</v>
      </c>
    </row>
    <row r="139" spans="1:14" x14ac:dyDescent="0.3">
      <c r="A139">
        <v>2024001137</v>
      </c>
      <c r="B139" s="1">
        <v>45615</v>
      </c>
      <c r="C139" s="11">
        <f t="shared" si="6"/>
        <v>2024</v>
      </c>
      <c r="D139" t="s">
        <v>142</v>
      </c>
      <c r="E139" t="s">
        <v>23</v>
      </c>
      <c r="F139" t="s">
        <v>24</v>
      </c>
      <c r="G139" t="s">
        <v>14</v>
      </c>
      <c r="H139">
        <v>1</v>
      </c>
      <c r="I139" s="2">
        <v>80.19</v>
      </c>
      <c r="J139" s="2">
        <v>80.19</v>
      </c>
      <c r="K139" s="2">
        <f t="shared" si="7"/>
        <v>80.19</v>
      </c>
      <c r="L139" s="2">
        <f t="shared" si="8"/>
        <v>0</v>
      </c>
      <c r="M139" t="s">
        <v>31</v>
      </c>
      <c r="N139" t="s">
        <v>26</v>
      </c>
    </row>
    <row r="140" spans="1:14" x14ac:dyDescent="0.3">
      <c r="A140">
        <v>2024001138</v>
      </c>
      <c r="B140" s="1">
        <v>45383</v>
      </c>
      <c r="C140" s="11">
        <f t="shared" si="6"/>
        <v>2024</v>
      </c>
      <c r="D140" t="s">
        <v>143</v>
      </c>
      <c r="E140" t="s">
        <v>46</v>
      </c>
      <c r="F140" t="s">
        <v>47</v>
      </c>
      <c r="G140" t="s">
        <v>36</v>
      </c>
      <c r="H140">
        <v>1</v>
      </c>
      <c r="I140" s="2">
        <v>88.52</v>
      </c>
      <c r="J140" s="2">
        <v>88.52</v>
      </c>
      <c r="K140" s="2">
        <f t="shared" si="7"/>
        <v>88.52</v>
      </c>
      <c r="L140" s="2">
        <f t="shared" si="8"/>
        <v>0</v>
      </c>
      <c r="M140" t="s">
        <v>31</v>
      </c>
      <c r="N140" t="s">
        <v>16</v>
      </c>
    </row>
    <row r="141" spans="1:14" x14ac:dyDescent="0.3">
      <c r="A141">
        <v>2024001139</v>
      </c>
      <c r="B141" s="1">
        <v>45473</v>
      </c>
      <c r="C141" s="11">
        <f t="shared" si="6"/>
        <v>2024</v>
      </c>
      <c r="D141" t="s">
        <v>114</v>
      </c>
      <c r="E141" t="s">
        <v>67</v>
      </c>
      <c r="F141" t="s">
        <v>68</v>
      </c>
      <c r="G141" t="s">
        <v>36</v>
      </c>
      <c r="H141">
        <v>2</v>
      </c>
      <c r="I141" s="2">
        <v>390.59</v>
      </c>
      <c r="J141" s="2">
        <v>781.18</v>
      </c>
      <c r="K141" s="2">
        <f t="shared" si="7"/>
        <v>781.18</v>
      </c>
      <c r="L141" s="2">
        <f t="shared" si="8"/>
        <v>0</v>
      </c>
      <c r="M141" t="s">
        <v>20</v>
      </c>
      <c r="N141" t="s">
        <v>21</v>
      </c>
    </row>
    <row r="142" spans="1:14" x14ac:dyDescent="0.3">
      <c r="A142">
        <v>2024001140</v>
      </c>
      <c r="B142" s="1">
        <v>45440</v>
      </c>
      <c r="C142" s="11">
        <f t="shared" si="6"/>
        <v>2024</v>
      </c>
      <c r="D142" t="s">
        <v>11</v>
      </c>
      <c r="E142" t="s">
        <v>28</v>
      </c>
      <c r="F142" t="s">
        <v>29</v>
      </c>
      <c r="G142" t="s">
        <v>30</v>
      </c>
      <c r="H142">
        <v>2</v>
      </c>
      <c r="I142" s="2">
        <v>25.77</v>
      </c>
      <c r="J142" s="2">
        <v>51.54</v>
      </c>
      <c r="K142" s="2">
        <f t="shared" si="7"/>
        <v>51.54</v>
      </c>
      <c r="L142" s="2">
        <f t="shared" si="8"/>
        <v>0</v>
      </c>
      <c r="M142" t="s">
        <v>31</v>
      </c>
      <c r="N142" t="s">
        <v>26</v>
      </c>
    </row>
    <row r="143" spans="1:14" x14ac:dyDescent="0.3">
      <c r="A143">
        <v>2024001141</v>
      </c>
      <c r="B143" s="1">
        <v>45582</v>
      </c>
      <c r="C143" s="11">
        <f t="shared" si="6"/>
        <v>2024</v>
      </c>
      <c r="D143" t="s">
        <v>51</v>
      </c>
      <c r="E143" t="s">
        <v>12</v>
      </c>
      <c r="F143" t="s">
        <v>13</v>
      </c>
      <c r="G143" t="s">
        <v>14</v>
      </c>
      <c r="H143">
        <v>2</v>
      </c>
      <c r="I143" s="2">
        <v>338.97</v>
      </c>
      <c r="J143" s="2">
        <v>677.94</v>
      </c>
      <c r="K143" s="2">
        <f t="shared" si="7"/>
        <v>677.94</v>
      </c>
      <c r="L143" s="2">
        <f t="shared" si="8"/>
        <v>0</v>
      </c>
      <c r="M143" t="s">
        <v>64</v>
      </c>
      <c r="N143" t="s">
        <v>16</v>
      </c>
    </row>
    <row r="144" spans="1:14" x14ac:dyDescent="0.3">
      <c r="A144">
        <v>2024001142</v>
      </c>
      <c r="B144" s="1">
        <v>45501</v>
      </c>
      <c r="C144" s="11">
        <f t="shared" si="6"/>
        <v>2024</v>
      </c>
      <c r="D144" t="s">
        <v>144</v>
      </c>
      <c r="E144" t="s">
        <v>34</v>
      </c>
      <c r="F144" t="s">
        <v>35</v>
      </c>
      <c r="G144" t="s">
        <v>36</v>
      </c>
      <c r="H144">
        <v>1</v>
      </c>
      <c r="I144" s="2">
        <v>14.1</v>
      </c>
      <c r="J144" s="2">
        <v>14.1</v>
      </c>
      <c r="K144" s="2">
        <f t="shared" si="7"/>
        <v>14.1</v>
      </c>
      <c r="L144" s="2">
        <f t="shared" si="8"/>
        <v>0</v>
      </c>
      <c r="M144" t="s">
        <v>25</v>
      </c>
      <c r="N144" t="s">
        <v>32</v>
      </c>
    </row>
    <row r="145" spans="1:14" x14ac:dyDescent="0.3">
      <c r="A145">
        <v>2024001143</v>
      </c>
      <c r="B145" s="1">
        <v>45452</v>
      </c>
      <c r="C145" s="11">
        <f t="shared" si="6"/>
        <v>2024</v>
      </c>
      <c r="D145" t="s">
        <v>94</v>
      </c>
      <c r="E145" t="s">
        <v>67</v>
      </c>
      <c r="F145" t="s">
        <v>68</v>
      </c>
      <c r="G145" t="s">
        <v>36</v>
      </c>
      <c r="H145">
        <v>1</v>
      </c>
      <c r="I145" s="2">
        <v>405.54</v>
      </c>
      <c r="J145" s="2">
        <v>405.54</v>
      </c>
      <c r="K145" s="2">
        <f t="shared" si="7"/>
        <v>405.54</v>
      </c>
      <c r="L145" s="2">
        <f t="shared" si="8"/>
        <v>0</v>
      </c>
      <c r="M145" t="s">
        <v>55</v>
      </c>
      <c r="N145" t="s">
        <v>26</v>
      </c>
    </row>
    <row r="146" spans="1:14" x14ac:dyDescent="0.3">
      <c r="A146">
        <v>2024001144</v>
      </c>
      <c r="B146" s="1">
        <v>45340</v>
      </c>
      <c r="C146" s="11">
        <f t="shared" si="6"/>
        <v>2024</v>
      </c>
      <c r="D146" t="s">
        <v>145</v>
      </c>
      <c r="E146" t="s">
        <v>28</v>
      </c>
      <c r="F146" t="s">
        <v>29</v>
      </c>
      <c r="G146" t="s">
        <v>30</v>
      </c>
      <c r="H146">
        <v>1</v>
      </c>
      <c r="I146" s="2">
        <v>24</v>
      </c>
      <c r="J146" s="2">
        <v>24</v>
      </c>
      <c r="K146" s="2">
        <f t="shared" si="7"/>
        <v>24</v>
      </c>
      <c r="L146" s="2">
        <f t="shared" si="8"/>
        <v>0</v>
      </c>
      <c r="M146" t="s">
        <v>20</v>
      </c>
      <c r="N146" t="s">
        <v>26</v>
      </c>
    </row>
    <row r="147" spans="1:14" x14ac:dyDescent="0.3">
      <c r="A147">
        <v>2024001145</v>
      </c>
      <c r="B147" s="1">
        <v>45618</v>
      </c>
      <c r="C147" s="11">
        <f t="shared" si="6"/>
        <v>2024</v>
      </c>
      <c r="D147" t="s">
        <v>124</v>
      </c>
      <c r="E147" t="s">
        <v>53</v>
      </c>
      <c r="F147" t="s">
        <v>54</v>
      </c>
      <c r="G147" t="s">
        <v>36</v>
      </c>
      <c r="H147">
        <v>1</v>
      </c>
      <c r="I147" s="2">
        <v>119.01</v>
      </c>
      <c r="J147" s="2">
        <v>119.01</v>
      </c>
      <c r="K147" s="2">
        <f t="shared" si="7"/>
        <v>119.01</v>
      </c>
      <c r="L147" s="2">
        <f t="shared" si="8"/>
        <v>0</v>
      </c>
      <c r="M147" t="s">
        <v>20</v>
      </c>
      <c r="N147" t="s">
        <v>21</v>
      </c>
    </row>
    <row r="148" spans="1:14" x14ac:dyDescent="0.3">
      <c r="A148">
        <v>2024001146</v>
      </c>
      <c r="B148" s="1">
        <v>45609</v>
      </c>
      <c r="C148" s="11">
        <f t="shared" si="6"/>
        <v>2024</v>
      </c>
      <c r="D148" t="s">
        <v>11</v>
      </c>
      <c r="E148" t="s">
        <v>43</v>
      </c>
      <c r="F148" t="s">
        <v>44</v>
      </c>
      <c r="G148" t="s">
        <v>36</v>
      </c>
      <c r="H148">
        <v>1</v>
      </c>
      <c r="I148" s="2">
        <v>1354.2</v>
      </c>
      <c r="J148" s="2">
        <v>1354.2</v>
      </c>
      <c r="K148" s="2">
        <f t="shared" si="7"/>
        <v>1354.2</v>
      </c>
      <c r="L148" s="2">
        <f t="shared" si="8"/>
        <v>0</v>
      </c>
      <c r="M148" t="s">
        <v>55</v>
      </c>
      <c r="N148" t="s">
        <v>26</v>
      </c>
    </row>
    <row r="149" spans="1:14" x14ac:dyDescent="0.3">
      <c r="A149">
        <v>2024001147</v>
      </c>
      <c r="B149" s="1">
        <v>45369</v>
      </c>
      <c r="C149" s="11">
        <f t="shared" si="6"/>
        <v>2024</v>
      </c>
      <c r="D149" t="s">
        <v>146</v>
      </c>
      <c r="E149" t="s">
        <v>40</v>
      </c>
      <c r="F149" t="s">
        <v>41</v>
      </c>
      <c r="G149" t="s">
        <v>36</v>
      </c>
      <c r="H149">
        <v>2</v>
      </c>
      <c r="I149" s="2">
        <v>42.51</v>
      </c>
      <c r="J149" s="2">
        <v>85.02</v>
      </c>
      <c r="K149" s="2">
        <f t="shared" si="7"/>
        <v>85.02</v>
      </c>
      <c r="L149" s="2">
        <f t="shared" si="8"/>
        <v>0</v>
      </c>
      <c r="M149" t="s">
        <v>61</v>
      </c>
      <c r="N149" t="s">
        <v>16</v>
      </c>
    </row>
    <row r="150" spans="1:14" x14ac:dyDescent="0.3">
      <c r="A150">
        <v>2024001148</v>
      </c>
      <c r="B150" s="1">
        <v>45513</v>
      </c>
      <c r="C150" s="11">
        <f t="shared" si="6"/>
        <v>2024</v>
      </c>
      <c r="D150" t="s">
        <v>147</v>
      </c>
      <c r="E150" t="s">
        <v>34</v>
      </c>
      <c r="F150" t="s">
        <v>35</v>
      </c>
      <c r="G150" t="s">
        <v>36</v>
      </c>
      <c r="H150">
        <v>1</v>
      </c>
      <c r="I150" s="2">
        <v>15.22</v>
      </c>
      <c r="J150" s="2">
        <v>15.22</v>
      </c>
      <c r="K150" s="2">
        <f t="shared" si="7"/>
        <v>15.22</v>
      </c>
      <c r="L150" s="2">
        <f t="shared" si="8"/>
        <v>0</v>
      </c>
      <c r="M150" t="s">
        <v>15</v>
      </c>
      <c r="N150" t="s">
        <v>21</v>
      </c>
    </row>
    <row r="151" spans="1:14" x14ac:dyDescent="0.3">
      <c r="A151">
        <v>2024001149</v>
      </c>
      <c r="B151" s="1">
        <v>45579</v>
      </c>
      <c r="C151" s="11">
        <f t="shared" si="6"/>
        <v>2024</v>
      </c>
      <c r="D151" t="s">
        <v>148</v>
      </c>
      <c r="E151" t="s">
        <v>46</v>
      </c>
      <c r="F151" t="s">
        <v>47</v>
      </c>
      <c r="G151" t="s">
        <v>36</v>
      </c>
      <c r="H151">
        <v>3</v>
      </c>
      <c r="I151" s="2">
        <v>88.85</v>
      </c>
      <c r="J151" s="2">
        <v>266.55</v>
      </c>
      <c r="K151" s="2">
        <f t="shared" si="7"/>
        <v>266.54999999999995</v>
      </c>
      <c r="L151" s="2">
        <f t="shared" si="8"/>
        <v>0</v>
      </c>
      <c r="M151" t="s">
        <v>55</v>
      </c>
      <c r="N151" t="s">
        <v>32</v>
      </c>
    </row>
    <row r="152" spans="1:14" x14ac:dyDescent="0.3">
      <c r="A152">
        <v>2024001150</v>
      </c>
      <c r="B152" s="1">
        <v>45378</v>
      </c>
      <c r="C152" s="11">
        <f t="shared" si="6"/>
        <v>2024</v>
      </c>
      <c r="D152" t="s">
        <v>149</v>
      </c>
      <c r="E152" t="s">
        <v>40</v>
      </c>
      <c r="F152" t="s">
        <v>41</v>
      </c>
      <c r="G152" t="s">
        <v>36</v>
      </c>
      <c r="H152">
        <v>3</v>
      </c>
      <c r="I152" s="2">
        <v>47.75</v>
      </c>
      <c r="J152" s="2">
        <v>143.25</v>
      </c>
      <c r="K152" s="2">
        <f t="shared" si="7"/>
        <v>143.25</v>
      </c>
      <c r="L152" s="2">
        <f t="shared" si="8"/>
        <v>0</v>
      </c>
      <c r="M152" t="s">
        <v>57</v>
      </c>
      <c r="N152" t="s">
        <v>32</v>
      </c>
    </row>
    <row r="153" spans="1:14" x14ac:dyDescent="0.3">
      <c r="A153">
        <v>2024001151</v>
      </c>
      <c r="B153" s="1">
        <v>45546</v>
      </c>
      <c r="C153" s="11">
        <f t="shared" si="6"/>
        <v>2024</v>
      </c>
      <c r="D153" t="s">
        <v>45</v>
      </c>
      <c r="E153" t="s">
        <v>28</v>
      </c>
      <c r="F153" t="s">
        <v>29</v>
      </c>
      <c r="G153" t="s">
        <v>30</v>
      </c>
      <c r="H153">
        <v>3</v>
      </c>
      <c r="I153" s="2">
        <v>22.28</v>
      </c>
      <c r="J153" s="2">
        <v>66.84</v>
      </c>
      <c r="K153" s="2">
        <f t="shared" si="7"/>
        <v>66.84</v>
      </c>
      <c r="L153" s="2">
        <f t="shared" si="8"/>
        <v>0</v>
      </c>
      <c r="M153" t="s">
        <v>57</v>
      </c>
      <c r="N153" t="s">
        <v>21</v>
      </c>
    </row>
    <row r="154" spans="1:14" x14ac:dyDescent="0.3">
      <c r="A154">
        <v>2024001152</v>
      </c>
      <c r="B154" s="1">
        <v>45388</v>
      </c>
      <c r="C154" s="11">
        <f t="shared" si="6"/>
        <v>2024</v>
      </c>
      <c r="D154" t="s">
        <v>82</v>
      </c>
      <c r="E154" t="s">
        <v>23</v>
      </c>
      <c r="F154" t="s">
        <v>24</v>
      </c>
      <c r="G154" t="s">
        <v>14</v>
      </c>
      <c r="H154">
        <v>1</v>
      </c>
      <c r="I154" s="2">
        <v>83.26</v>
      </c>
      <c r="J154" s="2">
        <v>83.26</v>
      </c>
      <c r="K154" s="2">
        <f t="shared" si="7"/>
        <v>83.26</v>
      </c>
      <c r="L154" s="2">
        <f t="shared" si="8"/>
        <v>0</v>
      </c>
      <c r="M154" t="s">
        <v>20</v>
      </c>
      <c r="N154" t="s">
        <v>16</v>
      </c>
    </row>
    <row r="155" spans="1:14" x14ac:dyDescent="0.3">
      <c r="A155">
        <v>2024001153</v>
      </c>
      <c r="B155" s="1">
        <v>45456</v>
      </c>
      <c r="C155" s="11">
        <f t="shared" si="6"/>
        <v>2024</v>
      </c>
      <c r="D155" t="s">
        <v>11</v>
      </c>
      <c r="E155" t="s">
        <v>67</v>
      </c>
      <c r="F155" t="s">
        <v>68</v>
      </c>
      <c r="G155" t="s">
        <v>36</v>
      </c>
      <c r="H155">
        <v>1</v>
      </c>
      <c r="I155" s="2">
        <v>381.19</v>
      </c>
      <c r="J155" s="2">
        <v>381.19</v>
      </c>
      <c r="K155" s="2">
        <f t="shared" si="7"/>
        <v>381.19</v>
      </c>
      <c r="L155" s="2">
        <f t="shared" si="8"/>
        <v>0</v>
      </c>
      <c r="M155" t="s">
        <v>15</v>
      </c>
      <c r="N155" t="s">
        <v>32</v>
      </c>
    </row>
    <row r="156" spans="1:14" x14ac:dyDescent="0.3">
      <c r="A156">
        <v>2024001154</v>
      </c>
      <c r="B156" s="1">
        <v>45298</v>
      </c>
      <c r="C156" s="11">
        <f t="shared" si="6"/>
        <v>2024</v>
      </c>
      <c r="D156" t="s">
        <v>150</v>
      </c>
      <c r="E156" t="s">
        <v>43</v>
      </c>
      <c r="F156" t="s">
        <v>44</v>
      </c>
      <c r="G156" t="s">
        <v>36</v>
      </c>
      <c r="H156">
        <v>1</v>
      </c>
      <c r="I156" s="2">
        <v>1099.81</v>
      </c>
      <c r="J156" s="2">
        <v>1099.81</v>
      </c>
      <c r="K156" s="2">
        <f t="shared" si="7"/>
        <v>1099.81</v>
      </c>
      <c r="L156" s="2">
        <f t="shared" si="8"/>
        <v>0</v>
      </c>
      <c r="M156" t="s">
        <v>55</v>
      </c>
      <c r="N156" t="s">
        <v>26</v>
      </c>
    </row>
    <row r="157" spans="1:14" x14ac:dyDescent="0.3">
      <c r="A157">
        <v>2024001155</v>
      </c>
      <c r="B157" s="1">
        <v>45594</v>
      </c>
      <c r="C157" s="11">
        <f t="shared" si="6"/>
        <v>2024</v>
      </c>
      <c r="D157" t="s">
        <v>151</v>
      </c>
      <c r="E157" t="s">
        <v>12</v>
      </c>
      <c r="F157" t="s">
        <v>13</v>
      </c>
      <c r="G157" t="s">
        <v>14</v>
      </c>
      <c r="H157">
        <v>1</v>
      </c>
      <c r="I157" s="2">
        <v>380.88</v>
      </c>
      <c r="J157" s="2">
        <v>380.88</v>
      </c>
      <c r="K157" s="2">
        <f t="shared" si="7"/>
        <v>380.88</v>
      </c>
      <c r="L157" s="2">
        <f t="shared" si="8"/>
        <v>0</v>
      </c>
      <c r="M157" t="s">
        <v>55</v>
      </c>
      <c r="N157" t="s">
        <v>21</v>
      </c>
    </row>
    <row r="158" spans="1:14" x14ac:dyDescent="0.3">
      <c r="A158">
        <v>2024001156</v>
      </c>
      <c r="B158" s="1">
        <v>45410</v>
      </c>
      <c r="C158" s="11">
        <f t="shared" si="6"/>
        <v>2024</v>
      </c>
      <c r="D158" t="s">
        <v>11</v>
      </c>
      <c r="E158" t="s">
        <v>12</v>
      </c>
      <c r="F158" t="s">
        <v>13</v>
      </c>
      <c r="G158" t="s">
        <v>14</v>
      </c>
      <c r="H158">
        <v>2</v>
      </c>
      <c r="I158" s="2">
        <v>371.82</v>
      </c>
      <c r="J158" s="2">
        <v>743.64</v>
      </c>
      <c r="K158" s="2">
        <f t="shared" si="7"/>
        <v>743.64</v>
      </c>
      <c r="L158" s="2">
        <f t="shared" si="8"/>
        <v>0</v>
      </c>
      <c r="M158" t="s">
        <v>55</v>
      </c>
      <c r="N158" t="s">
        <v>26</v>
      </c>
    </row>
    <row r="159" spans="1:14" x14ac:dyDescent="0.3">
      <c r="A159">
        <v>2024001157</v>
      </c>
      <c r="B159" s="1">
        <v>45646</v>
      </c>
      <c r="C159" s="11">
        <f t="shared" si="6"/>
        <v>2024</v>
      </c>
      <c r="D159" t="s">
        <v>11</v>
      </c>
      <c r="E159" t="s">
        <v>12</v>
      </c>
      <c r="F159" t="s">
        <v>13</v>
      </c>
      <c r="G159" t="s">
        <v>14</v>
      </c>
      <c r="H159">
        <v>5</v>
      </c>
      <c r="I159" s="2">
        <v>312.02999999999997</v>
      </c>
      <c r="J159" s="2">
        <v>1560.15</v>
      </c>
      <c r="K159" s="2">
        <f t="shared" si="7"/>
        <v>1560.1499999999999</v>
      </c>
      <c r="L159" s="2">
        <f t="shared" si="8"/>
        <v>0</v>
      </c>
      <c r="M159" t="s">
        <v>20</v>
      </c>
      <c r="N159" t="s">
        <v>26</v>
      </c>
    </row>
    <row r="160" spans="1:14" x14ac:dyDescent="0.3">
      <c r="A160">
        <v>2024001158</v>
      </c>
      <c r="B160" s="1">
        <v>45493</v>
      </c>
      <c r="C160" s="11">
        <f t="shared" si="6"/>
        <v>2024</v>
      </c>
      <c r="D160" t="s">
        <v>152</v>
      </c>
      <c r="E160" t="s">
        <v>23</v>
      </c>
      <c r="F160" t="s">
        <v>24</v>
      </c>
      <c r="G160" t="s">
        <v>14</v>
      </c>
      <c r="H160">
        <v>5</v>
      </c>
      <c r="I160" s="2">
        <v>74.66</v>
      </c>
      <c r="J160" s="2">
        <v>373.3</v>
      </c>
      <c r="K160" s="2">
        <f t="shared" si="7"/>
        <v>373.29999999999995</v>
      </c>
      <c r="L160" s="2">
        <f t="shared" si="8"/>
        <v>0</v>
      </c>
      <c r="M160" t="s">
        <v>55</v>
      </c>
      <c r="N160" t="s">
        <v>21</v>
      </c>
    </row>
    <row r="161" spans="1:14" x14ac:dyDescent="0.3">
      <c r="A161">
        <v>2024001159</v>
      </c>
      <c r="B161" s="1">
        <v>45500</v>
      </c>
      <c r="C161" s="11">
        <f t="shared" si="6"/>
        <v>2024</v>
      </c>
      <c r="D161" t="s">
        <v>39</v>
      </c>
      <c r="E161" t="s">
        <v>28</v>
      </c>
      <c r="F161" t="s">
        <v>29</v>
      </c>
      <c r="G161" t="s">
        <v>30</v>
      </c>
      <c r="H161">
        <v>2</v>
      </c>
      <c r="I161" s="2">
        <v>24.85</v>
      </c>
      <c r="J161" s="2">
        <v>49.7</v>
      </c>
      <c r="K161" s="2">
        <f t="shared" si="7"/>
        <v>49.7</v>
      </c>
      <c r="L161" s="2">
        <f t="shared" si="8"/>
        <v>0</v>
      </c>
      <c r="M161" t="s">
        <v>48</v>
      </c>
      <c r="N161" t="s">
        <v>21</v>
      </c>
    </row>
    <row r="162" spans="1:14" x14ac:dyDescent="0.3">
      <c r="A162">
        <v>2024001160</v>
      </c>
      <c r="B162" s="1">
        <v>45492</v>
      </c>
      <c r="C162" s="11">
        <f t="shared" si="6"/>
        <v>2024</v>
      </c>
      <c r="D162" t="s">
        <v>153</v>
      </c>
      <c r="E162" t="s">
        <v>67</v>
      </c>
      <c r="F162" t="s">
        <v>68</v>
      </c>
      <c r="G162" t="s">
        <v>36</v>
      </c>
      <c r="H162">
        <v>3</v>
      </c>
      <c r="I162" s="2">
        <v>400.37</v>
      </c>
      <c r="J162" s="2">
        <v>1201.1099999999999</v>
      </c>
      <c r="K162" s="2">
        <f t="shared" si="7"/>
        <v>1201.1100000000001</v>
      </c>
      <c r="L162" s="2">
        <f t="shared" si="8"/>
        <v>0</v>
      </c>
      <c r="M162" t="s">
        <v>55</v>
      </c>
      <c r="N162" t="s">
        <v>21</v>
      </c>
    </row>
    <row r="163" spans="1:14" x14ac:dyDescent="0.3">
      <c r="A163">
        <v>2024001161</v>
      </c>
      <c r="B163" s="1">
        <v>45657</v>
      </c>
      <c r="C163" s="11">
        <f t="shared" si="6"/>
        <v>2024</v>
      </c>
      <c r="D163" t="s">
        <v>117</v>
      </c>
      <c r="E163" t="s">
        <v>67</v>
      </c>
      <c r="F163" t="s">
        <v>68</v>
      </c>
      <c r="G163" t="s">
        <v>36</v>
      </c>
      <c r="H163">
        <v>4</v>
      </c>
      <c r="I163" s="2">
        <v>406.95</v>
      </c>
      <c r="J163" s="2">
        <v>1627.8</v>
      </c>
      <c r="K163" s="2">
        <f t="shared" si="7"/>
        <v>1627.8</v>
      </c>
      <c r="L163" s="2">
        <f t="shared" si="8"/>
        <v>0</v>
      </c>
      <c r="M163" t="s">
        <v>25</v>
      </c>
      <c r="N163" t="s">
        <v>16</v>
      </c>
    </row>
    <row r="164" spans="1:14" x14ac:dyDescent="0.3">
      <c r="A164">
        <v>2024001162</v>
      </c>
      <c r="B164" s="1">
        <v>45647</v>
      </c>
      <c r="C164" s="11">
        <f t="shared" si="6"/>
        <v>2024</v>
      </c>
      <c r="D164" t="s">
        <v>52</v>
      </c>
      <c r="E164" t="s">
        <v>67</v>
      </c>
      <c r="F164" t="s">
        <v>68</v>
      </c>
      <c r="G164" t="s">
        <v>36</v>
      </c>
      <c r="H164">
        <v>1</v>
      </c>
      <c r="I164" s="2">
        <v>398.62</v>
      </c>
      <c r="J164" s="2">
        <v>398.62</v>
      </c>
      <c r="K164" s="2">
        <f t="shared" si="7"/>
        <v>398.62</v>
      </c>
      <c r="L164" s="2">
        <f t="shared" si="8"/>
        <v>0</v>
      </c>
      <c r="M164" t="s">
        <v>15</v>
      </c>
      <c r="N164" t="s">
        <v>26</v>
      </c>
    </row>
    <row r="165" spans="1:14" x14ac:dyDescent="0.3">
      <c r="A165">
        <v>2024001163</v>
      </c>
      <c r="B165" s="1">
        <v>45653</v>
      </c>
      <c r="C165" s="11">
        <f t="shared" si="6"/>
        <v>2024</v>
      </c>
      <c r="D165" t="s">
        <v>154</v>
      </c>
      <c r="E165" t="s">
        <v>28</v>
      </c>
      <c r="F165" t="s">
        <v>29</v>
      </c>
      <c r="G165" t="s">
        <v>30</v>
      </c>
      <c r="H165">
        <v>1</v>
      </c>
      <c r="I165" s="2">
        <v>21.78</v>
      </c>
      <c r="J165" s="2">
        <v>21.78</v>
      </c>
      <c r="K165" s="2">
        <f t="shared" si="7"/>
        <v>21.78</v>
      </c>
      <c r="L165" s="2">
        <f t="shared" si="8"/>
        <v>0</v>
      </c>
      <c r="M165" t="s">
        <v>20</v>
      </c>
      <c r="N165" t="s">
        <v>16</v>
      </c>
    </row>
    <row r="166" spans="1:14" x14ac:dyDescent="0.3">
      <c r="A166">
        <v>2024001164</v>
      </c>
      <c r="B166" s="1">
        <v>45559</v>
      </c>
      <c r="C166" s="11">
        <f t="shared" si="6"/>
        <v>2024</v>
      </c>
      <c r="D166" t="s">
        <v>59</v>
      </c>
      <c r="E166" t="s">
        <v>28</v>
      </c>
      <c r="F166" t="s">
        <v>29</v>
      </c>
      <c r="G166" t="s">
        <v>30</v>
      </c>
      <c r="H166">
        <v>1</v>
      </c>
      <c r="I166" s="2">
        <v>26.48</v>
      </c>
      <c r="J166" s="2">
        <v>26.48</v>
      </c>
      <c r="K166" s="2">
        <f t="shared" si="7"/>
        <v>26.48</v>
      </c>
      <c r="L166" s="2">
        <f t="shared" si="8"/>
        <v>0</v>
      </c>
      <c r="M166" t="s">
        <v>25</v>
      </c>
      <c r="N166" t="s">
        <v>32</v>
      </c>
    </row>
    <row r="167" spans="1:14" x14ac:dyDescent="0.3">
      <c r="A167">
        <v>2024001165</v>
      </c>
      <c r="B167" s="1">
        <v>45481</v>
      </c>
      <c r="C167" s="11">
        <f t="shared" si="6"/>
        <v>2024</v>
      </c>
      <c r="D167" t="s">
        <v>155</v>
      </c>
      <c r="E167" t="s">
        <v>40</v>
      </c>
      <c r="F167" t="s">
        <v>41</v>
      </c>
      <c r="G167" t="s">
        <v>36</v>
      </c>
      <c r="H167">
        <v>1</v>
      </c>
      <c r="I167" s="2">
        <v>45.58</v>
      </c>
      <c r="J167" s="2">
        <v>45.58</v>
      </c>
      <c r="K167" s="2">
        <f t="shared" si="7"/>
        <v>45.58</v>
      </c>
      <c r="L167" s="2">
        <f t="shared" si="8"/>
        <v>0</v>
      </c>
      <c r="M167" t="s">
        <v>61</v>
      </c>
      <c r="N167" t="s">
        <v>21</v>
      </c>
    </row>
    <row r="168" spans="1:14" x14ac:dyDescent="0.3">
      <c r="A168">
        <v>2024001166</v>
      </c>
      <c r="B168" s="1">
        <v>45657</v>
      </c>
      <c r="C168" s="11">
        <f t="shared" si="6"/>
        <v>2024</v>
      </c>
      <c r="D168" t="s">
        <v>156</v>
      </c>
      <c r="E168" t="s">
        <v>34</v>
      </c>
      <c r="F168" t="s">
        <v>35</v>
      </c>
      <c r="G168" t="s">
        <v>36</v>
      </c>
      <c r="H168">
        <v>1</v>
      </c>
      <c r="I168" s="2">
        <v>13.86</v>
      </c>
      <c r="J168" s="2">
        <v>13.86</v>
      </c>
      <c r="K168" s="2">
        <f t="shared" si="7"/>
        <v>13.86</v>
      </c>
      <c r="L168" s="2">
        <f t="shared" si="8"/>
        <v>0</v>
      </c>
      <c r="M168" t="s">
        <v>38</v>
      </c>
      <c r="N168" t="s">
        <v>26</v>
      </c>
    </row>
    <row r="169" spans="1:14" x14ac:dyDescent="0.3">
      <c r="A169">
        <v>2024001167</v>
      </c>
      <c r="B169" s="1">
        <v>45478</v>
      </c>
      <c r="C169" s="11">
        <f t="shared" si="6"/>
        <v>2024</v>
      </c>
      <c r="D169" t="s">
        <v>11</v>
      </c>
      <c r="E169" t="s">
        <v>53</v>
      </c>
      <c r="F169" t="s">
        <v>54</v>
      </c>
      <c r="G169" t="s">
        <v>36</v>
      </c>
      <c r="H169">
        <v>2</v>
      </c>
      <c r="I169" s="2">
        <v>115.21</v>
      </c>
      <c r="J169" s="2">
        <v>230.42</v>
      </c>
      <c r="K169" s="2">
        <f t="shared" si="7"/>
        <v>230.42</v>
      </c>
      <c r="L169" s="2">
        <f t="shared" si="8"/>
        <v>0</v>
      </c>
      <c r="M169" t="s">
        <v>64</v>
      </c>
      <c r="N169" t="s">
        <v>16</v>
      </c>
    </row>
    <row r="170" spans="1:14" x14ac:dyDescent="0.3">
      <c r="A170">
        <v>2024001168</v>
      </c>
      <c r="B170" s="1">
        <v>45346</v>
      </c>
      <c r="C170" s="11">
        <f t="shared" si="6"/>
        <v>2024</v>
      </c>
      <c r="D170" t="s">
        <v>157</v>
      </c>
      <c r="E170" t="s">
        <v>23</v>
      </c>
      <c r="F170" t="s">
        <v>24</v>
      </c>
      <c r="G170" t="s">
        <v>14</v>
      </c>
      <c r="H170">
        <v>4</v>
      </c>
      <c r="I170" s="2">
        <v>76.569999999999993</v>
      </c>
      <c r="J170" s="2">
        <v>306.27999999999997</v>
      </c>
      <c r="K170" s="2">
        <f t="shared" si="7"/>
        <v>306.27999999999997</v>
      </c>
      <c r="L170" s="2">
        <f t="shared" si="8"/>
        <v>0</v>
      </c>
      <c r="M170" t="s">
        <v>38</v>
      </c>
      <c r="N170" t="s">
        <v>21</v>
      </c>
    </row>
    <row r="171" spans="1:14" x14ac:dyDescent="0.3">
      <c r="A171">
        <v>2024001169</v>
      </c>
      <c r="B171" s="1">
        <v>45439</v>
      </c>
      <c r="C171" s="11">
        <f t="shared" si="6"/>
        <v>2024</v>
      </c>
      <c r="D171" t="s">
        <v>11</v>
      </c>
      <c r="E171" t="s">
        <v>34</v>
      </c>
      <c r="F171" t="s">
        <v>35</v>
      </c>
      <c r="G171" t="s">
        <v>36</v>
      </c>
      <c r="H171">
        <v>2</v>
      </c>
      <c r="I171" s="2">
        <v>15.53</v>
      </c>
      <c r="J171" s="2">
        <v>31.06</v>
      </c>
      <c r="K171" s="2">
        <f t="shared" si="7"/>
        <v>31.06</v>
      </c>
      <c r="L171" s="2">
        <f t="shared" si="8"/>
        <v>0</v>
      </c>
      <c r="M171" t="s">
        <v>61</v>
      </c>
      <c r="N171" t="s">
        <v>16</v>
      </c>
    </row>
    <row r="172" spans="1:14" x14ac:dyDescent="0.3">
      <c r="A172">
        <v>2024001170</v>
      </c>
      <c r="B172" s="1">
        <v>45656</v>
      </c>
      <c r="C172" s="11">
        <f t="shared" si="6"/>
        <v>2024</v>
      </c>
      <c r="D172" t="s">
        <v>11</v>
      </c>
      <c r="E172" t="s">
        <v>40</v>
      </c>
      <c r="F172" t="s">
        <v>41</v>
      </c>
      <c r="G172" t="s">
        <v>36</v>
      </c>
      <c r="H172">
        <v>2</v>
      </c>
      <c r="I172" s="2">
        <v>40.229999999999997</v>
      </c>
      <c r="J172" s="2">
        <v>80.459999999999994</v>
      </c>
      <c r="K172" s="2">
        <f t="shared" si="7"/>
        <v>80.459999999999994</v>
      </c>
      <c r="L172" s="2">
        <f t="shared" si="8"/>
        <v>0</v>
      </c>
      <c r="M172" t="s">
        <v>20</v>
      </c>
      <c r="N172" t="s">
        <v>26</v>
      </c>
    </row>
    <row r="173" spans="1:14" x14ac:dyDescent="0.3">
      <c r="A173">
        <v>2024001171</v>
      </c>
      <c r="B173" s="1">
        <v>45420</v>
      </c>
      <c r="C173" s="11">
        <f t="shared" si="6"/>
        <v>2024</v>
      </c>
      <c r="D173" t="s">
        <v>11</v>
      </c>
      <c r="E173" t="s">
        <v>28</v>
      </c>
      <c r="F173" t="s">
        <v>29</v>
      </c>
      <c r="G173" t="s">
        <v>30</v>
      </c>
      <c r="H173">
        <v>2</v>
      </c>
      <c r="I173" s="2">
        <v>24.56</v>
      </c>
      <c r="J173" s="2">
        <v>49.12</v>
      </c>
      <c r="K173" s="2">
        <f t="shared" si="7"/>
        <v>49.12</v>
      </c>
      <c r="L173" s="2">
        <f t="shared" si="8"/>
        <v>0</v>
      </c>
      <c r="M173" t="s">
        <v>20</v>
      </c>
      <c r="N173" t="s">
        <v>16</v>
      </c>
    </row>
    <row r="174" spans="1:14" x14ac:dyDescent="0.3">
      <c r="A174">
        <v>2024001172</v>
      </c>
      <c r="B174" s="1">
        <v>45316</v>
      </c>
      <c r="C174" s="11">
        <f t="shared" si="6"/>
        <v>2024</v>
      </c>
      <c r="D174" t="s">
        <v>158</v>
      </c>
      <c r="E174" t="s">
        <v>34</v>
      </c>
      <c r="F174" t="s">
        <v>35</v>
      </c>
      <c r="G174" t="s">
        <v>36</v>
      </c>
      <c r="H174">
        <v>3</v>
      </c>
      <c r="I174" s="2">
        <v>15.47</v>
      </c>
      <c r="J174" s="2">
        <v>46.41</v>
      </c>
      <c r="K174" s="2">
        <f t="shared" si="7"/>
        <v>46.410000000000004</v>
      </c>
      <c r="L174" s="2">
        <f t="shared" si="8"/>
        <v>0</v>
      </c>
      <c r="M174" t="s">
        <v>64</v>
      </c>
      <c r="N174" t="s">
        <v>16</v>
      </c>
    </row>
    <row r="175" spans="1:14" x14ac:dyDescent="0.3">
      <c r="A175">
        <v>2024001173</v>
      </c>
      <c r="B175" s="1">
        <v>45303</v>
      </c>
      <c r="C175" s="11">
        <f t="shared" si="6"/>
        <v>2024</v>
      </c>
      <c r="D175" t="s">
        <v>85</v>
      </c>
      <c r="E175" t="s">
        <v>18</v>
      </c>
      <c r="F175" t="s">
        <v>19</v>
      </c>
      <c r="G175" t="s">
        <v>14</v>
      </c>
      <c r="H175">
        <v>1</v>
      </c>
      <c r="I175" s="2">
        <v>629.17999999999995</v>
      </c>
      <c r="J175" s="2">
        <v>629.17999999999995</v>
      </c>
      <c r="K175" s="2">
        <f t="shared" si="7"/>
        <v>629.17999999999995</v>
      </c>
      <c r="L175" s="2">
        <f t="shared" si="8"/>
        <v>0</v>
      </c>
      <c r="M175" t="s">
        <v>61</v>
      </c>
      <c r="N175" t="s">
        <v>26</v>
      </c>
    </row>
    <row r="176" spans="1:14" x14ac:dyDescent="0.3">
      <c r="A176">
        <v>2024001174</v>
      </c>
      <c r="B176" s="1">
        <v>45308</v>
      </c>
      <c r="C176" s="11">
        <f t="shared" si="6"/>
        <v>2024</v>
      </c>
      <c r="D176" t="s">
        <v>159</v>
      </c>
      <c r="E176" t="s">
        <v>53</v>
      </c>
      <c r="F176" t="s">
        <v>54</v>
      </c>
      <c r="G176" t="s">
        <v>36</v>
      </c>
      <c r="H176">
        <v>2</v>
      </c>
      <c r="I176" s="2">
        <v>124.15</v>
      </c>
      <c r="J176" s="2">
        <v>248.3</v>
      </c>
      <c r="K176" s="2">
        <f t="shared" si="7"/>
        <v>248.3</v>
      </c>
      <c r="L176" s="2">
        <f t="shared" si="8"/>
        <v>0</v>
      </c>
      <c r="M176" t="s">
        <v>61</v>
      </c>
      <c r="N176" t="s">
        <v>21</v>
      </c>
    </row>
    <row r="177" spans="1:14" x14ac:dyDescent="0.3">
      <c r="A177">
        <v>2024001175</v>
      </c>
      <c r="B177" s="1">
        <v>45489</v>
      </c>
      <c r="C177" s="11">
        <f t="shared" si="6"/>
        <v>2024</v>
      </c>
      <c r="D177" t="s">
        <v>160</v>
      </c>
      <c r="E177" t="s">
        <v>28</v>
      </c>
      <c r="F177" t="s">
        <v>29</v>
      </c>
      <c r="G177" t="s">
        <v>30</v>
      </c>
      <c r="H177">
        <v>4</v>
      </c>
      <c r="I177" s="2">
        <v>26.61</v>
      </c>
      <c r="J177" s="2">
        <v>106.44</v>
      </c>
      <c r="K177" s="2">
        <f t="shared" si="7"/>
        <v>106.44</v>
      </c>
      <c r="L177" s="2">
        <f t="shared" si="8"/>
        <v>0</v>
      </c>
      <c r="M177" t="s">
        <v>31</v>
      </c>
      <c r="N177" t="s">
        <v>26</v>
      </c>
    </row>
    <row r="178" spans="1:14" x14ac:dyDescent="0.3">
      <c r="A178">
        <v>2024001176</v>
      </c>
      <c r="B178" s="1">
        <v>45656</v>
      </c>
      <c r="C178" s="11">
        <f t="shared" si="6"/>
        <v>2024</v>
      </c>
      <c r="D178" t="s">
        <v>161</v>
      </c>
      <c r="E178" t="s">
        <v>46</v>
      </c>
      <c r="F178" t="s">
        <v>47</v>
      </c>
      <c r="G178" t="s">
        <v>36</v>
      </c>
      <c r="H178">
        <v>2</v>
      </c>
      <c r="I178" s="2">
        <v>81.209999999999994</v>
      </c>
      <c r="J178" s="2">
        <v>162.41999999999999</v>
      </c>
      <c r="K178" s="2">
        <f t="shared" si="7"/>
        <v>162.41999999999999</v>
      </c>
      <c r="L178" s="2">
        <f t="shared" si="8"/>
        <v>0</v>
      </c>
      <c r="M178" t="s">
        <v>25</v>
      </c>
      <c r="N178" t="s">
        <v>21</v>
      </c>
    </row>
    <row r="179" spans="1:14" x14ac:dyDescent="0.3">
      <c r="A179">
        <v>2024001177</v>
      </c>
      <c r="B179" s="1">
        <v>45428</v>
      </c>
      <c r="C179" s="11">
        <f t="shared" si="6"/>
        <v>2024</v>
      </c>
      <c r="D179" t="s">
        <v>162</v>
      </c>
      <c r="E179" t="s">
        <v>23</v>
      </c>
      <c r="F179" t="s">
        <v>24</v>
      </c>
      <c r="G179" t="s">
        <v>14</v>
      </c>
      <c r="H179">
        <v>5</v>
      </c>
      <c r="I179" s="2">
        <v>78.88</v>
      </c>
      <c r="J179" s="2">
        <v>394.4</v>
      </c>
      <c r="K179" s="2">
        <f t="shared" si="7"/>
        <v>394.4</v>
      </c>
      <c r="L179" s="2">
        <f t="shared" si="8"/>
        <v>0</v>
      </c>
      <c r="M179" t="s">
        <v>15</v>
      </c>
      <c r="N179" t="s">
        <v>26</v>
      </c>
    </row>
    <row r="180" spans="1:14" x14ac:dyDescent="0.3">
      <c r="A180">
        <v>2024001178</v>
      </c>
      <c r="B180" s="1">
        <v>45373</v>
      </c>
      <c r="C180" s="11">
        <f t="shared" si="6"/>
        <v>2024</v>
      </c>
      <c r="D180" t="s">
        <v>163</v>
      </c>
      <c r="E180" t="s">
        <v>12</v>
      </c>
      <c r="F180" t="s">
        <v>13</v>
      </c>
      <c r="G180" t="s">
        <v>14</v>
      </c>
      <c r="H180">
        <v>3</v>
      </c>
      <c r="I180" s="2">
        <v>366.42</v>
      </c>
      <c r="J180" s="2">
        <v>1099.26</v>
      </c>
      <c r="K180" s="2">
        <f t="shared" si="7"/>
        <v>1099.26</v>
      </c>
      <c r="L180" s="2">
        <f t="shared" si="8"/>
        <v>0</v>
      </c>
      <c r="M180" t="s">
        <v>61</v>
      </c>
      <c r="N180" t="s">
        <v>16</v>
      </c>
    </row>
    <row r="181" spans="1:14" x14ac:dyDescent="0.3">
      <c r="A181">
        <v>2024001179</v>
      </c>
      <c r="B181" s="1">
        <v>45450</v>
      </c>
      <c r="C181" s="11">
        <f t="shared" si="6"/>
        <v>2024</v>
      </c>
      <c r="D181" t="s">
        <v>95</v>
      </c>
      <c r="E181" t="s">
        <v>34</v>
      </c>
      <c r="F181" t="s">
        <v>35</v>
      </c>
      <c r="G181" t="s">
        <v>36</v>
      </c>
      <c r="H181">
        <v>2</v>
      </c>
      <c r="I181" s="2">
        <v>14.61</v>
      </c>
      <c r="J181" s="2">
        <v>29.22</v>
      </c>
      <c r="K181" s="2">
        <f t="shared" si="7"/>
        <v>29.22</v>
      </c>
      <c r="L181" s="2">
        <f t="shared" si="8"/>
        <v>0</v>
      </c>
      <c r="M181" t="s">
        <v>55</v>
      </c>
      <c r="N181" t="s">
        <v>21</v>
      </c>
    </row>
    <row r="182" spans="1:14" x14ac:dyDescent="0.3">
      <c r="A182">
        <v>2024001180</v>
      </c>
      <c r="B182" s="1">
        <v>45584</v>
      </c>
      <c r="C182" s="11">
        <f t="shared" si="6"/>
        <v>2024</v>
      </c>
      <c r="D182" t="s">
        <v>11</v>
      </c>
      <c r="E182" t="s">
        <v>23</v>
      </c>
      <c r="F182" t="s">
        <v>24</v>
      </c>
      <c r="G182" t="s">
        <v>14</v>
      </c>
      <c r="H182">
        <v>1</v>
      </c>
      <c r="I182" s="2">
        <v>85.78</v>
      </c>
      <c r="J182" s="2">
        <v>85.78</v>
      </c>
      <c r="K182" s="2">
        <f t="shared" si="7"/>
        <v>85.78</v>
      </c>
      <c r="L182" s="2">
        <f t="shared" si="8"/>
        <v>0</v>
      </c>
      <c r="M182" t="s">
        <v>20</v>
      </c>
      <c r="N182" t="s">
        <v>26</v>
      </c>
    </row>
    <row r="183" spans="1:14" x14ac:dyDescent="0.3">
      <c r="A183">
        <v>2024001181</v>
      </c>
      <c r="B183" s="1">
        <v>45295</v>
      </c>
      <c r="C183" s="11">
        <f t="shared" si="6"/>
        <v>2024</v>
      </c>
      <c r="D183" t="s">
        <v>164</v>
      </c>
      <c r="E183" t="s">
        <v>43</v>
      </c>
      <c r="F183" t="s">
        <v>44</v>
      </c>
      <c r="G183" t="s">
        <v>36</v>
      </c>
      <c r="H183">
        <v>3</v>
      </c>
      <c r="I183" s="2">
        <v>1085.73</v>
      </c>
      <c r="J183" s="2">
        <v>3257.19</v>
      </c>
      <c r="K183" s="2">
        <f t="shared" si="7"/>
        <v>3257.19</v>
      </c>
      <c r="L183" s="2">
        <f t="shared" si="8"/>
        <v>0</v>
      </c>
      <c r="M183" t="s">
        <v>31</v>
      </c>
      <c r="N183" t="s">
        <v>32</v>
      </c>
    </row>
    <row r="184" spans="1:14" x14ac:dyDescent="0.3">
      <c r="A184">
        <v>2024001182</v>
      </c>
      <c r="B184" s="1">
        <v>45602</v>
      </c>
      <c r="C184" s="11">
        <f t="shared" si="6"/>
        <v>2024</v>
      </c>
      <c r="D184" t="s">
        <v>165</v>
      </c>
      <c r="E184" t="s">
        <v>46</v>
      </c>
      <c r="F184" t="s">
        <v>47</v>
      </c>
      <c r="G184" t="s">
        <v>36</v>
      </c>
      <c r="H184">
        <v>5</v>
      </c>
      <c r="I184" s="2">
        <v>92.88</v>
      </c>
      <c r="J184" s="2">
        <v>464.4</v>
      </c>
      <c r="K184" s="2">
        <f t="shared" si="7"/>
        <v>464.4</v>
      </c>
      <c r="L184" s="2">
        <f t="shared" si="8"/>
        <v>0</v>
      </c>
      <c r="M184" t="s">
        <v>15</v>
      </c>
      <c r="N184" t="s">
        <v>16</v>
      </c>
    </row>
    <row r="185" spans="1:14" x14ac:dyDescent="0.3">
      <c r="A185">
        <v>2024001183</v>
      </c>
      <c r="B185" s="1">
        <v>45320</v>
      </c>
      <c r="C185" s="11">
        <f t="shared" si="6"/>
        <v>2024</v>
      </c>
      <c r="D185" t="s">
        <v>166</v>
      </c>
      <c r="E185" t="s">
        <v>28</v>
      </c>
      <c r="F185" t="s">
        <v>29</v>
      </c>
      <c r="G185" t="s">
        <v>30</v>
      </c>
      <c r="H185">
        <v>2</v>
      </c>
      <c r="I185" s="2">
        <v>24.79</v>
      </c>
      <c r="J185" s="2">
        <v>49.58</v>
      </c>
      <c r="K185" s="2">
        <f t="shared" si="7"/>
        <v>49.58</v>
      </c>
      <c r="L185" s="2">
        <f t="shared" si="8"/>
        <v>0</v>
      </c>
      <c r="M185" t="s">
        <v>48</v>
      </c>
      <c r="N185" t="s">
        <v>16</v>
      </c>
    </row>
    <row r="186" spans="1:14" x14ac:dyDescent="0.3">
      <c r="A186">
        <v>2024001184</v>
      </c>
      <c r="B186" s="1">
        <v>45650</v>
      </c>
      <c r="C186" s="11">
        <f t="shared" si="6"/>
        <v>2024</v>
      </c>
      <c r="D186" t="s">
        <v>11</v>
      </c>
      <c r="E186" t="s">
        <v>12</v>
      </c>
      <c r="F186" t="s">
        <v>13</v>
      </c>
      <c r="G186" t="s">
        <v>14</v>
      </c>
      <c r="H186">
        <v>2</v>
      </c>
      <c r="I186" s="2">
        <v>342.65</v>
      </c>
      <c r="J186" s="2">
        <v>685.3</v>
      </c>
      <c r="K186" s="2">
        <f t="shared" si="7"/>
        <v>685.3</v>
      </c>
      <c r="L186" s="2">
        <f t="shared" si="8"/>
        <v>0</v>
      </c>
      <c r="M186" t="s">
        <v>20</v>
      </c>
      <c r="N186" t="s">
        <v>16</v>
      </c>
    </row>
    <row r="187" spans="1:14" x14ac:dyDescent="0.3">
      <c r="A187">
        <v>2024001185</v>
      </c>
      <c r="B187" s="1">
        <v>45615</v>
      </c>
      <c r="C187" s="11">
        <f t="shared" si="6"/>
        <v>2024</v>
      </c>
      <c r="D187" t="s">
        <v>129</v>
      </c>
      <c r="E187" t="s">
        <v>18</v>
      </c>
      <c r="F187" t="s">
        <v>19</v>
      </c>
      <c r="G187" t="s">
        <v>14</v>
      </c>
      <c r="H187">
        <v>1</v>
      </c>
      <c r="I187" s="2">
        <v>591.54999999999995</v>
      </c>
      <c r="J187" s="2">
        <v>591.54999999999995</v>
      </c>
      <c r="K187" s="2">
        <f t="shared" si="7"/>
        <v>591.54999999999995</v>
      </c>
      <c r="L187" s="2">
        <f t="shared" si="8"/>
        <v>0</v>
      </c>
      <c r="M187" t="s">
        <v>61</v>
      </c>
      <c r="N187" t="s">
        <v>26</v>
      </c>
    </row>
    <row r="188" spans="1:14" x14ac:dyDescent="0.3">
      <c r="A188">
        <v>2024001186</v>
      </c>
      <c r="B188" s="1">
        <v>45364</v>
      </c>
      <c r="C188" s="11">
        <f t="shared" si="6"/>
        <v>2024</v>
      </c>
      <c r="D188" t="s">
        <v>133</v>
      </c>
      <c r="E188" t="s">
        <v>46</v>
      </c>
      <c r="F188" t="s">
        <v>47</v>
      </c>
      <c r="G188" t="s">
        <v>36</v>
      </c>
      <c r="H188">
        <v>3</v>
      </c>
      <c r="I188" s="2">
        <v>92.53</v>
      </c>
      <c r="J188" s="2">
        <v>277.58999999999997</v>
      </c>
      <c r="K188" s="2">
        <f t="shared" si="7"/>
        <v>277.59000000000003</v>
      </c>
      <c r="L188" s="2">
        <f t="shared" si="8"/>
        <v>0</v>
      </c>
      <c r="M188" t="s">
        <v>15</v>
      </c>
      <c r="N188" t="s">
        <v>32</v>
      </c>
    </row>
    <row r="189" spans="1:14" x14ac:dyDescent="0.3">
      <c r="A189">
        <v>2024001187</v>
      </c>
      <c r="B189" s="1">
        <v>45610</v>
      </c>
      <c r="C189" s="11">
        <f t="shared" si="6"/>
        <v>2024</v>
      </c>
      <c r="D189" t="s">
        <v>167</v>
      </c>
      <c r="E189" t="s">
        <v>40</v>
      </c>
      <c r="F189" t="s">
        <v>41</v>
      </c>
      <c r="G189" t="s">
        <v>36</v>
      </c>
      <c r="H189">
        <v>1</v>
      </c>
      <c r="I189" s="2">
        <v>41.55</v>
      </c>
      <c r="J189" s="2">
        <v>41.55</v>
      </c>
      <c r="K189" s="2">
        <f t="shared" si="7"/>
        <v>41.55</v>
      </c>
      <c r="L189" s="2">
        <f t="shared" si="8"/>
        <v>0</v>
      </c>
      <c r="M189" t="s">
        <v>38</v>
      </c>
      <c r="N189" t="s">
        <v>32</v>
      </c>
    </row>
    <row r="190" spans="1:14" x14ac:dyDescent="0.3">
      <c r="A190">
        <v>2024001188</v>
      </c>
      <c r="B190" s="1">
        <v>45350</v>
      </c>
      <c r="C190" s="11">
        <f t="shared" si="6"/>
        <v>2024</v>
      </c>
      <c r="D190" t="s">
        <v>11</v>
      </c>
      <c r="E190" t="s">
        <v>23</v>
      </c>
      <c r="F190" t="s">
        <v>24</v>
      </c>
      <c r="G190" t="s">
        <v>14</v>
      </c>
      <c r="H190">
        <v>4</v>
      </c>
      <c r="I190" s="2">
        <v>84.67</v>
      </c>
      <c r="J190" s="2">
        <v>338.68</v>
      </c>
      <c r="K190" s="2">
        <f t="shared" si="7"/>
        <v>338.68</v>
      </c>
      <c r="L190" s="2">
        <f t="shared" si="8"/>
        <v>0</v>
      </c>
      <c r="M190" t="s">
        <v>31</v>
      </c>
      <c r="N190" t="s">
        <v>21</v>
      </c>
    </row>
    <row r="191" spans="1:14" x14ac:dyDescent="0.3">
      <c r="A191">
        <v>2024001189</v>
      </c>
      <c r="B191" s="1">
        <v>45517</v>
      </c>
      <c r="C191" s="11">
        <f t="shared" si="6"/>
        <v>2024</v>
      </c>
      <c r="D191" t="s">
        <v>11</v>
      </c>
      <c r="E191" t="s">
        <v>28</v>
      </c>
      <c r="F191" t="s">
        <v>29</v>
      </c>
      <c r="G191" t="s">
        <v>30</v>
      </c>
      <c r="H191">
        <v>1</v>
      </c>
      <c r="I191" s="2">
        <v>27.03</v>
      </c>
      <c r="J191" s="2">
        <v>27.03</v>
      </c>
      <c r="K191" s="2">
        <f t="shared" si="7"/>
        <v>27.03</v>
      </c>
      <c r="L191" s="2">
        <f t="shared" si="8"/>
        <v>0</v>
      </c>
      <c r="M191" t="s">
        <v>61</v>
      </c>
      <c r="N191" t="s">
        <v>16</v>
      </c>
    </row>
    <row r="192" spans="1:14" x14ac:dyDescent="0.3">
      <c r="A192">
        <v>2024001190</v>
      </c>
      <c r="B192" s="1">
        <v>45550</v>
      </c>
      <c r="C192" s="11">
        <f t="shared" si="6"/>
        <v>2024</v>
      </c>
      <c r="D192" t="s">
        <v>168</v>
      </c>
      <c r="E192" t="s">
        <v>18</v>
      </c>
      <c r="F192" t="s">
        <v>19</v>
      </c>
      <c r="G192" t="s">
        <v>14</v>
      </c>
      <c r="H192">
        <v>1</v>
      </c>
      <c r="I192" s="2">
        <v>588.79999999999995</v>
      </c>
      <c r="J192" s="2">
        <v>588.79999999999995</v>
      </c>
      <c r="K192" s="2">
        <f t="shared" si="7"/>
        <v>588.79999999999995</v>
      </c>
      <c r="L192" s="2">
        <f t="shared" si="8"/>
        <v>0</v>
      </c>
      <c r="M192" t="s">
        <v>55</v>
      </c>
      <c r="N192" t="s">
        <v>16</v>
      </c>
    </row>
    <row r="193" spans="1:14" x14ac:dyDescent="0.3">
      <c r="A193">
        <v>2024001191</v>
      </c>
      <c r="B193" s="1">
        <v>45353</v>
      </c>
      <c r="C193" s="11">
        <f t="shared" si="6"/>
        <v>2024</v>
      </c>
      <c r="D193" t="s">
        <v>169</v>
      </c>
      <c r="E193" t="s">
        <v>23</v>
      </c>
      <c r="F193" t="s">
        <v>24</v>
      </c>
      <c r="G193" t="s">
        <v>14</v>
      </c>
      <c r="H193">
        <v>3</v>
      </c>
      <c r="I193" s="2">
        <v>75.31</v>
      </c>
      <c r="J193" s="2">
        <v>225.93</v>
      </c>
      <c r="K193" s="2">
        <f t="shared" si="7"/>
        <v>225.93</v>
      </c>
      <c r="L193" s="2">
        <f t="shared" si="8"/>
        <v>0</v>
      </c>
      <c r="M193" t="s">
        <v>57</v>
      </c>
      <c r="N193" t="s">
        <v>16</v>
      </c>
    </row>
    <row r="194" spans="1:14" x14ac:dyDescent="0.3">
      <c r="A194">
        <v>2024001192</v>
      </c>
      <c r="B194" s="1">
        <v>45560</v>
      </c>
      <c r="C194" s="11">
        <f t="shared" si="6"/>
        <v>2024</v>
      </c>
      <c r="D194" t="s">
        <v>170</v>
      </c>
      <c r="E194" t="s">
        <v>28</v>
      </c>
      <c r="F194" t="s">
        <v>29</v>
      </c>
      <c r="G194" t="s">
        <v>30</v>
      </c>
      <c r="H194">
        <v>2</v>
      </c>
      <c r="I194" s="2">
        <v>23.95</v>
      </c>
      <c r="J194" s="2">
        <v>47.9</v>
      </c>
      <c r="K194" s="2">
        <f t="shared" si="7"/>
        <v>47.9</v>
      </c>
      <c r="L194" s="2">
        <f t="shared" si="8"/>
        <v>0</v>
      </c>
      <c r="M194" t="s">
        <v>48</v>
      </c>
      <c r="N194" t="s">
        <v>32</v>
      </c>
    </row>
    <row r="195" spans="1:14" x14ac:dyDescent="0.3">
      <c r="A195">
        <v>2024001193</v>
      </c>
      <c r="B195" s="1">
        <v>45614</v>
      </c>
      <c r="C195" s="11">
        <f t="shared" ref="C195:C258" si="9">YEAR(B195)</f>
        <v>2024</v>
      </c>
      <c r="D195" t="s">
        <v>171</v>
      </c>
      <c r="E195" t="s">
        <v>28</v>
      </c>
      <c r="F195" t="s">
        <v>29</v>
      </c>
      <c r="G195" t="s">
        <v>30</v>
      </c>
      <c r="H195">
        <v>1</v>
      </c>
      <c r="I195" s="2">
        <v>25.21</v>
      </c>
      <c r="J195" s="2">
        <v>25.21</v>
      </c>
      <c r="K195" s="2">
        <f t="shared" ref="K195:K258" si="10">I195*H195</f>
        <v>25.21</v>
      </c>
      <c r="L195" s="2">
        <f t="shared" ref="L195:L258" si="11">J195-K195</f>
        <v>0</v>
      </c>
      <c r="M195" t="s">
        <v>55</v>
      </c>
      <c r="N195" t="s">
        <v>32</v>
      </c>
    </row>
    <row r="196" spans="1:14" x14ac:dyDescent="0.3">
      <c r="A196">
        <v>2024001194</v>
      </c>
      <c r="B196" s="1">
        <v>45461</v>
      </c>
      <c r="C196" s="11">
        <f t="shared" si="9"/>
        <v>2024</v>
      </c>
      <c r="D196" t="s">
        <v>11</v>
      </c>
      <c r="E196" t="s">
        <v>28</v>
      </c>
      <c r="F196" t="s">
        <v>29</v>
      </c>
      <c r="G196" t="s">
        <v>30</v>
      </c>
      <c r="H196">
        <v>1</v>
      </c>
      <c r="I196" s="2">
        <v>25.16</v>
      </c>
      <c r="J196" s="2">
        <v>25.16</v>
      </c>
      <c r="K196" s="2">
        <f t="shared" si="10"/>
        <v>25.16</v>
      </c>
      <c r="L196" s="2">
        <f t="shared" si="11"/>
        <v>0</v>
      </c>
      <c r="M196" t="s">
        <v>55</v>
      </c>
      <c r="N196" t="s">
        <v>32</v>
      </c>
    </row>
    <row r="197" spans="1:14" x14ac:dyDescent="0.3">
      <c r="A197">
        <v>2024001195</v>
      </c>
      <c r="B197" s="1">
        <v>45415</v>
      </c>
      <c r="C197" s="11">
        <f t="shared" si="9"/>
        <v>2024</v>
      </c>
      <c r="D197" t="s">
        <v>11</v>
      </c>
      <c r="E197" t="s">
        <v>67</v>
      </c>
      <c r="F197" t="s">
        <v>68</v>
      </c>
      <c r="G197" t="s">
        <v>36</v>
      </c>
      <c r="H197">
        <v>1</v>
      </c>
      <c r="I197" s="2">
        <v>404.59</v>
      </c>
      <c r="J197" s="2">
        <v>404.59</v>
      </c>
      <c r="K197" s="2">
        <f t="shared" si="10"/>
        <v>404.59</v>
      </c>
      <c r="L197" s="2">
        <f t="shared" si="11"/>
        <v>0</v>
      </c>
      <c r="M197" t="s">
        <v>25</v>
      </c>
      <c r="N197" t="s">
        <v>32</v>
      </c>
    </row>
    <row r="198" spans="1:14" x14ac:dyDescent="0.3">
      <c r="A198">
        <v>2024001196</v>
      </c>
      <c r="B198" s="1">
        <v>45381</v>
      </c>
      <c r="C198" s="11">
        <f t="shared" si="9"/>
        <v>2024</v>
      </c>
      <c r="D198" t="s">
        <v>11</v>
      </c>
      <c r="E198" t="s">
        <v>40</v>
      </c>
      <c r="F198" t="s">
        <v>41</v>
      </c>
      <c r="G198" t="s">
        <v>36</v>
      </c>
      <c r="H198">
        <v>1</v>
      </c>
      <c r="I198" s="2">
        <v>46.56</v>
      </c>
      <c r="J198" s="2">
        <v>46.56</v>
      </c>
      <c r="K198" s="2">
        <f t="shared" si="10"/>
        <v>46.56</v>
      </c>
      <c r="L198" s="2">
        <f t="shared" si="11"/>
        <v>0</v>
      </c>
      <c r="M198" t="s">
        <v>25</v>
      </c>
      <c r="N198" t="s">
        <v>26</v>
      </c>
    </row>
    <row r="199" spans="1:14" x14ac:dyDescent="0.3">
      <c r="A199">
        <v>2024001197</v>
      </c>
      <c r="B199" s="1">
        <v>45372</v>
      </c>
      <c r="C199" s="11">
        <f t="shared" si="9"/>
        <v>2024</v>
      </c>
      <c r="D199" t="s">
        <v>172</v>
      </c>
      <c r="E199" t="s">
        <v>23</v>
      </c>
      <c r="F199" t="s">
        <v>24</v>
      </c>
      <c r="G199" t="s">
        <v>14</v>
      </c>
      <c r="H199">
        <v>3</v>
      </c>
      <c r="I199" s="2">
        <v>75.760000000000005</v>
      </c>
      <c r="J199" s="2">
        <v>227.28</v>
      </c>
      <c r="K199" s="2">
        <f t="shared" si="10"/>
        <v>227.28000000000003</v>
      </c>
      <c r="L199" s="2">
        <f t="shared" si="11"/>
        <v>0</v>
      </c>
      <c r="M199" t="s">
        <v>57</v>
      </c>
      <c r="N199" t="s">
        <v>16</v>
      </c>
    </row>
    <row r="200" spans="1:14" x14ac:dyDescent="0.3">
      <c r="A200">
        <v>2024001198</v>
      </c>
      <c r="B200" s="1">
        <v>45614</v>
      </c>
      <c r="C200" s="11">
        <f t="shared" si="9"/>
        <v>2024</v>
      </c>
      <c r="D200" t="s">
        <v>11</v>
      </c>
      <c r="E200" t="s">
        <v>23</v>
      </c>
      <c r="F200" t="s">
        <v>24</v>
      </c>
      <c r="G200" t="s">
        <v>14</v>
      </c>
      <c r="H200">
        <v>2</v>
      </c>
      <c r="I200" s="2">
        <v>84.41</v>
      </c>
      <c r="J200" s="2">
        <v>168.82</v>
      </c>
      <c r="K200" s="2">
        <f t="shared" si="10"/>
        <v>168.82</v>
      </c>
      <c r="L200" s="2">
        <f t="shared" si="11"/>
        <v>0</v>
      </c>
      <c r="M200" t="s">
        <v>61</v>
      </c>
      <c r="N200" t="s">
        <v>16</v>
      </c>
    </row>
    <row r="201" spans="1:14" x14ac:dyDescent="0.3">
      <c r="A201">
        <v>2024001199</v>
      </c>
      <c r="B201" s="1">
        <v>45507</v>
      </c>
      <c r="C201" s="11">
        <f t="shared" si="9"/>
        <v>2024</v>
      </c>
      <c r="D201" t="s">
        <v>70</v>
      </c>
      <c r="E201" t="s">
        <v>23</v>
      </c>
      <c r="F201" t="s">
        <v>24</v>
      </c>
      <c r="G201" t="s">
        <v>14</v>
      </c>
      <c r="H201">
        <v>1</v>
      </c>
      <c r="I201" s="2">
        <v>80.53</v>
      </c>
      <c r="J201" s="2">
        <v>80.53</v>
      </c>
      <c r="K201" s="2">
        <f t="shared" si="10"/>
        <v>80.53</v>
      </c>
      <c r="L201" s="2">
        <f t="shared" si="11"/>
        <v>0</v>
      </c>
      <c r="M201" t="s">
        <v>48</v>
      </c>
      <c r="N201" t="s">
        <v>26</v>
      </c>
    </row>
    <row r="202" spans="1:14" x14ac:dyDescent="0.3">
      <c r="A202">
        <v>2024001200</v>
      </c>
      <c r="B202" s="1">
        <v>45654</v>
      </c>
      <c r="C202" s="11">
        <f t="shared" si="9"/>
        <v>2024</v>
      </c>
      <c r="D202" t="s">
        <v>173</v>
      </c>
      <c r="E202" t="s">
        <v>28</v>
      </c>
      <c r="F202" t="s">
        <v>29</v>
      </c>
      <c r="G202" t="s">
        <v>30</v>
      </c>
      <c r="H202">
        <v>4</v>
      </c>
      <c r="I202" s="2">
        <v>25.4</v>
      </c>
      <c r="J202" s="2">
        <v>101.6</v>
      </c>
      <c r="K202" s="2">
        <f t="shared" si="10"/>
        <v>101.6</v>
      </c>
      <c r="L202" s="2">
        <f t="shared" si="11"/>
        <v>0</v>
      </c>
      <c r="M202" t="s">
        <v>15</v>
      </c>
      <c r="N202" t="s">
        <v>26</v>
      </c>
    </row>
    <row r="203" spans="1:14" x14ac:dyDescent="0.3">
      <c r="A203">
        <v>2024001201</v>
      </c>
      <c r="B203" s="1">
        <v>45526</v>
      </c>
      <c r="C203" s="11">
        <f t="shared" si="9"/>
        <v>2024</v>
      </c>
      <c r="D203" t="s">
        <v>173</v>
      </c>
      <c r="E203" t="s">
        <v>46</v>
      </c>
      <c r="F203" t="s">
        <v>47</v>
      </c>
      <c r="G203" t="s">
        <v>36</v>
      </c>
      <c r="H203">
        <v>1</v>
      </c>
      <c r="I203" s="2">
        <v>87.17</v>
      </c>
      <c r="J203" s="2">
        <v>87.17</v>
      </c>
      <c r="K203" s="2">
        <f t="shared" si="10"/>
        <v>87.17</v>
      </c>
      <c r="L203" s="2">
        <f t="shared" si="11"/>
        <v>0</v>
      </c>
      <c r="M203" t="s">
        <v>15</v>
      </c>
      <c r="N203" t="s">
        <v>16</v>
      </c>
    </row>
    <row r="204" spans="1:14" x14ac:dyDescent="0.3">
      <c r="A204">
        <v>2024001202</v>
      </c>
      <c r="B204" s="1">
        <v>45451</v>
      </c>
      <c r="C204" s="11">
        <f t="shared" si="9"/>
        <v>2024</v>
      </c>
      <c r="D204" t="s">
        <v>152</v>
      </c>
      <c r="E204" t="s">
        <v>53</v>
      </c>
      <c r="F204" t="s">
        <v>54</v>
      </c>
      <c r="G204" t="s">
        <v>36</v>
      </c>
      <c r="H204">
        <v>1</v>
      </c>
      <c r="I204" s="2">
        <v>122.51</v>
      </c>
      <c r="J204" s="2">
        <v>122.51</v>
      </c>
      <c r="K204" s="2">
        <f t="shared" si="10"/>
        <v>122.51</v>
      </c>
      <c r="L204" s="2">
        <f t="shared" si="11"/>
        <v>0</v>
      </c>
      <c r="M204" t="s">
        <v>15</v>
      </c>
      <c r="N204" t="s">
        <v>16</v>
      </c>
    </row>
    <row r="205" spans="1:14" x14ac:dyDescent="0.3">
      <c r="A205">
        <v>2024001203</v>
      </c>
      <c r="B205" s="1">
        <v>45515</v>
      </c>
      <c r="C205" s="11">
        <f t="shared" si="9"/>
        <v>2024</v>
      </c>
      <c r="D205" t="s">
        <v>174</v>
      </c>
      <c r="E205" t="s">
        <v>43</v>
      </c>
      <c r="F205" t="s">
        <v>44</v>
      </c>
      <c r="G205" t="s">
        <v>36</v>
      </c>
      <c r="H205">
        <v>2</v>
      </c>
      <c r="I205" s="2">
        <v>1224.02</v>
      </c>
      <c r="J205" s="2">
        <v>2448.04</v>
      </c>
      <c r="K205" s="2">
        <f t="shared" si="10"/>
        <v>2448.04</v>
      </c>
      <c r="L205" s="2">
        <f t="shared" si="11"/>
        <v>0</v>
      </c>
      <c r="M205" t="s">
        <v>20</v>
      </c>
      <c r="N205" t="s">
        <v>21</v>
      </c>
    </row>
    <row r="206" spans="1:14" x14ac:dyDescent="0.3">
      <c r="A206">
        <v>2024001204</v>
      </c>
      <c r="B206" s="1">
        <v>45645</v>
      </c>
      <c r="C206" s="11">
        <f t="shared" si="9"/>
        <v>2024</v>
      </c>
      <c r="D206" t="s">
        <v>175</v>
      </c>
      <c r="E206" t="s">
        <v>23</v>
      </c>
      <c r="F206" t="s">
        <v>24</v>
      </c>
      <c r="G206" t="s">
        <v>14</v>
      </c>
      <c r="H206">
        <v>3</v>
      </c>
      <c r="I206" s="2">
        <v>78.44</v>
      </c>
      <c r="J206" s="2">
        <v>235.32</v>
      </c>
      <c r="K206" s="2">
        <f t="shared" si="10"/>
        <v>235.32</v>
      </c>
      <c r="L206" s="2">
        <f t="shared" si="11"/>
        <v>0</v>
      </c>
      <c r="M206" t="s">
        <v>15</v>
      </c>
      <c r="N206" t="s">
        <v>16</v>
      </c>
    </row>
    <row r="207" spans="1:14" x14ac:dyDescent="0.3">
      <c r="A207">
        <v>2024001205</v>
      </c>
      <c r="B207" s="1">
        <v>45524</v>
      </c>
      <c r="C207" s="11">
        <f t="shared" si="9"/>
        <v>2024</v>
      </c>
      <c r="D207" t="s">
        <v>11</v>
      </c>
      <c r="E207" t="s">
        <v>40</v>
      </c>
      <c r="F207" t="s">
        <v>41</v>
      </c>
      <c r="G207" t="s">
        <v>36</v>
      </c>
      <c r="H207">
        <v>1</v>
      </c>
      <c r="I207" s="2">
        <v>43.49</v>
      </c>
      <c r="J207" s="2">
        <v>43.49</v>
      </c>
      <c r="K207" s="2">
        <f t="shared" si="10"/>
        <v>43.49</v>
      </c>
      <c r="L207" s="2">
        <f t="shared" si="11"/>
        <v>0</v>
      </c>
      <c r="M207" t="s">
        <v>25</v>
      </c>
      <c r="N207" t="s">
        <v>26</v>
      </c>
    </row>
    <row r="208" spans="1:14" x14ac:dyDescent="0.3">
      <c r="A208">
        <v>2024001206</v>
      </c>
      <c r="B208" s="1">
        <v>45569</v>
      </c>
      <c r="C208" s="11">
        <f t="shared" si="9"/>
        <v>2024</v>
      </c>
      <c r="D208" t="s">
        <v>176</v>
      </c>
      <c r="E208" t="s">
        <v>12</v>
      </c>
      <c r="F208" t="s">
        <v>13</v>
      </c>
      <c r="G208" t="s">
        <v>14</v>
      </c>
      <c r="H208">
        <v>2</v>
      </c>
      <c r="I208" s="2">
        <v>346.74</v>
      </c>
      <c r="J208" s="2">
        <v>693.48</v>
      </c>
      <c r="K208" s="2">
        <f t="shared" si="10"/>
        <v>693.48</v>
      </c>
      <c r="L208" s="2">
        <f t="shared" si="11"/>
        <v>0</v>
      </c>
      <c r="M208" t="s">
        <v>61</v>
      </c>
      <c r="N208" t="s">
        <v>32</v>
      </c>
    </row>
    <row r="209" spans="1:14" x14ac:dyDescent="0.3">
      <c r="A209">
        <v>2024001207</v>
      </c>
      <c r="B209" s="1">
        <v>45484</v>
      </c>
      <c r="C209" s="11">
        <f t="shared" si="9"/>
        <v>2024</v>
      </c>
      <c r="D209" t="s">
        <v>27</v>
      </c>
      <c r="E209" t="s">
        <v>46</v>
      </c>
      <c r="F209" t="s">
        <v>47</v>
      </c>
      <c r="G209" t="s">
        <v>36</v>
      </c>
      <c r="H209">
        <v>1</v>
      </c>
      <c r="I209" s="2">
        <v>88.18</v>
      </c>
      <c r="J209" s="2">
        <v>88.18</v>
      </c>
      <c r="K209" s="2">
        <f t="shared" si="10"/>
        <v>88.18</v>
      </c>
      <c r="L209" s="2">
        <f t="shared" si="11"/>
        <v>0</v>
      </c>
      <c r="M209" t="s">
        <v>55</v>
      </c>
      <c r="N209" t="s">
        <v>16</v>
      </c>
    </row>
    <row r="210" spans="1:14" x14ac:dyDescent="0.3">
      <c r="A210">
        <v>2024001208</v>
      </c>
      <c r="B210" s="1">
        <v>45561</v>
      </c>
      <c r="C210" s="11">
        <f t="shared" si="9"/>
        <v>2024</v>
      </c>
      <c r="D210" t="s">
        <v>87</v>
      </c>
      <c r="E210" t="s">
        <v>12</v>
      </c>
      <c r="F210" t="s">
        <v>13</v>
      </c>
      <c r="G210" t="s">
        <v>14</v>
      </c>
      <c r="H210">
        <v>2</v>
      </c>
      <c r="I210" s="2">
        <v>320.16000000000003</v>
      </c>
      <c r="J210" s="2">
        <v>640.32000000000005</v>
      </c>
      <c r="K210" s="2">
        <f t="shared" si="10"/>
        <v>640.32000000000005</v>
      </c>
      <c r="L210" s="2">
        <f t="shared" si="11"/>
        <v>0</v>
      </c>
      <c r="M210" t="s">
        <v>61</v>
      </c>
      <c r="N210" t="s">
        <v>16</v>
      </c>
    </row>
    <row r="211" spans="1:14" x14ac:dyDescent="0.3">
      <c r="A211">
        <v>2024001209</v>
      </c>
      <c r="B211" s="1">
        <v>45370</v>
      </c>
      <c r="C211" s="11">
        <f t="shared" si="9"/>
        <v>2024</v>
      </c>
      <c r="D211" t="s">
        <v>177</v>
      </c>
      <c r="E211" t="s">
        <v>53</v>
      </c>
      <c r="F211" t="s">
        <v>54</v>
      </c>
      <c r="G211" t="s">
        <v>36</v>
      </c>
      <c r="H211">
        <v>1</v>
      </c>
      <c r="I211" s="2">
        <v>128.30000000000001</v>
      </c>
      <c r="J211" s="2">
        <v>128.30000000000001</v>
      </c>
      <c r="K211" s="2">
        <f t="shared" si="10"/>
        <v>128.30000000000001</v>
      </c>
      <c r="L211" s="2">
        <f t="shared" si="11"/>
        <v>0</v>
      </c>
      <c r="M211" t="s">
        <v>55</v>
      </c>
      <c r="N211" t="s">
        <v>26</v>
      </c>
    </row>
    <row r="212" spans="1:14" x14ac:dyDescent="0.3">
      <c r="A212">
        <v>2024001210</v>
      </c>
      <c r="B212" s="1">
        <v>45295</v>
      </c>
      <c r="C212" s="11">
        <f t="shared" si="9"/>
        <v>2024</v>
      </c>
      <c r="D212" t="s">
        <v>72</v>
      </c>
      <c r="E212" t="s">
        <v>28</v>
      </c>
      <c r="F212" t="s">
        <v>29</v>
      </c>
      <c r="G212" t="s">
        <v>30</v>
      </c>
      <c r="H212">
        <v>1</v>
      </c>
      <c r="I212" s="2">
        <v>25.81</v>
      </c>
      <c r="J212" s="2">
        <v>25.81</v>
      </c>
      <c r="K212" s="2">
        <f t="shared" si="10"/>
        <v>25.81</v>
      </c>
      <c r="L212" s="2">
        <f t="shared" si="11"/>
        <v>0</v>
      </c>
      <c r="M212" t="s">
        <v>38</v>
      </c>
      <c r="N212" t="s">
        <v>32</v>
      </c>
    </row>
    <row r="213" spans="1:14" x14ac:dyDescent="0.3">
      <c r="A213">
        <v>2024001211</v>
      </c>
      <c r="B213" s="1">
        <v>45421</v>
      </c>
      <c r="C213" s="11">
        <f t="shared" si="9"/>
        <v>2024</v>
      </c>
      <c r="D213" t="s">
        <v>146</v>
      </c>
      <c r="E213" t="s">
        <v>12</v>
      </c>
      <c r="F213" t="s">
        <v>13</v>
      </c>
      <c r="G213" t="s">
        <v>14</v>
      </c>
      <c r="H213">
        <v>2</v>
      </c>
      <c r="I213" s="2">
        <v>367.28</v>
      </c>
      <c r="J213" s="2">
        <v>734.56</v>
      </c>
      <c r="K213" s="2">
        <f t="shared" si="10"/>
        <v>734.56</v>
      </c>
      <c r="L213" s="2">
        <f t="shared" si="11"/>
        <v>0</v>
      </c>
      <c r="M213" t="s">
        <v>57</v>
      </c>
      <c r="N213" t="s">
        <v>26</v>
      </c>
    </row>
    <row r="214" spans="1:14" x14ac:dyDescent="0.3">
      <c r="A214">
        <v>2024001212</v>
      </c>
      <c r="B214" s="1">
        <v>45527</v>
      </c>
      <c r="C214" s="11">
        <f t="shared" si="9"/>
        <v>2024</v>
      </c>
      <c r="D214" t="s">
        <v>82</v>
      </c>
      <c r="E214" t="s">
        <v>18</v>
      </c>
      <c r="F214" t="s">
        <v>19</v>
      </c>
      <c r="G214" t="s">
        <v>14</v>
      </c>
      <c r="H214">
        <v>4</v>
      </c>
      <c r="I214" s="2">
        <v>589.69000000000005</v>
      </c>
      <c r="J214" s="2">
        <v>2358.7600000000002</v>
      </c>
      <c r="K214" s="2">
        <f t="shared" si="10"/>
        <v>2358.7600000000002</v>
      </c>
      <c r="L214" s="2">
        <f t="shared" si="11"/>
        <v>0</v>
      </c>
      <c r="M214" t="s">
        <v>61</v>
      </c>
      <c r="N214" t="s">
        <v>16</v>
      </c>
    </row>
    <row r="215" spans="1:14" x14ac:dyDescent="0.3">
      <c r="A215">
        <v>2024001213</v>
      </c>
      <c r="B215" s="1">
        <v>45306</v>
      </c>
      <c r="C215" s="11">
        <f t="shared" si="9"/>
        <v>2024</v>
      </c>
      <c r="D215" t="s">
        <v>178</v>
      </c>
      <c r="E215" t="s">
        <v>34</v>
      </c>
      <c r="F215" t="s">
        <v>35</v>
      </c>
      <c r="G215" t="s">
        <v>36</v>
      </c>
      <c r="H215">
        <v>1</v>
      </c>
      <c r="I215" s="2">
        <v>16.16</v>
      </c>
      <c r="J215" s="2">
        <v>16.16</v>
      </c>
      <c r="K215" s="2">
        <f t="shared" si="10"/>
        <v>16.16</v>
      </c>
      <c r="L215" s="2">
        <f t="shared" si="11"/>
        <v>0</v>
      </c>
      <c r="M215" t="s">
        <v>48</v>
      </c>
      <c r="N215" t="s">
        <v>32</v>
      </c>
    </row>
    <row r="216" spans="1:14" x14ac:dyDescent="0.3">
      <c r="A216">
        <v>2024001214</v>
      </c>
      <c r="B216" s="1">
        <v>45303</v>
      </c>
      <c r="C216" s="11">
        <f t="shared" si="9"/>
        <v>2024</v>
      </c>
      <c r="D216" t="s">
        <v>179</v>
      </c>
      <c r="E216" t="s">
        <v>23</v>
      </c>
      <c r="F216" t="s">
        <v>24</v>
      </c>
      <c r="G216" t="s">
        <v>14</v>
      </c>
      <c r="H216">
        <v>1</v>
      </c>
      <c r="I216" s="2">
        <v>79.37</v>
      </c>
      <c r="J216" s="2">
        <v>79.37</v>
      </c>
      <c r="K216" s="2">
        <f t="shared" si="10"/>
        <v>79.37</v>
      </c>
      <c r="L216" s="2">
        <f t="shared" si="11"/>
        <v>0</v>
      </c>
      <c r="M216" t="s">
        <v>55</v>
      </c>
      <c r="N216" t="s">
        <v>32</v>
      </c>
    </row>
    <row r="217" spans="1:14" x14ac:dyDescent="0.3">
      <c r="A217">
        <v>2024001215</v>
      </c>
      <c r="B217" s="1">
        <v>45490</v>
      </c>
      <c r="C217" s="11">
        <f t="shared" si="9"/>
        <v>2024</v>
      </c>
      <c r="D217" t="s">
        <v>180</v>
      </c>
      <c r="E217" t="s">
        <v>23</v>
      </c>
      <c r="F217" t="s">
        <v>24</v>
      </c>
      <c r="G217" t="s">
        <v>14</v>
      </c>
      <c r="H217">
        <v>4</v>
      </c>
      <c r="I217" s="2">
        <v>75.25</v>
      </c>
      <c r="J217" s="2">
        <v>301</v>
      </c>
      <c r="K217" s="2">
        <f t="shared" si="10"/>
        <v>301</v>
      </c>
      <c r="L217" s="2">
        <f t="shared" si="11"/>
        <v>0</v>
      </c>
      <c r="M217" t="s">
        <v>57</v>
      </c>
      <c r="N217" t="s">
        <v>32</v>
      </c>
    </row>
    <row r="218" spans="1:14" x14ac:dyDescent="0.3">
      <c r="A218">
        <v>2024001216</v>
      </c>
      <c r="B218" s="1">
        <v>45337</v>
      </c>
      <c r="C218" s="11">
        <f t="shared" si="9"/>
        <v>2024</v>
      </c>
      <c r="D218" t="s">
        <v>181</v>
      </c>
      <c r="E218" t="s">
        <v>28</v>
      </c>
      <c r="F218" t="s">
        <v>29</v>
      </c>
      <c r="G218" t="s">
        <v>30</v>
      </c>
      <c r="H218">
        <v>1</v>
      </c>
      <c r="I218" s="2">
        <v>27.05</v>
      </c>
      <c r="J218" s="2">
        <v>27.05</v>
      </c>
      <c r="K218" s="2">
        <f t="shared" si="10"/>
        <v>27.05</v>
      </c>
      <c r="L218" s="2">
        <f t="shared" si="11"/>
        <v>0</v>
      </c>
      <c r="M218" t="s">
        <v>38</v>
      </c>
      <c r="N218" t="s">
        <v>32</v>
      </c>
    </row>
    <row r="219" spans="1:14" x14ac:dyDescent="0.3">
      <c r="A219">
        <v>2024001217</v>
      </c>
      <c r="B219" s="1">
        <v>45300</v>
      </c>
      <c r="C219" s="11">
        <f t="shared" si="9"/>
        <v>2024</v>
      </c>
      <c r="D219" t="s">
        <v>11</v>
      </c>
      <c r="E219" t="s">
        <v>67</v>
      </c>
      <c r="F219" t="s">
        <v>68</v>
      </c>
      <c r="G219" t="s">
        <v>36</v>
      </c>
      <c r="H219">
        <v>1</v>
      </c>
      <c r="I219" s="2">
        <v>430.02</v>
      </c>
      <c r="J219" s="2">
        <v>430.02</v>
      </c>
      <c r="K219" s="2">
        <f t="shared" si="10"/>
        <v>430.02</v>
      </c>
      <c r="L219" s="2">
        <f t="shared" si="11"/>
        <v>0</v>
      </c>
      <c r="M219" t="s">
        <v>64</v>
      </c>
      <c r="N219" t="s">
        <v>16</v>
      </c>
    </row>
    <row r="220" spans="1:14" x14ac:dyDescent="0.3">
      <c r="A220">
        <v>2024001218</v>
      </c>
      <c r="B220" s="1">
        <v>45408</v>
      </c>
      <c r="C220" s="11">
        <f t="shared" si="9"/>
        <v>2024</v>
      </c>
      <c r="D220" t="s">
        <v>182</v>
      </c>
      <c r="E220" t="s">
        <v>43</v>
      </c>
      <c r="F220" t="s">
        <v>44</v>
      </c>
      <c r="G220" t="s">
        <v>36</v>
      </c>
      <c r="H220">
        <v>1</v>
      </c>
      <c r="I220" s="2">
        <v>1189.6199999999999</v>
      </c>
      <c r="J220" s="2">
        <v>1189.6199999999999</v>
      </c>
      <c r="K220" s="2">
        <f t="shared" si="10"/>
        <v>1189.6199999999999</v>
      </c>
      <c r="L220" s="2">
        <f t="shared" si="11"/>
        <v>0</v>
      </c>
      <c r="M220" t="s">
        <v>64</v>
      </c>
      <c r="N220" t="s">
        <v>32</v>
      </c>
    </row>
    <row r="221" spans="1:14" x14ac:dyDescent="0.3">
      <c r="A221">
        <v>2024001219</v>
      </c>
      <c r="B221" s="1">
        <v>45302</v>
      </c>
      <c r="C221" s="11">
        <f t="shared" si="9"/>
        <v>2024</v>
      </c>
      <c r="D221" t="s">
        <v>93</v>
      </c>
      <c r="E221" t="s">
        <v>43</v>
      </c>
      <c r="F221" t="s">
        <v>44</v>
      </c>
      <c r="G221" t="s">
        <v>36</v>
      </c>
      <c r="H221">
        <v>4</v>
      </c>
      <c r="I221" s="2">
        <v>1158.71</v>
      </c>
      <c r="J221" s="2">
        <v>4634.84</v>
      </c>
      <c r="K221" s="2">
        <f t="shared" si="10"/>
        <v>4634.84</v>
      </c>
      <c r="L221" s="2">
        <f t="shared" si="11"/>
        <v>0</v>
      </c>
      <c r="M221" t="s">
        <v>48</v>
      </c>
      <c r="N221" t="s">
        <v>32</v>
      </c>
    </row>
    <row r="222" spans="1:14" x14ac:dyDescent="0.3">
      <c r="A222">
        <v>2024001220</v>
      </c>
      <c r="B222" s="1">
        <v>45558</v>
      </c>
      <c r="C222" s="11">
        <f t="shared" si="9"/>
        <v>2024</v>
      </c>
      <c r="D222" t="s">
        <v>183</v>
      </c>
      <c r="E222" t="s">
        <v>34</v>
      </c>
      <c r="F222" t="s">
        <v>35</v>
      </c>
      <c r="G222" t="s">
        <v>36</v>
      </c>
      <c r="H222">
        <v>1</v>
      </c>
      <c r="I222" s="2">
        <v>15</v>
      </c>
      <c r="J222" s="2">
        <v>15</v>
      </c>
      <c r="K222" s="2">
        <f t="shared" si="10"/>
        <v>15</v>
      </c>
      <c r="L222" s="2">
        <f t="shared" si="11"/>
        <v>0</v>
      </c>
      <c r="M222" t="s">
        <v>64</v>
      </c>
      <c r="N222" t="s">
        <v>32</v>
      </c>
    </row>
    <row r="223" spans="1:14" x14ac:dyDescent="0.3">
      <c r="A223">
        <v>2024001221</v>
      </c>
      <c r="B223" s="1">
        <v>45439</v>
      </c>
      <c r="C223" s="11">
        <f t="shared" si="9"/>
        <v>2024</v>
      </c>
      <c r="D223" t="s">
        <v>184</v>
      </c>
      <c r="E223" t="s">
        <v>46</v>
      </c>
      <c r="F223" t="s">
        <v>47</v>
      </c>
      <c r="G223" t="s">
        <v>36</v>
      </c>
      <c r="H223">
        <v>3</v>
      </c>
      <c r="I223" s="2">
        <v>84.79</v>
      </c>
      <c r="J223" s="2">
        <v>254.37</v>
      </c>
      <c r="K223" s="2">
        <f t="shared" si="10"/>
        <v>254.37</v>
      </c>
      <c r="L223" s="2">
        <f t="shared" si="11"/>
        <v>0</v>
      </c>
      <c r="M223" t="s">
        <v>55</v>
      </c>
      <c r="N223" t="s">
        <v>32</v>
      </c>
    </row>
    <row r="224" spans="1:14" x14ac:dyDescent="0.3">
      <c r="A224">
        <v>2024001222</v>
      </c>
      <c r="B224" s="1">
        <v>45644</v>
      </c>
      <c r="C224" s="11">
        <f t="shared" si="9"/>
        <v>2024</v>
      </c>
      <c r="D224" t="s">
        <v>11</v>
      </c>
      <c r="E224" t="s">
        <v>40</v>
      </c>
      <c r="F224" t="s">
        <v>41</v>
      </c>
      <c r="G224" t="s">
        <v>36</v>
      </c>
      <c r="H224">
        <v>2</v>
      </c>
      <c r="I224" s="2">
        <v>43.94</v>
      </c>
      <c r="J224" s="2">
        <v>87.88</v>
      </c>
      <c r="K224" s="2">
        <f t="shared" si="10"/>
        <v>87.88</v>
      </c>
      <c r="L224" s="2">
        <f t="shared" si="11"/>
        <v>0</v>
      </c>
      <c r="M224" t="s">
        <v>15</v>
      </c>
      <c r="N224" t="s">
        <v>16</v>
      </c>
    </row>
    <row r="225" spans="1:14" x14ac:dyDescent="0.3">
      <c r="A225">
        <v>2024001223</v>
      </c>
      <c r="B225" s="1">
        <v>45457</v>
      </c>
      <c r="C225" s="11">
        <f t="shared" si="9"/>
        <v>2024</v>
      </c>
      <c r="D225" t="s">
        <v>185</v>
      </c>
      <c r="E225" t="s">
        <v>46</v>
      </c>
      <c r="F225" t="s">
        <v>47</v>
      </c>
      <c r="G225" t="s">
        <v>36</v>
      </c>
      <c r="H225">
        <v>3</v>
      </c>
      <c r="I225" s="2">
        <v>94.84</v>
      </c>
      <c r="J225" s="2">
        <v>284.52</v>
      </c>
      <c r="K225" s="2">
        <f t="shared" si="10"/>
        <v>284.52</v>
      </c>
      <c r="L225" s="2">
        <f t="shared" si="11"/>
        <v>0</v>
      </c>
      <c r="M225" t="s">
        <v>55</v>
      </c>
      <c r="N225" t="s">
        <v>16</v>
      </c>
    </row>
    <row r="226" spans="1:14" x14ac:dyDescent="0.3">
      <c r="A226">
        <v>2024001224</v>
      </c>
      <c r="B226" s="1">
        <v>45596</v>
      </c>
      <c r="C226" s="11">
        <f t="shared" si="9"/>
        <v>2024</v>
      </c>
      <c r="D226" t="s">
        <v>171</v>
      </c>
      <c r="E226" t="s">
        <v>67</v>
      </c>
      <c r="F226" t="s">
        <v>68</v>
      </c>
      <c r="G226" t="s">
        <v>36</v>
      </c>
      <c r="H226">
        <v>2</v>
      </c>
      <c r="I226" s="2">
        <v>429.52</v>
      </c>
      <c r="J226" s="2">
        <v>859.04</v>
      </c>
      <c r="K226" s="2">
        <f t="shared" si="10"/>
        <v>859.04</v>
      </c>
      <c r="L226" s="2">
        <f t="shared" si="11"/>
        <v>0</v>
      </c>
      <c r="M226" t="s">
        <v>48</v>
      </c>
      <c r="N226" t="s">
        <v>16</v>
      </c>
    </row>
    <row r="227" spans="1:14" x14ac:dyDescent="0.3">
      <c r="A227">
        <v>2024001225</v>
      </c>
      <c r="B227" s="1">
        <v>45495</v>
      </c>
      <c r="C227" s="11">
        <f t="shared" si="9"/>
        <v>2024</v>
      </c>
      <c r="D227" t="s">
        <v>186</v>
      </c>
      <c r="E227" t="s">
        <v>23</v>
      </c>
      <c r="F227" t="s">
        <v>24</v>
      </c>
      <c r="G227" t="s">
        <v>14</v>
      </c>
      <c r="H227">
        <v>2</v>
      </c>
      <c r="I227" s="2">
        <v>86.09</v>
      </c>
      <c r="J227" s="2">
        <v>172.18</v>
      </c>
      <c r="K227" s="2">
        <f t="shared" si="10"/>
        <v>172.18</v>
      </c>
      <c r="L227" s="2">
        <f t="shared" si="11"/>
        <v>0</v>
      </c>
      <c r="M227" t="s">
        <v>38</v>
      </c>
      <c r="N227" t="s">
        <v>16</v>
      </c>
    </row>
    <row r="228" spans="1:14" x14ac:dyDescent="0.3">
      <c r="A228">
        <v>2024001226</v>
      </c>
      <c r="B228" s="1">
        <v>45402</v>
      </c>
      <c r="C228" s="11">
        <f t="shared" si="9"/>
        <v>2024</v>
      </c>
      <c r="D228" t="s">
        <v>116</v>
      </c>
      <c r="E228" t="s">
        <v>53</v>
      </c>
      <c r="F228" t="s">
        <v>54</v>
      </c>
      <c r="G228" t="s">
        <v>36</v>
      </c>
      <c r="H228">
        <v>2</v>
      </c>
      <c r="I228" s="2">
        <v>132.94</v>
      </c>
      <c r="J228" s="2">
        <v>265.88</v>
      </c>
      <c r="K228" s="2">
        <f t="shared" si="10"/>
        <v>265.88</v>
      </c>
      <c r="L228" s="2">
        <f t="shared" si="11"/>
        <v>0</v>
      </c>
      <c r="M228" t="s">
        <v>64</v>
      </c>
      <c r="N228" t="s">
        <v>16</v>
      </c>
    </row>
    <row r="229" spans="1:14" x14ac:dyDescent="0.3">
      <c r="A229">
        <v>2024001227</v>
      </c>
      <c r="B229" s="1">
        <v>45294</v>
      </c>
      <c r="C229" s="11">
        <f t="shared" si="9"/>
        <v>2024</v>
      </c>
      <c r="D229" t="s">
        <v>125</v>
      </c>
      <c r="E229" t="s">
        <v>28</v>
      </c>
      <c r="F229" t="s">
        <v>29</v>
      </c>
      <c r="G229" t="s">
        <v>30</v>
      </c>
      <c r="H229">
        <v>1</v>
      </c>
      <c r="I229" s="2">
        <v>26.47</v>
      </c>
      <c r="J229" s="2">
        <v>26.47</v>
      </c>
      <c r="K229" s="2">
        <f t="shared" si="10"/>
        <v>26.47</v>
      </c>
      <c r="L229" s="2">
        <f t="shared" si="11"/>
        <v>0</v>
      </c>
      <c r="M229" t="s">
        <v>55</v>
      </c>
      <c r="N229" t="s">
        <v>16</v>
      </c>
    </row>
    <row r="230" spans="1:14" x14ac:dyDescent="0.3">
      <c r="A230">
        <v>2024001228</v>
      </c>
      <c r="B230" s="1">
        <v>45303</v>
      </c>
      <c r="C230" s="11">
        <f t="shared" si="9"/>
        <v>2024</v>
      </c>
      <c r="D230" t="s">
        <v>187</v>
      </c>
      <c r="E230" t="s">
        <v>28</v>
      </c>
      <c r="F230" t="s">
        <v>29</v>
      </c>
      <c r="G230" t="s">
        <v>30</v>
      </c>
      <c r="H230">
        <v>3</v>
      </c>
      <c r="I230" s="2">
        <v>23.71</v>
      </c>
      <c r="J230" s="2">
        <v>71.13</v>
      </c>
      <c r="K230" s="2">
        <f t="shared" si="10"/>
        <v>71.13</v>
      </c>
      <c r="L230" s="2">
        <f t="shared" si="11"/>
        <v>0</v>
      </c>
      <c r="M230" t="s">
        <v>15</v>
      </c>
      <c r="N230" t="s">
        <v>26</v>
      </c>
    </row>
    <row r="231" spans="1:14" x14ac:dyDescent="0.3">
      <c r="A231">
        <v>2024001229</v>
      </c>
      <c r="B231" s="1">
        <v>45474</v>
      </c>
      <c r="C231" s="11">
        <f t="shared" si="9"/>
        <v>2024</v>
      </c>
      <c r="D231" t="s">
        <v>188</v>
      </c>
      <c r="E231" t="s">
        <v>34</v>
      </c>
      <c r="F231" t="s">
        <v>35</v>
      </c>
      <c r="G231" t="s">
        <v>36</v>
      </c>
      <c r="H231">
        <v>1</v>
      </c>
      <c r="I231" s="2">
        <v>14.6</v>
      </c>
      <c r="J231" s="2">
        <v>14.6</v>
      </c>
      <c r="K231" s="2">
        <f t="shared" si="10"/>
        <v>14.6</v>
      </c>
      <c r="L231" s="2">
        <f t="shared" si="11"/>
        <v>0</v>
      </c>
      <c r="M231" t="s">
        <v>64</v>
      </c>
      <c r="N231" t="s">
        <v>16</v>
      </c>
    </row>
    <row r="232" spans="1:14" x14ac:dyDescent="0.3">
      <c r="A232">
        <v>2024001230</v>
      </c>
      <c r="B232" s="1">
        <v>45502</v>
      </c>
      <c r="C232" s="11">
        <f t="shared" si="9"/>
        <v>2024</v>
      </c>
      <c r="D232" t="s">
        <v>189</v>
      </c>
      <c r="E232" t="s">
        <v>18</v>
      </c>
      <c r="F232" t="s">
        <v>19</v>
      </c>
      <c r="G232" t="s">
        <v>14</v>
      </c>
      <c r="H232">
        <v>5</v>
      </c>
      <c r="I232" s="2">
        <v>601.14</v>
      </c>
      <c r="J232" s="2">
        <v>3005.7</v>
      </c>
      <c r="K232" s="2">
        <f t="shared" si="10"/>
        <v>3005.7</v>
      </c>
      <c r="L232" s="2">
        <f t="shared" si="11"/>
        <v>0</v>
      </c>
      <c r="M232" t="s">
        <v>31</v>
      </c>
      <c r="N232" t="s">
        <v>21</v>
      </c>
    </row>
    <row r="233" spans="1:14" x14ac:dyDescent="0.3">
      <c r="A233">
        <v>2024001231</v>
      </c>
      <c r="B233" s="1">
        <v>45326</v>
      </c>
      <c r="C233" s="11">
        <f t="shared" si="9"/>
        <v>2024</v>
      </c>
      <c r="D233" t="s">
        <v>190</v>
      </c>
      <c r="E233" t="s">
        <v>67</v>
      </c>
      <c r="F233" t="s">
        <v>68</v>
      </c>
      <c r="G233" t="s">
        <v>36</v>
      </c>
      <c r="H233">
        <v>1</v>
      </c>
      <c r="I233" s="2">
        <v>402.4</v>
      </c>
      <c r="J233" s="2">
        <v>402.4</v>
      </c>
      <c r="K233" s="2">
        <f t="shared" si="10"/>
        <v>402.4</v>
      </c>
      <c r="L233" s="2">
        <f t="shared" si="11"/>
        <v>0</v>
      </c>
      <c r="M233" t="s">
        <v>61</v>
      </c>
      <c r="N233" t="s">
        <v>21</v>
      </c>
    </row>
    <row r="234" spans="1:14" x14ac:dyDescent="0.3">
      <c r="A234">
        <v>2024001232</v>
      </c>
      <c r="B234" s="1">
        <v>45623</v>
      </c>
      <c r="C234" s="11">
        <f t="shared" si="9"/>
        <v>2024</v>
      </c>
      <c r="D234" t="s">
        <v>49</v>
      </c>
      <c r="E234" t="s">
        <v>46</v>
      </c>
      <c r="F234" t="s">
        <v>47</v>
      </c>
      <c r="G234" t="s">
        <v>36</v>
      </c>
      <c r="H234">
        <v>2</v>
      </c>
      <c r="I234" s="2">
        <v>81.61</v>
      </c>
      <c r="J234" s="2">
        <v>163.22</v>
      </c>
      <c r="K234" s="2">
        <f t="shared" si="10"/>
        <v>163.22</v>
      </c>
      <c r="L234" s="2">
        <f t="shared" si="11"/>
        <v>0</v>
      </c>
      <c r="M234" t="s">
        <v>38</v>
      </c>
      <c r="N234" t="s">
        <v>32</v>
      </c>
    </row>
    <row r="235" spans="1:14" x14ac:dyDescent="0.3">
      <c r="A235">
        <v>2024001233</v>
      </c>
      <c r="B235" s="1">
        <v>45443</v>
      </c>
      <c r="C235" s="11">
        <f t="shared" si="9"/>
        <v>2024</v>
      </c>
      <c r="D235" t="s">
        <v>191</v>
      </c>
      <c r="E235" t="s">
        <v>43</v>
      </c>
      <c r="F235" t="s">
        <v>44</v>
      </c>
      <c r="G235" t="s">
        <v>36</v>
      </c>
      <c r="H235">
        <v>2</v>
      </c>
      <c r="I235" s="2">
        <v>1145.9000000000001</v>
      </c>
      <c r="J235" s="2">
        <v>2291.8000000000002</v>
      </c>
      <c r="K235" s="2">
        <f t="shared" si="10"/>
        <v>2291.8000000000002</v>
      </c>
      <c r="L235" s="2">
        <f t="shared" si="11"/>
        <v>0</v>
      </c>
      <c r="M235" t="s">
        <v>48</v>
      </c>
      <c r="N235" t="s">
        <v>32</v>
      </c>
    </row>
    <row r="236" spans="1:14" x14ac:dyDescent="0.3">
      <c r="A236">
        <v>2024001234</v>
      </c>
      <c r="B236" s="1">
        <v>45541</v>
      </c>
      <c r="C236" s="11">
        <f t="shared" si="9"/>
        <v>2024</v>
      </c>
      <c r="D236" t="s">
        <v>104</v>
      </c>
      <c r="E236" t="s">
        <v>40</v>
      </c>
      <c r="F236" t="s">
        <v>41</v>
      </c>
      <c r="G236" t="s">
        <v>36</v>
      </c>
      <c r="H236">
        <v>1</v>
      </c>
      <c r="I236" s="2">
        <v>41.33</v>
      </c>
      <c r="J236" s="2">
        <v>41.33</v>
      </c>
      <c r="K236" s="2">
        <f t="shared" si="10"/>
        <v>41.33</v>
      </c>
      <c r="L236" s="2">
        <f t="shared" si="11"/>
        <v>0</v>
      </c>
      <c r="M236" t="s">
        <v>57</v>
      </c>
      <c r="N236" t="s">
        <v>16</v>
      </c>
    </row>
    <row r="237" spans="1:14" x14ac:dyDescent="0.3">
      <c r="A237">
        <v>2024001235</v>
      </c>
      <c r="B237" s="1">
        <v>45537</v>
      </c>
      <c r="C237" s="11">
        <f t="shared" si="9"/>
        <v>2024</v>
      </c>
      <c r="D237" t="s">
        <v>192</v>
      </c>
      <c r="E237" t="s">
        <v>34</v>
      </c>
      <c r="F237" t="s">
        <v>35</v>
      </c>
      <c r="G237" t="s">
        <v>36</v>
      </c>
      <c r="H237">
        <v>2</v>
      </c>
      <c r="I237" s="2">
        <v>14.57</v>
      </c>
      <c r="J237" s="2">
        <v>29.14</v>
      </c>
      <c r="K237" s="2">
        <f t="shared" si="10"/>
        <v>29.14</v>
      </c>
      <c r="L237" s="2">
        <f t="shared" si="11"/>
        <v>0</v>
      </c>
      <c r="M237" t="s">
        <v>20</v>
      </c>
      <c r="N237" t="s">
        <v>26</v>
      </c>
    </row>
    <row r="238" spans="1:14" x14ac:dyDescent="0.3">
      <c r="A238">
        <v>2024001236</v>
      </c>
      <c r="B238" s="1">
        <v>45516</v>
      </c>
      <c r="C238" s="11">
        <f t="shared" si="9"/>
        <v>2024</v>
      </c>
      <c r="D238" t="s">
        <v>193</v>
      </c>
      <c r="E238" t="s">
        <v>23</v>
      </c>
      <c r="F238" t="s">
        <v>24</v>
      </c>
      <c r="G238" t="s">
        <v>14</v>
      </c>
      <c r="H238">
        <v>1</v>
      </c>
      <c r="I238" s="2">
        <v>86.64</v>
      </c>
      <c r="J238" s="2">
        <v>86.64</v>
      </c>
      <c r="K238" s="2">
        <f t="shared" si="10"/>
        <v>86.64</v>
      </c>
      <c r="L238" s="2">
        <f t="shared" si="11"/>
        <v>0</v>
      </c>
      <c r="M238" t="s">
        <v>55</v>
      </c>
      <c r="N238" t="s">
        <v>21</v>
      </c>
    </row>
    <row r="239" spans="1:14" x14ac:dyDescent="0.3">
      <c r="A239">
        <v>2024001237</v>
      </c>
      <c r="B239" s="1">
        <v>45584</v>
      </c>
      <c r="C239" s="11">
        <f t="shared" si="9"/>
        <v>2024</v>
      </c>
      <c r="D239" t="s">
        <v>52</v>
      </c>
      <c r="E239" t="s">
        <v>67</v>
      </c>
      <c r="F239" t="s">
        <v>68</v>
      </c>
      <c r="G239" t="s">
        <v>36</v>
      </c>
      <c r="H239">
        <v>3</v>
      </c>
      <c r="I239" s="2">
        <v>425.51</v>
      </c>
      <c r="J239" s="2">
        <v>1276.53</v>
      </c>
      <c r="K239" s="2">
        <f t="shared" si="10"/>
        <v>1276.53</v>
      </c>
      <c r="L239" s="2">
        <f t="shared" si="11"/>
        <v>0</v>
      </c>
      <c r="M239" t="s">
        <v>20</v>
      </c>
      <c r="N239" t="s">
        <v>21</v>
      </c>
    </row>
    <row r="240" spans="1:14" x14ac:dyDescent="0.3">
      <c r="A240">
        <v>2024001238</v>
      </c>
      <c r="B240" s="1">
        <v>45375</v>
      </c>
      <c r="C240" s="11">
        <f t="shared" si="9"/>
        <v>2024</v>
      </c>
      <c r="D240" t="s">
        <v>194</v>
      </c>
      <c r="E240" t="s">
        <v>53</v>
      </c>
      <c r="F240" t="s">
        <v>54</v>
      </c>
      <c r="G240" t="s">
        <v>36</v>
      </c>
      <c r="H240">
        <v>1</v>
      </c>
      <c r="I240" s="2">
        <v>122.25</v>
      </c>
      <c r="J240" s="2">
        <v>122.25</v>
      </c>
      <c r="K240" s="2">
        <f t="shared" si="10"/>
        <v>122.25</v>
      </c>
      <c r="L240" s="2">
        <f t="shared" si="11"/>
        <v>0</v>
      </c>
      <c r="M240" t="s">
        <v>55</v>
      </c>
      <c r="N240" t="s">
        <v>21</v>
      </c>
    </row>
    <row r="241" spans="1:14" x14ac:dyDescent="0.3">
      <c r="A241">
        <v>2024001239</v>
      </c>
      <c r="B241" s="1">
        <v>45520</v>
      </c>
      <c r="C241" s="11">
        <f t="shared" si="9"/>
        <v>2024</v>
      </c>
      <c r="D241" t="s">
        <v>195</v>
      </c>
      <c r="E241" t="s">
        <v>43</v>
      </c>
      <c r="F241" t="s">
        <v>44</v>
      </c>
      <c r="G241" t="s">
        <v>36</v>
      </c>
      <c r="H241">
        <v>3</v>
      </c>
      <c r="I241" s="2">
        <v>1194.79</v>
      </c>
      <c r="J241" s="2">
        <v>3584.37</v>
      </c>
      <c r="K241" s="2">
        <f t="shared" si="10"/>
        <v>3584.37</v>
      </c>
      <c r="L241" s="2">
        <f t="shared" si="11"/>
        <v>0</v>
      </c>
      <c r="M241" t="s">
        <v>20</v>
      </c>
      <c r="N241" t="s">
        <v>32</v>
      </c>
    </row>
    <row r="242" spans="1:14" x14ac:dyDescent="0.3">
      <c r="A242">
        <v>2024001240</v>
      </c>
      <c r="B242" s="1">
        <v>45592</v>
      </c>
      <c r="C242" s="11">
        <f t="shared" si="9"/>
        <v>2024</v>
      </c>
      <c r="D242" t="s">
        <v>143</v>
      </c>
      <c r="E242" t="s">
        <v>46</v>
      </c>
      <c r="F242" t="s">
        <v>47</v>
      </c>
      <c r="G242" t="s">
        <v>36</v>
      </c>
      <c r="H242">
        <v>1</v>
      </c>
      <c r="I242" s="2">
        <v>90.35</v>
      </c>
      <c r="J242" s="2">
        <v>90.35</v>
      </c>
      <c r="K242" s="2">
        <f t="shared" si="10"/>
        <v>90.35</v>
      </c>
      <c r="L242" s="2">
        <f t="shared" si="11"/>
        <v>0</v>
      </c>
      <c r="M242" t="s">
        <v>31</v>
      </c>
      <c r="N242" t="s">
        <v>32</v>
      </c>
    </row>
    <row r="243" spans="1:14" x14ac:dyDescent="0.3">
      <c r="A243">
        <v>2024001241</v>
      </c>
      <c r="B243" s="1">
        <v>45641</v>
      </c>
      <c r="C243" s="11">
        <f t="shared" si="9"/>
        <v>2024</v>
      </c>
      <c r="D243" t="s">
        <v>124</v>
      </c>
      <c r="E243" t="s">
        <v>18</v>
      </c>
      <c r="F243" t="s">
        <v>19</v>
      </c>
      <c r="G243" t="s">
        <v>14</v>
      </c>
      <c r="H243">
        <v>1</v>
      </c>
      <c r="I243" s="2">
        <v>561.51</v>
      </c>
      <c r="J243" s="2">
        <v>561.51</v>
      </c>
      <c r="K243" s="2">
        <f t="shared" si="10"/>
        <v>561.51</v>
      </c>
      <c r="L243" s="2">
        <f t="shared" si="11"/>
        <v>0</v>
      </c>
      <c r="M243" t="s">
        <v>61</v>
      </c>
      <c r="N243" t="s">
        <v>26</v>
      </c>
    </row>
    <row r="244" spans="1:14" x14ac:dyDescent="0.3">
      <c r="A244">
        <v>2024001242</v>
      </c>
      <c r="B244" s="1">
        <v>45355</v>
      </c>
      <c r="C244" s="11">
        <f t="shared" si="9"/>
        <v>2024</v>
      </c>
      <c r="D244" t="s">
        <v>11</v>
      </c>
      <c r="E244" t="s">
        <v>67</v>
      </c>
      <c r="F244" t="s">
        <v>68</v>
      </c>
      <c r="G244" t="s">
        <v>36</v>
      </c>
      <c r="H244">
        <v>1</v>
      </c>
      <c r="I244" s="2">
        <v>393.57</v>
      </c>
      <c r="J244" s="2">
        <v>393.57</v>
      </c>
      <c r="K244" s="2">
        <f t="shared" si="10"/>
        <v>393.57</v>
      </c>
      <c r="L244" s="2">
        <f t="shared" si="11"/>
        <v>0</v>
      </c>
      <c r="M244" t="s">
        <v>61</v>
      </c>
      <c r="N244" t="s">
        <v>32</v>
      </c>
    </row>
    <row r="245" spans="1:14" x14ac:dyDescent="0.3">
      <c r="A245">
        <v>2024001243</v>
      </c>
      <c r="B245" s="1">
        <v>45335</v>
      </c>
      <c r="C245" s="11">
        <f t="shared" si="9"/>
        <v>2024</v>
      </c>
      <c r="D245" t="s">
        <v>196</v>
      </c>
      <c r="E245" t="s">
        <v>67</v>
      </c>
      <c r="F245" t="s">
        <v>68</v>
      </c>
      <c r="G245" t="s">
        <v>36</v>
      </c>
      <c r="H245">
        <v>1</v>
      </c>
      <c r="I245" s="2">
        <v>441.53</v>
      </c>
      <c r="J245" s="2">
        <v>441.53</v>
      </c>
      <c r="K245" s="2">
        <f t="shared" si="10"/>
        <v>441.53</v>
      </c>
      <c r="L245" s="2">
        <f t="shared" si="11"/>
        <v>0</v>
      </c>
      <c r="M245" t="s">
        <v>38</v>
      </c>
      <c r="N245" t="s">
        <v>16</v>
      </c>
    </row>
    <row r="246" spans="1:14" x14ac:dyDescent="0.3">
      <c r="A246">
        <v>2024001244</v>
      </c>
      <c r="B246" s="1">
        <v>45625</v>
      </c>
      <c r="C246" s="11">
        <f t="shared" si="9"/>
        <v>2024</v>
      </c>
      <c r="D246" t="s">
        <v>194</v>
      </c>
      <c r="E246" t="s">
        <v>28</v>
      </c>
      <c r="F246" t="s">
        <v>29</v>
      </c>
      <c r="G246" t="s">
        <v>30</v>
      </c>
      <c r="H246">
        <v>2</v>
      </c>
      <c r="I246" s="2">
        <v>24.84</v>
      </c>
      <c r="J246" s="2">
        <v>49.68</v>
      </c>
      <c r="K246" s="2">
        <f t="shared" si="10"/>
        <v>49.68</v>
      </c>
      <c r="L246" s="2">
        <f t="shared" si="11"/>
        <v>0</v>
      </c>
      <c r="M246" t="s">
        <v>25</v>
      </c>
      <c r="N246" t="s">
        <v>21</v>
      </c>
    </row>
    <row r="247" spans="1:14" x14ac:dyDescent="0.3">
      <c r="A247">
        <v>2024001245</v>
      </c>
      <c r="B247" s="1">
        <v>45616</v>
      </c>
      <c r="C247" s="11">
        <f t="shared" si="9"/>
        <v>2024</v>
      </c>
      <c r="D247" t="s">
        <v>184</v>
      </c>
      <c r="E247" t="s">
        <v>43</v>
      </c>
      <c r="F247" t="s">
        <v>44</v>
      </c>
      <c r="G247" t="s">
        <v>36</v>
      </c>
      <c r="H247">
        <v>2</v>
      </c>
      <c r="I247" s="2">
        <v>1137.9000000000001</v>
      </c>
      <c r="J247" s="2">
        <v>2275.8000000000002</v>
      </c>
      <c r="K247" s="2">
        <f t="shared" si="10"/>
        <v>2275.8000000000002</v>
      </c>
      <c r="L247" s="2">
        <f t="shared" si="11"/>
        <v>0</v>
      </c>
      <c r="M247" t="s">
        <v>31</v>
      </c>
      <c r="N247" t="s">
        <v>32</v>
      </c>
    </row>
    <row r="248" spans="1:14" x14ac:dyDescent="0.3">
      <c r="A248">
        <v>2024001246</v>
      </c>
      <c r="B248" s="1">
        <v>45472</v>
      </c>
      <c r="C248" s="11">
        <f t="shared" si="9"/>
        <v>2024</v>
      </c>
      <c r="D248" t="s">
        <v>103</v>
      </c>
      <c r="E248" t="s">
        <v>23</v>
      </c>
      <c r="F248" t="s">
        <v>24</v>
      </c>
      <c r="G248" t="s">
        <v>14</v>
      </c>
      <c r="H248">
        <v>2</v>
      </c>
      <c r="I248" s="2">
        <v>80.27</v>
      </c>
      <c r="J248" s="2">
        <v>160.54</v>
      </c>
      <c r="K248" s="2">
        <f t="shared" si="10"/>
        <v>160.54</v>
      </c>
      <c r="L248" s="2">
        <f t="shared" si="11"/>
        <v>0</v>
      </c>
      <c r="M248" t="s">
        <v>20</v>
      </c>
      <c r="N248" t="s">
        <v>21</v>
      </c>
    </row>
    <row r="249" spans="1:14" x14ac:dyDescent="0.3">
      <c r="A249">
        <v>2024001247</v>
      </c>
      <c r="B249" s="1">
        <v>45469</v>
      </c>
      <c r="C249" s="11">
        <f t="shared" si="9"/>
        <v>2024</v>
      </c>
      <c r="D249" t="s">
        <v>197</v>
      </c>
      <c r="E249" t="s">
        <v>12</v>
      </c>
      <c r="F249" t="s">
        <v>13</v>
      </c>
      <c r="G249" t="s">
        <v>14</v>
      </c>
      <c r="H249">
        <v>1</v>
      </c>
      <c r="I249" s="2">
        <v>357</v>
      </c>
      <c r="J249" s="2">
        <v>357</v>
      </c>
      <c r="K249" s="2">
        <f t="shared" si="10"/>
        <v>357</v>
      </c>
      <c r="L249" s="2">
        <f t="shared" si="11"/>
        <v>0</v>
      </c>
      <c r="M249" t="s">
        <v>38</v>
      </c>
      <c r="N249" t="s">
        <v>32</v>
      </c>
    </row>
    <row r="250" spans="1:14" x14ac:dyDescent="0.3">
      <c r="A250">
        <v>2024001248</v>
      </c>
      <c r="B250" s="1">
        <v>45525</v>
      </c>
      <c r="C250" s="11">
        <f t="shared" si="9"/>
        <v>2024</v>
      </c>
      <c r="D250" t="s">
        <v>11</v>
      </c>
      <c r="E250" t="s">
        <v>53</v>
      </c>
      <c r="F250" t="s">
        <v>54</v>
      </c>
      <c r="G250" t="s">
        <v>36</v>
      </c>
      <c r="H250">
        <v>1</v>
      </c>
      <c r="I250" s="2">
        <v>123.6</v>
      </c>
      <c r="J250" s="2">
        <v>123.6</v>
      </c>
      <c r="K250" s="2">
        <f t="shared" si="10"/>
        <v>123.6</v>
      </c>
      <c r="L250" s="2">
        <f t="shared" si="11"/>
        <v>0</v>
      </c>
      <c r="M250" t="s">
        <v>64</v>
      </c>
      <c r="N250" t="s">
        <v>26</v>
      </c>
    </row>
    <row r="251" spans="1:14" x14ac:dyDescent="0.3">
      <c r="A251">
        <v>2024001249</v>
      </c>
      <c r="B251" s="1">
        <v>45377</v>
      </c>
      <c r="C251" s="11">
        <f t="shared" si="9"/>
        <v>2024</v>
      </c>
      <c r="D251" t="s">
        <v>146</v>
      </c>
      <c r="E251" t="s">
        <v>40</v>
      </c>
      <c r="F251" t="s">
        <v>41</v>
      </c>
      <c r="G251" t="s">
        <v>36</v>
      </c>
      <c r="H251">
        <v>2</v>
      </c>
      <c r="I251" s="2">
        <v>43.18</v>
      </c>
      <c r="J251" s="2">
        <v>86.36</v>
      </c>
      <c r="K251" s="2">
        <f t="shared" si="10"/>
        <v>86.36</v>
      </c>
      <c r="L251" s="2">
        <f t="shared" si="11"/>
        <v>0</v>
      </c>
      <c r="M251" t="s">
        <v>15</v>
      </c>
      <c r="N251" t="s">
        <v>16</v>
      </c>
    </row>
    <row r="252" spans="1:14" x14ac:dyDescent="0.3">
      <c r="A252">
        <v>2024001250</v>
      </c>
      <c r="B252" s="1">
        <v>45405</v>
      </c>
      <c r="C252" s="11">
        <f t="shared" si="9"/>
        <v>2024</v>
      </c>
      <c r="D252" t="s">
        <v>169</v>
      </c>
      <c r="E252" t="s">
        <v>46</v>
      </c>
      <c r="F252" t="s">
        <v>47</v>
      </c>
      <c r="G252" t="s">
        <v>36</v>
      </c>
      <c r="H252">
        <v>3</v>
      </c>
      <c r="I252" s="2">
        <v>87.98</v>
      </c>
      <c r="J252" s="2">
        <v>263.94</v>
      </c>
      <c r="K252" s="2">
        <f t="shared" si="10"/>
        <v>263.94</v>
      </c>
      <c r="L252" s="2">
        <f t="shared" si="11"/>
        <v>0</v>
      </c>
      <c r="M252" t="s">
        <v>20</v>
      </c>
      <c r="N252" t="s">
        <v>26</v>
      </c>
    </row>
    <row r="253" spans="1:14" x14ac:dyDescent="0.3">
      <c r="A253">
        <v>2024001251</v>
      </c>
      <c r="B253" s="1">
        <v>45593</v>
      </c>
      <c r="C253" s="11">
        <f t="shared" si="9"/>
        <v>2024</v>
      </c>
      <c r="D253" t="s">
        <v>198</v>
      </c>
      <c r="E253" t="s">
        <v>43</v>
      </c>
      <c r="F253" t="s">
        <v>44</v>
      </c>
      <c r="G253" t="s">
        <v>36</v>
      </c>
      <c r="H253">
        <v>1</v>
      </c>
      <c r="I253" s="2">
        <v>1204.05</v>
      </c>
      <c r="J253" s="2">
        <v>1204.05</v>
      </c>
      <c r="K253" s="2">
        <f t="shared" si="10"/>
        <v>1204.05</v>
      </c>
      <c r="L253" s="2">
        <f t="shared" si="11"/>
        <v>0</v>
      </c>
      <c r="M253" t="s">
        <v>25</v>
      </c>
      <c r="N253" t="s">
        <v>32</v>
      </c>
    </row>
    <row r="254" spans="1:14" x14ac:dyDescent="0.3">
      <c r="A254">
        <v>2024001252</v>
      </c>
      <c r="B254" s="1">
        <v>45360</v>
      </c>
      <c r="C254" s="11">
        <f t="shared" si="9"/>
        <v>2024</v>
      </c>
      <c r="D254" t="s">
        <v>185</v>
      </c>
      <c r="E254" t="s">
        <v>40</v>
      </c>
      <c r="F254" t="s">
        <v>41</v>
      </c>
      <c r="G254" t="s">
        <v>36</v>
      </c>
      <c r="H254">
        <v>5</v>
      </c>
      <c r="I254" s="2">
        <v>47.26</v>
      </c>
      <c r="J254" s="2">
        <v>236.3</v>
      </c>
      <c r="K254" s="2">
        <f t="shared" si="10"/>
        <v>236.29999999999998</v>
      </c>
      <c r="L254" s="2">
        <f t="shared" si="11"/>
        <v>0</v>
      </c>
      <c r="M254" t="s">
        <v>48</v>
      </c>
      <c r="N254" t="s">
        <v>26</v>
      </c>
    </row>
    <row r="255" spans="1:14" x14ac:dyDescent="0.3">
      <c r="A255">
        <v>2024001253</v>
      </c>
      <c r="B255" s="1">
        <v>45368</v>
      </c>
      <c r="C255" s="11">
        <f t="shared" si="9"/>
        <v>2024</v>
      </c>
      <c r="D255" t="s">
        <v>140</v>
      </c>
      <c r="E255" t="s">
        <v>28</v>
      </c>
      <c r="F255" t="s">
        <v>29</v>
      </c>
      <c r="G255" t="s">
        <v>30</v>
      </c>
      <c r="H255">
        <v>1</v>
      </c>
      <c r="I255" s="2">
        <v>24.68</v>
      </c>
      <c r="J255" s="2">
        <v>24.68</v>
      </c>
      <c r="K255" s="2">
        <f t="shared" si="10"/>
        <v>24.68</v>
      </c>
      <c r="L255" s="2">
        <f t="shared" si="11"/>
        <v>0</v>
      </c>
      <c r="M255" t="s">
        <v>55</v>
      </c>
      <c r="N255" t="s">
        <v>26</v>
      </c>
    </row>
    <row r="256" spans="1:14" x14ac:dyDescent="0.3">
      <c r="A256">
        <v>2024001254</v>
      </c>
      <c r="B256" s="1">
        <v>45393</v>
      </c>
      <c r="C256" s="11">
        <f t="shared" si="9"/>
        <v>2024</v>
      </c>
      <c r="D256" t="s">
        <v>199</v>
      </c>
      <c r="E256" t="s">
        <v>67</v>
      </c>
      <c r="F256" t="s">
        <v>68</v>
      </c>
      <c r="G256" t="s">
        <v>36</v>
      </c>
      <c r="H256">
        <v>1</v>
      </c>
      <c r="I256" s="2">
        <v>415.8</v>
      </c>
      <c r="J256" s="2">
        <v>415.8</v>
      </c>
      <c r="K256" s="2">
        <f t="shared" si="10"/>
        <v>415.8</v>
      </c>
      <c r="L256" s="2">
        <f t="shared" si="11"/>
        <v>0</v>
      </c>
      <c r="M256" t="s">
        <v>61</v>
      </c>
      <c r="N256" t="s">
        <v>32</v>
      </c>
    </row>
    <row r="257" spans="1:14" x14ac:dyDescent="0.3">
      <c r="A257">
        <v>2024001255</v>
      </c>
      <c r="B257" s="1">
        <v>45601</v>
      </c>
      <c r="C257" s="11">
        <f t="shared" si="9"/>
        <v>2024</v>
      </c>
      <c r="D257" t="s">
        <v>137</v>
      </c>
      <c r="E257" t="s">
        <v>18</v>
      </c>
      <c r="F257" t="s">
        <v>19</v>
      </c>
      <c r="G257" t="s">
        <v>14</v>
      </c>
      <c r="H257">
        <v>1</v>
      </c>
      <c r="I257" s="2">
        <v>588.26</v>
      </c>
      <c r="J257" s="2">
        <v>588.26</v>
      </c>
      <c r="K257" s="2">
        <f t="shared" si="10"/>
        <v>588.26</v>
      </c>
      <c r="L257" s="2">
        <f t="shared" si="11"/>
        <v>0</v>
      </c>
      <c r="M257" t="s">
        <v>31</v>
      </c>
      <c r="N257" t="s">
        <v>21</v>
      </c>
    </row>
    <row r="258" spans="1:14" x14ac:dyDescent="0.3">
      <c r="A258">
        <v>2024001256</v>
      </c>
      <c r="B258" s="1">
        <v>45434</v>
      </c>
      <c r="C258" s="11">
        <f t="shared" si="9"/>
        <v>2024</v>
      </c>
      <c r="D258" t="s">
        <v>190</v>
      </c>
      <c r="E258" t="s">
        <v>28</v>
      </c>
      <c r="F258" t="s">
        <v>29</v>
      </c>
      <c r="G258" t="s">
        <v>30</v>
      </c>
      <c r="H258">
        <v>2</v>
      </c>
      <c r="I258" s="2">
        <v>22.31</v>
      </c>
      <c r="J258" s="2">
        <v>44.62</v>
      </c>
      <c r="K258" s="2">
        <f t="shared" si="10"/>
        <v>44.62</v>
      </c>
      <c r="L258" s="2">
        <f t="shared" si="11"/>
        <v>0</v>
      </c>
      <c r="M258" t="s">
        <v>64</v>
      </c>
      <c r="N258" t="s">
        <v>16</v>
      </c>
    </row>
    <row r="259" spans="1:14" x14ac:dyDescent="0.3">
      <c r="A259">
        <v>2024001257</v>
      </c>
      <c r="B259" s="1">
        <v>45558</v>
      </c>
      <c r="C259" s="11">
        <f t="shared" ref="C259:C322" si="12">YEAR(B259)</f>
        <v>2024</v>
      </c>
      <c r="D259" t="s">
        <v>200</v>
      </c>
      <c r="E259" t="s">
        <v>46</v>
      </c>
      <c r="F259" t="s">
        <v>47</v>
      </c>
      <c r="G259" t="s">
        <v>36</v>
      </c>
      <c r="H259">
        <v>3</v>
      </c>
      <c r="I259" s="2">
        <v>97.96</v>
      </c>
      <c r="J259" s="2">
        <v>293.88</v>
      </c>
      <c r="K259" s="2">
        <f t="shared" ref="K259:K322" si="13">I259*H259</f>
        <v>293.88</v>
      </c>
      <c r="L259" s="2">
        <f t="shared" ref="L259:L322" si="14">J259-K259</f>
        <v>0</v>
      </c>
      <c r="M259" t="s">
        <v>48</v>
      </c>
      <c r="N259" t="s">
        <v>21</v>
      </c>
    </row>
    <row r="260" spans="1:14" x14ac:dyDescent="0.3">
      <c r="A260">
        <v>2024001140</v>
      </c>
      <c r="B260" s="1">
        <v>45376</v>
      </c>
      <c r="C260" s="11">
        <f t="shared" si="12"/>
        <v>2024</v>
      </c>
      <c r="D260" t="s">
        <v>193</v>
      </c>
      <c r="E260" t="s">
        <v>23</v>
      </c>
      <c r="F260" t="s">
        <v>24</v>
      </c>
      <c r="G260" t="s">
        <v>14</v>
      </c>
      <c r="H260">
        <v>2</v>
      </c>
      <c r="I260" s="2">
        <v>78.180000000000007</v>
      </c>
      <c r="J260" s="2">
        <v>156.36000000000001</v>
      </c>
      <c r="K260" s="2">
        <f t="shared" si="13"/>
        <v>156.36000000000001</v>
      </c>
      <c r="L260" s="2">
        <f t="shared" si="14"/>
        <v>0</v>
      </c>
      <c r="M260" t="s">
        <v>31</v>
      </c>
      <c r="N260" t="s">
        <v>26</v>
      </c>
    </row>
    <row r="261" spans="1:14" x14ac:dyDescent="0.3">
      <c r="A261">
        <v>2024001259</v>
      </c>
      <c r="B261" s="1">
        <v>45303</v>
      </c>
      <c r="C261" s="11">
        <f t="shared" si="12"/>
        <v>2024</v>
      </c>
      <c r="D261" t="s">
        <v>142</v>
      </c>
      <c r="E261" t="s">
        <v>40</v>
      </c>
      <c r="F261" t="s">
        <v>41</v>
      </c>
      <c r="G261" t="s">
        <v>36</v>
      </c>
      <c r="H261">
        <v>2</v>
      </c>
      <c r="I261" s="2">
        <v>44.96</v>
      </c>
      <c r="J261" s="2">
        <v>89.92</v>
      </c>
      <c r="K261" s="2">
        <f t="shared" si="13"/>
        <v>89.92</v>
      </c>
      <c r="L261" s="2">
        <f t="shared" si="14"/>
        <v>0</v>
      </c>
      <c r="M261" t="s">
        <v>38</v>
      </c>
      <c r="N261" t="s">
        <v>21</v>
      </c>
    </row>
    <row r="262" spans="1:14" x14ac:dyDescent="0.3">
      <c r="A262">
        <v>2024001260</v>
      </c>
      <c r="B262" s="1">
        <v>45334</v>
      </c>
      <c r="C262" s="11">
        <f t="shared" si="12"/>
        <v>2024</v>
      </c>
      <c r="D262" t="s">
        <v>37</v>
      </c>
      <c r="E262" t="s">
        <v>53</v>
      </c>
      <c r="F262" t="s">
        <v>54</v>
      </c>
      <c r="G262" t="s">
        <v>36</v>
      </c>
      <c r="H262">
        <v>1</v>
      </c>
      <c r="I262" s="2">
        <v>120.78</v>
      </c>
      <c r="J262" s="2">
        <v>120.78</v>
      </c>
      <c r="K262" s="2">
        <f t="shared" si="13"/>
        <v>120.78</v>
      </c>
      <c r="L262" s="2">
        <f t="shared" si="14"/>
        <v>0</v>
      </c>
      <c r="M262" t="s">
        <v>57</v>
      </c>
      <c r="N262" t="s">
        <v>21</v>
      </c>
    </row>
    <row r="263" spans="1:14" x14ac:dyDescent="0.3">
      <c r="A263">
        <v>2024001261</v>
      </c>
      <c r="B263" s="1">
        <v>45615</v>
      </c>
      <c r="C263" s="11">
        <f t="shared" si="12"/>
        <v>2024</v>
      </c>
      <c r="D263" t="s">
        <v>201</v>
      </c>
      <c r="E263" t="s">
        <v>67</v>
      </c>
      <c r="F263" t="s">
        <v>68</v>
      </c>
      <c r="G263" t="s">
        <v>36</v>
      </c>
      <c r="H263">
        <v>1</v>
      </c>
      <c r="I263" s="2">
        <v>407.6</v>
      </c>
      <c r="J263" s="2">
        <v>407.6</v>
      </c>
      <c r="K263" s="2">
        <f t="shared" si="13"/>
        <v>407.6</v>
      </c>
      <c r="L263" s="2">
        <f t="shared" si="14"/>
        <v>0</v>
      </c>
      <c r="M263" t="s">
        <v>38</v>
      </c>
      <c r="N263" t="s">
        <v>32</v>
      </c>
    </row>
    <row r="264" spans="1:14" x14ac:dyDescent="0.3">
      <c r="A264">
        <v>2024001262</v>
      </c>
      <c r="B264" s="1">
        <v>45343</v>
      </c>
      <c r="C264" s="11">
        <f t="shared" si="12"/>
        <v>2024</v>
      </c>
      <c r="D264" t="s">
        <v>154</v>
      </c>
      <c r="E264" t="s">
        <v>34</v>
      </c>
      <c r="F264" t="s">
        <v>35</v>
      </c>
      <c r="G264" t="s">
        <v>36</v>
      </c>
      <c r="H264">
        <v>2</v>
      </c>
      <c r="I264" s="2">
        <v>15.19</v>
      </c>
      <c r="J264" s="2">
        <v>30.38</v>
      </c>
      <c r="K264" s="2">
        <f t="shared" si="13"/>
        <v>30.38</v>
      </c>
      <c r="L264" s="2">
        <f t="shared" si="14"/>
        <v>0</v>
      </c>
      <c r="M264" t="s">
        <v>55</v>
      </c>
      <c r="N264" t="s">
        <v>26</v>
      </c>
    </row>
    <row r="265" spans="1:14" x14ac:dyDescent="0.3">
      <c r="A265">
        <v>2024001263</v>
      </c>
      <c r="B265" s="1">
        <v>45368</v>
      </c>
      <c r="C265" s="11">
        <f t="shared" si="12"/>
        <v>2024</v>
      </c>
      <c r="D265" t="s">
        <v>199</v>
      </c>
      <c r="E265" t="s">
        <v>46</v>
      </c>
      <c r="F265" t="s">
        <v>47</v>
      </c>
      <c r="G265" t="s">
        <v>36</v>
      </c>
      <c r="H265">
        <v>1</v>
      </c>
      <c r="I265" s="2">
        <v>87.84</v>
      </c>
      <c r="J265" s="2">
        <v>87.84</v>
      </c>
      <c r="K265" s="2">
        <f t="shared" si="13"/>
        <v>87.84</v>
      </c>
      <c r="L265" s="2">
        <f t="shared" si="14"/>
        <v>0</v>
      </c>
      <c r="M265" t="s">
        <v>15</v>
      </c>
      <c r="N265" t="s">
        <v>21</v>
      </c>
    </row>
    <row r="266" spans="1:14" x14ac:dyDescent="0.3">
      <c r="A266">
        <v>2024001264</v>
      </c>
      <c r="B266" s="1">
        <v>45399</v>
      </c>
      <c r="C266" s="11">
        <f t="shared" si="12"/>
        <v>2024</v>
      </c>
      <c r="D266" t="s">
        <v>202</v>
      </c>
      <c r="E266" t="s">
        <v>53</v>
      </c>
      <c r="F266" t="s">
        <v>54</v>
      </c>
      <c r="G266" t="s">
        <v>36</v>
      </c>
      <c r="H266">
        <v>2</v>
      </c>
      <c r="I266" s="2">
        <v>116.39</v>
      </c>
      <c r="J266" s="2">
        <v>232.78</v>
      </c>
      <c r="K266" s="2">
        <f t="shared" si="13"/>
        <v>232.78</v>
      </c>
      <c r="L266" s="2">
        <f t="shared" si="14"/>
        <v>0</v>
      </c>
      <c r="M266" t="s">
        <v>31</v>
      </c>
      <c r="N266" t="s">
        <v>26</v>
      </c>
    </row>
    <row r="267" spans="1:14" x14ac:dyDescent="0.3">
      <c r="A267">
        <v>2024001265</v>
      </c>
      <c r="B267" s="1">
        <v>45589</v>
      </c>
      <c r="C267" s="11">
        <f t="shared" si="12"/>
        <v>2024</v>
      </c>
      <c r="D267" t="s">
        <v>81</v>
      </c>
      <c r="E267" t="s">
        <v>12</v>
      </c>
      <c r="F267" t="s">
        <v>13</v>
      </c>
      <c r="G267" t="s">
        <v>14</v>
      </c>
      <c r="H267">
        <v>1</v>
      </c>
      <c r="I267" s="2">
        <v>355.6</v>
      </c>
      <c r="J267" s="2">
        <v>355.6</v>
      </c>
      <c r="K267" s="2">
        <f t="shared" si="13"/>
        <v>355.6</v>
      </c>
      <c r="L267" s="2">
        <f t="shared" si="14"/>
        <v>0</v>
      </c>
      <c r="M267" t="s">
        <v>15</v>
      </c>
      <c r="N267" t="s">
        <v>16</v>
      </c>
    </row>
    <row r="268" spans="1:14" x14ac:dyDescent="0.3">
      <c r="A268">
        <v>2024001266</v>
      </c>
      <c r="B268" s="1">
        <v>45463</v>
      </c>
      <c r="C268" s="11">
        <f t="shared" si="12"/>
        <v>2024</v>
      </c>
      <c r="D268" t="s">
        <v>203</v>
      </c>
      <c r="E268" t="s">
        <v>46</v>
      </c>
      <c r="F268" t="s">
        <v>47</v>
      </c>
      <c r="G268" t="s">
        <v>36</v>
      </c>
      <c r="H268">
        <v>1</v>
      </c>
      <c r="I268" s="2">
        <v>101.46</v>
      </c>
      <c r="J268" s="2">
        <v>101.46</v>
      </c>
      <c r="K268" s="2">
        <f t="shared" si="13"/>
        <v>101.46</v>
      </c>
      <c r="L268" s="2">
        <f t="shared" si="14"/>
        <v>0</v>
      </c>
      <c r="M268" t="s">
        <v>31</v>
      </c>
      <c r="N268" t="s">
        <v>26</v>
      </c>
    </row>
    <row r="269" spans="1:14" x14ac:dyDescent="0.3">
      <c r="A269">
        <v>2024001267</v>
      </c>
      <c r="B269" s="1">
        <v>45562</v>
      </c>
      <c r="C269" s="11">
        <f t="shared" si="12"/>
        <v>2024</v>
      </c>
      <c r="D269" t="s">
        <v>89</v>
      </c>
      <c r="E269" t="s">
        <v>23</v>
      </c>
      <c r="F269" t="s">
        <v>24</v>
      </c>
      <c r="G269" t="s">
        <v>14</v>
      </c>
      <c r="H269">
        <v>1</v>
      </c>
      <c r="I269" s="2">
        <v>81.650000000000006</v>
      </c>
      <c r="J269" s="2">
        <v>81.650000000000006</v>
      </c>
      <c r="K269" s="2">
        <f t="shared" si="13"/>
        <v>81.650000000000006</v>
      </c>
      <c r="L269" s="2">
        <f t="shared" si="14"/>
        <v>0</v>
      </c>
      <c r="M269" t="s">
        <v>31</v>
      </c>
      <c r="N269" t="s">
        <v>32</v>
      </c>
    </row>
    <row r="270" spans="1:14" x14ac:dyDescent="0.3">
      <c r="A270">
        <v>2024001268</v>
      </c>
      <c r="B270" s="1">
        <v>45443</v>
      </c>
      <c r="C270" s="11">
        <f t="shared" si="12"/>
        <v>2024</v>
      </c>
      <c r="D270" t="s">
        <v>204</v>
      </c>
      <c r="E270" t="s">
        <v>43</v>
      </c>
      <c r="F270" t="s">
        <v>44</v>
      </c>
      <c r="G270" t="s">
        <v>36</v>
      </c>
      <c r="H270">
        <v>1</v>
      </c>
      <c r="I270" s="2">
        <v>1156.9000000000001</v>
      </c>
      <c r="J270" s="2">
        <v>1156.9000000000001</v>
      </c>
      <c r="K270" s="2">
        <f t="shared" si="13"/>
        <v>1156.9000000000001</v>
      </c>
      <c r="L270" s="2">
        <f t="shared" si="14"/>
        <v>0</v>
      </c>
      <c r="M270" t="s">
        <v>57</v>
      </c>
      <c r="N270" t="s">
        <v>32</v>
      </c>
    </row>
    <row r="271" spans="1:14" x14ac:dyDescent="0.3">
      <c r="A271">
        <v>2024001269</v>
      </c>
      <c r="B271" s="1">
        <v>45351</v>
      </c>
      <c r="C271" s="11">
        <f t="shared" si="12"/>
        <v>2024</v>
      </c>
      <c r="D271" t="s">
        <v>205</v>
      </c>
      <c r="E271" t="s">
        <v>46</v>
      </c>
      <c r="F271" t="s">
        <v>47</v>
      </c>
      <c r="G271" t="s">
        <v>36</v>
      </c>
      <c r="H271">
        <v>3</v>
      </c>
      <c r="I271" s="2">
        <v>94.03</v>
      </c>
      <c r="J271" s="2">
        <v>282.08999999999997</v>
      </c>
      <c r="K271" s="2">
        <f t="shared" si="13"/>
        <v>282.09000000000003</v>
      </c>
      <c r="L271" s="2">
        <f t="shared" si="14"/>
        <v>0</v>
      </c>
      <c r="M271" t="s">
        <v>57</v>
      </c>
      <c r="N271" t="s">
        <v>32</v>
      </c>
    </row>
    <row r="272" spans="1:14" x14ac:dyDescent="0.3">
      <c r="A272">
        <v>2024001270</v>
      </c>
      <c r="B272" s="1">
        <v>45533</v>
      </c>
      <c r="C272" s="11">
        <f t="shared" si="12"/>
        <v>2024</v>
      </c>
      <c r="D272" t="s">
        <v>97</v>
      </c>
      <c r="E272" t="s">
        <v>43</v>
      </c>
      <c r="F272" t="s">
        <v>44</v>
      </c>
      <c r="G272" t="s">
        <v>36</v>
      </c>
      <c r="H272">
        <v>2</v>
      </c>
      <c r="I272" s="2">
        <v>1178.75</v>
      </c>
      <c r="J272" s="2">
        <v>2357.5</v>
      </c>
      <c r="K272" s="2">
        <f t="shared" si="13"/>
        <v>2357.5</v>
      </c>
      <c r="L272" s="2">
        <f t="shared" si="14"/>
        <v>0</v>
      </c>
      <c r="M272" t="s">
        <v>61</v>
      </c>
      <c r="N272" t="s">
        <v>16</v>
      </c>
    </row>
    <row r="273" spans="1:14" x14ac:dyDescent="0.3">
      <c r="A273">
        <v>2024001271</v>
      </c>
      <c r="B273" s="1">
        <v>45584</v>
      </c>
      <c r="C273" s="11">
        <f t="shared" si="12"/>
        <v>2024</v>
      </c>
      <c r="D273" t="s">
        <v>206</v>
      </c>
      <c r="E273" t="s">
        <v>34</v>
      </c>
      <c r="F273" t="s">
        <v>35</v>
      </c>
      <c r="G273" t="s">
        <v>36</v>
      </c>
      <c r="H273">
        <v>2</v>
      </c>
      <c r="I273" s="2">
        <v>15.34</v>
      </c>
      <c r="J273" s="2">
        <v>30.68</v>
      </c>
      <c r="K273" s="2">
        <f t="shared" si="13"/>
        <v>30.68</v>
      </c>
      <c r="L273" s="2">
        <f t="shared" si="14"/>
        <v>0</v>
      </c>
      <c r="M273" t="s">
        <v>31</v>
      </c>
      <c r="N273" t="s">
        <v>26</v>
      </c>
    </row>
    <row r="274" spans="1:14" x14ac:dyDescent="0.3">
      <c r="A274">
        <v>2024001272</v>
      </c>
      <c r="B274" s="1">
        <v>45369</v>
      </c>
      <c r="C274" s="11">
        <f t="shared" si="12"/>
        <v>2024</v>
      </c>
      <c r="D274" t="s">
        <v>207</v>
      </c>
      <c r="E274" t="s">
        <v>28</v>
      </c>
      <c r="F274" t="s">
        <v>29</v>
      </c>
      <c r="G274" t="s">
        <v>30</v>
      </c>
      <c r="H274">
        <v>1</v>
      </c>
      <c r="I274" s="2">
        <v>24</v>
      </c>
      <c r="J274" s="2">
        <v>24</v>
      </c>
      <c r="K274" s="2">
        <f t="shared" si="13"/>
        <v>24</v>
      </c>
      <c r="L274" s="2">
        <f t="shared" si="14"/>
        <v>0</v>
      </c>
      <c r="M274" t="s">
        <v>64</v>
      </c>
      <c r="N274" t="s">
        <v>26</v>
      </c>
    </row>
    <row r="275" spans="1:14" x14ac:dyDescent="0.3">
      <c r="A275">
        <v>2024001273</v>
      </c>
      <c r="B275" s="1">
        <v>45458</v>
      </c>
      <c r="C275" s="11">
        <f t="shared" si="12"/>
        <v>2024</v>
      </c>
      <c r="D275" t="s">
        <v>208</v>
      </c>
      <c r="E275" t="s">
        <v>53</v>
      </c>
      <c r="F275" t="s">
        <v>54</v>
      </c>
      <c r="G275" t="s">
        <v>36</v>
      </c>
      <c r="H275">
        <v>1</v>
      </c>
      <c r="I275" s="2">
        <v>129.83000000000001</v>
      </c>
      <c r="J275" s="2">
        <v>129.83000000000001</v>
      </c>
      <c r="K275" s="2">
        <f t="shared" si="13"/>
        <v>129.83000000000001</v>
      </c>
      <c r="L275" s="2">
        <f t="shared" si="14"/>
        <v>0</v>
      </c>
      <c r="M275" t="s">
        <v>57</v>
      </c>
      <c r="N275" t="s">
        <v>32</v>
      </c>
    </row>
    <row r="276" spans="1:14" x14ac:dyDescent="0.3">
      <c r="A276">
        <v>2024001274</v>
      </c>
      <c r="B276" s="1">
        <v>45509</v>
      </c>
      <c r="C276" s="11">
        <f t="shared" si="12"/>
        <v>2024</v>
      </c>
      <c r="D276" t="s">
        <v>11</v>
      </c>
      <c r="E276" t="s">
        <v>67</v>
      </c>
      <c r="F276" t="s">
        <v>68</v>
      </c>
      <c r="G276" t="s">
        <v>36</v>
      </c>
      <c r="H276">
        <v>2</v>
      </c>
      <c r="I276" s="2">
        <v>392.42</v>
      </c>
      <c r="J276" s="2">
        <v>784.84</v>
      </c>
      <c r="K276" s="2">
        <f t="shared" si="13"/>
        <v>784.84</v>
      </c>
      <c r="L276" s="2">
        <f t="shared" si="14"/>
        <v>0</v>
      </c>
      <c r="M276" t="s">
        <v>20</v>
      </c>
      <c r="N276" t="s">
        <v>26</v>
      </c>
    </row>
    <row r="277" spans="1:14" x14ac:dyDescent="0.3">
      <c r="A277">
        <v>2024001275</v>
      </c>
      <c r="B277" s="1">
        <v>45644</v>
      </c>
      <c r="C277" s="11">
        <f t="shared" si="12"/>
        <v>2024</v>
      </c>
      <c r="D277" t="s">
        <v>11</v>
      </c>
      <c r="E277" t="s">
        <v>12</v>
      </c>
      <c r="F277" t="s">
        <v>13</v>
      </c>
      <c r="G277" t="s">
        <v>14</v>
      </c>
      <c r="H277">
        <v>1</v>
      </c>
      <c r="I277" s="2">
        <v>346.44</v>
      </c>
      <c r="J277" s="2">
        <v>346.44</v>
      </c>
      <c r="K277" s="2">
        <f t="shared" si="13"/>
        <v>346.44</v>
      </c>
      <c r="L277" s="2">
        <f t="shared" si="14"/>
        <v>0</v>
      </c>
      <c r="M277" t="s">
        <v>20</v>
      </c>
      <c r="N277" t="s">
        <v>26</v>
      </c>
    </row>
    <row r="278" spans="1:14" x14ac:dyDescent="0.3">
      <c r="A278">
        <v>2024001276</v>
      </c>
      <c r="B278" s="1">
        <v>45361</v>
      </c>
      <c r="C278" s="11">
        <f t="shared" si="12"/>
        <v>2024</v>
      </c>
      <c r="D278" t="s">
        <v>176</v>
      </c>
      <c r="E278" t="s">
        <v>43</v>
      </c>
      <c r="F278" t="s">
        <v>44</v>
      </c>
      <c r="G278" t="s">
        <v>36</v>
      </c>
      <c r="H278">
        <v>3</v>
      </c>
      <c r="I278" s="2">
        <v>1168.75</v>
      </c>
      <c r="J278" s="2">
        <v>3506.25</v>
      </c>
      <c r="K278" s="2">
        <f t="shared" si="13"/>
        <v>3506.25</v>
      </c>
      <c r="L278" s="2">
        <f t="shared" si="14"/>
        <v>0</v>
      </c>
      <c r="M278" t="s">
        <v>25</v>
      </c>
      <c r="N278" t="s">
        <v>32</v>
      </c>
    </row>
    <row r="279" spans="1:14" x14ac:dyDescent="0.3">
      <c r="A279">
        <v>2024001277</v>
      </c>
      <c r="B279" s="1">
        <v>45521</v>
      </c>
      <c r="C279" s="11">
        <f t="shared" si="12"/>
        <v>2024</v>
      </c>
      <c r="D279" t="s">
        <v>11</v>
      </c>
      <c r="E279" t="s">
        <v>23</v>
      </c>
      <c r="F279" t="s">
        <v>24</v>
      </c>
      <c r="G279" t="s">
        <v>14</v>
      </c>
      <c r="H279">
        <v>2</v>
      </c>
      <c r="I279" s="2">
        <v>80.819999999999993</v>
      </c>
      <c r="J279" s="2">
        <v>161.63999999999999</v>
      </c>
      <c r="K279" s="2">
        <f t="shared" si="13"/>
        <v>161.63999999999999</v>
      </c>
      <c r="L279" s="2">
        <f t="shared" si="14"/>
        <v>0</v>
      </c>
      <c r="M279" t="s">
        <v>64</v>
      </c>
      <c r="N279" t="s">
        <v>32</v>
      </c>
    </row>
    <row r="280" spans="1:14" x14ac:dyDescent="0.3">
      <c r="A280">
        <v>2024001278</v>
      </c>
      <c r="B280" s="1">
        <v>45349</v>
      </c>
      <c r="C280" s="11">
        <f t="shared" si="12"/>
        <v>2024</v>
      </c>
      <c r="D280" t="s">
        <v>115</v>
      </c>
      <c r="E280" t="s">
        <v>67</v>
      </c>
      <c r="F280" t="s">
        <v>68</v>
      </c>
      <c r="G280" t="s">
        <v>36</v>
      </c>
      <c r="H280">
        <v>2</v>
      </c>
      <c r="I280" s="2">
        <v>433.45</v>
      </c>
      <c r="J280" s="2">
        <v>866.9</v>
      </c>
      <c r="K280" s="2">
        <f t="shared" si="13"/>
        <v>866.9</v>
      </c>
      <c r="L280" s="2">
        <f t="shared" si="14"/>
        <v>0</v>
      </c>
      <c r="M280" t="s">
        <v>38</v>
      </c>
      <c r="N280" t="s">
        <v>32</v>
      </c>
    </row>
    <row r="281" spans="1:14" x14ac:dyDescent="0.3">
      <c r="A281">
        <v>2024001279</v>
      </c>
      <c r="B281" s="1">
        <v>45441</v>
      </c>
      <c r="C281" s="11">
        <f t="shared" si="12"/>
        <v>2024</v>
      </c>
      <c r="D281" t="s">
        <v>11</v>
      </c>
      <c r="E281" t="s">
        <v>46</v>
      </c>
      <c r="F281" t="s">
        <v>47</v>
      </c>
      <c r="G281" t="s">
        <v>36</v>
      </c>
      <c r="H281">
        <v>4</v>
      </c>
      <c r="I281" s="2">
        <v>91.89</v>
      </c>
      <c r="J281" s="2">
        <v>367.56</v>
      </c>
      <c r="K281" s="2">
        <f t="shared" si="13"/>
        <v>367.56</v>
      </c>
      <c r="L281" s="2">
        <f t="shared" si="14"/>
        <v>0</v>
      </c>
      <c r="M281" t="s">
        <v>48</v>
      </c>
      <c r="N281" t="s">
        <v>21</v>
      </c>
    </row>
    <row r="282" spans="1:14" x14ac:dyDescent="0.3">
      <c r="A282">
        <v>2024001280</v>
      </c>
      <c r="B282" s="1">
        <v>45499</v>
      </c>
      <c r="C282" s="11">
        <f t="shared" si="12"/>
        <v>2024</v>
      </c>
      <c r="D282" t="s">
        <v>209</v>
      </c>
      <c r="E282" t="s">
        <v>28</v>
      </c>
      <c r="F282" t="s">
        <v>29</v>
      </c>
      <c r="G282" t="s">
        <v>30</v>
      </c>
      <c r="H282">
        <v>3</v>
      </c>
      <c r="I282" s="2">
        <v>24.97</v>
      </c>
      <c r="J282" s="2">
        <v>74.91</v>
      </c>
      <c r="K282" s="2">
        <f t="shared" si="13"/>
        <v>74.91</v>
      </c>
      <c r="L282" s="2">
        <f t="shared" si="14"/>
        <v>0</v>
      </c>
      <c r="M282" t="s">
        <v>15</v>
      </c>
      <c r="N282" t="s">
        <v>32</v>
      </c>
    </row>
    <row r="283" spans="1:14" x14ac:dyDescent="0.3">
      <c r="A283">
        <v>2024001281</v>
      </c>
      <c r="B283" s="1">
        <v>45406</v>
      </c>
      <c r="C283" s="11">
        <f t="shared" si="12"/>
        <v>2024</v>
      </c>
      <c r="D283" t="s">
        <v>79</v>
      </c>
      <c r="E283" t="s">
        <v>67</v>
      </c>
      <c r="F283" t="s">
        <v>68</v>
      </c>
      <c r="G283" t="s">
        <v>36</v>
      </c>
      <c r="H283">
        <v>5</v>
      </c>
      <c r="I283" s="2">
        <v>407.67</v>
      </c>
      <c r="J283" s="2">
        <v>2038.35</v>
      </c>
      <c r="K283" s="2">
        <f t="shared" si="13"/>
        <v>2038.3500000000001</v>
      </c>
      <c r="L283" s="2">
        <f t="shared" si="14"/>
        <v>0</v>
      </c>
      <c r="M283" t="s">
        <v>20</v>
      </c>
      <c r="N283" t="s">
        <v>32</v>
      </c>
    </row>
    <row r="284" spans="1:14" x14ac:dyDescent="0.3">
      <c r="A284">
        <v>2024001282</v>
      </c>
      <c r="B284" s="1">
        <v>45655</v>
      </c>
      <c r="C284" s="11">
        <f t="shared" si="12"/>
        <v>2024</v>
      </c>
      <c r="D284" t="s">
        <v>62</v>
      </c>
      <c r="E284" t="s">
        <v>18</v>
      </c>
      <c r="F284" t="s">
        <v>19</v>
      </c>
      <c r="G284" t="s">
        <v>14</v>
      </c>
      <c r="H284">
        <v>1</v>
      </c>
      <c r="I284" s="2">
        <v>624.4</v>
      </c>
      <c r="J284" s="2">
        <v>624.4</v>
      </c>
      <c r="K284" s="2">
        <f t="shared" si="13"/>
        <v>624.4</v>
      </c>
      <c r="L284" s="2">
        <f t="shared" si="14"/>
        <v>0</v>
      </c>
      <c r="M284" t="s">
        <v>61</v>
      </c>
      <c r="N284" t="s">
        <v>26</v>
      </c>
    </row>
    <row r="285" spans="1:14" x14ac:dyDescent="0.3">
      <c r="A285">
        <v>2024001283</v>
      </c>
      <c r="B285" s="1">
        <v>45563</v>
      </c>
      <c r="C285" s="11">
        <f t="shared" si="12"/>
        <v>2024</v>
      </c>
      <c r="D285" t="s">
        <v>139</v>
      </c>
      <c r="E285" t="s">
        <v>12</v>
      </c>
      <c r="F285" t="s">
        <v>13</v>
      </c>
      <c r="G285" t="s">
        <v>14</v>
      </c>
      <c r="H285">
        <v>2</v>
      </c>
      <c r="I285" s="2">
        <v>337.99</v>
      </c>
      <c r="J285" s="2">
        <v>675.98</v>
      </c>
      <c r="K285" s="2">
        <f t="shared" si="13"/>
        <v>675.98</v>
      </c>
      <c r="L285" s="2">
        <f t="shared" si="14"/>
        <v>0</v>
      </c>
      <c r="M285" t="s">
        <v>38</v>
      </c>
      <c r="N285" t="s">
        <v>26</v>
      </c>
    </row>
    <row r="286" spans="1:14" x14ac:dyDescent="0.3">
      <c r="A286">
        <v>2024001284</v>
      </c>
      <c r="B286" s="1">
        <v>45442</v>
      </c>
      <c r="C286" s="11">
        <f t="shared" si="12"/>
        <v>2024</v>
      </c>
      <c r="D286" t="s">
        <v>11</v>
      </c>
      <c r="E286" t="s">
        <v>40</v>
      </c>
      <c r="F286" t="s">
        <v>41</v>
      </c>
      <c r="G286" t="s">
        <v>36</v>
      </c>
      <c r="H286">
        <v>1</v>
      </c>
      <c r="I286" s="2">
        <v>41.54</v>
      </c>
      <c r="J286" s="2">
        <v>41.54</v>
      </c>
      <c r="K286" s="2">
        <f t="shared" si="13"/>
        <v>41.54</v>
      </c>
      <c r="L286" s="2">
        <f t="shared" si="14"/>
        <v>0</v>
      </c>
      <c r="M286" t="s">
        <v>48</v>
      </c>
      <c r="N286" t="s">
        <v>26</v>
      </c>
    </row>
    <row r="287" spans="1:14" x14ac:dyDescent="0.3">
      <c r="A287">
        <v>2024001285</v>
      </c>
      <c r="B287" s="1">
        <v>45622</v>
      </c>
      <c r="C287" s="11">
        <f t="shared" si="12"/>
        <v>2024</v>
      </c>
      <c r="D287" t="s">
        <v>210</v>
      </c>
      <c r="E287" t="s">
        <v>53</v>
      </c>
      <c r="F287" t="s">
        <v>54</v>
      </c>
      <c r="G287" t="s">
        <v>36</v>
      </c>
      <c r="H287">
        <v>4</v>
      </c>
      <c r="I287" s="2">
        <v>112.86</v>
      </c>
      <c r="J287" s="2">
        <v>451.44</v>
      </c>
      <c r="K287" s="2">
        <f t="shared" si="13"/>
        <v>451.44</v>
      </c>
      <c r="L287" s="2">
        <f t="shared" si="14"/>
        <v>0</v>
      </c>
      <c r="M287" t="s">
        <v>55</v>
      </c>
      <c r="N287" t="s">
        <v>21</v>
      </c>
    </row>
    <row r="288" spans="1:14" x14ac:dyDescent="0.3">
      <c r="A288">
        <v>2024001286</v>
      </c>
      <c r="B288" s="1">
        <v>45553</v>
      </c>
      <c r="C288" s="11">
        <f t="shared" si="12"/>
        <v>2024</v>
      </c>
      <c r="D288" t="s">
        <v>206</v>
      </c>
      <c r="E288" t="s">
        <v>67</v>
      </c>
      <c r="F288" t="s">
        <v>68</v>
      </c>
      <c r="G288" t="s">
        <v>36</v>
      </c>
      <c r="H288">
        <v>2</v>
      </c>
      <c r="I288" s="2">
        <v>400.52</v>
      </c>
      <c r="J288" s="2">
        <v>801.04</v>
      </c>
      <c r="K288" s="2">
        <f t="shared" si="13"/>
        <v>801.04</v>
      </c>
      <c r="L288" s="2">
        <f t="shared" si="14"/>
        <v>0</v>
      </c>
      <c r="M288" t="s">
        <v>61</v>
      </c>
      <c r="N288" t="s">
        <v>16</v>
      </c>
    </row>
    <row r="289" spans="1:14" x14ac:dyDescent="0.3">
      <c r="A289">
        <v>2024001287</v>
      </c>
      <c r="B289" s="1">
        <v>45457</v>
      </c>
      <c r="C289" s="11">
        <f t="shared" si="12"/>
        <v>2024</v>
      </c>
      <c r="D289" t="s">
        <v>211</v>
      </c>
      <c r="E289" t="s">
        <v>34</v>
      </c>
      <c r="F289" t="s">
        <v>35</v>
      </c>
      <c r="G289" t="s">
        <v>36</v>
      </c>
      <c r="H289">
        <v>2</v>
      </c>
      <c r="I289" s="2">
        <v>13.15</v>
      </c>
      <c r="J289" s="2">
        <v>26.3</v>
      </c>
      <c r="K289" s="2">
        <f t="shared" si="13"/>
        <v>26.3</v>
      </c>
      <c r="L289" s="2">
        <f t="shared" si="14"/>
        <v>0</v>
      </c>
      <c r="M289" t="s">
        <v>31</v>
      </c>
      <c r="N289" t="s">
        <v>16</v>
      </c>
    </row>
    <row r="290" spans="1:14" x14ac:dyDescent="0.3">
      <c r="A290">
        <v>2024001288</v>
      </c>
      <c r="B290" s="1">
        <v>45425</v>
      </c>
      <c r="C290" s="11">
        <f t="shared" si="12"/>
        <v>2024</v>
      </c>
      <c r="D290" t="s">
        <v>212</v>
      </c>
      <c r="E290" t="s">
        <v>53</v>
      </c>
      <c r="F290" t="s">
        <v>54</v>
      </c>
      <c r="G290" t="s">
        <v>36</v>
      </c>
      <c r="H290">
        <v>1</v>
      </c>
      <c r="I290" s="2">
        <v>118.95</v>
      </c>
      <c r="J290" s="2">
        <v>118.95</v>
      </c>
      <c r="K290" s="2">
        <f t="shared" si="13"/>
        <v>118.95</v>
      </c>
      <c r="L290" s="2">
        <f t="shared" si="14"/>
        <v>0</v>
      </c>
      <c r="M290" t="s">
        <v>55</v>
      </c>
      <c r="N290" t="s">
        <v>21</v>
      </c>
    </row>
    <row r="291" spans="1:14" x14ac:dyDescent="0.3">
      <c r="A291">
        <v>2024001289</v>
      </c>
      <c r="B291" s="1">
        <v>45421</v>
      </c>
      <c r="C291" s="11">
        <f t="shared" si="12"/>
        <v>2024</v>
      </c>
      <c r="D291" t="s">
        <v>11</v>
      </c>
      <c r="E291" t="s">
        <v>34</v>
      </c>
      <c r="F291" t="s">
        <v>35</v>
      </c>
      <c r="G291" t="s">
        <v>36</v>
      </c>
      <c r="H291">
        <v>1</v>
      </c>
      <c r="I291" s="2">
        <v>14.43</v>
      </c>
      <c r="J291" s="2">
        <v>14.43</v>
      </c>
      <c r="K291" s="2">
        <f t="shared" si="13"/>
        <v>14.43</v>
      </c>
      <c r="L291" s="2">
        <f t="shared" si="14"/>
        <v>0</v>
      </c>
      <c r="M291" t="s">
        <v>38</v>
      </c>
      <c r="N291" t="s">
        <v>16</v>
      </c>
    </row>
    <row r="292" spans="1:14" x14ac:dyDescent="0.3">
      <c r="A292">
        <v>2024001290</v>
      </c>
      <c r="B292" s="1">
        <v>45547</v>
      </c>
      <c r="C292" s="11">
        <f t="shared" si="12"/>
        <v>2024</v>
      </c>
      <c r="D292" t="s">
        <v>11</v>
      </c>
      <c r="E292" t="s">
        <v>46</v>
      </c>
      <c r="F292" t="s">
        <v>47</v>
      </c>
      <c r="G292" t="s">
        <v>36</v>
      </c>
      <c r="H292">
        <v>3</v>
      </c>
      <c r="I292" s="2">
        <v>89.89</v>
      </c>
      <c r="J292" s="2">
        <v>269.67</v>
      </c>
      <c r="K292" s="2">
        <f t="shared" si="13"/>
        <v>269.67</v>
      </c>
      <c r="L292" s="2">
        <f t="shared" si="14"/>
        <v>0</v>
      </c>
      <c r="M292" t="s">
        <v>64</v>
      </c>
      <c r="N292" t="s">
        <v>16</v>
      </c>
    </row>
    <row r="293" spans="1:14" x14ac:dyDescent="0.3">
      <c r="A293">
        <v>2024001291</v>
      </c>
      <c r="B293" s="1">
        <v>45316</v>
      </c>
      <c r="C293" s="11">
        <f t="shared" si="12"/>
        <v>2024</v>
      </c>
      <c r="D293" t="s">
        <v>213</v>
      </c>
      <c r="E293" t="s">
        <v>18</v>
      </c>
      <c r="F293" t="s">
        <v>19</v>
      </c>
      <c r="G293" t="s">
        <v>14</v>
      </c>
      <c r="H293">
        <v>1</v>
      </c>
      <c r="I293" s="2">
        <v>624.53</v>
      </c>
      <c r="J293" s="2">
        <v>624.53</v>
      </c>
      <c r="K293" s="2">
        <f t="shared" si="13"/>
        <v>624.53</v>
      </c>
      <c r="L293" s="2">
        <f t="shared" si="14"/>
        <v>0</v>
      </c>
      <c r="M293" t="s">
        <v>25</v>
      </c>
      <c r="N293" t="s">
        <v>16</v>
      </c>
    </row>
    <row r="294" spans="1:14" x14ac:dyDescent="0.3">
      <c r="A294">
        <v>2024001292</v>
      </c>
      <c r="B294" s="1">
        <v>45316</v>
      </c>
      <c r="C294" s="11">
        <f t="shared" si="12"/>
        <v>2024</v>
      </c>
      <c r="D294" t="s">
        <v>214</v>
      </c>
      <c r="E294" t="s">
        <v>12</v>
      </c>
      <c r="F294" t="s">
        <v>13</v>
      </c>
      <c r="G294" t="s">
        <v>14</v>
      </c>
      <c r="H294">
        <v>1</v>
      </c>
      <c r="I294" s="2">
        <v>342.79</v>
      </c>
      <c r="J294" s="2">
        <v>342.79</v>
      </c>
      <c r="K294" s="2">
        <f t="shared" si="13"/>
        <v>342.79</v>
      </c>
      <c r="L294" s="2">
        <f t="shared" si="14"/>
        <v>0</v>
      </c>
      <c r="M294" t="s">
        <v>38</v>
      </c>
      <c r="N294" t="s">
        <v>16</v>
      </c>
    </row>
    <row r="295" spans="1:14" x14ac:dyDescent="0.3">
      <c r="A295">
        <v>2024001293</v>
      </c>
      <c r="B295" s="1">
        <v>45607</v>
      </c>
      <c r="C295" s="11">
        <f t="shared" si="12"/>
        <v>2024</v>
      </c>
      <c r="D295" t="s">
        <v>215</v>
      </c>
      <c r="E295" t="s">
        <v>40</v>
      </c>
      <c r="F295" t="s">
        <v>41</v>
      </c>
      <c r="G295" t="s">
        <v>36</v>
      </c>
      <c r="H295">
        <v>2</v>
      </c>
      <c r="I295" s="2">
        <v>45.68</v>
      </c>
      <c r="J295" s="2">
        <v>91.36</v>
      </c>
      <c r="K295" s="2">
        <f t="shared" si="13"/>
        <v>91.36</v>
      </c>
      <c r="L295" s="2">
        <f t="shared" si="14"/>
        <v>0</v>
      </c>
      <c r="M295" t="s">
        <v>57</v>
      </c>
      <c r="N295" t="s">
        <v>21</v>
      </c>
    </row>
    <row r="296" spans="1:14" x14ac:dyDescent="0.3">
      <c r="A296">
        <v>2024001294</v>
      </c>
      <c r="B296" s="1">
        <v>45296</v>
      </c>
      <c r="C296" s="11">
        <f t="shared" si="12"/>
        <v>2024</v>
      </c>
      <c r="D296" t="s">
        <v>148</v>
      </c>
      <c r="E296" t="s">
        <v>28</v>
      </c>
      <c r="F296" t="s">
        <v>29</v>
      </c>
      <c r="G296" t="s">
        <v>30</v>
      </c>
      <c r="H296">
        <v>1</v>
      </c>
      <c r="I296" s="2">
        <v>24.3</v>
      </c>
      <c r="J296" s="2">
        <v>24.3</v>
      </c>
      <c r="K296" s="2">
        <f t="shared" si="13"/>
        <v>24.3</v>
      </c>
      <c r="L296" s="2">
        <f t="shared" si="14"/>
        <v>0</v>
      </c>
      <c r="M296" t="s">
        <v>48</v>
      </c>
      <c r="N296" t="s">
        <v>32</v>
      </c>
    </row>
    <row r="297" spans="1:14" x14ac:dyDescent="0.3">
      <c r="A297">
        <v>2024001295</v>
      </c>
      <c r="B297" s="1">
        <v>45481</v>
      </c>
      <c r="C297" s="11">
        <f t="shared" si="12"/>
        <v>2024</v>
      </c>
      <c r="D297" t="s">
        <v>150</v>
      </c>
      <c r="E297" t="s">
        <v>43</v>
      </c>
      <c r="F297" t="s">
        <v>44</v>
      </c>
      <c r="G297" t="s">
        <v>36</v>
      </c>
      <c r="H297">
        <v>2</v>
      </c>
      <c r="I297" s="2">
        <v>1175.3399999999999</v>
      </c>
      <c r="J297" s="2">
        <v>2350.6799999999998</v>
      </c>
      <c r="K297" s="2">
        <f t="shared" si="13"/>
        <v>2350.6799999999998</v>
      </c>
      <c r="L297" s="2">
        <f t="shared" si="14"/>
        <v>0</v>
      </c>
      <c r="M297" t="s">
        <v>15</v>
      </c>
      <c r="N297" t="s">
        <v>32</v>
      </c>
    </row>
    <row r="298" spans="1:14" x14ac:dyDescent="0.3">
      <c r="A298">
        <v>2024001296</v>
      </c>
      <c r="B298" s="1">
        <v>45564</v>
      </c>
      <c r="C298" s="11">
        <f t="shared" si="12"/>
        <v>2024</v>
      </c>
      <c r="D298" t="s">
        <v>11</v>
      </c>
      <c r="E298" t="s">
        <v>18</v>
      </c>
      <c r="F298" t="s">
        <v>19</v>
      </c>
      <c r="G298" t="s">
        <v>14</v>
      </c>
      <c r="H298">
        <v>2</v>
      </c>
      <c r="I298" s="2">
        <v>628.49</v>
      </c>
      <c r="J298" s="2">
        <v>1256.98</v>
      </c>
      <c r="K298" s="2">
        <f t="shared" si="13"/>
        <v>1256.98</v>
      </c>
      <c r="L298" s="2">
        <f t="shared" si="14"/>
        <v>0</v>
      </c>
      <c r="M298" t="s">
        <v>64</v>
      </c>
      <c r="N298" t="s">
        <v>21</v>
      </c>
    </row>
    <row r="299" spans="1:14" x14ac:dyDescent="0.3">
      <c r="A299">
        <v>2024001297</v>
      </c>
      <c r="B299" s="1">
        <v>45469</v>
      </c>
      <c r="C299" s="11">
        <f t="shared" si="12"/>
        <v>2024</v>
      </c>
      <c r="D299" t="s">
        <v>51</v>
      </c>
      <c r="E299" t="s">
        <v>18</v>
      </c>
      <c r="F299" t="s">
        <v>19</v>
      </c>
      <c r="G299" t="s">
        <v>14</v>
      </c>
      <c r="H299">
        <v>3</v>
      </c>
      <c r="I299" s="2">
        <v>555.45000000000005</v>
      </c>
      <c r="J299" s="2">
        <v>1666.35</v>
      </c>
      <c r="K299" s="2">
        <f t="shared" si="13"/>
        <v>1666.3500000000001</v>
      </c>
      <c r="L299" s="2">
        <f t="shared" si="14"/>
        <v>0</v>
      </c>
      <c r="M299" t="s">
        <v>57</v>
      </c>
      <c r="N299" t="s">
        <v>21</v>
      </c>
    </row>
    <row r="300" spans="1:14" x14ac:dyDescent="0.3">
      <c r="A300">
        <v>2024001298</v>
      </c>
      <c r="B300" s="1">
        <v>45446</v>
      </c>
      <c r="C300" s="11">
        <f t="shared" si="12"/>
        <v>2024</v>
      </c>
      <c r="D300" t="s">
        <v>82</v>
      </c>
      <c r="E300" t="s">
        <v>67</v>
      </c>
      <c r="F300" t="s">
        <v>68</v>
      </c>
      <c r="G300" t="s">
        <v>36</v>
      </c>
      <c r="H300">
        <v>3</v>
      </c>
      <c r="I300" s="2">
        <v>417.57</v>
      </c>
      <c r="J300" s="2">
        <v>1252.71</v>
      </c>
      <c r="K300" s="2">
        <f t="shared" si="13"/>
        <v>1252.71</v>
      </c>
      <c r="L300" s="2">
        <f t="shared" si="14"/>
        <v>0</v>
      </c>
      <c r="M300" t="s">
        <v>15</v>
      </c>
      <c r="N300" t="s">
        <v>16</v>
      </c>
    </row>
    <row r="301" spans="1:14" x14ac:dyDescent="0.3">
      <c r="A301">
        <v>2024001299</v>
      </c>
      <c r="B301" s="1">
        <v>45353</v>
      </c>
      <c r="C301" s="11">
        <f t="shared" si="12"/>
        <v>2024</v>
      </c>
      <c r="D301" t="s">
        <v>216</v>
      </c>
      <c r="E301" t="s">
        <v>18</v>
      </c>
      <c r="F301" t="s">
        <v>19</v>
      </c>
      <c r="G301" t="s">
        <v>14</v>
      </c>
      <c r="H301">
        <v>1</v>
      </c>
      <c r="I301" s="2">
        <v>622.87</v>
      </c>
      <c r="J301" s="2">
        <v>622.87</v>
      </c>
      <c r="K301" s="2">
        <f t="shared" si="13"/>
        <v>622.87</v>
      </c>
      <c r="L301" s="2">
        <f t="shared" si="14"/>
        <v>0</v>
      </c>
      <c r="M301" t="s">
        <v>25</v>
      </c>
      <c r="N301" t="s">
        <v>16</v>
      </c>
    </row>
    <row r="302" spans="1:14" x14ac:dyDescent="0.3">
      <c r="A302">
        <v>2024001300</v>
      </c>
      <c r="B302" s="1">
        <v>45605</v>
      </c>
      <c r="C302" s="11">
        <f t="shared" si="12"/>
        <v>2024</v>
      </c>
      <c r="D302" t="s">
        <v>50</v>
      </c>
      <c r="E302" t="s">
        <v>18</v>
      </c>
      <c r="F302" t="s">
        <v>19</v>
      </c>
      <c r="G302" t="s">
        <v>14</v>
      </c>
      <c r="H302">
        <v>3</v>
      </c>
      <c r="I302" s="2">
        <v>564.16999999999996</v>
      </c>
      <c r="J302" s="2">
        <v>1692.51</v>
      </c>
      <c r="K302" s="2">
        <f t="shared" si="13"/>
        <v>1692.5099999999998</v>
      </c>
      <c r="L302" s="2">
        <f t="shared" si="14"/>
        <v>0</v>
      </c>
      <c r="M302" t="s">
        <v>25</v>
      </c>
      <c r="N302" t="s">
        <v>26</v>
      </c>
    </row>
    <row r="303" spans="1:14" x14ac:dyDescent="0.3">
      <c r="A303">
        <v>2024001301</v>
      </c>
      <c r="B303" s="1">
        <v>45451</v>
      </c>
      <c r="C303" s="11">
        <f t="shared" si="12"/>
        <v>2024</v>
      </c>
      <c r="D303" t="s">
        <v>217</v>
      </c>
      <c r="E303" t="s">
        <v>43</v>
      </c>
      <c r="F303" t="s">
        <v>44</v>
      </c>
      <c r="G303" t="s">
        <v>36</v>
      </c>
      <c r="H303">
        <v>1</v>
      </c>
      <c r="I303" s="2">
        <v>1230.77</v>
      </c>
      <c r="J303" s="2">
        <v>1230.77</v>
      </c>
      <c r="K303" s="2">
        <f t="shared" si="13"/>
        <v>1230.77</v>
      </c>
      <c r="L303" s="2">
        <f t="shared" si="14"/>
        <v>0</v>
      </c>
      <c r="M303" t="s">
        <v>25</v>
      </c>
      <c r="N303" t="s">
        <v>32</v>
      </c>
    </row>
    <row r="304" spans="1:14" x14ac:dyDescent="0.3">
      <c r="A304">
        <v>2024001302</v>
      </c>
      <c r="B304" s="1">
        <v>45547</v>
      </c>
      <c r="C304" s="11">
        <f t="shared" si="12"/>
        <v>2024</v>
      </c>
      <c r="D304" t="s">
        <v>218</v>
      </c>
      <c r="E304" t="s">
        <v>18</v>
      </c>
      <c r="F304" t="s">
        <v>19</v>
      </c>
      <c r="G304" t="s">
        <v>14</v>
      </c>
      <c r="H304">
        <v>1</v>
      </c>
      <c r="I304" s="2">
        <v>586.70000000000005</v>
      </c>
      <c r="J304" s="2">
        <v>586.70000000000005</v>
      </c>
      <c r="K304" s="2">
        <f t="shared" si="13"/>
        <v>586.70000000000005</v>
      </c>
      <c r="L304" s="2">
        <f t="shared" si="14"/>
        <v>0</v>
      </c>
      <c r="M304" t="s">
        <v>55</v>
      </c>
      <c r="N304" t="s">
        <v>32</v>
      </c>
    </row>
    <row r="305" spans="1:14" x14ac:dyDescent="0.3">
      <c r="A305">
        <v>2024001303</v>
      </c>
      <c r="B305" s="1">
        <v>45518</v>
      </c>
      <c r="C305" s="11">
        <f t="shared" si="12"/>
        <v>2024</v>
      </c>
      <c r="D305" t="s">
        <v>65</v>
      </c>
      <c r="E305" t="s">
        <v>12</v>
      </c>
      <c r="F305" t="s">
        <v>13</v>
      </c>
      <c r="G305" t="s">
        <v>14</v>
      </c>
      <c r="H305">
        <v>3</v>
      </c>
      <c r="I305" s="2">
        <v>334.52</v>
      </c>
      <c r="J305" s="2">
        <v>1003.56</v>
      </c>
      <c r="K305" s="2">
        <f t="shared" si="13"/>
        <v>1003.56</v>
      </c>
      <c r="L305" s="2">
        <f t="shared" si="14"/>
        <v>0</v>
      </c>
      <c r="M305" t="s">
        <v>31</v>
      </c>
      <c r="N305" t="s">
        <v>26</v>
      </c>
    </row>
    <row r="306" spans="1:14" x14ac:dyDescent="0.3">
      <c r="A306">
        <v>2024001304</v>
      </c>
      <c r="B306" s="1">
        <v>45333</v>
      </c>
      <c r="C306" s="11">
        <f t="shared" si="12"/>
        <v>2024</v>
      </c>
      <c r="D306" t="s">
        <v>219</v>
      </c>
      <c r="E306" t="s">
        <v>28</v>
      </c>
      <c r="F306" t="s">
        <v>29</v>
      </c>
      <c r="G306" t="s">
        <v>30</v>
      </c>
      <c r="H306">
        <v>1</v>
      </c>
      <c r="I306" s="2">
        <v>25.58</v>
      </c>
      <c r="J306" s="2">
        <v>25.58</v>
      </c>
      <c r="K306" s="2">
        <f t="shared" si="13"/>
        <v>25.58</v>
      </c>
      <c r="L306" s="2">
        <f t="shared" si="14"/>
        <v>0</v>
      </c>
      <c r="M306" t="s">
        <v>55</v>
      </c>
      <c r="N306" t="s">
        <v>32</v>
      </c>
    </row>
    <row r="307" spans="1:14" x14ac:dyDescent="0.3">
      <c r="A307">
        <v>2024001305</v>
      </c>
      <c r="B307" s="1">
        <v>45339</v>
      </c>
      <c r="C307" s="11">
        <f t="shared" si="12"/>
        <v>2024</v>
      </c>
      <c r="D307" t="s">
        <v>220</v>
      </c>
      <c r="E307" t="s">
        <v>43</v>
      </c>
      <c r="F307" t="s">
        <v>44</v>
      </c>
      <c r="G307" t="s">
        <v>36</v>
      </c>
      <c r="H307">
        <v>3</v>
      </c>
      <c r="I307" s="2">
        <v>1210</v>
      </c>
      <c r="J307" s="2">
        <v>3630</v>
      </c>
      <c r="K307" s="2">
        <f t="shared" si="13"/>
        <v>3630</v>
      </c>
      <c r="L307" s="2">
        <f t="shared" si="14"/>
        <v>0</v>
      </c>
      <c r="M307" t="s">
        <v>31</v>
      </c>
      <c r="N307" t="s">
        <v>32</v>
      </c>
    </row>
    <row r="308" spans="1:14" x14ac:dyDescent="0.3">
      <c r="A308">
        <v>2024001306</v>
      </c>
      <c r="B308" s="1">
        <v>45523</v>
      </c>
      <c r="C308" s="11">
        <f t="shared" si="12"/>
        <v>2024</v>
      </c>
      <c r="D308" t="s">
        <v>201</v>
      </c>
      <c r="E308" t="s">
        <v>53</v>
      </c>
      <c r="F308" t="s">
        <v>54</v>
      </c>
      <c r="G308" t="s">
        <v>36</v>
      </c>
      <c r="H308">
        <v>2</v>
      </c>
      <c r="I308" s="2">
        <v>121.66</v>
      </c>
      <c r="J308" s="2">
        <v>243.32</v>
      </c>
      <c r="K308" s="2">
        <f t="shared" si="13"/>
        <v>243.32</v>
      </c>
      <c r="L308" s="2">
        <f t="shared" si="14"/>
        <v>0</v>
      </c>
      <c r="M308" t="s">
        <v>61</v>
      </c>
      <c r="N308" t="s">
        <v>32</v>
      </c>
    </row>
    <row r="309" spans="1:14" x14ac:dyDescent="0.3">
      <c r="A309">
        <v>2024001307</v>
      </c>
      <c r="B309" s="1">
        <v>45634</v>
      </c>
      <c r="C309" s="11">
        <f t="shared" si="12"/>
        <v>2024</v>
      </c>
      <c r="D309" t="s">
        <v>203</v>
      </c>
      <c r="E309" t="s">
        <v>34</v>
      </c>
      <c r="F309" t="s">
        <v>35</v>
      </c>
      <c r="G309" t="s">
        <v>36</v>
      </c>
      <c r="H309">
        <v>1</v>
      </c>
      <c r="I309" s="2">
        <v>15.6</v>
      </c>
      <c r="J309" s="2">
        <v>15.6</v>
      </c>
      <c r="K309" s="2">
        <f t="shared" si="13"/>
        <v>15.6</v>
      </c>
      <c r="L309" s="2">
        <f t="shared" si="14"/>
        <v>0</v>
      </c>
      <c r="M309" t="s">
        <v>61</v>
      </c>
      <c r="N309" t="s">
        <v>21</v>
      </c>
    </row>
    <row r="310" spans="1:14" x14ac:dyDescent="0.3">
      <c r="A310">
        <v>2024001308</v>
      </c>
      <c r="B310" s="1">
        <v>45392</v>
      </c>
      <c r="C310" s="11">
        <f t="shared" si="12"/>
        <v>2024</v>
      </c>
      <c r="D310" t="s">
        <v>221</v>
      </c>
      <c r="E310" t="s">
        <v>23</v>
      </c>
      <c r="F310" t="s">
        <v>24</v>
      </c>
      <c r="G310" t="s">
        <v>14</v>
      </c>
      <c r="H310">
        <v>1</v>
      </c>
      <c r="I310" s="2">
        <v>78.540000000000006</v>
      </c>
      <c r="J310" s="2">
        <v>78.540000000000006</v>
      </c>
      <c r="K310" s="2">
        <f t="shared" si="13"/>
        <v>78.540000000000006</v>
      </c>
      <c r="L310" s="2">
        <f t="shared" si="14"/>
        <v>0</v>
      </c>
      <c r="M310" t="s">
        <v>20</v>
      </c>
      <c r="N310" t="s">
        <v>21</v>
      </c>
    </row>
    <row r="311" spans="1:14" x14ac:dyDescent="0.3">
      <c r="A311">
        <v>2024001309</v>
      </c>
      <c r="B311" s="1">
        <v>45443</v>
      </c>
      <c r="C311" s="11">
        <f t="shared" si="12"/>
        <v>2024</v>
      </c>
      <c r="D311" t="s">
        <v>144</v>
      </c>
      <c r="E311" t="s">
        <v>18</v>
      </c>
      <c r="F311" t="s">
        <v>19</v>
      </c>
      <c r="G311" t="s">
        <v>14</v>
      </c>
      <c r="H311">
        <v>2</v>
      </c>
      <c r="I311" s="2">
        <v>605.54</v>
      </c>
      <c r="J311" s="2">
        <v>1211.08</v>
      </c>
      <c r="K311" s="2">
        <f t="shared" si="13"/>
        <v>1211.08</v>
      </c>
      <c r="L311" s="2">
        <f t="shared" si="14"/>
        <v>0</v>
      </c>
      <c r="M311" t="s">
        <v>20</v>
      </c>
      <c r="N311" t="s">
        <v>16</v>
      </c>
    </row>
    <row r="312" spans="1:14" x14ac:dyDescent="0.3">
      <c r="A312">
        <v>2024001310</v>
      </c>
      <c r="B312" s="1">
        <v>45657</v>
      </c>
      <c r="C312" s="11">
        <f t="shared" si="12"/>
        <v>2024</v>
      </c>
      <c r="D312" t="s">
        <v>222</v>
      </c>
      <c r="E312" t="s">
        <v>12</v>
      </c>
      <c r="F312" t="s">
        <v>13</v>
      </c>
      <c r="G312" t="s">
        <v>14</v>
      </c>
      <c r="H312">
        <v>3</v>
      </c>
      <c r="I312" s="2">
        <v>331.68</v>
      </c>
      <c r="J312" s="2">
        <v>995.04</v>
      </c>
      <c r="K312" s="2">
        <f t="shared" si="13"/>
        <v>995.04</v>
      </c>
      <c r="L312" s="2">
        <f t="shared" si="14"/>
        <v>0</v>
      </c>
      <c r="M312" t="s">
        <v>31</v>
      </c>
      <c r="N312" t="s">
        <v>26</v>
      </c>
    </row>
    <row r="313" spans="1:14" x14ac:dyDescent="0.3">
      <c r="A313">
        <v>2024001311</v>
      </c>
      <c r="B313" s="1">
        <v>45552</v>
      </c>
      <c r="C313" s="11">
        <f t="shared" si="12"/>
        <v>2024</v>
      </c>
      <c r="D313" t="s">
        <v>221</v>
      </c>
      <c r="E313" t="s">
        <v>46</v>
      </c>
      <c r="F313" t="s">
        <v>47</v>
      </c>
      <c r="G313" t="s">
        <v>36</v>
      </c>
      <c r="H313">
        <v>1</v>
      </c>
      <c r="I313" s="2">
        <v>92.41</v>
      </c>
      <c r="J313" s="2">
        <v>92.41</v>
      </c>
      <c r="K313" s="2">
        <f t="shared" si="13"/>
        <v>92.41</v>
      </c>
      <c r="L313" s="2">
        <f t="shared" si="14"/>
        <v>0</v>
      </c>
      <c r="M313" t="s">
        <v>61</v>
      </c>
      <c r="N313" t="s">
        <v>21</v>
      </c>
    </row>
    <row r="314" spans="1:14" x14ac:dyDescent="0.3">
      <c r="A314">
        <v>2024001312</v>
      </c>
      <c r="B314" s="1">
        <v>45427</v>
      </c>
      <c r="C314" s="11">
        <f t="shared" si="12"/>
        <v>2024</v>
      </c>
      <c r="D314" t="s">
        <v>109</v>
      </c>
      <c r="E314" t="s">
        <v>23</v>
      </c>
      <c r="F314" t="s">
        <v>24</v>
      </c>
      <c r="G314" t="s">
        <v>14</v>
      </c>
      <c r="H314">
        <v>2</v>
      </c>
      <c r="I314" s="2">
        <v>74.989999999999995</v>
      </c>
      <c r="J314" s="2">
        <v>149.97999999999999</v>
      </c>
      <c r="K314" s="2">
        <f t="shared" si="13"/>
        <v>149.97999999999999</v>
      </c>
      <c r="L314" s="2">
        <f t="shared" si="14"/>
        <v>0</v>
      </c>
      <c r="M314" t="s">
        <v>61</v>
      </c>
      <c r="N314" t="s">
        <v>32</v>
      </c>
    </row>
    <row r="315" spans="1:14" x14ac:dyDescent="0.3">
      <c r="A315">
        <v>2024001313</v>
      </c>
      <c r="B315" s="1">
        <v>45615</v>
      </c>
      <c r="C315" s="11">
        <f t="shared" si="12"/>
        <v>2024</v>
      </c>
      <c r="D315" t="s">
        <v>11</v>
      </c>
      <c r="E315" t="s">
        <v>28</v>
      </c>
      <c r="F315" t="s">
        <v>29</v>
      </c>
      <c r="G315" t="s">
        <v>30</v>
      </c>
      <c r="H315">
        <v>2</v>
      </c>
      <c r="I315" s="2">
        <v>24.37</v>
      </c>
      <c r="J315" s="2">
        <v>48.74</v>
      </c>
      <c r="K315" s="2">
        <f t="shared" si="13"/>
        <v>48.74</v>
      </c>
      <c r="L315" s="2">
        <f t="shared" si="14"/>
        <v>0</v>
      </c>
      <c r="M315" t="s">
        <v>31</v>
      </c>
      <c r="N315" t="s">
        <v>21</v>
      </c>
    </row>
    <row r="316" spans="1:14" x14ac:dyDescent="0.3">
      <c r="A316">
        <v>2024001314</v>
      </c>
      <c r="B316" s="1">
        <v>45481</v>
      </c>
      <c r="C316" s="11">
        <f t="shared" si="12"/>
        <v>2024</v>
      </c>
      <c r="D316" t="s">
        <v>223</v>
      </c>
      <c r="E316" t="s">
        <v>40</v>
      </c>
      <c r="F316" t="s">
        <v>41</v>
      </c>
      <c r="G316" t="s">
        <v>36</v>
      </c>
      <c r="H316">
        <v>1</v>
      </c>
      <c r="I316" s="2">
        <v>44.84</v>
      </c>
      <c r="J316" s="2">
        <v>44.84</v>
      </c>
      <c r="K316" s="2">
        <f t="shared" si="13"/>
        <v>44.84</v>
      </c>
      <c r="L316" s="2">
        <f t="shared" si="14"/>
        <v>0</v>
      </c>
      <c r="M316" t="s">
        <v>55</v>
      </c>
      <c r="N316" t="s">
        <v>16</v>
      </c>
    </row>
    <row r="317" spans="1:14" x14ac:dyDescent="0.3">
      <c r="A317">
        <v>2024001315</v>
      </c>
      <c r="B317" s="1">
        <v>45560</v>
      </c>
      <c r="C317" s="11">
        <f t="shared" si="12"/>
        <v>2024</v>
      </c>
      <c r="D317" t="s">
        <v>180</v>
      </c>
      <c r="E317" t="s">
        <v>40</v>
      </c>
      <c r="F317" t="s">
        <v>41</v>
      </c>
      <c r="G317" t="s">
        <v>36</v>
      </c>
      <c r="H317">
        <v>1</v>
      </c>
      <c r="I317" s="2">
        <v>42.6</v>
      </c>
      <c r="J317" s="2">
        <v>42.6</v>
      </c>
      <c r="K317" s="2">
        <f t="shared" si="13"/>
        <v>42.6</v>
      </c>
      <c r="L317" s="2">
        <f t="shared" si="14"/>
        <v>0</v>
      </c>
      <c r="M317" t="s">
        <v>61</v>
      </c>
      <c r="N317" t="s">
        <v>32</v>
      </c>
    </row>
    <row r="318" spans="1:14" x14ac:dyDescent="0.3">
      <c r="A318">
        <v>2024001316</v>
      </c>
      <c r="B318" s="1">
        <v>45474</v>
      </c>
      <c r="C318" s="11">
        <f t="shared" si="12"/>
        <v>2024</v>
      </c>
      <c r="D318" t="s">
        <v>224</v>
      </c>
      <c r="E318" t="s">
        <v>23</v>
      </c>
      <c r="F318" t="s">
        <v>24</v>
      </c>
      <c r="G318" t="s">
        <v>14</v>
      </c>
      <c r="H318">
        <v>1</v>
      </c>
      <c r="I318" s="2">
        <v>88.22</v>
      </c>
      <c r="J318" s="2">
        <v>88.22</v>
      </c>
      <c r="K318" s="2">
        <f t="shared" si="13"/>
        <v>88.22</v>
      </c>
      <c r="L318" s="2">
        <f t="shared" si="14"/>
        <v>0</v>
      </c>
      <c r="M318" t="s">
        <v>64</v>
      </c>
      <c r="N318" t="s">
        <v>32</v>
      </c>
    </row>
    <row r="319" spans="1:14" x14ac:dyDescent="0.3">
      <c r="A319">
        <v>2024001317</v>
      </c>
      <c r="B319" s="1">
        <v>45504</v>
      </c>
      <c r="C319" s="11">
        <f t="shared" si="12"/>
        <v>2024</v>
      </c>
      <c r="D319" t="s">
        <v>225</v>
      </c>
      <c r="E319" t="s">
        <v>34</v>
      </c>
      <c r="F319" t="s">
        <v>35</v>
      </c>
      <c r="G319" t="s">
        <v>36</v>
      </c>
      <c r="H319">
        <v>3</v>
      </c>
      <c r="I319" s="2">
        <v>14.17</v>
      </c>
      <c r="J319" s="2">
        <v>42.51</v>
      </c>
      <c r="K319" s="2">
        <f t="shared" si="13"/>
        <v>42.51</v>
      </c>
      <c r="L319" s="2">
        <f t="shared" si="14"/>
        <v>0</v>
      </c>
      <c r="M319" t="s">
        <v>20</v>
      </c>
      <c r="N319" t="s">
        <v>26</v>
      </c>
    </row>
    <row r="320" spans="1:14" x14ac:dyDescent="0.3">
      <c r="A320">
        <v>2024001318</v>
      </c>
      <c r="B320" s="1">
        <v>45413</v>
      </c>
      <c r="C320" s="11">
        <f t="shared" si="12"/>
        <v>2024</v>
      </c>
      <c r="D320" t="s">
        <v>226</v>
      </c>
      <c r="E320" t="s">
        <v>53</v>
      </c>
      <c r="F320" t="s">
        <v>54</v>
      </c>
      <c r="G320" t="s">
        <v>36</v>
      </c>
      <c r="H320">
        <v>3</v>
      </c>
      <c r="I320" s="2">
        <v>121.81</v>
      </c>
      <c r="J320" s="2">
        <v>365.43</v>
      </c>
      <c r="K320" s="2">
        <f t="shared" si="13"/>
        <v>365.43</v>
      </c>
      <c r="L320" s="2">
        <f t="shared" si="14"/>
        <v>0</v>
      </c>
      <c r="M320" t="s">
        <v>25</v>
      </c>
      <c r="N320" t="s">
        <v>26</v>
      </c>
    </row>
    <row r="321" spans="1:14" x14ac:dyDescent="0.3">
      <c r="A321">
        <v>2024001319</v>
      </c>
      <c r="B321" s="1">
        <v>45440</v>
      </c>
      <c r="C321" s="11">
        <f t="shared" si="12"/>
        <v>2024</v>
      </c>
      <c r="D321" t="s">
        <v>11</v>
      </c>
      <c r="E321" t="s">
        <v>23</v>
      </c>
      <c r="F321" t="s">
        <v>24</v>
      </c>
      <c r="G321" t="s">
        <v>14</v>
      </c>
      <c r="H321">
        <v>2</v>
      </c>
      <c r="I321" s="2">
        <v>73.36</v>
      </c>
      <c r="J321" s="2">
        <v>146.72</v>
      </c>
      <c r="K321" s="2">
        <f t="shared" si="13"/>
        <v>146.72</v>
      </c>
      <c r="L321" s="2">
        <f t="shared" si="14"/>
        <v>0</v>
      </c>
      <c r="M321" t="s">
        <v>15</v>
      </c>
      <c r="N321" t="s">
        <v>21</v>
      </c>
    </row>
    <row r="322" spans="1:14" x14ac:dyDescent="0.3">
      <c r="A322">
        <v>2024001320</v>
      </c>
      <c r="B322" s="1">
        <v>45527</v>
      </c>
      <c r="C322" s="11">
        <f t="shared" si="12"/>
        <v>2024</v>
      </c>
      <c r="D322" t="s">
        <v>110</v>
      </c>
      <c r="E322" t="s">
        <v>67</v>
      </c>
      <c r="F322" t="s">
        <v>68</v>
      </c>
      <c r="G322" t="s">
        <v>36</v>
      </c>
      <c r="H322">
        <v>3</v>
      </c>
      <c r="I322" s="2">
        <v>405.89</v>
      </c>
      <c r="J322" s="2">
        <v>1217.67</v>
      </c>
      <c r="K322" s="2">
        <f t="shared" si="13"/>
        <v>1217.67</v>
      </c>
      <c r="L322" s="2">
        <f t="shared" si="14"/>
        <v>0</v>
      </c>
      <c r="M322" t="s">
        <v>55</v>
      </c>
      <c r="N322" t="s">
        <v>16</v>
      </c>
    </row>
    <row r="323" spans="1:14" x14ac:dyDescent="0.3">
      <c r="A323">
        <v>2024001321</v>
      </c>
      <c r="B323" s="1">
        <v>45320</v>
      </c>
      <c r="C323" s="11">
        <f t="shared" ref="C323:C386" si="15">YEAR(B323)</f>
        <v>2024</v>
      </c>
      <c r="D323" t="s">
        <v>49</v>
      </c>
      <c r="E323" t="s">
        <v>12</v>
      </c>
      <c r="F323" t="s">
        <v>13</v>
      </c>
      <c r="G323" t="s">
        <v>14</v>
      </c>
      <c r="H323">
        <v>3</v>
      </c>
      <c r="I323" s="2">
        <v>319.94</v>
      </c>
      <c r="J323" s="2">
        <v>959.82</v>
      </c>
      <c r="K323" s="2">
        <f t="shared" ref="K323:K386" si="16">I323*H323</f>
        <v>959.81999999999994</v>
      </c>
      <c r="L323" s="2">
        <f t="shared" ref="L323:L386" si="17">J323-K323</f>
        <v>0</v>
      </c>
      <c r="M323" t="s">
        <v>57</v>
      </c>
      <c r="N323" t="s">
        <v>21</v>
      </c>
    </row>
    <row r="324" spans="1:14" x14ac:dyDescent="0.3">
      <c r="A324">
        <v>2024001322</v>
      </c>
      <c r="B324" s="1">
        <v>45379</v>
      </c>
      <c r="C324" s="11">
        <f t="shared" si="15"/>
        <v>2024</v>
      </c>
      <c r="D324" t="s">
        <v>227</v>
      </c>
      <c r="E324" t="s">
        <v>67</v>
      </c>
      <c r="F324" t="s">
        <v>68</v>
      </c>
      <c r="G324" t="s">
        <v>36</v>
      </c>
      <c r="H324">
        <v>2</v>
      </c>
      <c r="I324" s="2">
        <v>404.82</v>
      </c>
      <c r="J324" s="2">
        <v>809.64</v>
      </c>
      <c r="K324" s="2">
        <f t="shared" si="16"/>
        <v>809.64</v>
      </c>
      <c r="L324" s="2">
        <f t="shared" si="17"/>
        <v>0</v>
      </c>
      <c r="M324" t="s">
        <v>64</v>
      </c>
      <c r="N324" t="s">
        <v>21</v>
      </c>
    </row>
    <row r="325" spans="1:14" x14ac:dyDescent="0.3">
      <c r="A325">
        <v>2024001323</v>
      </c>
      <c r="B325" s="1">
        <v>45314</v>
      </c>
      <c r="C325" s="11">
        <f t="shared" si="15"/>
        <v>2024</v>
      </c>
      <c r="D325" t="s">
        <v>119</v>
      </c>
      <c r="E325" t="s">
        <v>53</v>
      </c>
      <c r="F325" t="s">
        <v>54</v>
      </c>
      <c r="G325" t="s">
        <v>36</v>
      </c>
      <c r="H325">
        <v>2</v>
      </c>
      <c r="I325" s="2">
        <v>135.61000000000001</v>
      </c>
      <c r="J325" s="2">
        <v>271.22000000000003</v>
      </c>
      <c r="K325" s="2">
        <f t="shared" si="16"/>
        <v>271.22000000000003</v>
      </c>
      <c r="L325" s="2">
        <f t="shared" si="17"/>
        <v>0</v>
      </c>
      <c r="M325" t="s">
        <v>48</v>
      </c>
      <c r="N325" t="s">
        <v>32</v>
      </c>
    </row>
    <row r="326" spans="1:14" x14ac:dyDescent="0.3">
      <c r="A326">
        <v>2024001324</v>
      </c>
      <c r="B326" s="1">
        <v>45520</v>
      </c>
      <c r="C326" s="11">
        <f t="shared" si="15"/>
        <v>2024</v>
      </c>
      <c r="D326" t="s">
        <v>157</v>
      </c>
      <c r="E326" t="s">
        <v>23</v>
      </c>
      <c r="F326" t="s">
        <v>24</v>
      </c>
      <c r="G326" t="s">
        <v>14</v>
      </c>
      <c r="H326">
        <v>1</v>
      </c>
      <c r="I326" s="2">
        <v>79.16</v>
      </c>
      <c r="J326" s="2">
        <v>79.16</v>
      </c>
      <c r="K326" s="2">
        <f t="shared" si="16"/>
        <v>79.16</v>
      </c>
      <c r="L326" s="2">
        <f t="shared" si="17"/>
        <v>0</v>
      </c>
      <c r="M326" t="s">
        <v>31</v>
      </c>
      <c r="N326" t="s">
        <v>16</v>
      </c>
    </row>
    <row r="327" spans="1:14" x14ac:dyDescent="0.3">
      <c r="A327">
        <v>2024001325</v>
      </c>
      <c r="B327" s="1">
        <v>45301</v>
      </c>
      <c r="C327" s="11">
        <f t="shared" si="15"/>
        <v>2024</v>
      </c>
      <c r="D327" t="s">
        <v>228</v>
      </c>
      <c r="E327" t="s">
        <v>40</v>
      </c>
      <c r="F327" t="s">
        <v>41</v>
      </c>
      <c r="G327" t="s">
        <v>36</v>
      </c>
      <c r="H327">
        <v>1</v>
      </c>
      <c r="I327" s="2">
        <v>43.09</v>
      </c>
      <c r="J327" s="2">
        <v>43.09</v>
      </c>
      <c r="K327" s="2">
        <f t="shared" si="16"/>
        <v>43.09</v>
      </c>
      <c r="L327" s="2">
        <f t="shared" si="17"/>
        <v>0</v>
      </c>
      <c r="M327" t="s">
        <v>48</v>
      </c>
      <c r="N327" t="s">
        <v>32</v>
      </c>
    </row>
    <row r="328" spans="1:14" x14ac:dyDescent="0.3">
      <c r="A328">
        <v>2024001326</v>
      </c>
      <c r="B328" s="1">
        <v>45377</v>
      </c>
      <c r="C328" s="11">
        <f t="shared" si="15"/>
        <v>2024</v>
      </c>
      <c r="D328" t="s">
        <v>229</v>
      </c>
      <c r="E328" t="s">
        <v>46</v>
      </c>
      <c r="F328" t="s">
        <v>47</v>
      </c>
      <c r="G328" t="s">
        <v>36</v>
      </c>
      <c r="H328">
        <v>3</v>
      </c>
      <c r="I328" s="2">
        <v>93.72</v>
      </c>
      <c r="J328" s="2">
        <v>281.16000000000003</v>
      </c>
      <c r="K328" s="2">
        <f t="shared" si="16"/>
        <v>281.15999999999997</v>
      </c>
      <c r="L328" s="2">
        <f t="shared" si="17"/>
        <v>0</v>
      </c>
      <c r="M328" t="s">
        <v>38</v>
      </c>
      <c r="N328" t="s">
        <v>21</v>
      </c>
    </row>
    <row r="329" spans="1:14" x14ac:dyDescent="0.3">
      <c r="A329">
        <v>2024001327</v>
      </c>
      <c r="B329" s="1">
        <v>45534</v>
      </c>
      <c r="C329" s="11">
        <f t="shared" si="15"/>
        <v>2024</v>
      </c>
      <c r="D329" t="s">
        <v>163</v>
      </c>
      <c r="E329" t="s">
        <v>53</v>
      </c>
      <c r="F329" t="s">
        <v>54</v>
      </c>
      <c r="G329" t="s">
        <v>36</v>
      </c>
      <c r="H329">
        <v>1</v>
      </c>
      <c r="I329" s="2">
        <v>124.79</v>
      </c>
      <c r="J329" s="2">
        <v>124.79</v>
      </c>
      <c r="K329" s="2">
        <f t="shared" si="16"/>
        <v>124.79</v>
      </c>
      <c r="L329" s="2">
        <f t="shared" si="17"/>
        <v>0</v>
      </c>
      <c r="M329" t="s">
        <v>57</v>
      </c>
      <c r="N329" t="s">
        <v>26</v>
      </c>
    </row>
    <row r="330" spans="1:14" x14ac:dyDescent="0.3">
      <c r="A330">
        <v>2024001328</v>
      </c>
      <c r="B330" s="1">
        <v>45477</v>
      </c>
      <c r="C330" s="11">
        <f t="shared" si="15"/>
        <v>2024</v>
      </c>
      <c r="D330" t="s">
        <v>199</v>
      </c>
      <c r="E330" t="s">
        <v>12</v>
      </c>
      <c r="F330" t="s">
        <v>13</v>
      </c>
      <c r="G330" t="s">
        <v>14</v>
      </c>
      <c r="H330">
        <v>2</v>
      </c>
      <c r="I330" s="2">
        <v>353.93</v>
      </c>
      <c r="J330" s="2">
        <v>707.86</v>
      </c>
      <c r="K330" s="2">
        <f t="shared" si="16"/>
        <v>707.86</v>
      </c>
      <c r="L330" s="2">
        <f t="shared" si="17"/>
        <v>0</v>
      </c>
      <c r="M330" t="s">
        <v>25</v>
      </c>
      <c r="N330" t="s">
        <v>16</v>
      </c>
    </row>
    <row r="331" spans="1:14" x14ac:dyDescent="0.3">
      <c r="A331">
        <v>2024001329</v>
      </c>
      <c r="B331" s="1">
        <v>45601</v>
      </c>
      <c r="C331" s="11">
        <f t="shared" si="15"/>
        <v>2024</v>
      </c>
      <c r="D331" t="s">
        <v>102</v>
      </c>
      <c r="E331" t="s">
        <v>67</v>
      </c>
      <c r="F331" t="s">
        <v>68</v>
      </c>
      <c r="G331" t="s">
        <v>36</v>
      </c>
      <c r="H331">
        <v>1</v>
      </c>
      <c r="I331" s="2">
        <v>418.65</v>
      </c>
      <c r="J331" s="2">
        <v>418.65</v>
      </c>
      <c r="K331" s="2">
        <f t="shared" si="16"/>
        <v>418.65</v>
      </c>
      <c r="L331" s="2">
        <f t="shared" si="17"/>
        <v>0</v>
      </c>
      <c r="M331" t="s">
        <v>48</v>
      </c>
      <c r="N331" t="s">
        <v>26</v>
      </c>
    </row>
    <row r="332" spans="1:14" x14ac:dyDescent="0.3">
      <c r="A332">
        <v>2024001330</v>
      </c>
      <c r="B332" s="1">
        <v>45311</v>
      </c>
      <c r="C332" s="11">
        <f t="shared" si="15"/>
        <v>2024</v>
      </c>
      <c r="D332" t="s">
        <v>11</v>
      </c>
      <c r="E332" t="s">
        <v>43</v>
      </c>
      <c r="F332" t="s">
        <v>44</v>
      </c>
      <c r="G332" t="s">
        <v>36</v>
      </c>
      <c r="H332">
        <v>2</v>
      </c>
      <c r="I332" s="2">
        <v>1332.86</v>
      </c>
      <c r="J332" s="2">
        <v>2665.72</v>
      </c>
      <c r="K332" s="2">
        <f t="shared" si="16"/>
        <v>2665.72</v>
      </c>
      <c r="L332" s="2">
        <f t="shared" si="17"/>
        <v>0</v>
      </c>
      <c r="M332" t="s">
        <v>20</v>
      </c>
      <c r="N332" t="s">
        <v>26</v>
      </c>
    </row>
    <row r="333" spans="1:14" x14ac:dyDescent="0.3">
      <c r="A333">
        <v>2024001331</v>
      </c>
      <c r="B333" s="1">
        <v>45627</v>
      </c>
      <c r="C333" s="11">
        <f t="shared" si="15"/>
        <v>2024</v>
      </c>
      <c r="D333" t="s">
        <v>230</v>
      </c>
      <c r="E333" t="s">
        <v>53</v>
      </c>
      <c r="F333" t="s">
        <v>54</v>
      </c>
      <c r="G333" t="s">
        <v>36</v>
      </c>
      <c r="H333">
        <v>2</v>
      </c>
      <c r="I333" s="2">
        <v>118.22</v>
      </c>
      <c r="J333" s="2">
        <v>236.44</v>
      </c>
      <c r="K333" s="2">
        <f t="shared" si="16"/>
        <v>236.44</v>
      </c>
      <c r="L333" s="2">
        <f t="shared" si="17"/>
        <v>0</v>
      </c>
      <c r="M333" t="s">
        <v>20</v>
      </c>
      <c r="N333" t="s">
        <v>16</v>
      </c>
    </row>
    <row r="334" spans="1:14" x14ac:dyDescent="0.3">
      <c r="A334">
        <v>2024001332</v>
      </c>
      <c r="B334" s="1">
        <v>45315</v>
      </c>
      <c r="C334" s="11">
        <f t="shared" si="15"/>
        <v>2024</v>
      </c>
      <c r="D334" t="s">
        <v>178</v>
      </c>
      <c r="E334" t="s">
        <v>40</v>
      </c>
      <c r="F334" t="s">
        <v>41</v>
      </c>
      <c r="G334" t="s">
        <v>36</v>
      </c>
      <c r="H334">
        <v>2</v>
      </c>
      <c r="I334" s="2">
        <v>42.77</v>
      </c>
      <c r="J334" s="2">
        <v>85.54</v>
      </c>
      <c r="K334" s="2">
        <f t="shared" si="16"/>
        <v>85.54</v>
      </c>
      <c r="L334" s="2">
        <f t="shared" si="17"/>
        <v>0</v>
      </c>
      <c r="M334" t="s">
        <v>20</v>
      </c>
      <c r="N334" t="s">
        <v>26</v>
      </c>
    </row>
    <row r="335" spans="1:14" x14ac:dyDescent="0.3">
      <c r="A335">
        <v>2024001333</v>
      </c>
      <c r="B335" s="1">
        <v>45367</v>
      </c>
      <c r="C335" s="11">
        <f t="shared" si="15"/>
        <v>2024</v>
      </c>
      <c r="D335" t="s">
        <v>119</v>
      </c>
      <c r="E335" t="s">
        <v>46</v>
      </c>
      <c r="F335" t="s">
        <v>47</v>
      </c>
      <c r="G335" t="s">
        <v>36</v>
      </c>
      <c r="H335">
        <v>2</v>
      </c>
      <c r="I335" s="2">
        <v>91.74</v>
      </c>
      <c r="J335" s="2">
        <v>183.48</v>
      </c>
      <c r="K335" s="2">
        <f t="shared" si="16"/>
        <v>183.48</v>
      </c>
      <c r="L335" s="2">
        <f t="shared" si="17"/>
        <v>0</v>
      </c>
      <c r="M335" t="s">
        <v>38</v>
      </c>
      <c r="N335" t="s">
        <v>32</v>
      </c>
    </row>
    <row r="336" spans="1:14" x14ac:dyDescent="0.3">
      <c r="A336">
        <v>2024001334</v>
      </c>
      <c r="B336" s="1">
        <v>45310</v>
      </c>
      <c r="C336" s="11">
        <f t="shared" si="15"/>
        <v>2024</v>
      </c>
      <c r="D336" t="s">
        <v>203</v>
      </c>
      <c r="E336" t="s">
        <v>12</v>
      </c>
      <c r="F336" t="s">
        <v>13</v>
      </c>
      <c r="G336" t="s">
        <v>14</v>
      </c>
      <c r="H336">
        <v>1</v>
      </c>
      <c r="I336" s="2">
        <v>334.64</v>
      </c>
      <c r="J336" s="2">
        <v>334.64</v>
      </c>
      <c r="K336" s="2">
        <f t="shared" si="16"/>
        <v>334.64</v>
      </c>
      <c r="L336" s="2">
        <f t="shared" si="17"/>
        <v>0</v>
      </c>
      <c r="M336" t="s">
        <v>38</v>
      </c>
      <c r="N336" t="s">
        <v>26</v>
      </c>
    </row>
    <row r="337" spans="1:14" x14ac:dyDescent="0.3">
      <c r="A337">
        <v>2024001335</v>
      </c>
      <c r="B337" s="1">
        <v>45542</v>
      </c>
      <c r="C337" s="11">
        <f t="shared" si="15"/>
        <v>2024</v>
      </c>
      <c r="D337" t="s">
        <v>116</v>
      </c>
      <c r="E337" t="s">
        <v>28</v>
      </c>
      <c r="F337" t="s">
        <v>29</v>
      </c>
      <c r="G337" t="s">
        <v>30</v>
      </c>
      <c r="H337">
        <v>4</v>
      </c>
      <c r="I337" s="2">
        <v>25.98</v>
      </c>
      <c r="J337" s="2">
        <v>103.92</v>
      </c>
      <c r="K337" s="2">
        <f t="shared" si="16"/>
        <v>103.92</v>
      </c>
      <c r="L337" s="2">
        <f t="shared" si="17"/>
        <v>0</v>
      </c>
      <c r="M337" t="s">
        <v>61</v>
      </c>
      <c r="N337" t="s">
        <v>26</v>
      </c>
    </row>
    <row r="338" spans="1:14" x14ac:dyDescent="0.3">
      <c r="A338">
        <v>2024001336</v>
      </c>
      <c r="B338" s="1">
        <v>45489</v>
      </c>
      <c r="C338" s="11">
        <f t="shared" si="15"/>
        <v>2024</v>
      </c>
      <c r="D338" t="s">
        <v>231</v>
      </c>
      <c r="E338" t="s">
        <v>12</v>
      </c>
      <c r="F338" t="s">
        <v>13</v>
      </c>
      <c r="G338" t="s">
        <v>14</v>
      </c>
      <c r="H338">
        <v>3</v>
      </c>
      <c r="I338" s="2">
        <v>346.04</v>
      </c>
      <c r="J338" s="2">
        <v>1038.1199999999999</v>
      </c>
      <c r="K338" s="2">
        <f t="shared" si="16"/>
        <v>1038.1200000000001</v>
      </c>
      <c r="L338" s="2">
        <f t="shared" si="17"/>
        <v>0</v>
      </c>
      <c r="M338" t="s">
        <v>15</v>
      </c>
      <c r="N338" t="s">
        <v>26</v>
      </c>
    </row>
    <row r="339" spans="1:14" x14ac:dyDescent="0.3">
      <c r="A339">
        <v>2024001337</v>
      </c>
      <c r="B339" s="1">
        <v>45381</v>
      </c>
      <c r="C339" s="11">
        <f t="shared" si="15"/>
        <v>2024</v>
      </c>
      <c r="D339" t="s">
        <v>11</v>
      </c>
      <c r="E339" t="s">
        <v>18</v>
      </c>
      <c r="F339" t="s">
        <v>19</v>
      </c>
      <c r="G339" t="s">
        <v>14</v>
      </c>
      <c r="H339">
        <v>1</v>
      </c>
      <c r="I339" s="2">
        <v>571.22</v>
      </c>
      <c r="J339" s="2">
        <v>571.22</v>
      </c>
      <c r="K339" s="2">
        <f t="shared" si="16"/>
        <v>571.22</v>
      </c>
      <c r="L339" s="2">
        <f t="shared" si="17"/>
        <v>0</v>
      </c>
      <c r="M339" t="s">
        <v>31</v>
      </c>
      <c r="N339" t="s">
        <v>16</v>
      </c>
    </row>
    <row r="340" spans="1:14" x14ac:dyDescent="0.3">
      <c r="A340">
        <v>2024001338</v>
      </c>
      <c r="B340" s="1">
        <v>45550</v>
      </c>
      <c r="C340" s="11">
        <f t="shared" si="15"/>
        <v>2024</v>
      </c>
      <c r="D340" t="s">
        <v>232</v>
      </c>
      <c r="E340" t="s">
        <v>43</v>
      </c>
      <c r="F340" t="s">
        <v>44</v>
      </c>
      <c r="G340" t="s">
        <v>36</v>
      </c>
      <c r="H340">
        <v>2</v>
      </c>
      <c r="I340" s="2">
        <v>1300.79</v>
      </c>
      <c r="J340" s="2">
        <v>2601.58</v>
      </c>
      <c r="K340" s="2">
        <f t="shared" si="16"/>
        <v>2601.58</v>
      </c>
      <c r="L340" s="2">
        <f t="shared" si="17"/>
        <v>0</v>
      </c>
      <c r="M340" t="s">
        <v>57</v>
      </c>
      <c r="N340" t="s">
        <v>26</v>
      </c>
    </row>
    <row r="341" spans="1:14" x14ac:dyDescent="0.3">
      <c r="A341">
        <v>2024001339</v>
      </c>
      <c r="B341" s="1">
        <v>45657</v>
      </c>
      <c r="C341" s="11">
        <f t="shared" si="15"/>
        <v>2024</v>
      </c>
      <c r="D341" t="s">
        <v>97</v>
      </c>
      <c r="E341" t="s">
        <v>18</v>
      </c>
      <c r="F341" t="s">
        <v>19</v>
      </c>
      <c r="G341" t="s">
        <v>14</v>
      </c>
      <c r="H341">
        <v>1</v>
      </c>
      <c r="I341" s="2">
        <v>622.04999999999995</v>
      </c>
      <c r="J341" s="2">
        <v>622.04999999999995</v>
      </c>
      <c r="K341" s="2">
        <f t="shared" si="16"/>
        <v>622.04999999999995</v>
      </c>
      <c r="L341" s="2">
        <f t="shared" si="17"/>
        <v>0</v>
      </c>
      <c r="M341" t="s">
        <v>25</v>
      </c>
      <c r="N341" t="s">
        <v>16</v>
      </c>
    </row>
    <row r="342" spans="1:14" x14ac:dyDescent="0.3">
      <c r="A342">
        <v>2024001340</v>
      </c>
      <c r="B342" s="1">
        <v>45483</v>
      </c>
      <c r="C342" s="11">
        <f t="shared" si="15"/>
        <v>2024</v>
      </c>
      <c r="D342" t="s">
        <v>195</v>
      </c>
      <c r="E342" t="s">
        <v>12</v>
      </c>
      <c r="F342" t="s">
        <v>13</v>
      </c>
      <c r="G342" t="s">
        <v>14</v>
      </c>
      <c r="H342">
        <v>1</v>
      </c>
      <c r="I342" s="2">
        <v>353.6</v>
      </c>
      <c r="J342" s="2">
        <v>353.6</v>
      </c>
      <c r="K342" s="2">
        <f t="shared" si="16"/>
        <v>353.6</v>
      </c>
      <c r="L342" s="2">
        <f t="shared" si="17"/>
        <v>0</v>
      </c>
      <c r="M342" t="s">
        <v>55</v>
      </c>
      <c r="N342" t="s">
        <v>21</v>
      </c>
    </row>
    <row r="343" spans="1:14" x14ac:dyDescent="0.3">
      <c r="A343">
        <v>2024001341</v>
      </c>
      <c r="B343" s="1">
        <v>45420</v>
      </c>
      <c r="C343" s="11">
        <f t="shared" si="15"/>
        <v>2024</v>
      </c>
      <c r="D343" t="s">
        <v>11</v>
      </c>
      <c r="E343" t="s">
        <v>23</v>
      </c>
      <c r="F343" t="s">
        <v>24</v>
      </c>
      <c r="G343" t="s">
        <v>14</v>
      </c>
      <c r="H343">
        <v>2</v>
      </c>
      <c r="I343" s="2">
        <v>78.489999999999995</v>
      </c>
      <c r="J343" s="2">
        <v>156.97999999999999</v>
      </c>
      <c r="K343" s="2">
        <f t="shared" si="16"/>
        <v>156.97999999999999</v>
      </c>
      <c r="L343" s="2">
        <f t="shared" si="17"/>
        <v>0</v>
      </c>
      <c r="M343" t="s">
        <v>64</v>
      </c>
      <c r="N343" t="s">
        <v>26</v>
      </c>
    </row>
    <row r="344" spans="1:14" x14ac:dyDescent="0.3">
      <c r="A344">
        <v>2024001342</v>
      </c>
      <c r="B344" s="1">
        <v>45473</v>
      </c>
      <c r="C344" s="11">
        <f t="shared" si="15"/>
        <v>2024</v>
      </c>
      <c r="D344" t="s">
        <v>11</v>
      </c>
      <c r="E344" t="s">
        <v>28</v>
      </c>
      <c r="F344" t="s">
        <v>29</v>
      </c>
      <c r="G344" t="s">
        <v>30</v>
      </c>
      <c r="H344">
        <v>3</v>
      </c>
      <c r="I344" s="2">
        <v>25.44</v>
      </c>
      <c r="J344" s="2">
        <v>76.319999999999993</v>
      </c>
      <c r="K344" s="2">
        <f t="shared" si="16"/>
        <v>76.320000000000007</v>
      </c>
      <c r="L344" s="2">
        <f t="shared" si="17"/>
        <v>0</v>
      </c>
      <c r="M344" t="s">
        <v>20</v>
      </c>
      <c r="N344" t="s">
        <v>32</v>
      </c>
    </row>
    <row r="345" spans="1:14" x14ac:dyDescent="0.3">
      <c r="A345">
        <v>2024001343</v>
      </c>
      <c r="B345" s="1">
        <v>45397</v>
      </c>
      <c r="C345" s="11">
        <f t="shared" si="15"/>
        <v>2024</v>
      </c>
      <c r="D345" t="s">
        <v>233</v>
      </c>
      <c r="E345" t="s">
        <v>53</v>
      </c>
      <c r="F345" t="s">
        <v>54</v>
      </c>
      <c r="G345" t="s">
        <v>36</v>
      </c>
      <c r="H345">
        <v>1</v>
      </c>
      <c r="I345" s="2">
        <v>120.73</v>
      </c>
      <c r="J345" s="2">
        <v>120.73</v>
      </c>
      <c r="K345" s="2">
        <f t="shared" si="16"/>
        <v>120.73</v>
      </c>
      <c r="L345" s="2">
        <f t="shared" si="17"/>
        <v>0</v>
      </c>
      <c r="M345" t="s">
        <v>20</v>
      </c>
      <c r="N345" t="s">
        <v>16</v>
      </c>
    </row>
    <row r="346" spans="1:14" x14ac:dyDescent="0.3">
      <c r="A346">
        <v>2024001344</v>
      </c>
      <c r="B346" s="1">
        <v>45627</v>
      </c>
      <c r="C346" s="11">
        <f t="shared" si="15"/>
        <v>2024</v>
      </c>
      <c r="D346" t="s">
        <v>234</v>
      </c>
      <c r="E346" t="s">
        <v>46</v>
      </c>
      <c r="F346" t="s">
        <v>47</v>
      </c>
      <c r="G346" t="s">
        <v>36</v>
      </c>
      <c r="H346">
        <v>3</v>
      </c>
      <c r="I346" s="2">
        <v>86.77</v>
      </c>
      <c r="J346" s="2">
        <v>260.31</v>
      </c>
      <c r="K346" s="2">
        <f t="shared" si="16"/>
        <v>260.31</v>
      </c>
      <c r="L346" s="2">
        <f t="shared" si="17"/>
        <v>0</v>
      </c>
      <c r="M346" t="s">
        <v>38</v>
      </c>
      <c r="N346" t="s">
        <v>32</v>
      </c>
    </row>
    <row r="347" spans="1:14" x14ac:dyDescent="0.3">
      <c r="A347">
        <v>2024001345</v>
      </c>
      <c r="B347" s="1">
        <v>45398</v>
      </c>
      <c r="C347" s="11">
        <f t="shared" si="15"/>
        <v>2024</v>
      </c>
      <c r="D347" t="s">
        <v>145</v>
      </c>
      <c r="E347" t="s">
        <v>40</v>
      </c>
      <c r="F347" t="s">
        <v>41</v>
      </c>
      <c r="G347" t="s">
        <v>36</v>
      </c>
      <c r="H347">
        <v>4</v>
      </c>
      <c r="I347" s="2">
        <v>43.91</v>
      </c>
      <c r="J347" s="2">
        <v>175.64</v>
      </c>
      <c r="K347" s="2">
        <f t="shared" si="16"/>
        <v>175.64</v>
      </c>
      <c r="L347" s="2">
        <f t="shared" si="17"/>
        <v>0</v>
      </c>
      <c r="M347" t="s">
        <v>48</v>
      </c>
      <c r="N347" t="s">
        <v>26</v>
      </c>
    </row>
    <row r="348" spans="1:14" x14ac:dyDescent="0.3">
      <c r="A348">
        <v>2024001346</v>
      </c>
      <c r="B348" s="1">
        <v>45487</v>
      </c>
      <c r="C348" s="11">
        <f t="shared" si="15"/>
        <v>2024</v>
      </c>
      <c r="D348" t="s">
        <v>235</v>
      </c>
      <c r="E348" t="s">
        <v>43</v>
      </c>
      <c r="F348" t="s">
        <v>44</v>
      </c>
      <c r="G348" t="s">
        <v>36</v>
      </c>
      <c r="H348">
        <v>3</v>
      </c>
      <c r="I348" s="2">
        <v>1190.95</v>
      </c>
      <c r="J348" s="2">
        <v>3572.85</v>
      </c>
      <c r="K348" s="2">
        <f t="shared" si="16"/>
        <v>3572.8500000000004</v>
      </c>
      <c r="L348" s="2">
        <f t="shared" si="17"/>
        <v>0</v>
      </c>
      <c r="M348" t="s">
        <v>20</v>
      </c>
      <c r="N348" t="s">
        <v>21</v>
      </c>
    </row>
    <row r="349" spans="1:14" x14ac:dyDescent="0.3">
      <c r="A349">
        <v>2024001347</v>
      </c>
      <c r="B349" s="1">
        <v>45439</v>
      </c>
      <c r="C349" s="11">
        <f t="shared" si="15"/>
        <v>2024</v>
      </c>
      <c r="D349" t="s">
        <v>206</v>
      </c>
      <c r="E349" t="s">
        <v>53</v>
      </c>
      <c r="F349" t="s">
        <v>54</v>
      </c>
      <c r="G349" t="s">
        <v>36</v>
      </c>
      <c r="H349">
        <v>1</v>
      </c>
      <c r="I349" s="2">
        <v>118.58</v>
      </c>
      <c r="J349" s="2">
        <v>118.58</v>
      </c>
      <c r="K349" s="2">
        <f t="shared" si="16"/>
        <v>118.58</v>
      </c>
      <c r="L349" s="2">
        <f t="shared" si="17"/>
        <v>0</v>
      </c>
      <c r="M349" t="s">
        <v>31</v>
      </c>
      <c r="N349" t="s">
        <v>32</v>
      </c>
    </row>
    <row r="350" spans="1:14" x14ac:dyDescent="0.3">
      <c r="A350">
        <v>2024001348</v>
      </c>
      <c r="B350" s="1">
        <v>45433</v>
      </c>
      <c r="C350" s="11">
        <f t="shared" si="15"/>
        <v>2024</v>
      </c>
      <c r="D350" t="s">
        <v>236</v>
      </c>
      <c r="E350" t="s">
        <v>46</v>
      </c>
      <c r="F350" t="s">
        <v>47</v>
      </c>
      <c r="G350" t="s">
        <v>36</v>
      </c>
      <c r="H350">
        <v>5</v>
      </c>
      <c r="I350" s="2">
        <v>92.01</v>
      </c>
      <c r="J350" s="2">
        <v>460.05</v>
      </c>
      <c r="K350" s="2">
        <f t="shared" si="16"/>
        <v>460.05</v>
      </c>
      <c r="L350" s="2">
        <f t="shared" si="17"/>
        <v>0</v>
      </c>
      <c r="M350" t="s">
        <v>25</v>
      </c>
      <c r="N350" t="s">
        <v>32</v>
      </c>
    </row>
    <row r="351" spans="1:14" x14ac:dyDescent="0.3">
      <c r="A351">
        <v>2024001349</v>
      </c>
      <c r="B351" s="1">
        <v>45596</v>
      </c>
      <c r="C351" s="11">
        <f t="shared" si="15"/>
        <v>2024</v>
      </c>
      <c r="D351" t="s">
        <v>184</v>
      </c>
      <c r="E351" t="s">
        <v>40</v>
      </c>
      <c r="F351" t="s">
        <v>41</v>
      </c>
      <c r="G351" t="s">
        <v>36</v>
      </c>
      <c r="H351">
        <v>2</v>
      </c>
      <c r="I351" s="2">
        <v>43.42</v>
      </c>
      <c r="J351" s="2">
        <v>86.84</v>
      </c>
      <c r="K351" s="2">
        <f t="shared" si="16"/>
        <v>86.84</v>
      </c>
      <c r="L351" s="2">
        <f t="shared" si="17"/>
        <v>0</v>
      </c>
      <c r="M351" t="s">
        <v>31</v>
      </c>
      <c r="N351" t="s">
        <v>26</v>
      </c>
    </row>
    <row r="352" spans="1:14" x14ac:dyDescent="0.3">
      <c r="A352">
        <v>2024001350</v>
      </c>
      <c r="B352" s="1">
        <v>45618</v>
      </c>
      <c r="C352" s="11">
        <f t="shared" si="15"/>
        <v>2024</v>
      </c>
      <c r="D352" t="s">
        <v>237</v>
      </c>
      <c r="E352" t="s">
        <v>53</v>
      </c>
      <c r="F352" t="s">
        <v>54</v>
      </c>
      <c r="G352" t="s">
        <v>36</v>
      </c>
      <c r="H352">
        <v>2</v>
      </c>
      <c r="I352" s="2">
        <v>126.07</v>
      </c>
      <c r="J352" s="2">
        <v>252.14</v>
      </c>
      <c r="K352" s="2">
        <f t="shared" si="16"/>
        <v>252.14</v>
      </c>
      <c r="L352" s="2">
        <f t="shared" si="17"/>
        <v>0</v>
      </c>
      <c r="M352" t="s">
        <v>15</v>
      </c>
      <c r="N352" t="s">
        <v>16</v>
      </c>
    </row>
    <row r="353" spans="1:14" x14ac:dyDescent="0.3">
      <c r="A353">
        <v>2024001351</v>
      </c>
      <c r="B353" s="1">
        <v>45468</v>
      </c>
      <c r="C353" s="11">
        <f t="shared" si="15"/>
        <v>2024</v>
      </c>
      <c r="D353" t="s">
        <v>144</v>
      </c>
      <c r="E353" t="s">
        <v>40</v>
      </c>
      <c r="F353" t="s">
        <v>41</v>
      </c>
      <c r="G353" t="s">
        <v>36</v>
      </c>
      <c r="H353">
        <v>1</v>
      </c>
      <c r="I353" s="2">
        <v>39.86</v>
      </c>
      <c r="J353" s="2">
        <v>39.86</v>
      </c>
      <c r="K353" s="2">
        <f t="shared" si="16"/>
        <v>39.86</v>
      </c>
      <c r="L353" s="2">
        <f t="shared" si="17"/>
        <v>0</v>
      </c>
      <c r="M353" t="s">
        <v>64</v>
      </c>
      <c r="N353" t="s">
        <v>16</v>
      </c>
    </row>
    <row r="354" spans="1:14" x14ac:dyDescent="0.3">
      <c r="A354">
        <v>2024001352</v>
      </c>
      <c r="B354" s="1">
        <v>45356</v>
      </c>
      <c r="C354" s="11">
        <f t="shared" si="15"/>
        <v>2024</v>
      </c>
      <c r="D354" t="s">
        <v>11</v>
      </c>
      <c r="E354" t="s">
        <v>46</v>
      </c>
      <c r="F354" t="s">
        <v>47</v>
      </c>
      <c r="G354" t="s">
        <v>36</v>
      </c>
      <c r="H354">
        <v>1</v>
      </c>
      <c r="I354" s="2">
        <v>87.98</v>
      </c>
      <c r="J354" s="2">
        <v>87.98</v>
      </c>
      <c r="K354" s="2">
        <f t="shared" si="16"/>
        <v>87.98</v>
      </c>
      <c r="L354" s="2">
        <f t="shared" si="17"/>
        <v>0</v>
      </c>
      <c r="M354" t="s">
        <v>57</v>
      </c>
      <c r="N354" t="s">
        <v>26</v>
      </c>
    </row>
    <row r="355" spans="1:14" x14ac:dyDescent="0.3">
      <c r="A355">
        <v>2024001353</v>
      </c>
      <c r="B355" s="1">
        <v>45458</v>
      </c>
      <c r="C355" s="11">
        <f t="shared" si="15"/>
        <v>2024</v>
      </c>
      <c r="D355" t="s">
        <v>237</v>
      </c>
      <c r="E355" t="s">
        <v>23</v>
      </c>
      <c r="F355" t="s">
        <v>24</v>
      </c>
      <c r="G355" t="s">
        <v>14</v>
      </c>
      <c r="H355">
        <v>3</v>
      </c>
      <c r="I355" s="2">
        <v>88.04</v>
      </c>
      <c r="J355" s="2">
        <v>264.12</v>
      </c>
      <c r="K355" s="2">
        <f t="shared" si="16"/>
        <v>264.12</v>
      </c>
      <c r="L355" s="2">
        <f t="shared" si="17"/>
        <v>0</v>
      </c>
      <c r="M355" t="s">
        <v>64</v>
      </c>
      <c r="N355" t="s">
        <v>32</v>
      </c>
    </row>
    <row r="356" spans="1:14" x14ac:dyDescent="0.3">
      <c r="A356">
        <v>2024001354</v>
      </c>
      <c r="B356" s="1">
        <v>45350</v>
      </c>
      <c r="C356" s="11">
        <f t="shared" si="15"/>
        <v>2024</v>
      </c>
      <c r="D356" t="s">
        <v>120</v>
      </c>
      <c r="E356" t="s">
        <v>34</v>
      </c>
      <c r="F356" t="s">
        <v>35</v>
      </c>
      <c r="G356" t="s">
        <v>36</v>
      </c>
      <c r="H356">
        <v>1</v>
      </c>
      <c r="I356" s="2">
        <v>14.53</v>
      </c>
      <c r="J356" s="2">
        <v>14.53</v>
      </c>
      <c r="K356" s="2">
        <f t="shared" si="16"/>
        <v>14.53</v>
      </c>
      <c r="L356" s="2">
        <f t="shared" si="17"/>
        <v>0</v>
      </c>
      <c r="M356" t="s">
        <v>15</v>
      </c>
      <c r="N356" t="s">
        <v>26</v>
      </c>
    </row>
    <row r="357" spans="1:14" x14ac:dyDescent="0.3">
      <c r="A357">
        <v>2024001355</v>
      </c>
      <c r="B357" s="1">
        <v>45311</v>
      </c>
      <c r="C357" s="11">
        <f t="shared" si="15"/>
        <v>2024</v>
      </c>
      <c r="D357" t="s">
        <v>126</v>
      </c>
      <c r="E357" t="s">
        <v>12</v>
      </c>
      <c r="F357" t="s">
        <v>13</v>
      </c>
      <c r="G357" t="s">
        <v>14</v>
      </c>
      <c r="H357">
        <v>3</v>
      </c>
      <c r="I357" s="2">
        <v>360.54</v>
      </c>
      <c r="J357" s="2">
        <v>1081.6199999999999</v>
      </c>
      <c r="K357" s="2">
        <f t="shared" si="16"/>
        <v>1081.6200000000001</v>
      </c>
      <c r="L357" s="2">
        <f t="shared" si="17"/>
        <v>0</v>
      </c>
      <c r="M357" t="s">
        <v>64</v>
      </c>
      <c r="N357" t="s">
        <v>21</v>
      </c>
    </row>
    <row r="358" spans="1:14" x14ac:dyDescent="0.3">
      <c r="A358">
        <v>2024001356</v>
      </c>
      <c r="B358" s="1">
        <v>45523</v>
      </c>
      <c r="C358" s="11">
        <f t="shared" si="15"/>
        <v>2024</v>
      </c>
      <c r="D358" t="s">
        <v>49</v>
      </c>
      <c r="E358" t="s">
        <v>67</v>
      </c>
      <c r="F358" t="s">
        <v>68</v>
      </c>
      <c r="G358" t="s">
        <v>36</v>
      </c>
      <c r="H358">
        <v>1</v>
      </c>
      <c r="I358" s="2">
        <v>431.65</v>
      </c>
      <c r="J358" s="2">
        <v>431.65</v>
      </c>
      <c r="K358" s="2">
        <f t="shared" si="16"/>
        <v>431.65</v>
      </c>
      <c r="L358" s="2">
        <f t="shared" si="17"/>
        <v>0</v>
      </c>
      <c r="M358" t="s">
        <v>61</v>
      </c>
      <c r="N358" t="s">
        <v>21</v>
      </c>
    </row>
    <row r="359" spans="1:14" x14ac:dyDescent="0.3">
      <c r="A359">
        <v>2024001357</v>
      </c>
      <c r="B359" s="1">
        <v>45357</v>
      </c>
      <c r="C359" s="11">
        <f t="shared" si="15"/>
        <v>2024</v>
      </c>
      <c r="D359" t="s">
        <v>238</v>
      </c>
      <c r="E359" t="s">
        <v>34</v>
      </c>
      <c r="F359" t="s">
        <v>35</v>
      </c>
      <c r="G359" t="s">
        <v>36</v>
      </c>
      <c r="H359">
        <v>4</v>
      </c>
      <c r="I359" s="2">
        <v>15.28</v>
      </c>
      <c r="J359" s="2">
        <v>61.12</v>
      </c>
      <c r="K359" s="2">
        <f t="shared" si="16"/>
        <v>61.12</v>
      </c>
      <c r="L359" s="2">
        <f t="shared" si="17"/>
        <v>0</v>
      </c>
      <c r="M359" t="s">
        <v>61</v>
      </c>
      <c r="N359" t="s">
        <v>16</v>
      </c>
    </row>
    <row r="360" spans="1:14" x14ac:dyDescent="0.3">
      <c r="A360">
        <v>2024001358</v>
      </c>
      <c r="B360" s="1">
        <v>45518</v>
      </c>
      <c r="C360" s="11">
        <f t="shared" si="15"/>
        <v>2024</v>
      </c>
      <c r="D360" t="s">
        <v>168</v>
      </c>
      <c r="E360" t="s">
        <v>53</v>
      </c>
      <c r="F360" t="s">
        <v>54</v>
      </c>
      <c r="G360" t="s">
        <v>36</v>
      </c>
      <c r="H360">
        <v>2</v>
      </c>
      <c r="I360" s="2">
        <v>117.44</v>
      </c>
      <c r="J360" s="2">
        <v>234.88</v>
      </c>
      <c r="K360" s="2">
        <f t="shared" si="16"/>
        <v>234.88</v>
      </c>
      <c r="L360" s="2">
        <f t="shared" si="17"/>
        <v>0</v>
      </c>
      <c r="M360" t="s">
        <v>57</v>
      </c>
      <c r="N360" t="s">
        <v>26</v>
      </c>
    </row>
    <row r="361" spans="1:14" x14ac:dyDescent="0.3">
      <c r="A361">
        <v>2024001359</v>
      </c>
      <c r="B361" s="1">
        <v>45598</v>
      </c>
      <c r="C361" s="11">
        <f t="shared" si="15"/>
        <v>2024</v>
      </c>
      <c r="D361" t="s">
        <v>239</v>
      </c>
      <c r="E361" t="s">
        <v>23</v>
      </c>
      <c r="F361" t="s">
        <v>24</v>
      </c>
      <c r="G361" t="s">
        <v>14</v>
      </c>
      <c r="H361">
        <v>1</v>
      </c>
      <c r="I361" s="2">
        <v>84.59</v>
      </c>
      <c r="J361" s="2">
        <v>84.59</v>
      </c>
      <c r="K361" s="2">
        <f t="shared" si="16"/>
        <v>84.59</v>
      </c>
      <c r="L361" s="2">
        <f t="shared" si="17"/>
        <v>0</v>
      </c>
      <c r="M361" t="s">
        <v>20</v>
      </c>
      <c r="N361" t="s">
        <v>32</v>
      </c>
    </row>
    <row r="362" spans="1:14" x14ac:dyDescent="0.3">
      <c r="A362">
        <v>2024001360</v>
      </c>
      <c r="B362" s="1">
        <v>45588</v>
      </c>
      <c r="C362" s="11">
        <f t="shared" si="15"/>
        <v>2024</v>
      </c>
      <c r="D362" t="s">
        <v>217</v>
      </c>
      <c r="E362" t="s">
        <v>18</v>
      </c>
      <c r="F362" t="s">
        <v>19</v>
      </c>
      <c r="G362" t="s">
        <v>14</v>
      </c>
      <c r="H362">
        <v>2</v>
      </c>
      <c r="I362" s="2">
        <v>586.58000000000004</v>
      </c>
      <c r="J362" s="2">
        <v>1173.1600000000001</v>
      </c>
      <c r="K362" s="2">
        <f t="shared" si="16"/>
        <v>1173.1600000000001</v>
      </c>
      <c r="L362" s="2">
        <f t="shared" si="17"/>
        <v>0</v>
      </c>
      <c r="M362" t="s">
        <v>20</v>
      </c>
      <c r="N362" t="s">
        <v>16</v>
      </c>
    </row>
    <row r="363" spans="1:14" x14ac:dyDescent="0.3">
      <c r="A363">
        <v>2024001361</v>
      </c>
      <c r="B363" s="1">
        <v>45333</v>
      </c>
      <c r="C363" s="11">
        <f t="shared" si="15"/>
        <v>2024</v>
      </c>
      <c r="D363" t="s">
        <v>240</v>
      </c>
      <c r="E363" t="s">
        <v>40</v>
      </c>
      <c r="F363" t="s">
        <v>41</v>
      </c>
      <c r="G363" t="s">
        <v>36</v>
      </c>
      <c r="H363">
        <v>1</v>
      </c>
      <c r="I363" s="2">
        <v>47.88</v>
      </c>
      <c r="J363" s="2">
        <v>47.88</v>
      </c>
      <c r="K363" s="2">
        <f t="shared" si="16"/>
        <v>47.88</v>
      </c>
      <c r="L363" s="2">
        <f t="shared" si="17"/>
        <v>0</v>
      </c>
      <c r="M363" t="s">
        <v>57</v>
      </c>
      <c r="N363" t="s">
        <v>26</v>
      </c>
    </row>
    <row r="364" spans="1:14" x14ac:dyDescent="0.3">
      <c r="A364">
        <v>2024001362</v>
      </c>
      <c r="B364" s="1">
        <v>45550</v>
      </c>
      <c r="C364" s="11">
        <f t="shared" si="15"/>
        <v>2024</v>
      </c>
      <c r="D364" t="s">
        <v>11</v>
      </c>
      <c r="E364" t="s">
        <v>40</v>
      </c>
      <c r="F364" t="s">
        <v>41</v>
      </c>
      <c r="G364" t="s">
        <v>36</v>
      </c>
      <c r="H364">
        <v>1</v>
      </c>
      <c r="I364" s="2">
        <v>50.72</v>
      </c>
      <c r="J364" s="2">
        <v>50.72</v>
      </c>
      <c r="K364" s="2">
        <f t="shared" si="16"/>
        <v>50.72</v>
      </c>
      <c r="L364" s="2">
        <f t="shared" si="17"/>
        <v>0</v>
      </c>
      <c r="M364" t="s">
        <v>15</v>
      </c>
      <c r="N364" t="s">
        <v>32</v>
      </c>
    </row>
    <row r="365" spans="1:14" x14ac:dyDescent="0.3">
      <c r="A365">
        <v>2024001363</v>
      </c>
      <c r="B365" s="1">
        <v>45299</v>
      </c>
      <c r="C365" s="11">
        <f t="shared" si="15"/>
        <v>2024</v>
      </c>
      <c r="D365" t="s">
        <v>241</v>
      </c>
      <c r="E365" t="s">
        <v>18</v>
      </c>
      <c r="F365" t="s">
        <v>19</v>
      </c>
      <c r="G365" t="s">
        <v>14</v>
      </c>
      <c r="H365">
        <v>1</v>
      </c>
      <c r="I365" s="2">
        <v>605.48</v>
      </c>
      <c r="J365" s="2">
        <v>605.48</v>
      </c>
      <c r="K365" s="2">
        <f t="shared" si="16"/>
        <v>605.48</v>
      </c>
      <c r="L365" s="2">
        <f t="shared" si="17"/>
        <v>0</v>
      </c>
      <c r="M365" t="s">
        <v>64</v>
      </c>
      <c r="N365" t="s">
        <v>16</v>
      </c>
    </row>
    <row r="366" spans="1:14" x14ac:dyDescent="0.3">
      <c r="A366">
        <v>2024001364</v>
      </c>
      <c r="B366" s="1">
        <v>45537</v>
      </c>
      <c r="C366" s="11">
        <f t="shared" si="15"/>
        <v>2024</v>
      </c>
      <c r="D366" t="s">
        <v>85</v>
      </c>
      <c r="E366" t="s">
        <v>28</v>
      </c>
      <c r="F366" t="s">
        <v>29</v>
      </c>
      <c r="G366" t="s">
        <v>30</v>
      </c>
      <c r="H366">
        <v>3</v>
      </c>
      <c r="I366" s="2">
        <v>25.65</v>
      </c>
      <c r="J366" s="2">
        <v>76.95</v>
      </c>
      <c r="K366" s="2">
        <f t="shared" si="16"/>
        <v>76.949999999999989</v>
      </c>
      <c r="L366" s="2">
        <f t="shared" si="17"/>
        <v>0</v>
      </c>
      <c r="M366" t="s">
        <v>15</v>
      </c>
      <c r="N366" t="s">
        <v>26</v>
      </c>
    </row>
    <row r="367" spans="1:14" x14ac:dyDescent="0.3">
      <c r="A367">
        <v>2024001365</v>
      </c>
      <c r="B367" s="1">
        <v>45312</v>
      </c>
      <c r="C367" s="11">
        <f t="shared" si="15"/>
        <v>2024</v>
      </c>
      <c r="D367" t="s">
        <v>152</v>
      </c>
      <c r="E367" t="s">
        <v>40</v>
      </c>
      <c r="F367" t="s">
        <v>41</v>
      </c>
      <c r="G367" t="s">
        <v>36</v>
      </c>
      <c r="H367">
        <v>1</v>
      </c>
      <c r="I367" s="2">
        <v>45.01</v>
      </c>
      <c r="J367" s="2">
        <v>45.01</v>
      </c>
      <c r="K367" s="2">
        <f t="shared" si="16"/>
        <v>45.01</v>
      </c>
      <c r="L367" s="2">
        <f t="shared" si="17"/>
        <v>0</v>
      </c>
      <c r="M367" t="s">
        <v>64</v>
      </c>
      <c r="N367" t="s">
        <v>16</v>
      </c>
    </row>
    <row r="368" spans="1:14" x14ac:dyDescent="0.3">
      <c r="A368">
        <v>2024001366</v>
      </c>
      <c r="B368" s="1">
        <v>45514</v>
      </c>
      <c r="C368" s="11">
        <f t="shared" si="15"/>
        <v>2024</v>
      </c>
      <c r="D368" t="s">
        <v>11</v>
      </c>
      <c r="E368" t="s">
        <v>53</v>
      </c>
      <c r="F368" t="s">
        <v>54</v>
      </c>
      <c r="G368" t="s">
        <v>36</v>
      </c>
      <c r="H368">
        <v>1</v>
      </c>
      <c r="I368" s="2">
        <v>116.38</v>
      </c>
      <c r="J368" s="2">
        <v>116.38</v>
      </c>
      <c r="K368" s="2">
        <f t="shared" si="16"/>
        <v>116.38</v>
      </c>
      <c r="L368" s="2">
        <f t="shared" si="17"/>
        <v>0</v>
      </c>
      <c r="M368" t="s">
        <v>38</v>
      </c>
      <c r="N368" t="s">
        <v>26</v>
      </c>
    </row>
    <row r="369" spans="1:14" x14ac:dyDescent="0.3">
      <c r="A369">
        <v>2024001367</v>
      </c>
      <c r="B369" s="1">
        <v>45445</v>
      </c>
      <c r="C369" s="11">
        <f t="shared" si="15"/>
        <v>2024</v>
      </c>
      <c r="D369" t="s">
        <v>142</v>
      </c>
      <c r="E369" t="s">
        <v>34</v>
      </c>
      <c r="F369" t="s">
        <v>35</v>
      </c>
      <c r="G369" t="s">
        <v>36</v>
      </c>
      <c r="H369">
        <v>1</v>
      </c>
      <c r="I369" s="2">
        <v>15.21</v>
      </c>
      <c r="J369" s="2">
        <v>15.21</v>
      </c>
      <c r="K369" s="2">
        <f t="shared" si="16"/>
        <v>15.21</v>
      </c>
      <c r="L369" s="2">
        <f t="shared" si="17"/>
        <v>0</v>
      </c>
      <c r="M369" t="s">
        <v>48</v>
      </c>
      <c r="N369" t="s">
        <v>32</v>
      </c>
    </row>
    <row r="370" spans="1:14" x14ac:dyDescent="0.3">
      <c r="A370">
        <v>2024001368</v>
      </c>
      <c r="B370" s="1">
        <v>45425</v>
      </c>
      <c r="C370" s="11">
        <f t="shared" si="15"/>
        <v>2024</v>
      </c>
      <c r="D370" t="s">
        <v>242</v>
      </c>
      <c r="E370" t="s">
        <v>28</v>
      </c>
      <c r="F370" t="s">
        <v>29</v>
      </c>
      <c r="G370" t="s">
        <v>30</v>
      </c>
      <c r="H370">
        <v>1</v>
      </c>
      <c r="I370" s="2">
        <v>24.79</v>
      </c>
      <c r="J370" s="2">
        <v>24.79</v>
      </c>
      <c r="K370" s="2">
        <f t="shared" si="16"/>
        <v>24.79</v>
      </c>
      <c r="L370" s="2">
        <f t="shared" si="17"/>
        <v>0</v>
      </c>
      <c r="M370" t="s">
        <v>25</v>
      </c>
      <c r="N370" t="s">
        <v>32</v>
      </c>
    </row>
    <row r="371" spans="1:14" x14ac:dyDescent="0.3">
      <c r="A371">
        <v>2024001369</v>
      </c>
      <c r="B371" s="1">
        <v>45517</v>
      </c>
      <c r="C371" s="11">
        <f t="shared" si="15"/>
        <v>2024</v>
      </c>
      <c r="D371" t="s">
        <v>11</v>
      </c>
      <c r="E371" t="s">
        <v>67</v>
      </c>
      <c r="F371" t="s">
        <v>68</v>
      </c>
      <c r="G371" t="s">
        <v>36</v>
      </c>
      <c r="H371">
        <v>3</v>
      </c>
      <c r="I371" s="2">
        <v>426.12</v>
      </c>
      <c r="J371" s="2">
        <v>1278.3599999999999</v>
      </c>
      <c r="K371" s="2">
        <f t="shared" si="16"/>
        <v>1278.3600000000001</v>
      </c>
      <c r="L371" s="2">
        <f t="shared" si="17"/>
        <v>0</v>
      </c>
      <c r="M371" t="s">
        <v>31</v>
      </c>
      <c r="N371" t="s">
        <v>32</v>
      </c>
    </row>
    <row r="372" spans="1:14" x14ac:dyDescent="0.3">
      <c r="A372">
        <v>2024001370</v>
      </c>
      <c r="B372" s="1">
        <v>45568</v>
      </c>
      <c r="C372" s="11">
        <f t="shared" si="15"/>
        <v>2024</v>
      </c>
      <c r="D372" t="s">
        <v>196</v>
      </c>
      <c r="E372" t="s">
        <v>23</v>
      </c>
      <c r="F372" t="s">
        <v>24</v>
      </c>
      <c r="G372" t="s">
        <v>14</v>
      </c>
      <c r="H372">
        <v>1</v>
      </c>
      <c r="I372" s="2">
        <v>77.61</v>
      </c>
      <c r="J372" s="2">
        <v>77.61</v>
      </c>
      <c r="K372" s="2">
        <f t="shared" si="16"/>
        <v>77.61</v>
      </c>
      <c r="L372" s="2">
        <f t="shared" si="17"/>
        <v>0</v>
      </c>
      <c r="M372" t="s">
        <v>55</v>
      </c>
      <c r="N372" t="s">
        <v>26</v>
      </c>
    </row>
    <row r="373" spans="1:14" x14ac:dyDescent="0.3">
      <c r="A373">
        <v>2024001371</v>
      </c>
      <c r="B373" s="1">
        <v>45598</v>
      </c>
      <c r="C373" s="11">
        <f t="shared" si="15"/>
        <v>2024</v>
      </c>
      <c r="D373" t="s">
        <v>117</v>
      </c>
      <c r="E373" t="s">
        <v>28</v>
      </c>
      <c r="F373" t="s">
        <v>29</v>
      </c>
      <c r="G373" t="s">
        <v>30</v>
      </c>
      <c r="H373">
        <v>1</v>
      </c>
      <c r="I373" s="2">
        <v>27.05</v>
      </c>
      <c r="J373" s="2">
        <v>27.05</v>
      </c>
      <c r="K373" s="2">
        <f t="shared" si="16"/>
        <v>27.05</v>
      </c>
      <c r="L373" s="2">
        <f t="shared" si="17"/>
        <v>0</v>
      </c>
      <c r="M373" t="s">
        <v>64</v>
      </c>
      <c r="N373" t="s">
        <v>26</v>
      </c>
    </row>
    <row r="374" spans="1:14" x14ac:dyDescent="0.3">
      <c r="A374">
        <v>2024001372</v>
      </c>
      <c r="B374" s="1">
        <v>45616</v>
      </c>
      <c r="C374" s="11">
        <f t="shared" si="15"/>
        <v>2024</v>
      </c>
      <c r="D374" t="s">
        <v>243</v>
      </c>
      <c r="E374" t="s">
        <v>34</v>
      </c>
      <c r="F374" t="s">
        <v>35</v>
      </c>
      <c r="G374" t="s">
        <v>36</v>
      </c>
      <c r="H374">
        <v>1</v>
      </c>
      <c r="I374" s="2">
        <v>14.63</v>
      </c>
      <c r="J374" s="2">
        <v>14.63</v>
      </c>
      <c r="K374" s="2">
        <f t="shared" si="16"/>
        <v>14.63</v>
      </c>
      <c r="L374" s="2">
        <f t="shared" si="17"/>
        <v>0</v>
      </c>
      <c r="M374" t="s">
        <v>57</v>
      </c>
      <c r="N374" t="s">
        <v>32</v>
      </c>
    </row>
    <row r="375" spans="1:14" x14ac:dyDescent="0.3">
      <c r="A375">
        <v>2024001373</v>
      </c>
      <c r="B375" s="1">
        <v>45539</v>
      </c>
      <c r="C375" s="11">
        <f t="shared" si="15"/>
        <v>2024</v>
      </c>
      <c r="D375" t="s">
        <v>196</v>
      </c>
      <c r="E375" t="s">
        <v>53</v>
      </c>
      <c r="F375" t="s">
        <v>54</v>
      </c>
      <c r="G375" t="s">
        <v>36</v>
      </c>
      <c r="H375">
        <v>1</v>
      </c>
      <c r="I375" s="2">
        <v>121.78</v>
      </c>
      <c r="J375" s="2">
        <v>121.78</v>
      </c>
      <c r="K375" s="2">
        <f t="shared" si="16"/>
        <v>121.78</v>
      </c>
      <c r="L375" s="2">
        <f t="shared" si="17"/>
        <v>0</v>
      </c>
      <c r="M375" t="s">
        <v>38</v>
      </c>
      <c r="N375" t="s">
        <v>32</v>
      </c>
    </row>
    <row r="376" spans="1:14" x14ac:dyDescent="0.3">
      <c r="A376">
        <v>2024001374</v>
      </c>
      <c r="B376" s="1">
        <v>45292</v>
      </c>
      <c r="C376" s="11">
        <f t="shared" si="15"/>
        <v>2024</v>
      </c>
      <c r="D376" t="s">
        <v>66</v>
      </c>
      <c r="E376" t="s">
        <v>53</v>
      </c>
      <c r="F376" t="s">
        <v>54</v>
      </c>
      <c r="G376" t="s">
        <v>36</v>
      </c>
      <c r="H376">
        <v>1</v>
      </c>
      <c r="I376" s="2">
        <v>125.21</v>
      </c>
      <c r="J376" s="2">
        <v>125.21</v>
      </c>
      <c r="K376" s="2">
        <f t="shared" si="16"/>
        <v>125.21</v>
      </c>
      <c r="L376" s="2">
        <f t="shared" si="17"/>
        <v>0</v>
      </c>
      <c r="M376" t="s">
        <v>64</v>
      </c>
      <c r="N376" t="s">
        <v>21</v>
      </c>
    </row>
    <row r="377" spans="1:14" x14ac:dyDescent="0.3">
      <c r="A377">
        <v>2024001184</v>
      </c>
      <c r="B377" s="1">
        <v>45482</v>
      </c>
      <c r="C377" s="11">
        <f t="shared" si="15"/>
        <v>2024</v>
      </c>
      <c r="D377" t="s">
        <v>37</v>
      </c>
      <c r="E377" t="s">
        <v>34</v>
      </c>
      <c r="F377" t="s">
        <v>35</v>
      </c>
      <c r="G377" t="s">
        <v>36</v>
      </c>
      <c r="H377">
        <v>3</v>
      </c>
      <c r="I377" s="2">
        <v>14.72</v>
      </c>
      <c r="J377" s="2">
        <v>44.16</v>
      </c>
      <c r="K377" s="2">
        <f t="shared" si="16"/>
        <v>44.160000000000004</v>
      </c>
      <c r="L377" s="2">
        <f t="shared" si="17"/>
        <v>0</v>
      </c>
      <c r="M377" t="s">
        <v>25</v>
      </c>
      <c r="N377" t="s">
        <v>16</v>
      </c>
    </row>
    <row r="378" spans="1:14" x14ac:dyDescent="0.3">
      <c r="A378">
        <v>2024001376</v>
      </c>
      <c r="B378" s="1">
        <v>45433</v>
      </c>
      <c r="C378" s="11">
        <f t="shared" si="15"/>
        <v>2024</v>
      </c>
      <c r="D378" t="s">
        <v>158</v>
      </c>
      <c r="E378" t="s">
        <v>28</v>
      </c>
      <c r="F378" t="s">
        <v>29</v>
      </c>
      <c r="G378" t="s">
        <v>30</v>
      </c>
      <c r="H378">
        <v>3</v>
      </c>
      <c r="I378" s="2">
        <v>23.48</v>
      </c>
      <c r="J378" s="2">
        <v>70.44</v>
      </c>
      <c r="K378" s="2">
        <f t="shared" si="16"/>
        <v>70.44</v>
      </c>
      <c r="L378" s="2">
        <f t="shared" si="17"/>
        <v>0</v>
      </c>
      <c r="M378" t="s">
        <v>61</v>
      </c>
      <c r="N378" t="s">
        <v>16</v>
      </c>
    </row>
    <row r="379" spans="1:14" x14ac:dyDescent="0.3">
      <c r="A379">
        <v>2024001377</v>
      </c>
      <c r="B379" s="1">
        <v>45542</v>
      </c>
      <c r="C379" s="11">
        <f t="shared" si="15"/>
        <v>2024</v>
      </c>
      <c r="D379" t="s">
        <v>216</v>
      </c>
      <c r="E379" t="s">
        <v>53</v>
      </c>
      <c r="F379" t="s">
        <v>54</v>
      </c>
      <c r="G379" t="s">
        <v>36</v>
      </c>
      <c r="H379">
        <v>1</v>
      </c>
      <c r="I379" s="2">
        <v>125.01</v>
      </c>
      <c r="J379" s="2">
        <v>125.01</v>
      </c>
      <c r="K379" s="2">
        <f t="shared" si="16"/>
        <v>125.01</v>
      </c>
      <c r="L379" s="2">
        <f t="shared" si="17"/>
        <v>0</v>
      </c>
      <c r="M379" t="s">
        <v>55</v>
      </c>
      <c r="N379" t="s">
        <v>32</v>
      </c>
    </row>
    <row r="380" spans="1:14" x14ac:dyDescent="0.3">
      <c r="A380">
        <v>2024001378</v>
      </c>
      <c r="B380" s="1">
        <v>45337</v>
      </c>
      <c r="C380" s="11">
        <f t="shared" si="15"/>
        <v>2024</v>
      </c>
      <c r="D380" t="s">
        <v>139</v>
      </c>
      <c r="E380" t="s">
        <v>12</v>
      </c>
      <c r="F380" t="s">
        <v>13</v>
      </c>
      <c r="G380" t="s">
        <v>14</v>
      </c>
      <c r="H380">
        <v>1</v>
      </c>
      <c r="I380" s="2">
        <v>345.83</v>
      </c>
      <c r="J380" s="2">
        <v>345.83</v>
      </c>
      <c r="K380" s="2">
        <f t="shared" si="16"/>
        <v>345.83</v>
      </c>
      <c r="L380" s="2">
        <f t="shared" si="17"/>
        <v>0</v>
      </c>
      <c r="M380" t="s">
        <v>38</v>
      </c>
      <c r="N380" t="s">
        <v>26</v>
      </c>
    </row>
    <row r="381" spans="1:14" x14ac:dyDescent="0.3">
      <c r="A381">
        <v>2024001379</v>
      </c>
      <c r="B381" s="1">
        <v>45572</v>
      </c>
      <c r="C381" s="11">
        <f t="shared" si="15"/>
        <v>2024</v>
      </c>
      <c r="D381" t="s">
        <v>244</v>
      </c>
      <c r="E381" t="s">
        <v>46</v>
      </c>
      <c r="F381" t="s">
        <v>47</v>
      </c>
      <c r="G381" t="s">
        <v>36</v>
      </c>
      <c r="H381">
        <v>4</v>
      </c>
      <c r="I381" s="2">
        <v>85.44</v>
      </c>
      <c r="J381" s="2">
        <v>341.76</v>
      </c>
      <c r="K381" s="2">
        <f t="shared" si="16"/>
        <v>341.76</v>
      </c>
      <c r="L381" s="2">
        <f t="shared" si="17"/>
        <v>0</v>
      </c>
      <c r="M381" t="s">
        <v>64</v>
      </c>
      <c r="N381" t="s">
        <v>32</v>
      </c>
    </row>
    <row r="382" spans="1:14" x14ac:dyDescent="0.3">
      <c r="A382">
        <v>2024001380</v>
      </c>
      <c r="B382" s="1">
        <v>45374</v>
      </c>
      <c r="C382" s="11">
        <f t="shared" si="15"/>
        <v>2024</v>
      </c>
      <c r="D382" t="s">
        <v>200</v>
      </c>
      <c r="E382" t="s">
        <v>34</v>
      </c>
      <c r="F382" t="s">
        <v>35</v>
      </c>
      <c r="G382" t="s">
        <v>36</v>
      </c>
      <c r="H382">
        <v>3</v>
      </c>
      <c r="I382" s="2">
        <v>15.63</v>
      </c>
      <c r="J382" s="2">
        <v>46.89</v>
      </c>
      <c r="K382" s="2">
        <f t="shared" si="16"/>
        <v>46.89</v>
      </c>
      <c r="L382" s="2">
        <f t="shared" si="17"/>
        <v>0</v>
      </c>
      <c r="M382" t="s">
        <v>15</v>
      </c>
      <c r="N382" t="s">
        <v>16</v>
      </c>
    </row>
    <row r="383" spans="1:14" x14ac:dyDescent="0.3">
      <c r="A383">
        <v>2024001381</v>
      </c>
      <c r="B383" s="1">
        <v>45354</v>
      </c>
      <c r="C383" s="11">
        <f t="shared" si="15"/>
        <v>2024</v>
      </c>
      <c r="D383" t="s">
        <v>245</v>
      </c>
      <c r="E383" t="s">
        <v>53</v>
      </c>
      <c r="F383" t="s">
        <v>54</v>
      </c>
      <c r="G383" t="s">
        <v>36</v>
      </c>
      <c r="H383">
        <v>2</v>
      </c>
      <c r="I383" s="2">
        <v>122.97</v>
      </c>
      <c r="J383" s="2">
        <v>245.94</v>
      </c>
      <c r="K383" s="2">
        <f t="shared" si="16"/>
        <v>245.94</v>
      </c>
      <c r="L383" s="2">
        <f t="shared" si="17"/>
        <v>0</v>
      </c>
      <c r="M383" t="s">
        <v>57</v>
      </c>
      <c r="N383" t="s">
        <v>21</v>
      </c>
    </row>
    <row r="384" spans="1:14" x14ac:dyDescent="0.3">
      <c r="A384">
        <v>2024001382</v>
      </c>
      <c r="B384" s="1">
        <v>45411</v>
      </c>
      <c r="C384" s="11">
        <f t="shared" si="15"/>
        <v>2024</v>
      </c>
      <c r="D384" t="s">
        <v>217</v>
      </c>
      <c r="E384" t="s">
        <v>23</v>
      </c>
      <c r="F384" t="s">
        <v>24</v>
      </c>
      <c r="G384" t="s">
        <v>14</v>
      </c>
      <c r="H384">
        <v>1</v>
      </c>
      <c r="I384" s="2">
        <v>80.34</v>
      </c>
      <c r="J384" s="2">
        <v>80.34</v>
      </c>
      <c r="K384" s="2">
        <f t="shared" si="16"/>
        <v>80.34</v>
      </c>
      <c r="L384" s="2">
        <f t="shared" si="17"/>
        <v>0</v>
      </c>
      <c r="M384" t="s">
        <v>38</v>
      </c>
      <c r="N384" t="s">
        <v>26</v>
      </c>
    </row>
    <row r="385" spans="1:14" x14ac:dyDescent="0.3">
      <c r="A385">
        <v>2024001383</v>
      </c>
      <c r="B385" s="1">
        <v>45433</v>
      </c>
      <c r="C385" s="11">
        <f t="shared" si="15"/>
        <v>2024</v>
      </c>
      <c r="D385" t="s">
        <v>105</v>
      </c>
      <c r="E385" t="s">
        <v>18</v>
      </c>
      <c r="F385" t="s">
        <v>19</v>
      </c>
      <c r="G385" t="s">
        <v>14</v>
      </c>
      <c r="H385">
        <v>1</v>
      </c>
      <c r="I385" s="2">
        <v>582.6</v>
      </c>
      <c r="J385" s="2">
        <v>582.6</v>
      </c>
      <c r="K385" s="2">
        <f t="shared" si="16"/>
        <v>582.6</v>
      </c>
      <c r="L385" s="2">
        <f t="shared" si="17"/>
        <v>0</v>
      </c>
      <c r="M385" t="s">
        <v>48</v>
      </c>
      <c r="N385" t="s">
        <v>32</v>
      </c>
    </row>
    <row r="386" spans="1:14" x14ac:dyDescent="0.3">
      <c r="A386">
        <v>2024001384</v>
      </c>
      <c r="B386" s="1">
        <v>45359</v>
      </c>
      <c r="C386" s="11">
        <f t="shared" si="15"/>
        <v>2024</v>
      </c>
      <c r="D386" t="s">
        <v>186</v>
      </c>
      <c r="E386" t="s">
        <v>40</v>
      </c>
      <c r="F386" t="s">
        <v>41</v>
      </c>
      <c r="G386" t="s">
        <v>36</v>
      </c>
      <c r="H386">
        <v>2</v>
      </c>
      <c r="I386" s="2">
        <v>47.03</v>
      </c>
      <c r="J386" s="2">
        <v>94.06</v>
      </c>
      <c r="K386" s="2">
        <f t="shared" si="16"/>
        <v>94.06</v>
      </c>
      <c r="L386" s="2">
        <f t="shared" si="17"/>
        <v>0</v>
      </c>
      <c r="M386" t="s">
        <v>15</v>
      </c>
      <c r="N386" t="s">
        <v>32</v>
      </c>
    </row>
    <row r="387" spans="1:14" x14ac:dyDescent="0.3">
      <c r="A387">
        <v>2024001385</v>
      </c>
      <c r="B387" s="1">
        <v>45353</v>
      </c>
      <c r="C387" s="11">
        <f t="shared" ref="C387:C450" si="18">YEAR(B387)</f>
        <v>2024</v>
      </c>
      <c r="D387" t="s">
        <v>152</v>
      </c>
      <c r="E387" t="s">
        <v>34</v>
      </c>
      <c r="F387" t="s">
        <v>35</v>
      </c>
      <c r="G387" t="s">
        <v>36</v>
      </c>
      <c r="H387">
        <v>1</v>
      </c>
      <c r="I387" s="2">
        <v>15.16</v>
      </c>
      <c r="J387" s="2">
        <v>15.16</v>
      </c>
      <c r="K387" s="2">
        <f t="shared" ref="K387:K450" si="19">I387*H387</f>
        <v>15.16</v>
      </c>
      <c r="L387" s="2">
        <f t="shared" ref="L387:L450" si="20">J387-K387</f>
        <v>0</v>
      </c>
      <c r="M387" t="s">
        <v>55</v>
      </c>
      <c r="N387" t="s">
        <v>26</v>
      </c>
    </row>
    <row r="388" spans="1:14" x14ac:dyDescent="0.3">
      <c r="A388">
        <v>2024001386</v>
      </c>
      <c r="B388" s="1">
        <v>45546</v>
      </c>
      <c r="C388" s="11">
        <f t="shared" si="18"/>
        <v>2024</v>
      </c>
      <c r="D388" t="s">
        <v>11</v>
      </c>
      <c r="E388" t="s">
        <v>18</v>
      </c>
      <c r="F388" t="s">
        <v>19</v>
      </c>
      <c r="G388" t="s">
        <v>14</v>
      </c>
      <c r="H388">
        <v>1</v>
      </c>
      <c r="I388" s="2">
        <v>610.42999999999995</v>
      </c>
      <c r="J388" s="2">
        <v>610.42999999999995</v>
      </c>
      <c r="K388" s="2">
        <f t="shared" si="19"/>
        <v>610.42999999999995</v>
      </c>
      <c r="L388" s="2">
        <f t="shared" si="20"/>
        <v>0</v>
      </c>
      <c r="M388" t="s">
        <v>61</v>
      </c>
      <c r="N388" t="s">
        <v>26</v>
      </c>
    </row>
    <row r="389" spans="1:14" x14ac:dyDescent="0.3">
      <c r="A389">
        <v>2024001387</v>
      </c>
      <c r="B389" s="1">
        <v>45492</v>
      </c>
      <c r="C389" s="11">
        <f t="shared" si="18"/>
        <v>2024</v>
      </c>
      <c r="D389" t="s">
        <v>91</v>
      </c>
      <c r="E389" t="s">
        <v>43</v>
      </c>
      <c r="F389" t="s">
        <v>44</v>
      </c>
      <c r="G389" t="s">
        <v>36</v>
      </c>
      <c r="H389">
        <v>1</v>
      </c>
      <c r="I389" s="2">
        <v>1269.81</v>
      </c>
      <c r="J389" s="2">
        <v>1269.81</v>
      </c>
      <c r="K389" s="2">
        <f t="shared" si="19"/>
        <v>1269.81</v>
      </c>
      <c r="L389" s="2">
        <f t="shared" si="20"/>
        <v>0</v>
      </c>
      <c r="M389" t="s">
        <v>61</v>
      </c>
      <c r="N389" t="s">
        <v>32</v>
      </c>
    </row>
    <row r="390" spans="1:14" x14ac:dyDescent="0.3">
      <c r="A390">
        <v>2024001388</v>
      </c>
      <c r="B390" s="1">
        <v>45592</v>
      </c>
      <c r="C390" s="11">
        <f t="shared" si="18"/>
        <v>2024</v>
      </c>
      <c r="D390" t="s">
        <v>246</v>
      </c>
      <c r="E390" t="s">
        <v>28</v>
      </c>
      <c r="F390" t="s">
        <v>29</v>
      </c>
      <c r="G390" t="s">
        <v>30</v>
      </c>
      <c r="H390">
        <v>1</v>
      </c>
      <c r="I390" s="2">
        <v>24.56</v>
      </c>
      <c r="J390" s="2">
        <v>24.56</v>
      </c>
      <c r="K390" s="2">
        <f t="shared" si="19"/>
        <v>24.56</v>
      </c>
      <c r="L390" s="2">
        <f t="shared" si="20"/>
        <v>0</v>
      </c>
      <c r="M390" t="s">
        <v>25</v>
      </c>
      <c r="N390" t="s">
        <v>21</v>
      </c>
    </row>
    <row r="391" spans="1:14" x14ac:dyDescent="0.3">
      <c r="A391">
        <v>2024001389</v>
      </c>
      <c r="B391" s="1">
        <v>45329</v>
      </c>
      <c r="C391" s="11">
        <f t="shared" si="18"/>
        <v>2024</v>
      </c>
      <c r="D391" t="s">
        <v>247</v>
      </c>
      <c r="E391" t="s">
        <v>28</v>
      </c>
      <c r="F391" t="s">
        <v>29</v>
      </c>
      <c r="G391" t="s">
        <v>30</v>
      </c>
      <c r="H391">
        <v>2</v>
      </c>
      <c r="I391" s="2">
        <v>24.56</v>
      </c>
      <c r="J391" s="2">
        <v>49.12</v>
      </c>
      <c r="K391" s="2">
        <f t="shared" si="19"/>
        <v>49.12</v>
      </c>
      <c r="L391" s="2">
        <f t="shared" si="20"/>
        <v>0</v>
      </c>
      <c r="M391" t="s">
        <v>38</v>
      </c>
      <c r="N391" t="s">
        <v>21</v>
      </c>
    </row>
    <row r="392" spans="1:14" x14ac:dyDescent="0.3">
      <c r="A392">
        <v>2024001390</v>
      </c>
      <c r="B392" s="1">
        <v>45639</v>
      </c>
      <c r="C392" s="11">
        <f t="shared" si="18"/>
        <v>2024</v>
      </c>
      <c r="D392" t="s">
        <v>107</v>
      </c>
      <c r="E392" t="s">
        <v>12</v>
      </c>
      <c r="F392" t="s">
        <v>13</v>
      </c>
      <c r="G392" t="s">
        <v>14</v>
      </c>
      <c r="H392">
        <v>1</v>
      </c>
      <c r="I392" s="2">
        <v>387.99</v>
      </c>
      <c r="J392" s="2">
        <v>387.99</v>
      </c>
      <c r="K392" s="2">
        <f t="shared" si="19"/>
        <v>387.99</v>
      </c>
      <c r="L392" s="2">
        <f t="shared" si="20"/>
        <v>0</v>
      </c>
      <c r="M392" t="s">
        <v>55</v>
      </c>
      <c r="N392" t="s">
        <v>32</v>
      </c>
    </row>
    <row r="393" spans="1:14" x14ac:dyDescent="0.3">
      <c r="A393">
        <v>2024001391</v>
      </c>
      <c r="B393" s="1">
        <v>45453</v>
      </c>
      <c r="C393" s="11">
        <f t="shared" si="18"/>
        <v>2024</v>
      </c>
      <c r="D393" t="s">
        <v>124</v>
      </c>
      <c r="E393" t="s">
        <v>23</v>
      </c>
      <c r="F393" t="s">
        <v>24</v>
      </c>
      <c r="G393" t="s">
        <v>14</v>
      </c>
      <c r="H393">
        <v>2</v>
      </c>
      <c r="I393" s="2">
        <v>79.3</v>
      </c>
      <c r="J393" s="2">
        <v>158.6</v>
      </c>
      <c r="K393" s="2">
        <f t="shared" si="19"/>
        <v>158.6</v>
      </c>
      <c r="L393" s="2">
        <f t="shared" si="20"/>
        <v>0</v>
      </c>
      <c r="M393" t="s">
        <v>64</v>
      </c>
      <c r="N393" t="s">
        <v>16</v>
      </c>
    </row>
    <row r="394" spans="1:14" x14ac:dyDescent="0.3">
      <c r="A394">
        <v>2024001392</v>
      </c>
      <c r="B394" s="1">
        <v>45444</v>
      </c>
      <c r="C394" s="11">
        <f t="shared" si="18"/>
        <v>2024</v>
      </c>
      <c r="D394" t="s">
        <v>164</v>
      </c>
      <c r="E394" t="s">
        <v>43</v>
      </c>
      <c r="F394" t="s">
        <v>44</v>
      </c>
      <c r="G394" t="s">
        <v>36</v>
      </c>
      <c r="H394">
        <v>1</v>
      </c>
      <c r="I394" s="2">
        <v>1086.6300000000001</v>
      </c>
      <c r="J394" s="2">
        <v>1086.6300000000001</v>
      </c>
      <c r="K394" s="2">
        <f t="shared" si="19"/>
        <v>1086.6300000000001</v>
      </c>
      <c r="L394" s="2">
        <f t="shared" si="20"/>
        <v>0</v>
      </c>
      <c r="M394" t="s">
        <v>31</v>
      </c>
      <c r="N394" t="s">
        <v>26</v>
      </c>
    </row>
    <row r="395" spans="1:14" x14ac:dyDescent="0.3">
      <c r="A395">
        <v>2024001393</v>
      </c>
      <c r="B395" s="1">
        <v>45384</v>
      </c>
      <c r="C395" s="11">
        <f t="shared" si="18"/>
        <v>2024</v>
      </c>
      <c r="D395" t="s">
        <v>248</v>
      </c>
      <c r="E395" t="s">
        <v>43</v>
      </c>
      <c r="F395" t="s">
        <v>44</v>
      </c>
      <c r="G395" t="s">
        <v>36</v>
      </c>
      <c r="H395">
        <v>2</v>
      </c>
      <c r="I395" s="2">
        <v>1363.69</v>
      </c>
      <c r="J395" s="2">
        <v>2727.38</v>
      </c>
      <c r="K395" s="2">
        <f t="shared" si="19"/>
        <v>2727.38</v>
      </c>
      <c r="L395" s="2">
        <f t="shared" si="20"/>
        <v>0</v>
      </c>
      <c r="M395" t="s">
        <v>38</v>
      </c>
      <c r="N395" t="s">
        <v>32</v>
      </c>
    </row>
    <row r="396" spans="1:14" x14ac:dyDescent="0.3">
      <c r="A396">
        <v>2024001394</v>
      </c>
      <c r="B396" s="1">
        <v>45468</v>
      </c>
      <c r="C396" s="11">
        <f t="shared" si="18"/>
        <v>2024</v>
      </c>
      <c r="D396" t="s">
        <v>213</v>
      </c>
      <c r="E396" t="s">
        <v>67</v>
      </c>
      <c r="F396" t="s">
        <v>68</v>
      </c>
      <c r="G396" t="s">
        <v>36</v>
      </c>
      <c r="H396">
        <v>3</v>
      </c>
      <c r="I396" s="2">
        <v>390.3</v>
      </c>
      <c r="J396" s="2">
        <v>1170.9000000000001</v>
      </c>
      <c r="K396" s="2">
        <f t="shared" si="19"/>
        <v>1170.9000000000001</v>
      </c>
      <c r="L396" s="2">
        <f t="shared" si="20"/>
        <v>0</v>
      </c>
      <c r="M396" t="s">
        <v>15</v>
      </c>
      <c r="N396" t="s">
        <v>26</v>
      </c>
    </row>
    <row r="397" spans="1:14" x14ac:dyDescent="0.3">
      <c r="A397">
        <v>2024001395</v>
      </c>
      <c r="B397" s="1">
        <v>45536</v>
      </c>
      <c r="C397" s="11">
        <f t="shared" si="18"/>
        <v>2024</v>
      </c>
      <c r="D397" t="s">
        <v>87</v>
      </c>
      <c r="E397" t="s">
        <v>46</v>
      </c>
      <c r="F397" t="s">
        <v>47</v>
      </c>
      <c r="G397" t="s">
        <v>36</v>
      </c>
      <c r="H397">
        <v>1</v>
      </c>
      <c r="I397" s="2">
        <v>93.49</v>
      </c>
      <c r="J397" s="2">
        <v>93.49</v>
      </c>
      <c r="K397" s="2">
        <f t="shared" si="19"/>
        <v>93.49</v>
      </c>
      <c r="L397" s="2">
        <f t="shared" si="20"/>
        <v>0</v>
      </c>
      <c r="M397" t="s">
        <v>48</v>
      </c>
      <c r="N397" t="s">
        <v>26</v>
      </c>
    </row>
    <row r="398" spans="1:14" x14ac:dyDescent="0.3">
      <c r="A398">
        <v>2024001396</v>
      </c>
      <c r="B398" s="1">
        <v>45635</v>
      </c>
      <c r="C398" s="11">
        <f t="shared" si="18"/>
        <v>2024</v>
      </c>
      <c r="D398" t="s">
        <v>11</v>
      </c>
      <c r="E398" t="s">
        <v>18</v>
      </c>
      <c r="F398" t="s">
        <v>19</v>
      </c>
      <c r="G398" t="s">
        <v>14</v>
      </c>
      <c r="H398">
        <v>1</v>
      </c>
      <c r="I398" s="2">
        <v>603.96</v>
      </c>
      <c r="J398" s="2">
        <v>603.96</v>
      </c>
      <c r="K398" s="2">
        <f t="shared" si="19"/>
        <v>603.96</v>
      </c>
      <c r="L398" s="2">
        <f t="shared" si="20"/>
        <v>0</v>
      </c>
      <c r="M398" t="s">
        <v>15</v>
      </c>
      <c r="N398" t="s">
        <v>21</v>
      </c>
    </row>
    <row r="399" spans="1:14" x14ac:dyDescent="0.3">
      <c r="A399">
        <v>2024001397</v>
      </c>
      <c r="B399" s="1">
        <v>45332</v>
      </c>
      <c r="C399" s="11">
        <f t="shared" si="18"/>
        <v>2024</v>
      </c>
      <c r="D399" t="s">
        <v>158</v>
      </c>
      <c r="E399" t="s">
        <v>34</v>
      </c>
      <c r="F399" t="s">
        <v>35</v>
      </c>
      <c r="G399" t="s">
        <v>36</v>
      </c>
      <c r="H399">
        <v>1</v>
      </c>
      <c r="I399" s="2">
        <v>16</v>
      </c>
      <c r="J399" s="2">
        <v>16</v>
      </c>
      <c r="K399" s="2">
        <f t="shared" si="19"/>
        <v>16</v>
      </c>
      <c r="L399" s="2">
        <f t="shared" si="20"/>
        <v>0</v>
      </c>
      <c r="M399" t="s">
        <v>61</v>
      </c>
      <c r="N399" t="s">
        <v>32</v>
      </c>
    </row>
    <row r="400" spans="1:14" x14ac:dyDescent="0.3">
      <c r="A400">
        <v>2024001398</v>
      </c>
      <c r="B400" s="1">
        <v>45399</v>
      </c>
      <c r="C400" s="11">
        <f t="shared" si="18"/>
        <v>2024</v>
      </c>
      <c r="D400" t="s">
        <v>11</v>
      </c>
      <c r="E400" t="s">
        <v>34</v>
      </c>
      <c r="F400" t="s">
        <v>35</v>
      </c>
      <c r="G400" t="s">
        <v>36</v>
      </c>
      <c r="H400">
        <v>1</v>
      </c>
      <c r="I400" s="2">
        <v>15.2</v>
      </c>
      <c r="J400" s="2">
        <v>15.2</v>
      </c>
      <c r="K400" s="2">
        <f t="shared" si="19"/>
        <v>15.2</v>
      </c>
      <c r="L400" s="2">
        <f t="shared" si="20"/>
        <v>0</v>
      </c>
      <c r="M400" t="s">
        <v>61</v>
      </c>
      <c r="N400" t="s">
        <v>26</v>
      </c>
    </row>
    <row r="401" spans="1:14" x14ac:dyDescent="0.3">
      <c r="A401">
        <v>2024001399</v>
      </c>
      <c r="B401" s="1">
        <v>45381</v>
      </c>
      <c r="C401" s="11">
        <f t="shared" si="18"/>
        <v>2024</v>
      </c>
      <c r="D401" t="s">
        <v>249</v>
      </c>
      <c r="E401" t="s">
        <v>46</v>
      </c>
      <c r="F401" t="s">
        <v>47</v>
      </c>
      <c r="G401" t="s">
        <v>36</v>
      </c>
      <c r="H401">
        <v>2</v>
      </c>
      <c r="I401" s="2">
        <v>92.29</v>
      </c>
      <c r="J401" s="2">
        <v>184.58</v>
      </c>
      <c r="K401" s="2">
        <f t="shared" si="19"/>
        <v>184.58</v>
      </c>
      <c r="L401" s="2">
        <f t="shared" si="20"/>
        <v>0</v>
      </c>
      <c r="M401" t="s">
        <v>48</v>
      </c>
      <c r="N401" t="s">
        <v>21</v>
      </c>
    </row>
    <row r="402" spans="1:14" x14ac:dyDescent="0.3">
      <c r="A402">
        <v>2024001400</v>
      </c>
      <c r="B402" s="1">
        <v>45465</v>
      </c>
      <c r="C402" s="11">
        <f t="shared" si="18"/>
        <v>2024</v>
      </c>
      <c r="D402" t="s">
        <v>152</v>
      </c>
      <c r="E402" t="s">
        <v>53</v>
      </c>
      <c r="F402" t="s">
        <v>54</v>
      </c>
      <c r="G402" t="s">
        <v>36</v>
      </c>
      <c r="H402">
        <v>1</v>
      </c>
      <c r="I402" s="2">
        <v>117.74</v>
      </c>
      <c r="J402" s="2">
        <v>117.74</v>
      </c>
      <c r="K402" s="2">
        <f t="shared" si="19"/>
        <v>117.74</v>
      </c>
      <c r="L402" s="2">
        <f t="shared" si="20"/>
        <v>0</v>
      </c>
      <c r="M402" t="s">
        <v>38</v>
      </c>
      <c r="N402" t="s">
        <v>16</v>
      </c>
    </row>
    <row r="403" spans="1:14" x14ac:dyDescent="0.3">
      <c r="A403">
        <v>2024001401</v>
      </c>
      <c r="B403" s="1">
        <v>45452</v>
      </c>
      <c r="C403" s="11">
        <f t="shared" si="18"/>
        <v>2024</v>
      </c>
      <c r="D403" t="s">
        <v>11</v>
      </c>
      <c r="E403" t="s">
        <v>12</v>
      </c>
      <c r="F403" t="s">
        <v>13</v>
      </c>
      <c r="G403" t="s">
        <v>14</v>
      </c>
      <c r="H403">
        <v>1</v>
      </c>
      <c r="I403" s="2">
        <v>360.08</v>
      </c>
      <c r="J403" s="2">
        <v>360.08</v>
      </c>
      <c r="K403" s="2">
        <f t="shared" si="19"/>
        <v>360.08</v>
      </c>
      <c r="L403" s="2">
        <f t="shared" si="20"/>
        <v>0</v>
      </c>
      <c r="M403" t="s">
        <v>57</v>
      </c>
      <c r="N403" t="s">
        <v>21</v>
      </c>
    </row>
    <row r="404" spans="1:14" x14ac:dyDescent="0.3">
      <c r="A404">
        <v>2024001402</v>
      </c>
      <c r="B404" s="1">
        <v>45375</v>
      </c>
      <c r="C404" s="11">
        <f t="shared" si="18"/>
        <v>2024</v>
      </c>
      <c r="D404" t="s">
        <v>11</v>
      </c>
      <c r="E404" t="s">
        <v>43</v>
      </c>
      <c r="F404" t="s">
        <v>44</v>
      </c>
      <c r="G404" t="s">
        <v>36</v>
      </c>
      <c r="H404">
        <v>1</v>
      </c>
      <c r="I404" s="2">
        <v>1186.51</v>
      </c>
      <c r="J404" s="2">
        <v>1186.51</v>
      </c>
      <c r="K404" s="2">
        <f t="shared" si="19"/>
        <v>1186.51</v>
      </c>
      <c r="L404" s="2">
        <f t="shared" si="20"/>
        <v>0</v>
      </c>
      <c r="M404" t="s">
        <v>15</v>
      </c>
      <c r="N404" t="s">
        <v>16</v>
      </c>
    </row>
    <row r="405" spans="1:14" x14ac:dyDescent="0.3">
      <c r="A405">
        <v>2024001403</v>
      </c>
      <c r="B405" s="1">
        <v>45576</v>
      </c>
      <c r="C405" s="11">
        <f t="shared" si="18"/>
        <v>2024</v>
      </c>
      <c r="D405" t="s">
        <v>11</v>
      </c>
      <c r="E405" t="s">
        <v>28</v>
      </c>
      <c r="F405" t="s">
        <v>29</v>
      </c>
      <c r="G405" t="s">
        <v>30</v>
      </c>
      <c r="H405">
        <v>2</v>
      </c>
      <c r="I405" s="2">
        <v>24.19</v>
      </c>
      <c r="J405" s="2">
        <v>48.38</v>
      </c>
      <c r="K405" s="2">
        <f t="shared" si="19"/>
        <v>48.38</v>
      </c>
      <c r="L405" s="2">
        <f t="shared" si="20"/>
        <v>0</v>
      </c>
      <c r="M405" t="s">
        <v>57</v>
      </c>
      <c r="N405" t="s">
        <v>21</v>
      </c>
    </row>
    <row r="406" spans="1:14" x14ac:dyDescent="0.3">
      <c r="A406">
        <v>2024001404</v>
      </c>
      <c r="B406" s="1">
        <v>45557</v>
      </c>
      <c r="C406" s="11">
        <f t="shared" si="18"/>
        <v>2024</v>
      </c>
      <c r="D406" t="s">
        <v>164</v>
      </c>
      <c r="E406" t="s">
        <v>34</v>
      </c>
      <c r="F406" t="s">
        <v>35</v>
      </c>
      <c r="G406" t="s">
        <v>36</v>
      </c>
      <c r="H406">
        <v>4</v>
      </c>
      <c r="I406" s="2">
        <v>15.71</v>
      </c>
      <c r="J406" s="2">
        <v>62.84</v>
      </c>
      <c r="K406" s="2">
        <f t="shared" si="19"/>
        <v>62.84</v>
      </c>
      <c r="L406" s="2">
        <f t="shared" si="20"/>
        <v>0</v>
      </c>
      <c r="M406" t="s">
        <v>38</v>
      </c>
      <c r="N406" t="s">
        <v>16</v>
      </c>
    </row>
    <row r="407" spans="1:14" x14ac:dyDescent="0.3">
      <c r="A407">
        <v>2024001405</v>
      </c>
      <c r="B407" s="1">
        <v>45446</v>
      </c>
      <c r="C407" s="11">
        <f t="shared" si="18"/>
        <v>2024</v>
      </c>
      <c r="D407" t="s">
        <v>104</v>
      </c>
      <c r="E407" t="s">
        <v>40</v>
      </c>
      <c r="F407" t="s">
        <v>41</v>
      </c>
      <c r="G407" t="s">
        <v>36</v>
      </c>
      <c r="H407">
        <v>2</v>
      </c>
      <c r="I407" s="2">
        <v>45.65</v>
      </c>
      <c r="J407" s="2">
        <v>91.3</v>
      </c>
      <c r="K407" s="2">
        <f t="shared" si="19"/>
        <v>91.3</v>
      </c>
      <c r="L407" s="2">
        <f t="shared" si="20"/>
        <v>0</v>
      </c>
      <c r="M407" t="s">
        <v>57</v>
      </c>
      <c r="N407" t="s">
        <v>32</v>
      </c>
    </row>
    <row r="408" spans="1:14" x14ac:dyDescent="0.3">
      <c r="A408">
        <v>2024001406</v>
      </c>
      <c r="B408" s="1">
        <v>45641</v>
      </c>
      <c r="C408" s="11">
        <f t="shared" si="18"/>
        <v>2024</v>
      </c>
      <c r="D408" t="s">
        <v>250</v>
      </c>
      <c r="E408" t="s">
        <v>40</v>
      </c>
      <c r="F408" t="s">
        <v>41</v>
      </c>
      <c r="G408" t="s">
        <v>36</v>
      </c>
      <c r="H408">
        <v>1</v>
      </c>
      <c r="I408" s="2">
        <v>41.18</v>
      </c>
      <c r="J408" s="2">
        <v>41.18</v>
      </c>
      <c r="K408" s="2">
        <f t="shared" si="19"/>
        <v>41.18</v>
      </c>
      <c r="L408" s="2">
        <f t="shared" si="20"/>
        <v>0</v>
      </c>
      <c r="M408" t="s">
        <v>61</v>
      </c>
      <c r="N408" t="s">
        <v>21</v>
      </c>
    </row>
    <row r="409" spans="1:14" x14ac:dyDescent="0.3">
      <c r="A409">
        <v>2024001407</v>
      </c>
      <c r="B409" s="1">
        <v>45592</v>
      </c>
      <c r="C409" s="11">
        <f t="shared" si="18"/>
        <v>2024</v>
      </c>
      <c r="D409" t="s">
        <v>49</v>
      </c>
      <c r="E409" t="s">
        <v>43</v>
      </c>
      <c r="F409" t="s">
        <v>44</v>
      </c>
      <c r="G409" t="s">
        <v>36</v>
      </c>
      <c r="H409">
        <v>1</v>
      </c>
      <c r="I409" s="2">
        <v>1161.27</v>
      </c>
      <c r="J409" s="2">
        <v>1161.27</v>
      </c>
      <c r="K409" s="2">
        <f t="shared" si="19"/>
        <v>1161.27</v>
      </c>
      <c r="L409" s="2">
        <f t="shared" si="20"/>
        <v>0</v>
      </c>
      <c r="M409" t="s">
        <v>48</v>
      </c>
      <c r="N409" t="s">
        <v>21</v>
      </c>
    </row>
    <row r="410" spans="1:14" x14ac:dyDescent="0.3">
      <c r="A410">
        <v>2024001408</v>
      </c>
      <c r="B410" s="1">
        <v>45585</v>
      </c>
      <c r="C410" s="11">
        <f t="shared" si="18"/>
        <v>2024</v>
      </c>
      <c r="D410" t="s">
        <v>251</v>
      </c>
      <c r="E410" t="s">
        <v>18</v>
      </c>
      <c r="F410" t="s">
        <v>19</v>
      </c>
      <c r="G410" t="s">
        <v>14</v>
      </c>
      <c r="H410">
        <v>2</v>
      </c>
      <c r="I410" s="2">
        <v>655.21</v>
      </c>
      <c r="J410" s="2">
        <v>1310.42</v>
      </c>
      <c r="K410" s="2">
        <f t="shared" si="19"/>
        <v>1310.42</v>
      </c>
      <c r="L410" s="2">
        <f t="shared" si="20"/>
        <v>0</v>
      </c>
      <c r="M410" t="s">
        <v>15</v>
      </c>
      <c r="N410" t="s">
        <v>26</v>
      </c>
    </row>
    <row r="411" spans="1:14" x14ac:dyDescent="0.3">
      <c r="A411">
        <v>2024001409</v>
      </c>
      <c r="B411" s="1">
        <v>45413</v>
      </c>
      <c r="C411" s="11">
        <f t="shared" si="18"/>
        <v>2024</v>
      </c>
      <c r="D411" t="s">
        <v>119</v>
      </c>
      <c r="E411" t="s">
        <v>40</v>
      </c>
      <c r="F411" t="s">
        <v>41</v>
      </c>
      <c r="G411" t="s">
        <v>36</v>
      </c>
      <c r="H411">
        <v>1</v>
      </c>
      <c r="I411" s="2">
        <v>43.32</v>
      </c>
      <c r="J411" s="2">
        <v>43.32</v>
      </c>
      <c r="K411" s="2">
        <f t="shared" si="19"/>
        <v>43.32</v>
      </c>
      <c r="L411" s="2">
        <f t="shared" si="20"/>
        <v>0</v>
      </c>
      <c r="M411" t="s">
        <v>57</v>
      </c>
      <c r="N411" t="s">
        <v>32</v>
      </c>
    </row>
    <row r="412" spans="1:14" x14ac:dyDescent="0.3">
      <c r="A412">
        <v>2024001410</v>
      </c>
      <c r="B412" s="1">
        <v>45463</v>
      </c>
      <c r="C412" s="11">
        <f t="shared" si="18"/>
        <v>2024</v>
      </c>
      <c r="D412" t="s">
        <v>52</v>
      </c>
      <c r="E412" t="s">
        <v>53</v>
      </c>
      <c r="F412" t="s">
        <v>54</v>
      </c>
      <c r="G412" t="s">
        <v>36</v>
      </c>
      <c r="H412">
        <v>1</v>
      </c>
      <c r="I412" s="2">
        <v>108.99</v>
      </c>
      <c r="J412" s="2">
        <v>108.99</v>
      </c>
      <c r="K412" s="2">
        <f t="shared" si="19"/>
        <v>108.99</v>
      </c>
      <c r="L412" s="2">
        <f t="shared" si="20"/>
        <v>0</v>
      </c>
      <c r="M412" t="s">
        <v>48</v>
      </c>
      <c r="N412" t="s">
        <v>16</v>
      </c>
    </row>
    <row r="413" spans="1:14" x14ac:dyDescent="0.3">
      <c r="A413">
        <v>2024001411</v>
      </c>
      <c r="B413" s="1">
        <v>45391</v>
      </c>
      <c r="C413" s="11">
        <f t="shared" si="18"/>
        <v>2024</v>
      </c>
      <c r="D413" t="s">
        <v>205</v>
      </c>
      <c r="E413" t="s">
        <v>40</v>
      </c>
      <c r="F413" t="s">
        <v>41</v>
      </c>
      <c r="G413" t="s">
        <v>36</v>
      </c>
      <c r="H413">
        <v>1</v>
      </c>
      <c r="I413" s="2">
        <v>47.64</v>
      </c>
      <c r="J413" s="2">
        <v>47.64</v>
      </c>
      <c r="K413" s="2">
        <f t="shared" si="19"/>
        <v>47.64</v>
      </c>
      <c r="L413" s="2">
        <f t="shared" si="20"/>
        <v>0</v>
      </c>
      <c r="M413" t="s">
        <v>25</v>
      </c>
      <c r="N413" t="s">
        <v>21</v>
      </c>
    </row>
    <row r="414" spans="1:14" x14ac:dyDescent="0.3">
      <c r="A414">
        <v>2024001412</v>
      </c>
      <c r="B414" s="1">
        <v>45487</v>
      </c>
      <c r="C414" s="11">
        <f t="shared" si="18"/>
        <v>2024</v>
      </c>
      <c r="D414" t="s">
        <v>252</v>
      </c>
      <c r="E414" t="s">
        <v>43</v>
      </c>
      <c r="F414" t="s">
        <v>44</v>
      </c>
      <c r="G414" t="s">
        <v>36</v>
      </c>
      <c r="H414">
        <v>1</v>
      </c>
      <c r="I414" s="2">
        <v>1278.6199999999999</v>
      </c>
      <c r="J414" s="2">
        <v>1278.6199999999999</v>
      </c>
      <c r="K414" s="2">
        <f t="shared" si="19"/>
        <v>1278.6199999999999</v>
      </c>
      <c r="L414" s="2">
        <f t="shared" si="20"/>
        <v>0</v>
      </c>
      <c r="M414" t="s">
        <v>61</v>
      </c>
      <c r="N414" t="s">
        <v>26</v>
      </c>
    </row>
    <row r="415" spans="1:14" x14ac:dyDescent="0.3">
      <c r="A415">
        <v>2024001413</v>
      </c>
      <c r="B415" s="1">
        <v>45585</v>
      </c>
      <c r="C415" s="11">
        <f t="shared" si="18"/>
        <v>2024</v>
      </c>
      <c r="D415" t="s">
        <v>253</v>
      </c>
      <c r="E415" t="s">
        <v>18</v>
      </c>
      <c r="F415" t="s">
        <v>19</v>
      </c>
      <c r="G415" t="s">
        <v>14</v>
      </c>
      <c r="H415">
        <v>2</v>
      </c>
      <c r="I415" s="2">
        <v>641.87</v>
      </c>
      <c r="J415" s="2">
        <v>1283.74</v>
      </c>
      <c r="K415" s="2">
        <f t="shared" si="19"/>
        <v>1283.74</v>
      </c>
      <c r="L415" s="2">
        <f t="shared" si="20"/>
        <v>0</v>
      </c>
      <c r="M415" t="s">
        <v>38</v>
      </c>
      <c r="N415" t="s">
        <v>32</v>
      </c>
    </row>
    <row r="416" spans="1:14" x14ac:dyDescent="0.3">
      <c r="A416">
        <v>2024001414</v>
      </c>
      <c r="B416" s="1">
        <v>45495</v>
      </c>
      <c r="C416" s="11">
        <f t="shared" si="18"/>
        <v>2024</v>
      </c>
      <c r="D416" t="s">
        <v>254</v>
      </c>
      <c r="E416" t="s">
        <v>12</v>
      </c>
      <c r="F416" t="s">
        <v>13</v>
      </c>
      <c r="G416" t="s">
        <v>14</v>
      </c>
      <c r="H416">
        <v>1</v>
      </c>
      <c r="I416" s="2">
        <v>350.49</v>
      </c>
      <c r="J416" s="2">
        <v>350.49</v>
      </c>
      <c r="K416" s="2">
        <f t="shared" si="19"/>
        <v>350.49</v>
      </c>
      <c r="L416" s="2">
        <f t="shared" si="20"/>
        <v>0</v>
      </c>
      <c r="M416" t="s">
        <v>38</v>
      </c>
      <c r="N416" t="s">
        <v>16</v>
      </c>
    </row>
    <row r="417" spans="1:14" x14ac:dyDescent="0.3">
      <c r="A417">
        <v>2024001415</v>
      </c>
      <c r="B417" s="1">
        <v>45446</v>
      </c>
      <c r="C417" s="11">
        <f t="shared" si="18"/>
        <v>2024</v>
      </c>
      <c r="D417" t="s">
        <v>229</v>
      </c>
      <c r="E417" t="s">
        <v>34</v>
      </c>
      <c r="F417" t="s">
        <v>35</v>
      </c>
      <c r="G417" t="s">
        <v>36</v>
      </c>
      <c r="H417">
        <v>1</v>
      </c>
      <c r="I417" s="2">
        <v>15.31</v>
      </c>
      <c r="J417" s="2">
        <v>15.31</v>
      </c>
      <c r="K417" s="2">
        <f t="shared" si="19"/>
        <v>15.31</v>
      </c>
      <c r="L417" s="2">
        <f t="shared" si="20"/>
        <v>0</v>
      </c>
      <c r="M417" t="s">
        <v>25</v>
      </c>
      <c r="N417" t="s">
        <v>16</v>
      </c>
    </row>
    <row r="418" spans="1:14" x14ac:dyDescent="0.3">
      <c r="A418">
        <v>2024001416</v>
      </c>
      <c r="B418" s="1">
        <v>45413</v>
      </c>
      <c r="C418" s="11">
        <f t="shared" si="18"/>
        <v>2024</v>
      </c>
      <c r="D418" t="s">
        <v>192</v>
      </c>
      <c r="E418" t="s">
        <v>18</v>
      </c>
      <c r="F418" t="s">
        <v>19</v>
      </c>
      <c r="G418" t="s">
        <v>14</v>
      </c>
      <c r="H418">
        <v>4</v>
      </c>
      <c r="I418" s="2">
        <v>620.91</v>
      </c>
      <c r="J418" s="2">
        <v>2483.64</v>
      </c>
      <c r="K418" s="2">
        <f t="shared" si="19"/>
        <v>2483.64</v>
      </c>
      <c r="L418" s="2">
        <f t="shared" si="20"/>
        <v>0</v>
      </c>
      <c r="M418" t="s">
        <v>38</v>
      </c>
      <c r="N418" t="s">
        <v>16</v>
      </c>
    </row>
    <row r="419" spans="1:14" x14ac:dyDescent="0.3">
      <c r="A419">
        <v>2024001417</v>
      </c>
      <c r="B419" s="1">
        <v>45492</v>
      </c>
      <c r="C419" s="11">
        <f t="shared" si="18"/>
        <v>2024</v>
      </c>
      <c r="D419" t="s">
        <v>255</v>
      </c>
      <c r="E419" t="s">
        <v>12</v>
      </c>
      <c r="F419" t="s">
        <v>13</v>
      </c>
      <c r="G419" t="s">
        <v>14</v>
      </c>
      <c r="H419">
        <v>1</v>
      </c>
      <c r="I419" s="2">
        <v>344.16</v>
      </c>
      <c r="J419" s="2">
        <v>344.16</v>
      </c>
      <c r="K419" s="2">
        <f t="shared" si="19"/>
        <v>344.16</v>
      </c>
      <c r="L419" s="2">
        <f t="shared" si="20"/>
        <v>0</v>
      </c>
      <c r="M419" t="s">
        <v>64</v>
      </c>
      <c r="N419" t="s">
        <v>32</v>
      </c>
    </row>
    <row r="420" spans="1:14" x14ac:dyDescent="0.3">
      <c r="A420">
        <v>2024001418</v>
      </c>
      <c r="B420" s="1">
        <v>45360</v>
      </c>
      <c r="C420" s="11">
        <f t="shared" si="18"/>
        <v>2024</v>
      </c>
      <c r="D420" t="s">
        <v>236</v>
      </c>
      <c r="E420" t="s">
        <v>28</v>
      </c>
      <c r="F420" t="s">
        <v>29</v>
      </c>
      <c r="G420" t="s">
        <v>30</v>
      </c>
      <c r="H420">
        <v>2</v>
      </c>
      <c r="I420" s="2">
        <v>26.97</v>
      </c>
      <c r="J420" s="2">
        <v>53.94</v>
      </c>
      <c r="K420" s="2">
        <f t="shared" si="19"/>
        <v>53.94</v>
      </c>
      <c r="L420" s="2">
        <f t="shared" si="20"/>
        <v>0</v>
      </c>
      <c r="M420" t="s">
        <v>15</v>
      </c>
      <c r="N420" t="s">
        <v>21</v>
      </c>
    </row>
    <row r="421" spans="1:14" x14ac:dyDescent="0.3">
      <c r="A421">
        <v>2024001419</v>
      </c>
      <c r="B421" s="1">
        <v>45333</v>
      </c>
      <c r="C421" s="11">
        <f t="shared" si="18"/>
        <v>2024</v>
      </c>
      <c r="D421" t="s">
        <v>248</v>
      </c>
      <c r="E421" t="s">
        <v>34</v>
      </c>
      <c r="F421" t="s">
        <v>35</v>
      </c>
      <c r="G421" t="s">
        <v>36</v>
      </c>
      <c r="H421">
        <v>1</v>
      </c>
      <c r="I421" s="2">
        <v>15.19</v>
      </c>
      <c r="J421" s="2">
        <v>15.19</v>
      </c>
      <c r="K421" s="2">
        <f t="shared" si="19"/>
        <v>15.19</v>
      </c>
      <c r="L421" s="2">
        <f t="shared" si="20"/>
        <v>0</v>
      </c>
      <c r="M421" t="s">
        <v>25</v>
      </c>
      <c r="N421" t="s">
        <v>16</v>
      </c>
    </row>
    <row r="422" spans="1:14" x14ac:dyDescent="0.3">
      <c r="A422">
        <v>2024001420</v>
      </c>
      <c r="B422" s="1">
        <v>45312</v>
      </c>
      <c r="C422" s="11">
        <f t="shared" si="18"/>
        <v>2024</v>
      </c>
      <c r="D422" t="s">
        <v>128</v>
      </c>
      <c r="E422" t="s">
        <v>53</v>
      </c>
      <c r="F422" t="s">
        <v>54</v>
      </c>
      <c r="G422" t="s">
        <v>36</v>
      </c>
      <c r="H422">
        <v>2</v>
      </c>
      <c r="I422" s="2">
        <v>121.76</v>
      </c>
      <c r="J422" s="2">
        <v>243.52</v>
      </c>
      <c r="K422" s="2">
        <f t="shared" si="19"/>
        <v>243.52</v>
      </c>
      <c r="L422" s="2">
        <f t="shared" si="20"/>
        <v>0</v>
      </c>
      <c r="M422" t="s">
        <v>57</v>
      </c>
      <c r="N422" t="s">
        <v>26</v>
      </c>
    </row>
    <row r="423" spans="1:14" x14ac:dyDescent="0.3">
      <c r="A423">
        <v>2024001421</v>
      </c>
      <c r="B423" s="1">
        <v>45402</v>
      </c>
      <c r="C423" s="11">
        <f t="shared" si="18"/>
        <v>2024</v>
      </c>
      <c r="D423" t="s">
        <v>256</v>
      </c>
      <c r="E423" t="s">
        <v>12</v>
      </c>
      <c r="F423" t="s">
        <v>13</v>
      </c>
      <c r="G423" t="s">
        <v>14</v>
      </c>
      <c r="H423">
        <v>1</v>
      </c>
      <c r="I423" s="2">
        <v>329.3</v>
      </c>
      <c r="J423" s="2">
        <v>329.3</v>
      </c>
      <c r="K423" s="2">
        <f t="shared" si="19"/>
        <v>329.3</v>
      </c>
      <c r="L423" s="2">
        <f t="shared" si="20"/>
        <v>0</v>
      </c>
      <c r="M423" t="s">
        <v>61</v>
      </c>
      <c r="N423" t="s">
        <v>21</v>
      </c>
    </row>
    <row r="424" spans="1:14" x14ac:dyDescent="0.3">
      <c r="A424">
        <v>2024001422</v>
      </c>
      <c r="B424" s="1">
        <v>45543</v>
      </c>
      <c r="C424" s="11">
        <f t="shared" si="18"/>
        <v>2024</v>
      </c>
      <c r="D424" t="s">
        <v>79</v>
      </c>
      <c r="E424" t="s">
        <v>67</v>
      </c>
      <c r="F424" t="s">
        <v>68</v>
      </c>
      <c r="G424" t="s">
        <v>36</v>
      </c>
      <c r="H424">
        <v>2</v>
      </c>
      <c r="I424" s="2">
        <v>375.41</v>
      </c>
      <c r="J424" s="2">
        <v>750.82</v>
      </c>
      <c r="K424" s="2">
        <f t="shared" si="19"/>
        <v>750.82</v>
      </c>
      <c r="L424" s="2">
        <f t="shared" si="20"/>
        <v>0</v>
      </c>
      <c r="M424" t="s">
        <v>25</v>
      </c>
      <c r="N424" t="s">
        <v>32</v>
      </c>
    </row>
    <row r="425" spans="1:14" x14ac:dyDescent="0.3">
      <c r="A425">
        <v>2024001423</v>
      </c>
      <c r="B425" s="1">
        <v>45575</v>
      </c>
      <c r="C425" s="11">
        <f t="shared" si="18"/>
        <v>2024</v>
      </c>
      <c r="D425" t="s">
        <v>122</v>
      </c>
      <c r="E425" t="s">
        <v>43</v>
      </c>
      <c r="F425" t="s">
        <v>44</v>
      </c>
      <c r="G425" t="s">
        <v>36</v>
      </c>
      <c r="H425">
        <v>2</v>
      </c>
      <c r="I425" s="2">
        <v>1229.8</v>
      </c>
      <c r="J425" s="2">
        <v>2459.6</v>
      </c>
      <c r="K425" s="2">
        <f t="shared" si="19"/>
        <v>2459.6</v>
      </c>
      <c r="L425" s="2">
        <f t="shared" si="20"/>
        <v>0</v>
      </c>
      <c r="M425" t="s">
        <v>64</v>
      </c>
      <c r="N425" t="s">
        <v>21</v>
      </c>
    </row>
    <row r="426" spans="1:14" x14ac:dyDescent="0.3">
      <c r="A426">
        <v>2024001424</v>
      </c>
      <c r="B426" s="1">
        <v>45355</v>
      </c>
      <c r="C426" s="11">
        <f t="shared" si="18"/>
        <v>2024</v>
      </c>
      <c r="D426" t="s">
        <v>257</v>
      </c>
      <c r="E426" t="s">
        <v>18</v>
      </c>
      <c r="F426" t="s">
        <v>19</v>
      </c>
      <c r="G426" t="s">
        <v>14</v>
      </c>
      <c r="H426">
        <v>2</v>
      </c>
      <c r="I426" s="2">
        <v>582.16</v>
      </c>
      <c r="J426" s="2">
        <v>1164.32</v>
      </c>
      <c r="K426" s="2">
        <f t="shared" si="19"/>
        <v>1164.32</v>
      </c>
      <c r="L426" s="2">
        <f t="shared" si="20"/>
        <v>0</v>
      </c>
      <c r="M426" t="s">
        <v>64</v>
      </c>
      <c r="N426" t="s">
        <v>26</v>
      </c>
    </row>
    <row r="427" spans="1:14" x14ac:dyDescent="0.3">
      <c r="A427">
        <v>2024001425</v>
      </c>
      <c r="B427" s="1">
        <v>45537</v>
      </c>
      <c r="C427" s="11">
        <f t="shared" si="18"/>
        <v>2024</v>
      </c>
      <c r="D427" t="s">
        <v>122</v>
      </c>
      <c r="E427" t="s">
        <v>43</v>
      </c>
      <c r="F427" t="s">
        <v>44</v>
      </c>
      <c r="G427" t="s">
        <v>36</v>
      </c>
      <c r="H427">
        <v>2</v>
      </c>
      <c r="I427" s="2">
        <v>1074.1300000000001</v>
      </c>
      <c r="J427" s="2">
        <v>2148.2600000000002</v>
      </c>
      <c r="K427" s="2">
        <f t="shared" si="19"/>
        <v>2148.2600000000002</v>
      </c>
      <c r="L427" s="2">
        <f t="shared" si="20"/>
        <v>0</v>
      </c>
      <c r="M427" t="s">
        <v>48</v>
      </c>
      <c r="N427" t="s">
        <v>16</v>
      </c>
    </row>
    <row r="428" spans="1:14" x14ac:dyDescent="0.3">
      <c r="A428">
        <v>2024001426</v>
      </c>
      <c r="B428" s="1">
        <v>45282</v>
      </c>
      <c r="C428" s="11">
        <f t="shared" si="18"/>
        <v>2023</v>
      </c>
      <c r="D428" t="s">
        <v>132</v>
      </c>
      <c r="E428" t="s">
        <v>43</v>
      </c>
      <c r="F428" t="s">
        <v>44</v>
      </c>
      <c r="G428" t="s">
        <v>36</v>
      </c>
      <c r="H428">
        <v>4</v>
      </c>
      <c r="I428" s="2">
        <v>1145.44</v>
      </c>
      <c r="J428" s="2">
        <v>4581.76</v>
      </c>
      <c r="K428" s="2">
        <f t="shared" si="19"/>
        <v>4581.76</v>
      </c>
      <c r="L428" s="2">
        <f t="shared" si="20"/>
        <v>0</v>
      </c>
      <c r="M428" t="s">
        <v>64</v>
      </c>
      <c r="N428" t="s">
        <v>21</v>
      </c>
    </row>
    <row r="429" spans="1:14" x14ac:dyDescent="0.3">
      <c r="A429">
        <v>2024001427</v>
      </c>
      <c r="B429" s="1">
        <v>45474</v>
      </c>
      <c r="C429" s="11">
        <f t="shared" si="18"/>
        <v>2024</v>
      </c>
      <c r="D429" t="s">
        <v>90</v>
      </c>
      <c r="E429" t="s">
        <v>12</v>
      </c>
      <c r="F429" t="s">
        <v>13</v>
      </c>
      <c r="G429" t="s">
        <v>14</v>
      </c>
      <c r="H429">
        <v>1</v>
      </c>
      <c r="I429" s="2">
        <v>350.51</v>
      </c>
      <c r="J429" s="2">
        <v>350.51</v>
      </c>
      <c r="K429" s="2">
        <f t="shared" si="19"/>
        <v>350.51</v>
      </c>
      <c r="L429" s="2">
        <f t="shared" si="20"/>
        <v>0</v>
      </c>
      <c r="M429" t="s">
        <v>61</v>
      </c>
      <c r="N429" t="s">
        <v>16</v>
      </c>
    </row>
    <row r="430" spans="1:14" x14ac:dyDescent="0.3">
      <c r="A430">
        <v>2024001428</v>
      </c>
      <c r="B430" s="1">
        <v>45507</v>
      </c>
      <c r="C430" s="11">
        <f t="shared" si="18"/>
        <v>2024</v>
      </c>
      <c r="D430" t="s">
        <v>105</v>
      </c>
      <c r="E430" t="s">
        <v>28</v>
      </c>
      <c r="F430" t="s">
        <v>29</v>
      </c>
      <c r="G430" t="s">
        <v>30</v>
      </c>
      <c r="H430">
        <v>1</v>
      </c>
      <c r="I430" s="2">
        <v>25.67</v>
      </c>
      <c r="J430" s="2">
        <v>25.67</v>
      </c>
      <c r="K430" s="2">
        <f t="shared" si="19"/>
        <v>25.67</v>
      </c>
      <c r="L430" s="2">
        <f t="shared" si="20"/>
        <v>0</v>
      </c>
      <c r="M430" t="s">
        <v>55</v>
      </c>
      <c r="N430" t="s">
        <v>32</v>
      </c>
    </row>
    <row r="431" spans="1:14" x14ac:dyDescent="0.3">
      <c r="A431">
        <v>2024001429</v>
      </c>
      <c r="B431" s="1">
        <v>45466</v>
      </c>
      <c r="C431" s="11">
        <f t="shared" si="18"/>
        <v>2024</v>
      </c>
      <c r="D431" t="s">
        <v>127</v>
      </c>
      <c r="E431" t="s">
        <v>12</v>
      </c>
      <c r="F431" t="s">
        <v>13</v>
      </c>
      <c r="G431" t="s">
        <v>14</v>
      </c>
      <c r="H431">
        <v>3</v>
      </c>
      <c r="I431" s="2">
        <v>355.37</v>
      </c>
      <c r="J431" s="2">
        <v>1066.1099999999999</v>
      </c>
      <c r="K431" s="2">
        <f t="shared" si="19"/>
        <v>1066.1100000000001</v>
      </c>
      <c r="L431" s="2">
        <f t="shared" si="20"/>
        <v>0</v>
      </c>
      <c r="M431" t="s">
        <v>57</v>
      </c>
      <c r="N431" t="s">
        <v>32</v>
      </c>
    </row>
    <row r="432" spans="1:14" x14ac:dyDescent="0.3">
      <c r="A432">
        <v>2024001430</v>
      </c>
      <c r="B432" s="1">
        <v>45620</v>
      </c>
      <c r="C432" s="11">
        <f t="shared" si="18"/>
        <v>2024</v>
      </c>
      <c r="D432" t="s">
        <v>258</v>
      </c>
      <c r="E432" t="s">
        <v>43</v>
      </c>
      <c r="F432" t="s">
        <v>44</v>
      </c>
      <c r="G432" t="s">
        <v>36</v>
      </c>
      <c r="H432">
        <v>2</v>
      </c>
      <c r="I432" s="2">
        <v>1138.6099999999999</v>
      </c>
      <c r="J432" s="2">
        <v>2277.2199999999998</v>
      </c>
      <c r="K432" s="2">
        <f t="shared" si="19"/>
        <v>2277.2199999999998</v>
      </c>
      <c r="L432" s="2">
        <f t="shared" si="20"/>
        <v>0</v>
      </c>
      <c r="M432" t="s">
        <v>64</v>
      </c>
      <c r="N432" t="s">
        <v>21</v>
      </c>
    </row>
    <row r="433" spans="1:14" x14ac:dyDescent="0.3">
      <c r="A433">
        <v>2024001431</v>
      </c>
      <c r="B433" s="1">
        <v>45616</v>
      </c>
      <c r="C433" s="11">
        <f t="shared" si="18"/>
        <v>2024</v>
      </c>
      <c r="D433" t="s">
        <v>174</v>
      </c>
      <c r="E433" t="s">
        <v>53</v>
      </c>
      <c r="F433" t="s">
        <v>54</v>
      </c>
      <c r="G433" t="s">
        <v>36</v>
      </c>
      <c r="H433">
        <v>1</v>
      </c>
      <c r="I433" s="2">
        <v>115.23</v>
      </c>
      <c r="J433" s="2">
        <v>115.23</v>
      </c>
      <c r="K433" s="2">
        <f t="shared" si="19"/>
        <v>115.23</v>
      </c>
      <c r="L433" s="2">
        <f t="shared" si="20"/>
        <v>0</v>
      </c>
      <c r="M433" t="s">
        <v>64</v>
      </c>
      <c r="N433" t="s">
        <v>26</v>
      </c>
    </row>
    <row r="434" spans="1:14" x14ac:dyDescent="0.3">
      <c r="A434">
        <v>2024001432</v>
      </c>
      <c r="B434" s="1">
        <v>45505</v>
      </c>
      <c r="C434" s="11">
        <f t="shared" si="18"/>
        <v>2024</v>
      </c>
      <c r="D434" t="s">
        <v>259</v>
      </c>
      <c r="E434" t="s">
        <v>34</v>
      </c>
      <c r="F434" t="s">
        <v>35</v>
      </c>
      <c r="G434" t="s">
        <v>36</v>
      </c>
      <c r="H434">
        <v>2</v>
      </c>
      <c r="I434" s="2">
        <v>14.69</v>
      </c>
      <c r="J434" s="2">
        <v>29.38</v>
      </c>
      <c r="K434" s="2">
        <f t="shared" si="19"/>
        <v>29.38</v>
      </c>
      <c r="L434" s="2">
        <f t="shared" si="20"/>
        <v>0</v>
      </c>
      <c r="M434" t="s">
        <v>55</v>
      </c>
      <c r="N434" t="s">
        <v>26</v>
      </c>
    </row>
    <row r="435" spans="1:14" x14ac:dyDescent="0.3">
      <c r="A435">
        <v>2024001433</v>
      </c>
      <c r="B435" s="1">
        <v>45443</v>
      </c>
      <c r="C435" s="11">
        <f t="shared" si="18"/>
        <v>2024</v>
      </c>
      <c r="D435" t="s">
        <v>91</v>
      </c>
      <c r="E435" t="s">
        <v>23</v>
      </c>
      <c r="F435" t="s">
        <v>24</v>
      </c>
      <c r="G435" t="s">
        <v>14</v>
      </c>
      <c r="H435">
        <v>2</v>
      </c>
      <c r="I435" s="2">
        <v>77.010000000000005</v>
      </c>
      <c r="J435" s="2">
        <v>154.02000000000001</v>
      </c>
      <c r="K435" s="2">
        <f t="shared" si="19"/>
        <v>154.02000000000001</v>
      </c>
      <c r="L435" s="2">
        <f t="shared" si="20"/>
        <v>0</v>
      </c>
      <c r="M435" t="s">
        <v>57</v>
      </c>
      <c r="N435" t="s">
        <v>21</v>
      </c>
    </row>
    <row r="436" spans="1:14" x14ac:dyDescent="0.3">
      <c r="A436">
        <v>2024001434</v>
      </c>
      <c r="B436" s="1">
        <v>45555</v>
      </c>
      <c r="C436" s="11">
        <f t="shared" si="18"/>
        <v>2024</v>
      </c>
      <c r="D436" t="s">
        <v>193</v>
      </c>
      <c r="E436" t="s">
        <v>43</v>
      </c>
      <c r="F436" t="s">
        <v>44</v>
      </c>
      <c r="G436" t="s">
        <v>36</v>
      </c>
      <c r="H436">
        <v>1</v>
      </c>
      <c r="I436" s="2">
        <v>1272.56</v>
      </c>
      <c r="J436" s="2">
        <v>1272.56</v>
      </c>
      <c r="K436" s="2">
        <f t="shared" si="19"/>
        <v>1272.56</v>
      </c>
      <c r="L436" s="2">
        <f t="shared" si="20"/>
        <v>0</v>
      </c>
      <c r="M436" t="s">
        <v>25</v>
      </c>
      <c r="N436" t="s">
        <v>26</v>
      </c>
    </row>
    <row r="437" spans="1:14" x14ac:dyDescent="0.3">
      <c r="A437">
        <v>2024001435</v>
      </c>
      <c r="B437" s="1">
        <v>45523</v>
      </c>
      <c r="C437" s="11">
        <f t="shared" si="18"/>
        <v>2024</v>
      </c>
      <c r="D437" t="s">
        <v>101</v>
      </c>
      <c r="E437" t="s">
        <v>18</v>
      </c>
      <c r="F437" t="s">
        <v>19</v>
      </c>
      <c r="G437" t="s">
        <v>14</v>
      </c>
      <c r="H437">
        <v>3</v>
      </c>
      <c r="I437" s="2">
        <v>556.80999999999995</v>
      </c>
      <c r="J437" s="2">
        <v>1670.43</v>
      </c>
      <c r="K437" s="2">
        <f t="shared" si="19"/>
        <v>1670.4299999999998</v>
      </c>
      <c r="L437" s="2">
        <f t="shared" si="20"/>
        <v>0</v>
      </c>
      <c r="M437" t="s">
        <v>48</v>
      </c>
      <c r="N437" t="s">
        <v>21</v>
      </c>
    </row>
    <row r="438" spans="1:14" x14ac:dyDescent="0.3">
      <c r="A438">
        <v>2024001436</v>
      </c>
      <c r="B438" s="1">
        <v>45548</v>
      </c>
      <c r="C438" s="11">
        <f t="shared" si="18"/>
        <v>2024</v>
      </c>
      <c r="D438" t="s">
        <v>217</v>
      </c>
      <c r="E438" t="s">
        <v>34</v>
      </c>
      <c r="F438" t="s">
        <v>35</v>
      </c>
      <c r="G438" t="s">
        <v>36</v>
      </c>
      <c r="H438">
        <v>2</v>
      </c>
      <c r="I438" s="2">
        <v>14.98</v>
      </c>
      <c r="J438" s="2">
        <v>29.96</v>
      </c>
      <c r="K438" s="2">
        <f t="shared" si="19"/>
        <v>29.96</v>
      </c>
      <c r="L438" s="2">
        <f t="shared" si="20"/>
        <v>0</v>
      </c>
      <c r="M438" t="s">
        <v>38</v>
      </c>
      <c r="N438" t="s">
        <v>16</v>
      </c>
    </row>
    <row r="439" spans="1:14" x14ac:dyDescent="0.3">
      <c r="A439">
        <v>2024001437</v>
      </c>
      <c r="B439" s="1">
        <v>45649</v>
      </c>
      <c r="C439" s="11">
        <f t="shared" si="18"/>
        <v>2024</v>
      </c>
      <c r="D439" t="s">
        <v>11</v>
      </c>
      <c r="E439" t="s">
        <v>34</v>
      </c>
      <c r="F439" t="s">
        <v>35</v>
      </c>
      <c r="G439" t="s">
        <v>36</v>
      </c>
      <c r="H439">
        <v>2</v>
      </c>
      <c r="I439" s="2">
        <v>14.34</v>
      </c>
      <c r="J439" s="2">
        <v>28.68</v>
      </c>
      <c r="K439" s="2">
        <f t="shared" si="19"/>
        <v>28.68</v>
      </c>
      <c r="L439" s="2">
        <f t="shared" si="20"/>
        <v>0</v>
      </c>
      <c r="M439" t="s">
        <v>55</v>
      </c>
      <c r="N439" t="s">
        <v>26</v>
      </c>
    </row>
    <row r="440" spans="1:14" x14ac:dyDescent="0.3">
      <c r="A440">
        <v>2024001438</v>
      </c>
      <c r="B440" s="1">
        <v>45352</v>
      </c>
      <c r="C440" s="11">
        <f t="shared" si="18"/>
        <v>2024</v>
      </c>
      <c r="D440" t="s">
        <v>260</v>
      </c>
      <c r="E440" t="s">
        <v>67</v>
      </c>
      <c r="F440" t="s">
        <v>68</v>
      </c>
      <c r="G440" t="s">
        <v>36</v>
      </c>
      <c r="H440">
        <v>1</v>
      </c>
      <c r="I440" s="2">
        <v>400.02</v>
      </c>
      <c r="J440" s="2">
        <v>400.02</v>
      </c>
      <c r="K440" s="2">
        <f t="shared" si="19"/>
        <v>400.02</v>
      </c>
      <c r="L440" s="2">
        <f t="shared" si="20"/>
        <v>0</v>
      </c>
      <c r="M440" t="s">
        <v>31</v>
      </c>
      <c r="N440" t="s">
        <v>32</v>
      </c>
    </row>
    <row r="441" spans="1:14" x14ac:dyDescent="0.3">
      <c r="A441">
        <v>2024001439</v>
      </c>
      <c r="B441" s="1">
        <v>45435</v>
      </c>
      <c r="C441" s="11">
        <f t="shared" si="18"/>
        <v>2024</v>
      </c>
      <c r="D441" t="s">
        <v>175</v>
      </c>
      <c r="E441" t="s">
        <v>40</v>
      </c>
      <c r="F441" t="s">
        <v>41</v>
      </c>
      <c r="G441" t="s">
        <v>36</v>
      </c>
      <c r="H441">
        <v>1</v>
      </c>
      <c r="I441" s="2">
        <v>43.16</v>
      </c>
      <c r="J441" s="2">
        <v>43.16</v>
      </c>
      <c r="K441" s="2">
        <f t="shared" si="19"/>
        <v>43.16</v>
      </c>
      <c r="L441" s="2">
        <f t="shared" si="20"/>
        <v>0</v>
      </c>
      <c r="M441" t="s">
        <v>20</v>
      </c>
      <c r="N441" t="s">
        <v>21</v>
      </c>
    </row>
    <row r="442" spans="1:14" x14ac:dyDescent="0.3">
      <c r="A442">
        <v>2024001440</v>
      </c>
      <c r="B442" s="1">
        <v>45581</v>
      </c>
      <c r="C442" s="11">
        <f t="shared" si="18"/>
        <v>2024</v>
      </c>
      <c r="D442" t="s">
        <v>261</v>
      </c>
      <c r="E442" t="s">
        <v>34</v>
      </c>
      <c r="F442" t="s">
        <v>35</v>
      </c>
      <c r="G442" t="s">
        <v>36</v>
      </c>
      <c r="H442">
        <v>3</v>
      </c>
      <c r="I442" s="2">
        <v>14.88</v>
      </c>
      <c r="J442" s="2">
        <v>44.64</v>
      </c>
      <c r="K442" s="2">
        <f t="shared" si="19"/>
        <v>44.64</v>
      </c>
      <c r="L442" s="2">
        <f t="shared" si="20"/>
        <v>0</v>
      </c>
      <c r="M442" t="s">
        <v>64</v>
      </c>
      <c r="N442" t="s">
        <v>26</v>
      </c>
    </row>
    <row r="443" spans="1:14" x14ac:dyDescent="0.3">
      <c r="A443">
        <v>2024001441</v>
      </c>
      <c r="B443" s="1">
        <v>45522</v>
      </c>
      <c r="C443" s="11">
        <f t="shared" si="18"/>
        <v>2024</v>
      </c>
      <c r="D443" t="s">
        <v>262</v>
      </c>
      <c r="E443" t="s">
        <v>53</v>
      </c>
      <c r="F443" t="s">
        <v>54</v>
      </c>
      <c r="G443" t="s">
        <v>36</v>
      </c>
      <c r="H443">
        <v>1</v>
      </c>
      <c r="I443" s="2">
        <v>124.2</v>
      </c>
      <c r="J443" s="2">
        <v>124.2</v>
      </c>
      <c r="K443" s="2">
        <f t="shared" si="19"/>
        <v>124.2</v>
      </c>
      <c r="L443" s="2">
        <f t="shared" si="20"/>
        <v>0</v>
      </c>
      <c r="M443" t="s">
        <v>48</v>
      </c>
      <c r="N443" t="s">
        <v>16</v>
      </c>
    </row>
    <row r="444" spans="1:14" x14ac:dyDescent="0.3">
      <c r="A444">
        <v>2024001442</v>
      </c>
      <c r="B444" s="1">
        <v>45560</v>
      </c>
      <c r="C444" s="11">
        <f t="shared" si="18"/>
        <v>2024</v>
      </c>
      <c r="D444" t="s">
        <v>37</v>
      </c>
      <c r="E444" t="s">
        <v>34</v>
      </c>
      <c r="F444" t="s">
        <v>35</v>
      </c>
      <c r="G444" t="s">
        <v>36</v>
      </c>
      <c r="H444">
        <v>1</v>
      </c>
      <c r="I444" s="2">
        <v>14.36</v>
      </c>
      <c r="J444" s="2">
        <v>14.36</v>
      </c>
      <c r="K444" s="2">
        <f t="shared" si="19"/>
        <v>14.36</v>
      </c>
      <c r="L444" s="2">
        <f t="shared" si="20"/>
        <v>0</v>
      </c>
      <c r="M444" t="s">
        <v>61</v>
      </c>
      <c r="N444" t="s">
        <v>21</v>
      </c>
    </row>
    <row r="445" spans="1:14" x14ac:dyDescent="0.3">
      <c r="A445">
        <v>2024001443</v>
      </c>
      <c r="B445" s="1">
        <v>45314</v>
      </c>
      <c r="C445" s="11">
        <f t="shared" si="18"/>
        <v>2024</v>
      </c>
      <c r="D445" t="s">
        <v>226</v>
      </c>
      <c r="E445" t="s">
        <v>46</v>
      </c>
      <c r="F445" t="s">
        <v>47</v>
      </c>
      <c r="G445" t="s">
        <v>36</v>
      </c>
      <c r="H445">
        <v>2</v>
      </c>
      <c r="I445" s="2">
        <v>91.51</v>
      </c>
      <c r="J445" s="2">
        <v>183.02</v>
      </c>
      <c r="K445" s="2">
        <f t="shared" si="19"/>
        <v>183.02</v>
      </c>
      <c r="L445" s="2">
        <f t="shared" si="20"/>
        <v>0</v>
      </c>
      <c r="M445" t="s">
        <v>20</v>
      </c>
      <c r="N445" t="s">
        <v>16</v>
      </c>
    </row>
    <row r="446" spans="1:14" x14ac:dyDescent="0.3">
      <c r="A446">
        <v>2024001444</v>
      </c>
      <c r="B446" s="1">
        <v>45343</v>
      </c>
      <c r="C446" s="11">
        <f t="shared" si="18"/>
        <v>2024</v>
      </c>
      <c r="D446" t="s">
        <v>263</v>
      </c>
      <c r="E446" t="s">
        <v>40</v>
      </c>
      <c r="F446" t="s">
        <v>41</v>
      </c>
      <c r="G446" t="s">
        <v>36</v>
      </c>
      <c r="H446">
        <v>1</v>
      </c>
      <c r="I446" s="2">
        <v>46.9</v>
      </c>
      <c r="J446" s="2">
        <v>46.9</v>
      </c>
      <c r="K446" s="2">
        <f t="shared" si="19"/>
        <v>46.9</v>
      </c>
      <c r="L446" s="2">
        <f t="shared" si="20"/>
        <v>0</v>
      </c>
      <c r="M446" t="s">
        <v>20</v>
      </c>
      <c r="N446" t="s">
        <v>21</v>
      </c>
    </row>
    <row r="447" spans="1:14" x14ac:dyDescent="0.3">
      <c r="A447">
        <v>2024001445</v>
      </c>
      <c r="B447" s="1">
        <v>45313</v>
      </c>
      <c r="C447" s="11">
        <f t="shared" si="18"/>
        <v>2024</v>
      </c>
      <c r="D447" t="s">
        <v>119</v>
      </c>
      <c r="E447" t="s">
        <v>12</v>
      </c>
      <c r="F447" t="s">
        <v>13</v>
      </c>
      <c r="G447" t="s">
        <v>14</v>
      </c>
      <c r="H447">
        <v>1</v>
      </c>
      <c r="I447" s="2">
        <v>359.79</v>
      </c>
      <c r="J447" s="2">
        <v>359.79</v>
      </c>
      <c r="K447" s="2">
        <f t="shared" si="19"/>
        <v>359.79</v>
      </c>
      <c r="L447" s="2">
        <f t="shared" si="20"/>
        <v>0</v>
      </c>
      <c r="M447" t="s">
        <v>15</v>
      </c>
      <c r="N447" t="s">
        <v>32</v>
      </c>
    </row>
    <row r="448" spans="1:14" x14ac:dyDescent="0.3">
      <c r="A448">
        <v>2024001446</v>
      </c>
      <c r="B448" s="1">
        <v>45303</v>
      </c>
      <c r="C448" s="11">
        <f t="shared" si="18"/>
        <v>2024</v>
      </c>
      <c r="D448" t="s">
        <v>264</v>
      </c>
      <c r="E448" t="s">
        <v>40</v>
      </c>
      <c r="F448" t="s">
        <v>41</v>
      </c>
      <c r="G448" t="s">
        <v>36</v>
      </c>
      <c r="H448">
        <v>1</v>
      </c>
      <c r="I448" s="2">
        <v>43.82</v>
      </c>
      <c r="J448" s="2">
        <v>43.82</v>
      </c>
      <c r="K448" s="2">
        <f t="shared" si="19"/>
        <v>43.82</v>
      </c>
      <c r="L448" s="2">
        <f t="shared" si="20"/>
        <v>0</v>
      </c>
      <c r="M448" t="s">
        <v>61</v>
      </c>
      <c r="N448" t="s">
        <v>21</v>
      </c>
    </row>
    <row r="449" spans="1:14" x14ac:dyDescent="0.3">
      <c r="A449">
        <v>2024001447</v>
      </c>
      <c r="B449" s="1">
        <v>45532</v>
      </c>
      <c r="C449" s="11">
        <f t="shared" si="18"/>
        <v>2024</v>
      </c>
      <c r="D449" t="s">
        <v>126</v>
      </c>
      <c r="E449" t="s">
        <v>40</v>
      </c>
      <c r="F449" t="s">
        <v>41</v>
      </c>
      <c r="G449" t="s">
        <v>36</v>
      </c>
      <c r="H449">
        <v>1</v>
      </c>
      <c r="I449" s="2">
        <v>45.34</v>
      </c>
      <c r="J449" s="2">
        <v>45.34</v>
      </c>
      <c r="K449" s="2">
        <f t="shared" si="19"/>
        <v>45.34</v>
      </c>
      <c r="L449" s="2">
        <f t="shared" si="20"/>
        <v>0</v>
      </c>
      <c r="M449" t="s">
        <v>64</v>
      </c>
      <c r="N449" t="s">
        <v>26</v>
      </c>
    </row>
    <row r="450" spans="1:14" x14ac:dyDescent="0.3">
      <c r="A450">
        <v>2024001448</v>
      </c>
      <c r="B450" s="1">
        <v>45634</v>
      </c>
      <c r="C450" s="11">
        <f t="shared" si="18"/>
        <v>2024</v>
      </c>
      <c r="D450" t="s">
        <v>17</v>
      </c>
      <c r="E450" t="s">
        <v>40</v>
      </c>
      <c r="F450" t="s">
        <v>41</v>
      </c>
      <c r="G450" t="s">
        <v>36</v>
      </c>
      <c r="H450">
        <v>1</v>
      </c>
      <c r="I450" s="2">
        <v>46.08</v>
      </c>
      <c r="J450" s="2">
        <v>46.08</v>
      </c>
      <c r="K450" s="2">
        <f t="shared" si="19"/>
        <v>46.08</v>
      </c>
      <c r="L450" s="2">
        <f t="shared" si="20"/>
        <v>0</v>
      </c>
      <c r="M450" t="s">
        <v>48</v>
      </c>
      <c r="N450" t="s">
        <v>26</v>
      </c>
    </row>
    <row r="451" spans="1:14" x14ac:dyDescent="0.3">
      <c r="A451">
        <v>2024001449</v>
      </c>
      <c r="B451" s="1">
        <v>45398</v>
      </c>
      <c r="C451" s="11">
        <f t="shared" ref="C451:C514" si="21">YEAR(B451)</f>
        <v>2024</v>
      </c>
      <c r="D451" t="s">
        <v>70</v>
      </c>
      <c r="E451" t="s">
        <v>28</v>
      </c>
      <c r="F451" t="s">
        <v>29</v>
      </c>
      <c r="G451" t="s">
        <v>30</v>
      </c>
      <c r="H451">
        <v>3</v>
      </c>
      <c r="I451" s="2">
        <v>24.78</v>
      </c>
      <c r="J451" s="2">
        <v>74.34</v>
      </c>
      <c r="K451" s="2">
        <f t="shared" ref="K451:K514" si="22">I451*H451</f>
        <v>74.34</v>
      </c>
      <c r="L451" s="2">
        <f t="shared" ref="L451:L514" si="23">J451-K451</f>
        <v>0</v>
      </c>
      <c r="M451" t="s">
        <v>38</v>
      </c>
      <c r="N451" t="s">
        <v>32</v>
      </c>
    </row>
    <row r="452" spans="1:14" x14ac:dyDescent="0.3">
      <c r="A452">
        <v>2024001450</v>
      </c>
      <c r="B452" s="1">
        <v>45629</v>
      </c>
      <c r="C452" s="11">
        <f t="shared" si="21"/>
        <v>2024</v>
      </c>
      <c r="D452" t="s">
        <v>213</v>
      </c>
      <c r="E452" t="s">
        <v>34</v>
      </c>
      <c r="F452" t="s">
        <v>35</v>
      </c>
      <c r="G452" t="s">
        <v>36</v>
      </c>
      <c r="H452">
        <v>4</v>
      </c>
      <c r="I452" s="2">
        <v>15.29</v>
      </c>
      <c r="J452" s="2">
        <v>61.16</v>
      </c>
      <c r="K452" s="2">
        <f t="shared" si="22"/>
        <v>61.16</v>
      </c>
      <c r="L452" s="2">
        <f t="shared" si="23"/>
        <v>0</v>
      </c>
      <c r="M452" t="s">
        <v>25</v>
      </c>
      <c r="N452" t="s">
        <v>26</v>
      </c>
    </row>
    <row r="453" spans="1:14" x14ac:dyDescent="0.3">
      <c r="A453">
        <v>2024001451</v>
      </c>
      <c r="B453" s="1">
        <v>45477</v>
      </c>
      <c r="C453" s="11">
        <f t="shared" si="21"/>
        <v>2024</v>
      </c>
      <c r="D453" t="s">
        <v>58</v>
      </c>
      <c r="E453" t="s">
        <v>43</v>
      </c>
      <c r="F453" t="s">
        <v>44</v>
      </c>
      <c r="G453" t="s">
        <v>36</v>
      </c>
      <c r="H453">
        <v>4</v>
      </c>
      <c r="I453" s="2">
        <v>1193.81</v>
      </c>
      <c r="J453" s="2">
        <v>4775.24</v>
      </c>
      <c r="K453" s="2">
        <f t="shared" si="22"/>
        <v>4775.24</v>
      </c>
      <c r="L453" s="2">
        <f t="shared" si="23"/>
        <v>0</v>
      </c>
      <c r="M453" t="s">
        <v>48</v>
      </c>
      <c r="N453" t="s">
        <v>32</v>
      </c>
    </row>
    <row r="454" spans="1:14" x14ac:dyDescent="0.3">
      <c r="A454">
        <v>2024001452</v>
      </c>
      <c r="B454" s="1">
        <v>45466</v>
      </c>
      <c r="C454" s="11">
        <f t="shared" si="21"/>
        <v>2024</v>
      </c>
      <c r="D454" t="s">
        <v>11</v>
      </c>
      <c r="E454" t="s">
        <v>53</v>
      </c>
      <c r="F454" t="s">
        <v>54</v>
      </c>
      <c r="G454" t="s">
        <v>36</v>
      </c>
      <c r="H454">
        <v>1</v>
      </c>
      <c r="I454" s="2">
        <v>118.99</v>
      </c>
      <c r="J454" s="2">
        <v>118.99</v>
      </c>
      <c r="K454" s="2">
        <f t="shared" si="22"/>
        <v>118.99</v>
      </c>
      <c r="L454" s="2">
        <f t="shared" si="23"/>
        <v>0</v>
      </c>
      <c r="M454" t="s">
        <v>20</v>
      </c>
      <c r="N454" t="s">
        <v>32</v>
      </c>
    </row>
    <row r="455" spans="1:14" x14ac:dyDescent="0.3">
      <c r="A455">
        <v>2024001453</v>
      </c>
      <c r="B455" s="1">
        <v>45302</v>
      </c>
      <c r="C455" s="11">
        <f t="shared" si="21"/>
        <v>2024</v>
      </c>
      <c r="D455" t="s">
        <v>265</v>
      </c>
      <c r="E455" t="s">
        <v>12</v>
      </c>
      <c r="F455" t="s">
        <v>13</v>
      </c>
      <c r="G455" t="s">
        <v>14</v>
      </c>
      <c r="H455">
        <v>2</v>
      </c>
      <c r="I455" s="2">
        <v>353.49</v>
      </c>
      <c r="J455" s="2">
        <v>706.98</v>
      </c>
      <c r="K455" s="2">
        <f t="shared" si="22"/>
        <v>706.98</v>
      </c>
      <c r="L455" s="2">
        <f t="shared" si="23"/>
        <v>0</v>
      </c>
      <c r="M455" t="s">
        <v>48</v>
      </c>
      <c r="N455" t="s">
        <v>26</v>
      </c>
    </row>
    <row r="456" spans="1:14" x14ac:dyDescent="0.3">
      <c r="A456">
        <v>2024001454</v>
      </c>
      <c r="B456" s="1">
        <v>45631</v>
      </c>
      <c r="C456" s="11">
        <f t="shared" si="21"/>
        <v>2024</v>
      </c>
      <c r="D456" t="s">
        <v>242</v>
      </c>
      <c r="E456" t="s">
        <v>18</v>
      </c>
      <c r="F456" t="s">
        <v>19</v>
      </c>
      <c r="G456" t="s">
        <v>14</v>
      </c>
      <c r="H456">
        <v>1</v>
      </c>
      <c r="I456" s="2">
        <v>612.24</v>
      </c>
      <c r="J456" s="2">
        <v>612.24</v>
      </c>
      <c r="K456" s="2">
        <f t="shared" si="22"/>
        <v>612.24</v>
      </c>
      <c r="L456" s="2">
        <f t="shared" si="23"/>
        <v>0</v>
      </c>
      <c r="M456" t="s">
        <v>48</v>
      </c>
      <c r="N456" t="s">
        <v>21</v>
      </c>
    </row>
    <row r="457" spans="1:14" x14ac:dyDescent="0.3">
      <c r="A457">
        <v>2024001455</v>
      </c>
      <c r="B457" s="1">
        <v>45594</v>
      </c>
      <c r="C457" s="11">
        <f t="shared" si="21"/>
        <v>2024</v>
      </c>
      <c r="D457" t="s">
        <v>129</v>
      </c>
      <c r="E457" t="s">
        <v>34</v>
      </c>
      <c r="F457" t="s">
        <v>35</v>
      </c>
      <c r="G457" t="s">
        <v>36</v>
      </c>
      <c r="H457">
        <v>1</v>
      </c>
      <c r="I457" s="2">
        <v>14.91</v>
      </c>
      <c r="J457" s="2">
        <v>14.91</v>
      </c>
      <c r="K457" s="2">
        <f t="shared" si="22"/>
        <v>14.91</v>
      </c>
      <c r="L457" s="2">
        <f t="shared" si="23"/>
        <v>0</v>
      </c>
      <c r="M457" t="s">
        <v>15</v>
      </c>
      <c r="N457" t="s">
        <v>26</v>
      </c>
    </row>
    <row r="458" spans="1:14" x14ac:dyDescent="0.3">
      <c r="A458">
        <v>2024001456</v>
      </c>
      <c r="B458" s="1">
        <v>45304</v>
      </c>
      <c r="C458" s="11">
        <f t="shared" si="21"/>
        <v>2024</v>
      </c>
      <c r="D458" t="s">
        <v>164</v>
      </c>
      <c r="E458" t="s">
        <v>18</v>
      </c>
      <c r="F458" t="s">
        <v>19</v>
      </c>
      <c r="G458" t="s">
        <v>14</v>
      </c>
      <c r="H458">
        <v>3</v>
      </c>
      <c r="I458" s="2">
        <v>588.1</v>
      </c>
      <c r="J458" s="2">
        <v>1764.3</v>
      </c>
      <c r="K458" s="2">
        <f t="shared" si="22"/>
        <v>1764.3000000000002</v>
      </c>
      <c r="L458" s="2">
        <f t="shared" si="23"/>
        <v>0</v>
      </c>
      <c r="M458" t="s">
        <v>48</v>
      </c>
      <c r="N458" t="s">
        <v>16</v>
      </c>
    </row>
    <row r="459" spans="1:14" x14ac:dyDescent="0.3">
      <c r="A459">
        <v>2024001457</v>
      </c>
      <c r="B459" s="1">
        <v>45601</v>
      </c>
      <c r="C459" s="11">
        <f t="shared" si="21"/>
        <v>2024</v>
      </c>
      <c r="D459" t="s">
        <v>266</v>
      </c>
      <c r="E459" t="s">
        <v>53</v>
      </c>
      <c r="F459" t="s">
        <v>54</v>
      </c>
      <c r="G459" t="s">
        <v>36</v>
      </c>
      <c r="H459">
        <v>2</v>
      </c>
      <c r="I459" s="2">
        <v>122.9</v>
      </c>
      <c r="J459" s="2">
        <v>245.8</v>
      </c>
      <c r="K459" s="2">
        <f t="shared" si="22"/>
        <v>245.8</v>
      </c>
      <c r="L459" s="2">
        <f t="shared" si="23"/>
        <v>0</v>
      </c>
      <c r="M459" t="s">
        <v>55</v>
      </c>
      <c r="N459" t="s">
        <v>26</v>
      </c>
    </row>
    <row r="460" spans="1:14" x14ac:dyDescent="0.3">
      <c r="A460">
        <v>2024001458</v>
      </c>
      <c r="B460" s="1">
        <v>45507</v>
      </c>
      <c r="C460" s="11">
        <f t="shared" si="21"/>
        <v>2024</v>
      </c>
      <c r="D460" t="s">
        <v>186</v>
      </c>
      <c r="E460" t="s">
        <v>53</v>
      </c>
      <c r="F460" t="s">
        <v>54</v>
      </c>
      <c r="G460" t="s">
        <v>36</v>
      </c>
      <c r="H460">
        <v>1</v>
      </c>
      <c r="I460" s="2">
        <v>120.83</v>
      </c>
      <c r="J460" s="2">
        <v>120.83</v>
      </c>
      <c r="K460" s="2">
        <f t="shared" si="22"/>
        <v>120.83</v>
      </c>
      <c r="L460" s="2">
        <f t="shared" si="23"/>
        <v>0</v>
      </c>
      <c r="M460" t="s">
        <v>64</v>
      </c>
      <c r="N460" t="s">
        <v>16</v>
      </c>
    </row>
    <row r="461" spans="1:14" x14ac:dyDescent="0.3">
      <c r="A461">
        <v>2024001459</v>
      </c>
      <c r="B461" s="1">
        <v>45356</v>
      </c>
      <c r="C461" s="11">
        <f t="shared" si="21"/>
        <v>2024</v>
      </c>
      <c r="D461" t="s">
        <v>37</v>
      </c>
      <c r="E461" t="s">
        <v>34</v>
      </c>
      <c r="F461" t="s">
        <v>35</v>
      </c>
      <c r="G461" t="s">
        <v>36</v>
      </c>
      <c r="H461">
        <v>2</v>
      </c>
      <c r="I461" s="2">
        <v>14.75</v>
      </c>
      <c r="J461" s="2">
        <v>29.5</v>
      </c>
      <c r="K461" s="2">
        <f t="shared" si="22"/>
        <v>29.5</v>
      </c>
      <c r="L461" s="2">
        <f t="shared" si="23"/>
        <v>0</v>
      </c>
      <c r="M461" t="s">
        <v>61</v>
      </c>
      <c r="N461" t="s">
        <v>16</v>
      </c>
    </row>
    <row r="462" spans="1:14" x14ac:dyDescent="0.3">
      <c r="A462">
        <v>2024001460</v>
      </c>
      <c r="B462" s="1">
        <v>45345</v>
      </c>
      <c r="C462" s="11">
        <f t="shared" si="21"/>
        <v>2024</v>
      </c>
      <c r="D462" t="s">
        <v>120</v>
      </c>
      <c r="E462" t="s">
        <v>18</v>
      </c>
      <c r="F462" t="s">
        <v>19</v>
      </c>
      <c r="G462" t="s">
        <v>14</v>
      </c>
      <c r="H462">
        <v>1</v>
      </c>
      <c r="I462" s="2">
        <v>554.24</v>
      </c>
      <c r="J462" s="2">
        <v>554.24</v>
      </c>
      <c r="K462" s="2">
        <f t="shared" si="22"/>
        <v>554.24</v>
      </c>
      <c r="L462" s="2">
        <f t="shared" si="23"/>
        <v>0</v>
      </c>
      <c r="M462" t="s">
        <v>64</v>
      </c>
      <c r="N462" t="s">
        <v>26</v>
      </c>
    </row>
    <row r="463" spans="1:14" x14ac:dyDescent="0.3">
      <c r="A463">
        <v>2024001461</v>
      </c>
      <c r="B463" s="1">
        <v>45647</v>
      </c>
      <c r="C463" s="11">
        <f t="shared" si="21"/>
        <v>2024</v>
      </c>
      <c r="D463" t="s">
        <v>120</v>
      </c>
      <c r="E463" t="s">
        <v>34</v>
      </c>
      <c r="F463" t="s">
        <v>35</v>
      </c>
      <c r="G463" t="s">
        <v>36</v>
      </c>
      <c r="H463">
        <v>1</v>
      </c>
      <c r="I463" s="2">
        <v>14.15</v>
      </c>
      <c r="J463" s="2">
        <v>14.15</v>
      </c>
      <c r="K463" s="2">
        <f t="shared" si="22"/>
        <v>14.15</v>
      </c>
      <c r="L463" s="2">
        <f t="shared" si="23"/>
        <v>0</v>
      </c>
      <c r="M463" t="s">
        <v>64</v>
      </c>
      <c r="N463" t="s">
        <v>26</v>
      </c>
    </row>
    <row r="464" spans="1:14" x14ac:dyDescent="0.3">
      <c r="A464">
        <v>2024001462</v>
      </c>
      <c r="B464" s="1">
        <v>45559</v>
      </c>
      <c r="C464" s="11">
        <f t="shared" si="21"/>
        <v>2024</v>
      </c>
      <c r="D464" t="s">
        <v>234</v>
      </c>
      <c r="E464" t="s">
        <v>12</v>
      </c>
      <c r="F464" t="s">
        <v>13</v>
      </c>
      <c r="G464" t="s">
        <v>14</v>
      </c>
      <c r="H464">
        <v>1</v>
      </c>
      <c r="I464" s="2">
        <v>359.42</v>
      </c>
      <c r="J464" s="2">
        <v>359.42</v>
      </c>
      <c r="K464" s="2">
        <f t="shared" si="22"/>
        <v>359.42</v>
      </c>
      <c r="L464" s="2">
        <f t="shared" si="23"/>
        <v>0</v>
      </c>
      <c r="M464" t="s">
        <v>31</v>
      </c>
      <c r="N464" t="s">
        <v>16</v>
      </c>
    </row>
    <row r="465" spans="1:14" x14ac:dyDescent="0.3">
      <c r="A465">
        <v>2024001463</v>
      </c>
      <c r="B465" s="1">
        <v>45612</v>
      </c>
      <c r="C465" s="11">
        <f t="shared" si="21"/>
        <v>2024</v>
      </c>
      <c r="D465" t="s">
        <v>264</v>
      </c>
      <c r="E465" t="s">
        <v>43</v>
      </c>
      <c r="F465" t="s">
        <v>44</v>
      </c>
      <c r="G465" t="s">
        <v>36</v>
      </c>
      <c r="H465">
        <v>2</v>
      </c>
      <c r="I465" s="2">
        <v>1197.5</v>
      </c>
      <c r="J465" s="2">
        <v>2395</v>
      </c>
      <c r="K465" s="2">
        <f t="shared" si="22"/>
        <v>2395</v>
      </c>
      <c r="L465" s="2">
        <f t="shared" si="23"/>
        <v>0</v>
      </c>
      <c r="M465" t="s">
        <v>31</v>
      </c>
      <c r="N465" t="s">
        <v>32</v>
      </c>
    </row>
    <row r="466" spans="1:14" x14ac:dyDescent="0.3">
      <c r="A466">
        <v>2024001464</v>
      </c>
      <c r="B466" s="1">
        <v>45574</v>
      </c>
      <c r="C466" s="11">
        <f t="shared" si="21"/>
        <v>2024</v>
      </c>
      <c r="D466" t="s">
        <v>180</v>
      </c>
      <c r="E466" t="s">
        <v>46</v>
      </c>
      <c r="F466" t="s">
        <v>47</v>
      </c>
      <c r="G466" t="s">
        <v>36</v>
      </c>
      <c r="H466">
        <v>3</v>
      </c>
      <c r="I466" s="2">
        <v>88.93</v>
      </c>
      <c r="J466" s="2">
        <v>266.79000000000002</v>
      </c>
      <c r="K466" s="2">
        <f t="shared" si="22"/>
        <v>266.79000000000002</v>
      </c>
      <c r="L466" s="2">
        <f t="shared" si="23"/>
        <v>0</v>
      </c>
      <c r="M466" t="s">
        <v>64</v>
      </c>
      <c r="N466" t="s">
        <v>21</v>
      </c>
    </row>
    <row r="467" spans="1:14" x14ac:dyDescent="0.3">
      <c r="A467">
        <v>2024001465</v>
      </c>
      <c r="B467" s="1">
        <v>45515</v>
      </c>
      <c r="C467" s="11">
        <f t="shared" si="21"/>
        <v>2024</v>
      </c>
      <c r="D467" t="s">
        <v>224</v>
      </c>
      <c r="E467" t="s">
        <v>43</v>
      </c>
      <c r="F467" t="s">
        <v>44</v>
      </c>
      <c r="G467" t="s">
        <v>36</v>
      </c>
      <c r="H467">
        <v>2</v>
      </c>
      <c r="I467" s="2">
        <v>1211.53</v>
      </c>
      <c r="J467" s="2">
        <v>2423.06</v>
      </c>
      <c r="K467" s="2">
        <f t="shared" si="22"/>
        <v>2423.06</v>
      </c>
      <c r="L467" s="2">
        <f t="shared" si="23"/>
        <v>0</v>
      </c>
      <c r="M467" t="s">
        <v>15</v>
      </c>
      <c r="N467" t="s">
        <v>32</v>
      </c>
    </row>
    <row r="468" spans="1:14" x14ac:dyDescent="0.3">
      <c r="A468">
        <v>2024001466</v>
      </c>
      <c r="B468" s="1">
        <v>45604</v>
      </c>
      <c r="C468" s="11">
        <f t="shared" si="21"/>
        <v>2024</v>
      </c>
      <c r="D468" t="s">
        <v>267</v>
      </c>
      <c r="E468" t="s">
        <v>18</v>
      </c>
      <c r="F468" t="s">
        <v>19</v>
      </c>
      <c r="G468" t="s">
        <v>14</v>
      </c>
      <c r="H468">
        <v>2</v>
      </c>
      <c r="I468" s="2">
        <v>620.11</v>
      </c>
      <c r="J468" s="2">
        <v>1240.22</v>
      </c>
      <c r="K468" s="2">
        <f t="shared" si="22"/>
        <v>1240.22</v>
      </c>
      <c r="L468" s="2">
        <f t="shared" si="23"/>
        <v>0</v>
      </c>
      <c r="M468" t="s">
        <v>20</v>
      </c>
      <c r="N468" t="s">
        <v>26</v>
      </c>
    </row>
    <row r="469" spans="1:14" x14ac:dyDescent="0.3">
      <c r="A469">
        <v>2024001467</v>
      </c>
      <c r="B469" s="1">
        <v>45505</v>
      </c>
      <c r="C469" s="11">
        <f t="shared" si="21"/>
        <v>2024</v>
      </c>
      <c r="D469" t="s">
        <v>11</v>
      </c>
      <c r="E469" t="s">
        <v>12</v>
      </c>
      <c r="F469" t="s">
        <v>13</v>
      </c>
      <c r="G469" t="s">
        <v>14</v>
      </c>
      <c r="H469">
        <v>3</v>
      </c>
      <c r="I469" s="2">
        <v>361.85</v>
      </c>
      <c r="J469" s="2">
        <v>1085.55</v>
      </c>
      <c r="K469" s="2">
        <f t="shared" si="22"/>
        <v>1085.5500000000002</v>
      </c>
      <c r="L469" s="2">
        <f t="shared" si="23"/>
        <v>0</v>
      </c>
      <c r="M469" t="s">
        <v>48</v>
      </c>
      <c r="N469" t="s">
        <v>26</v>
      </c>
    </row>
    <row r="470" spans="1:14" x14ac:dyDescent="0.3">
      <c r="A470">
        <v>2024001468</v>
      </c>
      <c r="B470" s="1">
        <v>45389</v>
      </c>
      <c r="C470" s="11">
        <f t="shared" si="21"/>
        <v>2024</v>
      </c>
      <c r="D470" t="s">
        <v>11</v>
      </c>
      <c r="E470" t="s">
        <v>40</v>
      </c>
      <c r="F470" t="s">
        <v>41</v>
      </c>
      <c r="G470" t="s">
        <v>36</v>
      </c>
      <c r="H470">
        <v>1</v>
      </c>
      <c r="I470" s="2">
        <v>44.6</v>
      </c>
      <c r="J470" s="2">
        <v>44.6</v>
      </c>
      <c r="K470" s="2">
        <f t="shared" si="22"/>
        <v>44.6</v>
      </c>
      <c r="L470" s="2">
        <f t="shared" si="23"/>
        <v>0</v>
      </c>
      <c r="M470" t="s">
        <v>31</v>
      </c>
      <c r="N470" t="s">
        <v>32</v>
      </c>
    </row>
    <row r="471" spans="1:14" x14ac:dyDescent="0.3">
      <c r="A471">
        <v>2024001469</v>
      </c>
      <c r="B471" s="1">
        <v>45381</v>
      </c>
      <c r="C471" s="11">
        <f t="shared" si="21"/>
        <v>2024</v>
      </c>
      <c r="D471" t="s">
        <v>79</v>
      </c>
      <c r="E471" t="s">
        <v>28</v>
      </c>
      <c r="F471" t="s">
        <v>29</v>
      </c>
      <c r="G471" t="s">
        <v>30</v>
      </c>
      <c r="H471">
        <v>1</v>
      </c>
      <c r="I471" s="2">
        <v>27.08</v>
      </c>
      <c r="J471" s="2">
        <v>27.08</v>
      </c>
      <c r="K471" s="2">
        <f t="shared" si="22"/>
        <v>27.08</v>
      </c>
      <c r="L471" s="2">
        <f t="shared" si="23"/>
        <v>0</v>
      </c>
      <c r="M471" t="s">
        <v>20</v>
      </c>
      <c r="N471" t="s">
        <v>32</v>
      </c>
    </row>
    <row r="472" spans="1:14" x14ac:dyDescent="0.3">
      <c r="A472">
        <v>2024001470</v>
      </c>
      <c r="B472" s="1">
        <v>45622</v>
      </c>
      <c r="C472" s="11">
        <f t="shared" si="21"/>
        <v>2024</v>
      </c>
      <c r="D472" t="s">
        <v>206</v>
      </c>
      <c r="E472" t="s">
        <v>67</v>
      </c>
      <c r="F472" t="s">
        <v>68</v>
      </c>
      <c r="G472" t="s">
        <v>36</v>
      </c>
      <c r="H472">
        <v>1</v>
      </c>
      <c r="I472" s="2">
        <v>386.76</v>
      </c>
      <c r="J472" s="2">
        <v>386.76</v>
      </c>
      <c r="K472" s="2">
        <f t="shared" si="22"/>
        <v>386.76</v>
      </c>
      <c r="L472" s="2">
        <f t="shared" si="23"/>
        <v>0</v>
      </c>
      <c r="M472" t="s">
        <v>31</v>
      </c>
      <c r="N472" t="s">
        <v>26</v>
      </c>
    </row>
    <row r="473" spans="1:14" x14ac:dyDescent="0.3">
      <c r="A473">
        <v>2024001471</v>
      </c>
      <c r="B473" s="1">
        <v>45317</v>
      </c>
      <c r="C473" s="11">
        <f t="shared" si="21"/>
        <v>2024</v>
      </c>
      <c r="D473" t="s">
        <v>11</v>
      </c>
      <c r="E473" t="s">
        <v>28</v>
      </c>
      <c r="F473" t="s">
        <v>29</v>
      </c>
      <c r="G473" t="s">
        <v>30</v>
      </c>
      <c r="H473">
        <v>3</v>
      </c>
      <c r="I473" s="2">
        <v>24.25</v>
      </c>
      <c r="J473" s="2">
        <v>72.75</v>
      </c>
      <c r="K473" s="2">
        <f t="shared" si="22"/>
        <v>72.75</v>
      </c>
      <c r="L473" s="2">
        <f t="shared" si="23"/>
        <v>0</v>
      </c>
      <c r="M473" t="s">
        <v>57</v>
      </c>
      <c r="N473" t="s">
        <v>21</v>
      </c>
    </row>
    <row r="474" spans="1:14" x14ac:dyDescent="0.3">
      <c r="A474">
        <v>2024001472</v>
      </c>
      <c r="B474" s="1">
        <v>45472</v>
      </c>
      <c r="C474" s="11">
        <f t="shared" si="21"/>
        <v>2024</v>
      </c>
      <c r="D474" t="s">
        <v>268</v>
      </c>
      <c r="E474" t="s">
        <v>43</v>
      </c>
      <c r="F474" t="s">
        <v>44</v>
      </c>
      <c r="G474" t="s">
        <v>36</v>
      </c>
      <c r="H474">
        <v>1</v>
      </c>
      <c r="I474" s="2">
        <v>1185.96</v>
      </c>
      <c r="J474" s="2">
        <v>1185.96</v>
      </c>
      <c r="K474" s="2">
        <f t="shared" si="22"/>
        <v>1185.96</v>
      </c>
      <c r="L474" s="2">
        <f t="shared" si="23"/>
        <v>0</v>
      </c>
      <c r="M474" t="s">
        <v>48</v>
      </c>
      <c r="N474" t="s">
        <v>21</v>
      </c>
    </row>
    <row r="475" spans="1:14" x14ac:dyDescent="0.3">
      <c r="A475">
        <v>2024001140</v>
      </c>
      <c r="B475" s="1">
        <v>45450</v>
      </c>
      <c r="C475" s="11">
        <f t="shared" si="21"/>
        <v>2024</v>
      </c>
      <c r="D475" t="s">
        <v>78</v>
      </c>
      <c r="E475" t="s">
        <v>40</v>
      </c>
      <c r="F475" t="s">
        <v>41</v>
      </c>
      <c r="G475" t="s">
        <v>36</v>
      </c>
      <c r="H475">
        <v>2</v>
      </c>
      <c r="I475" s="2">
        <v>46.05</v>
      </c>
      <c r="J475" s="2">
        <v>92.1</v>
      </c>
      <c r="K475" s="2">
        <f t="shared" si="22"/>
        <v>92.1</v>
      </c>
      <c r="L475" s="2">
        <f t="shared" si="23"/>
        <v>0</v>
      </c>
      <c r="M475" t="s">
        <v>55</v>
      </c>
      <c r="N475" t="s">
        <v>26</v>
      </c>
    </row>
    <row r="476" spans="1:14" x14ac:dyDescent="0.3">
      <c r="A476">
        <v>2024001474</v>
      </c>
      <c r="B476" s="1">
        <v>45657</v>
      </c>
      <c r="C476" s="11">
        <f t="shared" si="21"/>
        <v>2024</v>
      </c>
      <c r="D476" t="s">
        <v>238</v>
      </c>
      <c r="E476" t="s">
        <v>67</v>
      </c>
      <c r="F476" t="s">
        <v>68</v>
      </c>
      <c r="G476" t="s">
        <v>36</v>
      </c>
      <c r="H476">
        <v>1</v>
      </c>
      <c r="I476" s="2">
        <v>420.71</v>
      </c>
      <c r="J476" s="2">
        <v>420.71</v>
      </c>
      <c r="K476" s="2">
        <f t="shared" si="22"/>
        <v>420.71</v>
      </c>
      <c r="L476" s="2">
        <f t="shared" si="23"/>
        <v>0</v>
      </c>
      <c r="M476" t="s">
        <v>31</v>
      </c>
      <c r="N476" t="s">
        <v>26</v>
      </c>
    </row>
    <row r="477" spans="1:14" x14ac:dyDescent="0.3">
      <c r="A477">
        <v>2024001475</v>
      </c>
      <c r="B477" s="1">
        <v>45337</v>
      </c>
      <c r="C477" s="11">
        <f t="shared" si="21"/>
        <v>2024</v>
      </c>
      <c r="D477" t="s">
        <v>197</v>
      </c>
      <c r="E477" t="s">
        <v>67</v>
      </c>
      <c r="F477" t="s">
        <v>68</v>
      </c>
      <c r="G477" t="s">
        <v>36</v>
      </c>
      <c r="H477">
        <v>3</v>
      </c>
      <c r="I477" s="2">
        <v>384.29</v>
      </c>
      <c r="J477" s="2">
        <v>1152.8699999999999</v>
      </c>
      <c r="K477" s="2">
        <f t="shared" si="22"/>
        <v>1152.8700000000001</v>
      </c>
      <c r="L477" s="2">
        <f t="shared" si="23"/>
        <v>0</v>
      </c>
      <c r="M477" t="s">
        <v>31</v>
      </c>
      <c r="N477" t="s">
        <v>16</v>
      </c>
    </row>
    <row r="478" spans="1:14" x14ac:dyDescent="0.3">
      <c r="A478">
        <v>2024001476</v>
      </c>
      <c r="B478" s="1">
        <v>45514</v>
      </c>
      <c r="C478" s="11">
        <f t="shared" si="21"/>
        <v>2024</v>
      </c>
      <c r="D478" t="s">
        <v>269</v>
      </c>
      <c r="E478" t="s">
        <v>34</v>
      </c>
      <c r="F478" t="s">
        <v>35</v>
      </c>
      <c r="G478" t="s">
        <v>36</v>
      </c>
      <c r="H478">
        <v>1</v>
      </c>
      <c r="I478" s="2">
        <v>13.93</v>
      </c>
      <c r="J478" s="2">
        <v>13.93</v>
      </c>
      <c r="K478" s="2">
        <f t="shared" si="22"/>
        <v>13.93</v>
      </c>
      <c r="L478" s="2">
        <f t="shared" si="23"/>
        <v>0</v>
      </c>
      <c r="M478" t="s">
        <v>61</v>
      </c>
      <c r="N478" t="s">
        <v>26</v>
      </c>
    </row>
    <row r="479" spans="1:14" x14ac:dyDescent="0.3">
      <c r="A479">
        <v>2024001477</v>
      </c>
      <c r="B479" s="1">
        <v>45531</v>
      </c>
      <c r="C479" s="11">
        <f t="shared" si="21"/>
        <v>2024</v>
      </c>
      <c r="D479" t="s">
        <v>11</v>
      </c>
      <c r="E479" t="s">
        <v>40</v>
      </c>
      <c r="F479" t="s">
        <v>41</v>
      </c>
      <c r="G479" t="s">
        <v>36</v>
      </c>
      <c r="H479">
        <v>3</v>
      </c>
      <c r="I479" s="2">
        <v>44.4</v>
      </c>
      <c r="J479" s="2">
        <v>133.19999999999999</v>
      </c>
      <c r="K479" s="2">
        <f t="shared" si="22"/>
        <v>133.19999999999999</v>
      </c>
      <c r="L479" s="2">
        <f t="shared" si="23"/>
        <v>0</v>
      </c>
      <c r="M479" t="s">
        <v>64</v>
      </c>
      <c r="N479" t="s">
        <v>26</v>
      </c>
    </row>
    <row r="480" spans="1:14" x14ac:dyDescent="0.3">
      <c r="A480">
        <v>2024001478</v>
      </c>
      <c r="B480" s="1">
        <v>45563</v>
      </c>
      <c r="C480" s="11">
        <f t="shared" si="21"/>
        <v>2024</v>
      </c>
      <c r="D480" t="s">
        <v>11</v>
      </c>
      <c r="E480" t="s">
        <v>12</v>
      </c>
      <c r="F480" t="s">
        <v>13</v>
      </c>
      <c r="G480" t="s">
        <v>14</v>
      </c>
      <c r="H480">
        <v>4</v>
      </c>
      <c r="I480" s="2">
        <v>350.84</v>
      </c>
      <c r="J480" s="2">
        <v>1403.36</v>
      </c>
      <c r="K480" s="2">
        <f t="shared" si="22"/>
        <v>1403.36</v>
      </c>
      <c r="L480" s="2">
        <f t="shared" si="23"/>
        <v>0</v>
      </c>
      <c r="M480" t="s">
        <v>25</v>
      </c>
      <c r="N480" t="s">
        <v>26</v>
      </c>
    </row>
    <row r="481" spans="1:14" x14ac:dyDescent="0.3">
      <c r="A481">
        <v>2024001479</v>
      </c>
      <c r="B481" s="1">
        <v>45565</v>
      </c>
      <c r="C481" s="11">
        <f t="shared" si="21"/>
        <v>2024</v>
      </c>
      <c r="D481" t="s">
        <v>11</v>
      </c>
      <c r="E481" t="s">
        <v>34</v>
      </c>
      <c r="F481" t="s">
        <v>35</v>
      </c>
      <c r="G481" t="s">
        <v>36</v>
      </c>
      <c r="H481">
        <v>1</v>
      </c>
      <c r="I481" s="2">
        <v>15.25</v>
      </c>
      <c r="J481" s="2">
        <v>15.25</v>
      </c>
      <c r="K481" s="2">
        <f t="shared" si="22"/>
        <v>15.25</v>
      </c>
      <c r="L481" s="2">
        <f t="shared" si="23"/>
        <v>0</v>
      </c>
      <c r="M481" t="s">
        <v>64</v>
      </c>
      <c r="N481" t="s">
        <v>16</v>
      </c>
    </row>
    <row r="482" spans="1:14" x14ac:dyDescent="0.3">
      <c r="A482">
        <v>2024001480</v>
      </c>
      <c r="B482" s="1">
        <v>45445</v>
      </c>
      <c r="C482" s="11">
        <f t="shared" si="21"/>
        <v>2024</v>
      </c>
      <c r="D482" t="s">
        <v>231</v>
      </c>
      <c r="E482" t="s">
        <v>34</v>
      </c>
      <c r="F482" t="s">
        <v>35</v>
      </c>
      <c r="G482" t="s">
        <v>36</v>
      </c>
      <c r="H482">
        <v>2</v>
      </c>
      <c r="I482" s="2">
        <v>16.02</v>
      </c>
      <c r="J482" s="2">
        <v>32.04</v>
      </c>
      <c r="K482" s="2">
        <f t="shared" si="22"/>
        <v>32.04</v>
      </c>
      <c r="L482" s="2">
        <f t="shared" si="23"/>
        <v>0</v>
      </c>
      <c r="M482" t="s">
        <v>25</v>
      </c>
      <c r="N482" t="s">
        <v>32</v>
      </c>
    </row>
    <row r="483" spans="1:14" x14ac:dyDescent="0.3">
      <c r="A483">
        <v>2024001481</v>
      </c>
      <c r="B483" s="1">
        <v>45538</v>
      </c>
      <c r="C483" s="11">
        <f t="shared" si="21"/>
        <v>2024</v>
      </c>
      <c r="D483" t="s">
        <v>11</v>
      </c>
      <c r="E483" t="s">
        <v>23</v>
      </c>
      <c r="F483" t="s">
        <v>24</v>
      </c>
      <c r="G483" t="s">
        <v>14</v>
      </c>
      <c r="H483">
        <v>1</v>
      </c>
      <c r="I483" s="2">
        <v>76.02</v>
      </c>
      <c r="J483" s="2">
        <v>76.02</v>
      </c>
      <c r="K483" s="2">
        <f t="shared" si="22"/>
        <v>76.02</v>
      </c>
      <c r="L483" s="2">
        <f t="shared" si="23"/>
        <v>0</v>
      </c>
      <c r="M483" t="s">
        <v>20</v>
      </c>
      <c r="N483" t="s">
        <v>16</v>
      </c>
    </row>
    <row r="484" spans="1:14" x14ac:dyDescent="0.3">
      <c r="A484">
        <v>2024001482</v>
      </c>
      <c r="B484" s="1">
        <v>45643</v>
      </c>
      <c r="C484" s="11">
        <f t="shared" si="21"/>
        <v>2024</v>
      </c>
      <c r="D484" t="s">
        <v>270</v>
      </c>
      <c r="E484" t="s">
        <v>43</v>
      </c>
      <c r="F484" t="s">
        <v>44</v>
      </c>
      <c r="G484" t="s">
        <v>36</v>
      </c>
      <c r="H484">
        <v>1</v>
      </c>
      <c r="I484" s="2">
        <v>1233.74</v>
      </c>
      <c r="J484" s="2">
        <v>1233.74</v>
      </c>
      <c r="K484" s="2">
        <f t="shared" si="22"/>
        <v>1233.74</v>
      </c>
      <c r="L484" s="2">
        <f t="shared" si="23"/>
        <v>0</v>
      </c>
      <c r="M484" t="s">
        <v>48</v>
      </c>
      <c r="N484" t="s">
        <v>26</v>
      </c>
    </row>
    <row r="485" spans="1:14" x14ac:dyDescent="0.3">
      <c r="A485">
        <v>2024001483</v>
      </c>
      <c r="B485" s="1">
        <v>45365</v>
      </c>
      <c r="C485" s="11">
        <f t="shared" si="21"/>
        <v>2024</v>
      </c>
      <c r="D485" t="s">
        <v>81</v>
      </c>
      <c r="E485" t="s">
        <v>18</v>
      </c>
      <c r="F485" t="s">
        <v>19</v>
      </c>
      <c r="G485" t="s">
        <v>14</v>
      </c>
      <c r="H485">
        <v>1</v>
      </c>
      <c r="I485" s="2">
        <v>612.52</v>
      </c>
      <c r="J485" s="2">
        <v>612.52</v>
      </c>
      <c r="K485" s="2">
        <f t="shared" si="22"/>
        <v>612.52</v>
      </c>
      <c r="L485" s="2">
        <f t="shared" si="23"/>
        <v>0</v>
      </c>
      <c r="M485" t="s">
        <v>31</v>
      </c>
      <c r="N485" t="s">
        <v>21</v>
      </c>
    </row>
    <row r="486" spans="1:14" x14ac:dyDescent="0.3">
      <c r="A486">
        <v>2024001484</v>
      </c>
      <c r="B486" s="1">
        <v>45462</v>
      </c>
      <c r="C486" s="11">
        <f t="shared" si="21"/>
        <v>2024</v>
      </c>
      <c r="D486" t="s">
        <v>271</v>
      </c>
      <c r="E486" t="s">
        <v>46</v>
      </c>
      <c r="F486" t="s">
        <v>47</v>
      </c>
      <c r="G486" t="s">
        <v>36</v>
      </c>
      <c r="H486">
        <v>1</v>
      </c>
      <c r="I486" s="2">
        <v>92.11</v>
      </c>
      <c r="J486" s="2">
        <v>92.11</v>
      </c>
      <c r="K486" s="2">
        <f t="shared" si="22"/>
        <v>92.11</v>
      </c>
      <c r="L486" s="2">
        <f t="shared" si="23"/>
        <v>0</v>
      </c>
      <c r="M486" t="s">
        <v>64</v>
      </c>
      <c r="N486" t="s">
        <v>26</v>
      </c>
    </row>
    <row r="487" spans="1:14" x14ac:dyDescent="0.3">
      <c r="A487">
        <v>2024001485</v>
      </c>
      <c r="B487" s="1">
        <v>45446</v>
      </c>
      <c r="C487" s="11">
        <f t="shared" si="21"/>
        <v>2024</v>
      </c>
      <c r="D487" t="s">
        <v>213</v>
      </c>
      <c r="E487" t="s">
        <v>46</v>
      </c>
      <c r="F487" t="s">
        <v>47</v>
      </c>
      <c r="G487" t="s">
        <v>36</v>
      </c>
      <c r="H487">
        <v>4</v>
      </c>
      <c r="I487" s="2">
        <v>93.21</v>
      </c>
      <c r="J487" s="2">
        <v>372.84</v>
      </c>
      <c r="K487" s="2">
        <f t="shared" si="22"/>
        <v>372.84</v>
      </c>
      <c r="L487" s="2">
        <f t="shared" si="23"/>
        <v>0</v>
      </c>
      <c r="M487" t="s">
        <v>64</v>
      </c>
      <c r="N487" t="s">
        <v>32</v>
      </c>
    </row>
    <row r="488" spans="1:14" x14ac:dyDescent="0.3">
      <c r="A488">
        <v>2024001486</v>
      </c>
      <c r="B488" s="1">
        <v>45538</v>
      </c>
      <c r="C488" s="11">
        <f t="shared" si="21"/>
        <v>2024</v>
      </c>
      <c r="D488" t="s">
        <v>272</v>
      </c>
      <c r="E488" t="s">
        <v>40</v>
      </c>
      <c r="F488" t="s">
        <v>41</v>
      </c>
      <c r="G488" t="s">
        <v>36</v>
      </c>
      <c r="H488">
        <v>5</v>
      </c>
      <c r="I488" s="2">
        <v>41.98</v>
      </c>
      <c r="J488" s="2">
        <v>209.9</v>
      </c>
      <c r="K488" s="2">
        <f t="shared" si="22"/>
        <v>209.89999999999998</v>
      </c>
      <c r="L488" s="2">
        <f t="shared" si="23"/>
        <v>0</v>
      </c>
      <c r="M488" t="s">
        <v>25</v>
      </c>
      <c r="N488" t="s">
        <v>16</v>
      </c>
    </row>
    <row r="489" spans="1:14" x14ac:dyDescent="0.3">
      <c r="A489">
        <v>2024001487</v>
      </c>
      <c r="B489" s="1">
        <v>45454</v>
      </c>
      <c r="C489" s="11">
        <f t="shared" si="21"/>
        <v>2024</v>
      </c>
      <c r="D489" t="s">
        <v>72</v>
      </c>
      <c r="E489" t="s">
        <v>43</v>
      </c>
      <c r="F489" t="s">
        <v>44</v>
      </c>
      <c r="G489" t="s">
        <v>36</v>
      </c>
      <c r="H489">
        <v>1</v>
      </c>
      <c r="I489" s="2">
        <v>1103.8</v>
      </c>
      <c r="J489" s="2">
        <v>1103.8</v>
      </c>
      <c r="K489" s="2">
        <f t="shared" si="22"/>
        <v>1103.8</v>
      </c>
      <c r="L489" s="2">
        <f t="shared" si="23"/>
        <v>0</v>
      </c>
      <c r="M489" t="s">
        <v>31</v>
      </c>
      <c r="N489" t="s">
        <v>16</v>
      </c>
    </row>
    <row r="490" spans="1:14" x14ac:dyDescent="0.3">
      <c r="A490">
        <v>2024001488</v>
      </c>
      <c r="B490" s="1">
        <v>45308</v>
      </c>
      <c r="C490" s="11">
        <f t="shared" si="21"/>
        <v>2024</v>
      </c>
      <c r="D490" t="s">
        <v>179</v>
      </c>
      <c r="E490" t="s">
        <v>12</v>
      </c>
      <c r="F490" t="s">
        <v>13</v>
      </c>
      <c r="G490" t="s">
        <v>14</v>
      </c>
      <c r="H490">
        <v>1</v>
      </c>
      <c r="I490" s="2">
        <v>317.79000000000002</v>
      </c>
      <c r="J490" s="2">
        <v>317.79000000000002</v>
      </c>
      <c r="K490" s="2">
        <f t="shared" si="22"/>
        <v>317.79000000000002</v>
      </c>
      <c r="L490" s="2">
        <f t="shared" si="23"/>
        <v>0</v>
      </c>
      <c r="M490" t="s">
        <v>61</v>
      </c>
      <c r="N490" t="s">
        <v>16</v>
      </c>
    </row>
    <row r="491" spans="1:14" x14ac:dyDescent="0.3">
      <c r="A491">
        <v>2024001489</v>
      </c>
      <c r="B491" s="1">
        <v>45548</v>
      </c>
      <c r="C491" s="11">
        <f t="shared" si="21"/>
        <v>2024</v>
      </c>
      <c r="D491" t="s">
        <v>177</v>
      </c>
      <c r="E491" t="s">
        <v>46</v>
      </c>
      <c r="F491" t="s">
        <v>47</v>
      </c>
      <c r="G491" t="s">
        <v>36</v>
      </c>
      <c r="H491">
        <v>4</v>
      </c>
      <c r="I491" s="2">
        <v>97.25</v>
      </c>
      <c r="J491" s="2">
        <v>389</v>
      </c>
      <c r="K491" s="2">
        <f t="shared" si="22"/>
        <v>389</v>
      </c>
      <c r="L491" s="2">
        <f t="shared" si="23"/>
        <v>0</v>
      </c>
      <c r="M491" t="s">
        <v>38</v>
      </c>
      <c r="N491" t="s">
        <v>21</v>
      </c>
    </row>
    <row r="492" spans="1:14" x14ac:dyDescent="0.3">
      <c r="A492">
        <v>2024001490</v>
      </c>
      <c r="B492" s="1">
        <v>45557</v>
      </c>
      <c r="C492" s="11">
        <f t="shared" si="21"/>
        <v>2024</v>
      </c>
      <c r="D492" t="s">
        <v>105</v>
      </c>
      <c r="E492" t="s">
        <v>28</v>
      </c>
      <c r="F492" t="s">
        <v>29</v>
      </c>
      <c r="G492" t="s">
        <v>30</v>
      </c>
      <c r="H492">
        <v>1</v>
      </c>
      <c r="I492" s="2">
        <v>24.49</v>
      </c>
      <c r="J492" s="2">
        <v>24.49</v>
      </c>
      <c r="K492" s="2">
        <f t="shared" si="22"/>
        <v>24.49</v>
      </c>
      <c r="L492" s="2">
        <f t="shared" si="23"/>
        <v>0</v>
      </c>
      <c r="M492" t="s">
        <v>38</v>
      </c>
      <c r="N492" t="s">
        <v>26</v>
      </c>
    </row>
    <row r="493" spans="1:14" x14ac:dyDescent="0.3">
      <c r="A493">
        <v>2024001491</v>
      </c>
      <c r="B493" s="1">
        <v>45547</v>
      </c>
      <c r="C493" s="11">
        <f t="shared" si="21"/>
        <v>2024</v>
      </c>
      <c r="D493" t="s">
        <v>11</v>
      </c>
      <c r="E493" t="s">
        <v>23</v>
      </c>
      <c r="F493" t="s">
        <v>24</v>
      </c>
      <c r="G493" t="s">
        <v>14</v>
      </c>
      <c r="H493">
        <v>2</v>
      </c>
      <c r="I493" s="2">
        <v>82.75</v>
      </c>
      <c r="J493" s="2">
        <v>165.5</v>
      </c>
      <c r="K493" s="2">
        <f t="shared" si="22"/>
        <v>165.5</v>
      </c>
      <c r="L493" s="2">
        <f t="shared" si="23"/>
        <v>0</v>
      </c>
      <c r="M493" t="s">
        <v>57</v>
      </c>
      <c r="N493" t="s">
        <v>32</v>
      </c>
    </row>
    <row r="494" spans="1:14" x14ac:dyDescent="0.3">
      <c r="A494">
        <v>2024001492</v>
      </c>
      <c r="B494" s="1">
        <v>45573</v>
      </c>
      <c r="C494" s="11">
        <f t="shared" si="21"/>
        <v>2024</v>
      </c>
      <c r="D494" t="s">
        <v>248</v>
      </c>
      <c r="E494" t="s">
        <v>53</v>
      </c>
      <c r="F494" t="s">
        <v>54</v>
      </c>
      <c r="G494" t="s">
        <v>36</v>
      </c>
      <c r="H494">
        <v>3</v>
      </c>
      <c r="I494" s="2">
        <v>128.47</v>
      </c>
      <c r="J494" s="2">
        <v>385.41</v>
      </c>
      <c r="K494" s="2">
        <f t="shared" si="22"/>
        <v>385.40999999999997</v>
      </c>
      <c r="L494" s="2">
        <f t="shared" si="23"/>
        <v>0</v>
      </c>
      <c r="M494" t="s">
        <v>31</v>
      </c>
      <c r="N494" t="s">
        <v>32</v>
      </c>
    </row>
    <row r="495" spans="1:14" x14ac:dyDescent="0.3">
      <c r="A495">
        <v>2024001493</v>
      </c>
      <c r="B495" s="1">
        <v>45533</v>
      </c>
      <c r="C495" s="11">
        <f t="shared" si="21"/>
        <v>2024</v>
      </c>
      <c r="D495" t="s">
        <v>258</v>
      </c>
      <c r="E495" t="s">
        <v>23</v>
      </c>
      <c r="F495" t="s">
        <v>24</v>
      </c>
      <c r="G495" t="s">
        <v>14</v>
      </c>
      <c r="H495">
        <v>1</v>
      </c>
      <c r="I495" s="2">
        <v>78.38</v>
      </c>
      <c r="J495" s="2">
        <v>78.38</v>
      </c>
      <c r="K495" s="2">
        <f t="shared" si="22"/>
        <v>78.38</v>
      </c>
      <c r="L495" s="2">
        <f t="shared" si="23"/>
        <v>0</v>
      </c>
      <c r="M495" t="s">
        <v>57</v>
      </c>
      <c r="N495" t="s">
        <v>32</v>
      </c>
    </row>
    <row r="496" spans="1:14" x14ac:dyDescent="0.3">
      <c r="A496">
        <v>2024001494</v>
      </c>
      <c r="B496" s="1">
        <v>45394</v>
      </c>
      <c r="C496" s="11">
        <f t="shared" si="21"/>
        <v>2024</v>
      </c>
      <c r="D496" t="s">
        <v>273</v>
      </c>
      <c r="E496" t="s">
        <v>28</v>
      </c>
      <c r="F496" t="s">
        <v>29</v>
      </c>
      <c r="G496" t="s">
        <v>30</v>
      </c>
      <c r="H496">
        <v>1</v>
      </c>
      <c r="I496" s="2">
        <v>25.85</v>
      </c>
      <c r="J496" s="2">
        <v>25.85</v>
      </c>
      <c r="K496" s="2">
        <f t="shared" si="22"/>
        <v>25.85</v>
      </c>
      <c r="L496" s="2">
        <f t="shared" si="23"/>
        <v>0</v>
      </c>
      <c r="M496" t="s">
        <v>61</v>
      </c>
      <c r="N496" t="s">
        <v>21</v>
      </c>
    </row>
    <row r="497" spans="1:14" x14ac:dyDescent="0.3">
      <c r="A497">
        <v>2024001495</v>
      </c>
      <c r="B497" s="1">
        <v>45571</v>
      </c>
      <c r="C497" s="11">
        <f t="shared" si="21"/>
        <v>2024</v>
      </c>
      <c r="D497" t="s">
        <v>111</v>
      </c>
      <c r="E497" t="s">
        <v>23</v>
      </c>
      <c r="F497" t="s">
        <v>24</v>
      </c>
      <c r="G497" t="s">
        <v>14</v>
      </c>
      <c r="H497">
        <v>1</v>
      </c>
      <c r="I497" s="2">
        <v>78.540000000000006</v>
      </c>
      <c r="J497" s="2">
        <v>78.540000000000006</v>
      </c>
      <c r="K497" s="2">
        <f t="shared" si="22"/>
        <v>78.540000000000006</v>
      </c>
      <c r="L497" s="2">
        <f t="shared" si="23"/>
        <v>0</v>
      </c>
      <c r="M497" t="s">
        <v>38</v>
      </c>
      <c r="N497" t="s">
        <v>16</v>
      </c>
    </row>
    <row r="498" spans="1:14" x14ac:dyDescent="0.3">
      <c r="A498">
        <v>2024001496</v>
      </c>
      <c r="B498" s="1">
        <v>45315</v>
      </c>
      <c r="C498" s="11">
        <f t="shared" si="21"/>
        <v>2024</v>
      </c>
      <c r="D498" t="s">
        <v>274</v>
      </c>
      <c r="E498" t="s">
        <v>46</v>
      </c>
      <c r="F498" t="s">
        <v>47</v>
      </c>
      <c r="G498" t="s">
        <v>36</v>
      </c>
      <c r="H498">
        <v>3</v>
      </c>
      <c r="I498" s="2">
        <v>76.84</v>
      </c>
      <c r="J498" s="2">
        <v>230.52</v>
      </c>
      <c r="K498" s="2">
        <f t="shared" si="22"/>
        <v>230.52</v>
      </c>
      <c r="L498" s="2">
        <f t="shared" si="23"/>
        <v>0</v>
      </c>
      <c r="M498" t="s">
        <v>25</v>
      </c>
      <c r="N498" t="s">
        <v>32</v>
      </c>
    </row>
    <row r="499" spans="1:14" x14ac:dyDescent="0.3">
      <c r="A499">
        <v>2024001497</v>
      </c>
      <c r="B499" s="1">
        <v>45407</v>
      </c>
      <c r="C499" s="11">
        <f t="shared" si="21"/>
        <v>2024</v>
      </c>
      <c r="D499" t="s">
        <v>86</v>
      </c>
      <c r="E499" t="s">
        <v>18</v>
      </c>
      <c r="F499" t="s">
        <v>19</v>
      </c>
      <c r="G499" t="s">
        <v>14</v>
      </c>
      <c r="H499">
        <v>1</v>
      </c>
      <c r="I499" s="2">
        <v>637.42999999999995</v>
      </c>
      <c r="J499" s="2">
        <v>637.42999999999995</v>
      </c>
      <c r="K499" s="2">
        <f t="shared" si="22"/>
        <v>637.42999999999995</v>
      </c>
      <c r="L499" s="2">
        <f t="shared" si="23"/>
        <v>0</v>
      </c>
      <c r="M499" t="s">
        <v>25</v>
      </c>
      <c r="N499" t="s">
        <v>16</v>
      </c>
    </row>
    <row r="500" spans="1:14" x14ac:dyDescent="0.3">
      <c r="A500">
        <v>2024001498</v>
      </c>
      <c r="B500" s="1">
        <v>45460</v>
      </c>
      <c r="C500" s="11">
        <f t="shared" si="21"/>
        <v>2024</v>
      </c>
      <c r="D500" t="s">
        <v>275</v>
      </c>
      <c r="E500" t="s">
        <v>67</v>
      </c>
      <c r="F500" t="s">
        <v>68</v>
      </c>
      <c r="G500" t="s">
        <v>36</v>
      </c>
      <c r="H500">
        <v>1</v>
      </c>
      <c r="I500" s="2">
        <v>382.67</v>
      </c>
      <c r="J500" s="2">
        <v>382.67</v>
      </c>
      <c r="K500" s="2">
        <f t="shared" si="22"/>
        <v>382.67</v>
      </c>
      <c r="L500" s="2">
        <f t="shared" si="23"/>
        <v>0</v>
      </c>
      <c r="M500" t="s">
        <v>15</v>
      </c>
      <c r="N500" t="s">
        <v>16</v>
      </c>
    </row>
    <row r="501" spans="1:14" x14ac:dyDescent="0.3">
      <c r="A501">
        <v>2024001499</v>
      </c>
      <c r="B501" s="1">
        <v>45376</v>
      </c>
      <c r="C501" s="11">
        <f t="shared" si="21"/>
        <v>2024</v>
      </c>
      <c r="D501" t="s">
        <v>276</v>
      </c>
      <c r="E501" t="s">
        <v>34</v>
      </c>
      <c r="F501" t="s">
        <v>35</v>
      </c>
      <c r="G501" t="s">
        <v>36</v>
      </c>
      <c r="H501">
        <v>3</v>
      </c>
      <c r="I501" s="2">
        <v>15.48</v>
      </c>
      <c r="J501" s="2">
        <v>46.44</v>
      </c>
      <c r="K501" s="2">
        <f t="shared" si="22"/>
        <v>46.44</v>
      </c>
      <c r="L501" s="2">
        <f t="shared" si="23"/>
        <v>0</v>
      </c>
      <c r="M501" t="s">
        <v>64</v>
      </c>
      <c r="N501" t="s">
        <v>21</v>
      </c>
    </row>
    <row r="502" spans="1:14" x14ac:dyDescent="0.3">
      <c r="A502">
        <v>2024001500</v>
      </c>
      <c r="B502" s="1">
        <v>45623</v>
      </c>
      <c r="C502" s="11">
        <f t="shared" si="21"/>
        <v>2024</v>
      </c>
      <c r="D502" t="s">
        <v>139</v>
      </c>
      <c r="E502" t="s">
        <v>34</v>
      </c>
      <c r="F502" t="s">
        <v>35</v>
      </c>
      <c r="G502" t="s">
        <v>36</v>
      </c>
      <c r="H502">
        <v>2</v>
      </c>
      <c r="I502" s="2">
        <v>15.5</v>
      </c>
      <c r="J502" s="2">
        <v>31</v>
      </c>
      <c r="K502" s="2">
        <f t="shared" si="22"/>
        <v>31</v>
      </c>
      <c r="L502" s="2">
        <f t="shared" si="23"/>
        <v>0</v>
      </c>
      <c r="M502" t="s">
        <v>15</v>
      </c>
      <c r="N502" t="s">
        <v>16</v>
      </c>
    </row>
    <row r="503" spans="1:14" x14ac:dyDescent="0.3">
      <c r="A503">
        <v>2024001501</v>
      </c>
      <c r="B503" s="1">
        <v>45597</v>
      </c>
      <c r="C503" s="11">
        <f t="shared" si="21"/>
        <v>2024</v>
      </c>
      <c r="D503" t="s">
        <v>119</v>
      </c>
      <c r="E503" t="s">
        <v>18</v>
      </c>
      <c r="F503" t="s">
        <v>19</v>
      </c>
      <c r="G503" t="s">
        <v>14</v>
      </c>
      <c r="H503">
        <v>2</v>
      </c>
      <c r="I503" s="2">
        <v>613.88</v>
      </c>
      <c r="J503" s="2">
        <v>1227.76</v>
      </c>
      <c r="K503" s="2">
        <f t="shared" si="22"/>
        <v>1227.76</v>
      </c>
      <c r="L503" s="2">
        <f t="shared" si="23"/>
        <v>0</v>
      </c>
      <c r="M503" t="s">
        <v>57</v>
      </c>
      <c r="N503" t="s">
        <v>16</v>
      </c>
    </row>
    <row r="504" spans="1:14" x14ac:dyDescent="0.3">
      <c r="A504">
        <v>2024001502</v>
      </c>
      <c r="B504" s="1">
        <v>45476</v>
      </c>
      <c r="C504" s="11">
        <f t="shared" si="21"/>
        <v>2024</v>
      </c>
      <c r="D504" t="s">
        <v>84</v>
      </c>
      <c r="E504" t="s">
        <v>67</v>
      </c>
      <c r="F504" t="s">
        <v>68</v>
      </c>
      <c r="G504" t="s">
        <v>36</v>
      </c>
      <c r="H504">
        <v>1</v>
      </c>
      <c r="I504" s="2">
        <v>414.11</v>
      </c>
      <c r="J504" s="2">
        <v>414.11</v>
      </c>
      <c r="K504" s="2">
        <f t="shared" si="22"/>
        <v>414.11</v>
      </c>
      <c r="L504" s="2">
        <f t="shared" si="23"/>
        <v>0</v>
      </c>
      <c r="M504" t="s">
        <v>64</v>
      </c>
      <c r="N504" t="s">
        <v>26</v>
      </c>
    </row>
    <row r="505" spans="1:14" x14ac:dyDescent="0.3">
      <c r="A505">
        <v>2024001503</v>
      </c>
      <c r="B505" s="1">
        <v>45532</v>
      </c>
      <c r="C505" s="11">
        <f t="shared" si="21"/>
        <v>2024</v>
      </c>
      <c r="D505" t="s">
        <v>277</v>
      </c>
      <c r="E505" t="s">
        <v>53</v>
      </c>
      <c r="F505" t="s">
        <v>54</v>
      </c>
      <c r="G505" t="s">
        <v>36</v>
      </c>
      <c r="H505">
        <v>2</v>
      </c>
      <c r="I505" s="2">
        <v>115.49</v>
      </c>
      <c r="J505" s="2">
        <v>230.98</v>
      </c>
      <c r="K505" s="2">
        <f t="shared" si="22"/>
        <v>230.98</v>
      </c>
      <c r="L505" s="2">
        <f t="shared" si="23"/>
        <v>0</v>
      </c>
      <c r="M505" t="s">
        <v>31</v>
      </c>
      <c r="N505" t="s">
        <v>32</v>
      </c>
    </row>
    <row r="506" spans="1:14" x14ac:dyDescent="0.3">
      <c r="A506">
        <v>2024001504</v>
      </c>
      <c r="B506" s="1">
        <v>45453</v>
      </c>
      <c r="C506" s="11">
        <f t="shared" si="21"/>
        <v>2024</v>
      </c>
      <c r="D506" t="s">
        <v>223</v>
      </c>
      <c r="E506" t="s">
        <v>28</v>
      </c>
      <c r="F506" t="s">
        <v>29</v>
      </c>
      <c r="G506" t="s">
        <v>30</v>
      </c>
      <c r="H506">
        <v>1</v>
      </c>
      <c r="I506" s="2">
        <v>24.59</v>
      </c>
      <c r="J506" s="2">
        <v>24.59</v>
      </c>
      <c r="K506" s="2">
        <f t="shared" si="22"/>
        <v>24.59</v>
      </c>
      <c r="L506" s="2">
        <f t="shared" si="23"/>
        <v>0</v>
      </c>
      <c r="M506" t="s">
        <v>61</v>
      </c>
      <c r="N506" t="s">
        <v>32</v>
      </c>
    </row>
    <row r="507" spans="1:14" x14ac:dyDescent="0.3">
      <c r="A507">
        <v>2024001181</v>
      </c>
      <c r="B507" s="1">
        <v>45339</v>
      </c>
      <c r="C507" s="11">
        <f t="shared" si="21"/>
        <v>2024</v>
      </c>
      <c r="D507" t="s">
        <v>157</v>
      </c>
      <c r="E507" t="s">
        <v>28</v>
      </c>
      <c r="F507" t="s">
        <v>29</v>
      </c>
      <c r="G507" t="s">
        <v>30</v>
      </c>
      <c r="H507">
        <v>1</v>
      </c>
      <c r="I507" s="2">
        <v>27.88</v>
      </c>
      <c r="J507" s="2">
        <v>27.88</v>
      </c>
      <c r="K507" s="2">
        <f t="shared" si="22"/>
        <v>27.88</v>
      </c>
      <c r="L507" s="2">
        <f t="shared" si="23"/>
        <v>0</v>
      </c>
      <c r="M507" t="s">
        <v>25</v>
      </c>
      <c r="N507" t="s">
        <v>16</v>
      </c>
    </row>
    <row r="508" spans="1:14" x14ac:dyDescent="0.3">
      <c r="A508">
        <v>2024001506</v>
      </c>
      <c r="B508" s="1">
        <v>45532</v>
      </c>
      <c r="C508" s="11">
        <f t="shared" si="21"/>
        <v>2024</v>
      </c>
      <c r="D508" t="s">
        <v>11</v>
      </c>
      <c r="E508" t="s">
        <v>43</v>
      </c>
      <c r="F508" t="s">
        <v>44</v>
      </c>
      <c r="G508" t="s">
        <v>36</v>
      </c>
      <c r="H508">
        <v>2</v>
      </c>
      <c r="I508" s="2">
        <v>1127.6500000000001</v>
      </c>
      <c r="J508" s="2">
        <v>2255.3000000000002</v>
      </c>
      <c r="K508" s="2">
        <f t="shared" si="22"/>
        <v>2255.3000000000002</v>
      </c>
      <c r="L508" s="2">
        <f t="shared" si="23"/>
        <v>0</v>
      </c>
      <c r="M508" t="s">
        <v>15</v>
      </c>
      <c r="N508" t="s">
        <v>21</v>
      </c>
    </row>
    <row r="509" spans="1:14" x14ac:dyDescent="0.3">
      <c r="A509">
        <v>2024001507</v>
      </c>
      <c r="B509" s="1">
        <v>45489</v>
      </c>
      <c r="C509" s="11">
        <f t="shared" si="21"/>
        <v>2024</v>
      </c>
      <c r="D509" t="s">
        <v>114</v>
      </c>
      <c r="E509" t="s">
        <v>53</v>
      </c>
      <c r="F509" t="s">
        <v>54</v>
      </c>
      <c r="G509" t="s">
        <v>36</v>
      </c>
      <c r="H509">
        <v>1</v>
      </c>
      <c r="I509" s="2">
        <v>118.91</v>
      </c>
      <c r="J509" s="2">
        <v>118.91</v>
      </c>
      <c r="K509" s="2">
        <f t="shared" si="22"/>
        <v>118.91</v>
      </c>
      <c r="L509" s="2">
        <f t="shared" si="23"/>
        <v>0</v>
      </c>
      <c r="M509" t="s">
        <v>48</v>
      </c>
      <c r="N509" t="s">
        <v>26</v>
      </c>
    </row>
    <row r="510" spans="1:14" x14ac:dyDescent="0.3">
      <c r="A510">
        <v>2024001508</v>
      </c>
      <c r="B510" s="1">
        <v>45542</v>
      </c>
      <c r="C510" s="11">
        <f t="shared" si="21"/>
        <v>2024</v>
      </c>
      <c r="D510" t="s">
        <v>278</v>
      </c>
      <c r="E510" t="s">
        <v>28</v>
      </c>
      <c r="F510" t="s">
        <v>29</v>
      </c>
      <c r="G510" t="s">
        <v>30</v>
      </c>
      <c r="H510">
        <v>1</v>
      </c>
      <c r="I510" s="2">
        <v>25.55</v>
      </c>
      <c r="J510" s="2">
        <v>25.55</v>
      </c>
      <c r="K510" s="2">
        <f t="shared" si="22"/>
        <v>25.55</v>
      </c>
      <c r="L510" s="2">
        <f t="shared" si="23"/>
        <v>0</v>
      </c>
      <c r="M510" t="s">
        <v>15</v>
      </c>
      <c r="N510" t="s">
        <v>32</v>
      </c>
    </row>
    <row r="511" spans="1:14" x14ac:dyDescent="0.3">
      <c r="A511">
        <v>2024001509</v>
      </c>
      <c r="B511" s="1">
        <v>45356</v>
      </c>
      <c r="C511" s="11">
        <f t="shared" si="21"/>
        <v>2024</v>
      </c>
      <c r="D511" t="s">
        <v>33</v>
      </c>
      <c r="E511" t="s">
        <v>12</v>
      </c>
      <c r="F511" t="s">
        <v>13</v>
      </c>
      <c r="G511" t="s">
        <v>14</v>
      </c>
      <c r="H511">
        <v>3</v>
      </c>
      <c r="I511" s="2">
        <v>363.63</v>
      </c>
      <c r="J511" s="2">
        <v>1090.8900000000001</v>
      </c>
      <c r="K511" s="2">
        <f t="shared" si="22"/>
        <v>1090.8899999999999</v>
      </c>
      <c r="L511" s="2">
        <f t="shared" si="23"/>
        <v>0</v>
      </c>
      <c r="M511" t="s">
        <v>38</v>
      </c>
      <c r="N511" t="s">
        <v>16</v>
      </c>
    </row>
    <row r="512" spans="1:14" x14ac:dyDescent="0.3">
      <c r="A512">
        <v>2024001510</v>
      </c>
      <c r="B512" s="1">
        <v>45630</v>
      </c>
      <c r="C512" s="11">
        <f t="shared" si="21"/>
        <v>2024</v>
      </c>
      <c r="D512" t="s">
        <v>279</v>
      </c>
      <c r="E512" t="s">
        <v>12</v>
      </c>
      <c r="F512" t="s">
        <v>13</v>
      </c>
      <c r="G512" t="s">
        <v>14</v>
      </c>
      <c r="H512">
        <v>1</v>
      </c>
      <c r="I512" s="2">
        <v>358.51</v>
      </c>
      <c r="J512" s="2">
        <v>358.51</v>
      </c>
      <c r="K512" s="2">
        <f t="shared" si="22"/>
        <v>358.51</v>
      </c>
      <c r="L512" s="2">
        <f t="shared" si="23"/>
        <v>0</v>
      </c>
      <c r="M512" t="s">
        <v>55</v>
      </c>
      <c r="N512" t="s">
        <v>26</v>
      </c>
    </row>
    <row r="513" spans="1:14" x14ac:dyDescent="0.3">
      <c r="A513">
        <v>2024001511</v>
      </c>
      <c r="B513" s="1">
        <v>45538</v>
      </c>
      <c r="C513" s="11">
        <f t="shared" si="21"/>
        <v>2024</v>
      </c>
      <c r="D513" t="s">
        <v>271</v>
      </c>
      <c r="E513" t="s">
        <v>34</v>
      </c>
      <c r="F513" t="s">
        <v>35</v>
      </c>
      <c r="G513" t="s">
        <v>36</v>
      </c>
      <c r="H513">
        <v>2</v>
      </c>
      <c r="I513" s="2">
        <v>15.94</v>
      </c>
      <c r="J513" s="2">
        <v>31.88</v>
      </c>
      <c r="K513" s="2">
        <f t="shared" si="22"/>
        <v>31.88</v>
      </c>
      <c r="L513" s="2">
        <f t="shared" si="23"/>
        <v>0</v>
      </c>
      <c r="M513" t="s">
        <v>61</v>
      </c>
      <c r="N513" t="s">
        <v>26</v>
      </c>
    </row>
    <row r="514" spans="1:14" x14ac:dyDescent="0.3">
      <c r="A514">
        <v>2024001512</v>
      </c>
      <c r="B514" s="1">
        <v>45459</v>
      </c>
      <c r="C514" s="11">
        <f t="shared" si="21"/>
        <v>2024</v>
      </c>
      <c r="D514" t="s">
        <v>280</v>
      </c>
      <c r="E514" t="s">
        <v>18</v>
      </c>
      <c r="F514" t="s">
        <v>19</v>
      </c>
      <c r="G514" t="s">
        <v>14</v>
      </c>
      <c r="H514">
        <v>2</v>
      </c>
      <c r="I514" s="2">
        <v>592.86</v>
      </c>
      <c r="J514" s="2">
        <v>1185.72</v>
      </c>
      <c r="K514" s="2">
        <f t="shared" si="22"/>
        <v>1185.72</v>
      </c>
      <c r="L514" s="2">
        <f t="shared" si="23"/>
        <v>0</v>
      </c>
      <c r="M514" t="s">
        <v>57</v>
      </c>
      <c r="N514" t="s">
        <v>21</v>
      </c>
    </row>
    <row r="515" spans="1:14" x14ac:dyDescent="0.3">
      <c r="A515">
        <v>2024001513</v>
      </c>
      <c r="B515" s="1">
        <v>45495</v>
      </c>
      <c r="C515" s="11">
        <f t="shared" ref="C515:C578" si="24">YEAR(B515)</f>
        <v>2024</v>
      </c>
      <c r="D515" t="s">
        <v>281</v>
      </c>
      <c r="E515" t="s">
        <v>46</v>
      </c>
      <c r="F515" t="s">
        <v>47</v>
      </c>
      <c r="G515" t="s">
        <v>36</v>
      </c>
      <c r="H515">
        <v>3</v>
      </c>
      <c r="I515" s="2">
        <v>91.21</v>
      </c>
      <c r="J515" s="2">
        <v>273.63</v>
      </c>
      <c r="K515" s="2">
        <f t="shared" ref="K515:K578" si="25">I515*H515</f>
        <v>273.63</v>
      </c>
      <c r="L515" s="2">
        <f t="shared" ref="L515:L578" si="26">J515-K515</f>
        <v>0</v>
      </c>
      <c r="M515" t="s">
        <v>38</v>
      </c>
      <c r="N515" t="s">
        <v>32</v>
      </c>
    </row>
    <row r="516" spans="1:14" x14ac:dyDescent="0.3">
      <c r="A516">
        <v>2024001514</v>
      </c>
      <c r="B516" s="1">
        <v>45442</v>
      </c>
      <c r="C516" s="11">
        <f t="shared" si="24"/>
        <v>2024</v>
      </c>
      <c r="D516" t="s">
        <v>282</v>
      </c>
      <c r="E516" t="s">
        <v>23</v>
      </c>
      <c r="F516" t="s">
        <v>24</v>
      </c>
      <c r="G516" t="s">
        <v>14</v>
      </c>
      <c r="H516">
        <v>3</v>
      </c>
      <c r="I516" s="2">
        <v>76.87</v>
      </c>
      <c r="J516" s="2">
        <v>230.61</v>
      </c>
      <c r="K516" s="2">
        <f t="shared" si="25"/>
        <v>230.61</v>
      </c>
      <c r="L516" s="2">
        <f t="shared" si="26"/>
        <v>0</v>
      </c>
      <c r="M516" t="s">
        <v>20</v>
      </c>
      <c r="N516" t="s">
        <v>21</v>
      </c>
    </row>
    <row r="517" spans="1:14" x14ac:dyDescent="0.3">
      <c r="A517">
        <v>2024001515</v>
      </c>
      <c r="B517" s="1">
        <v>45405</v>
      </c>
      <c r="C517" s="11">
        <f t="shared" si="24"/>
        <v>2024</v>
      </c>
      <c r="D517" t="s">
        <v>277</v>
      </c>
      <c r="E517" t="s">
        <v>53</v>
      </c>
      <c r="F517" t="s">
        <v>54</v>
      </c>
      <c r="G517" t="s">
        <v>36</v>
      </c>
      <c r="H517">
        <v>4</v>
      </c>
      <c r="I517" s="2">
        <v>120.02</v>
      </c>
      <c r="J517" s="2">
        <v>480.08</v>
      </c>
      <c r="K517" s="2">
        <f t="shared" si="25"/>
        <v>480.08</v>
      </c>
      <c r="L517" s="2">
        <f t="shared" si="26"/>
        <v>0</v>
      </c>
      <c r="M517" t="s">
        <v>55</v>
      </c>
      <c r="N517" t="s">
        <v>32</v>
      </c>
    </row>
    <row r="518" spans="1:14" x14ac:dyDescent="0.3">
      <c r="A518">
        <v>2024001516</v>
      </c>
      <c r="B518" s="1">
        <v>45619</v>
      </c>
      <c r="C518" s="11">
        <f t="shared" si="24"/>
        <v>2024</v>
      </c>
      <c r="D518" t="s">
        <v>283</v>
      </c>
      <c r="E518" t="s">
        <v>43</v>
      </c>
      <c r="F518" t="s">
        <v>44</v>
      </c>
      <c r="G518" t="s">
        <v>36</v>
      </c>
      <c r="H518">
        <v>2</v>
      </c>
      <c r="I518" s="2">
        <v>1139.8499999999999</v>
      </c>
      <c r="J518" s="2">
        <v>2279.6999999999998</v>
      </c>
      <c r="K518" s="2">
        <f t="shared" si="25"/>
        <v>2279.6999999999998</v>
      </c>
      <c r="L518" s="2">
        <f t="shared" si="26"/>
        <v>0</v>
      </c>
      <c r="M518" t="s">
        <v>61</v>
      </c>
      <c r="N518" t="s">
        <v>16</v>
      </c>
    </row>
    <row r="519" spans="1:14" x14ac:dyDescent="0.3">
      <c r="A519">
        <v>2024001517</v>
      </c>
      <c r="B519" s="1">
        <v>45388</v>
      </c>
      <c r="C519" s="11">
        <f t="shared" si="24"/>
        <v>2024</v>
      </c>
      <c r="D519" t="s">
        <v>122</v>
      </c>
      <c r="E519" t="s">
        <v>28</v>
      </c>
      <c r="F519" t="s">
        <v>29</v>
      </c>
      <c r="G519" t="s">
        <v>30</v>
      </c>
      <c r="H519">
        <v>3</v>
      </c>
      <c r="I519" s="2">
        <v>23.62</v>
      </c>
      <c r="J519" s="2">
        <v>70.86</v>
      </c>
      <c r="K519" s="2">
        <f t="shared" si="25"/>
        <v>70.86</v>
      </c>
      <c r="L519" s="2">
        <f t="shared" si="26"/>
        <v>0</v>
      </c>
      <c r="M519" t="s">
        <v>25</v>
      </c>
      <c r="N519" t="s">
        <v>16</v>
      </c>
    </row>
    <row r="520" spans="1:14" x14ac:dyDescent="0.3">
      <c r="A520">
        <v>2024001518</v>
      </c>
      <c r="B520" s="1">
        <v>45350</v>
      </c>
      <c r="C520" s="11">
        <f t="shared" si="24"/>
        <v>2024</v>
      </c>
      <c r="D520" t="s">
        <v>284</v>
      </c>
      <c r="E520" t="s">
        <v>40</v>
      </c>
      <c r="F520" t="s">
        <v>41</v>
      </c>
      <c r="G520" t="s">
        <v>36</v>
      </c>
      <c r="H520">
        <v>1</v>
      </c>
      <c r="I520" s="2">
        <v>42.49</v>
      </c>
      <c r="J520" s="2">
        <v>42.49</v>
      </c>
      <c r="K520" s="2">
        <f t="shared" si="25"/>
        <v>42.49</v>
      </c>
      <c r="L520" s="2">
        <f t="shared" si="26"/>
        <v>0</v>
      </c>
      <c r="M520" t="s">
        <v>55</v>
      </c>
      <c r="N520" t="s">
        <v>16</v>
      </c>
    </row>
    <row r="521" spans="1:14" x14ac:dyDescent="0.3">
      <c r="A521">
        <v>2024001519</v>
      </c>
      <c r="B521" s="1">
        <v>45338</v>
      </c>
      <c r="C521" s="11">
        <f t="shared" si="24"/>
        <v>2024</v>
      </c>
      <c r="D521" t="s">
        <v>205</v>
      </c>
      <c r="E521" t="s">
        <v>12</v>
      </c>
      <c r="F521" t="s">
        <v>13</v>
      </c>
      <c r="G521" t="s">
        <v>14</v>
      </c>
      <c r="H521">
        <v>5</v>
      </c>
      <c r="I521" s="2">
        <v>371.63</v>
      </c>
      <c r="J521" s="2">
        <v>1858.15</v>
      </c>
      <c r="K521" s="2">
        <f t="shared" si="25"/>
        <v>1858.15</v>
      </c>
      <c r="L521" s="2">
        <f t="shared" si="26"/>
        <v>0</v>
      </c>
      <c r="M521" t="s">
        <v>38</v>
      </c>
      <c r="N521" t="s">
        <v>16</v>
      </c>
    </row>
    <row r="522" spans="1:14" x14ac:dyDescent="0.3">
      <c r="A522">
        <v>2024001520</v>
      </c>
      <c r="B522" s="1">
        <v>45370</v>
      </c>
      <c r="C522" s="11">
        <f t="shared" si="24"/>
        <v>2024</v>
      </c>
      <c r="D522" t="s">
        <v>285</v>
      </c>
      <c r="E522" t="s">
        <v>53</v>
      </c>
      <c r="F522" t="s">
        <v>54</v>
      </c>
      <c r="G522" t="s">
        <v>36</v>
      </c>
      <c r="H522">
        <v>1</v>
      </c>
      <c r="I522" s="2">
        <v>117.52</v>
      </c>
      <c r="J522" s="2">
        <v>117.52</v>
      </c>
      <c r="K522" s="2">
        <f t="shared" si="25"/>
        <v>117.52</v>
      </c>
      <c r="L522" s="2">
        <f t="shared" si="26"/>
        <v>0</v>
      </c>
      <c r="M522" t="s">
        <v>20</v>
      </c>
      <c r="N522" t="s">
        <v>16</v>
      </c>
    </row>
    <row r="523" spans="1:14" x14ac:dyDescent="0.3">
      <c r="A523">
        <v>2024001521</v>
      </c>
      <c r="B523" s="1">
        <v>45610</v>
      </c>
      <c r="C523" s="11">
        <f t="shared" si="24"/>
        <v>2024</v>
      </c>
      <c r="D523" t="s">
        <v>102</v>
      </c>
      <c r="E523" t="s">
        <v>28</v>
      </c>
      <c r="F523" t="s">
        <v>29</v>
      </c>
      <c r="G523" t="s">
        <v>30</v>
      </c>
      <c r="H523">
        <v>5</v>
      </c>
      <c r="I523" s="2">
        <v>25.33</v>
      </c>
      <c r="J523" s="2">
        <v>126.65</v>
      </c>
      <c r="K523" s="2">
        <f t="shared" si="25"/>
        <v>126.64999999999999</v>
      </c>
      <c r="L523" s="2">
        <f t="shared" si="26"/>
        <v>0</v>
      </c>
      <c r="M523" t="s">
        <v>31</v>
      </c>
      <c r="N523" t="s">
        <v>16</v>
      </c>
    </row>
    <row r="524" spans="1:14" x14ac:dyDescent="0.3">
      <c r="A524">
        <v>2024001522</v>
      </c>
      <c r="B524" s="1">
        <v>45448</v>
      </c>
      <c r="C524" s="11">
        <f t="shared" si="24"/>
        <v>2024</v>
      </c>
      <c r="D524" t="s">
        <v>102</v>
      </c>
      <c r="E524" t="s">
        <v>43</v>
      </c>
      <c r="F524" t="s">
        <v>44</v>
      </c>
      <c r="G524" t="s">
        <v>36</v>
      </c>
      <c r="H524">
        <v>1</v>
      </c>
      <c r="I524" s="2">
        <v>1223.29</v>
      </c>
      <c r="J524" s="2">
        <v>1223.29</v>
      </c>
      <c r="K524" s="2">
        <f t="shared" si="25"/>
        <v>1223.29</v>
      </c>
      <c r="L524" s="2">
        <f t="shared" si="26"/>
        <v>0</v>
      </c>
      <c r="M524" t="s">
        <v>48</v>
      </c>
      <c r="N524" t="s">
        <v>26</v>
      </c>
    </row>
    <row r="525" spans="1:14" x14ac:dyDescent="0.3">
      <c r="A525">
        <v>2024001523</v>
      </c>
      <c r="B525" s="1">
        <v>45373</v>
      </c>
      <c r="C525" s="11">
        <f t="shared" si="24"/>
        <v>2024</v>
      </c>
      <c r="D525" t="s">
        <v>216</v>
      </c>
      <c r="E525" t="s">
        <v>43</v>
      </c>
      <c r="F525" t="s">
        <v>44</v>
      </c>
      <c r="G525" t="s">
        <v>36</v>
      </c>
      <c r="H525">
        <v>1</v>
      </c>
      <c r="I525" s="2">
        <v>1202.32</v>
      </c>
      <c r="J525" s="2">
        <v>1202.32</v>
      </c>
      <c r="K525" s="2">
        <f t="shared" si="25"/>
        <v>1202.32</v>
      </c>
      <c r="L525" s="2">
        <f t="shared" si="26"/>
        <v>0</v>
      </c>
      <c r="M525" t="s">
        <v>57</v>
      </c>
      <c r="N525" t="s">
        <v>16</v>
      </c>
    </row>
    <row r="526" spans="1:14" x14ac:dyDescent="0.3">
      <c r="A526">
        <v>2024001524</v>
      </c>
      <c r="B526" s="1">
        <v>45389</v>
      </c>
      <c r="C526" s="11">
        <f t="shared" si="24"/>
        <v>2024</v>
      </c>
      <c r="D526" t="s">
        <v>286</v>
      </c>
      <c r="E526" t="s">
        <v>40</v>
      </c>
      <c r="F526" t="s">
        <v>41</v>
      </c>
      <c r="G526" t="s">
        <v>36</v>
      </c>
      <c r="H526">
        <v>1</v>
      </c>
      <c r="I526" s="2">
        <v>45.47</v>
      </c>
      <c r="J526" s="2">
        <v>45.47</v>
      </c>
      <c r="K526" s="2">
        <f t="shared" si="25"/>
        <v>45.47</v>
      </c>
      <c r="L526" s="2">
        <f t="shared" si="26"/>
        <v>0</v>
      </c>
      <c r="M526" t="s">
        <v>15</v>
      </c>
      <c r="N526" t="s">
        <v>21</v>
      </c>
    </row>
    <row r="527" spans="1:14" x14ac:dyDescent="0.3">
      <c r="A527">
        <v>2024001525</v>
      </c>
      <c r="B527" s="1">
        <v>45510</v>
      </c>
      <c r="C527" s="11">
        <f t="shared" si="24"/>
        <v>2024</v>
      </c>
      <c r="D527" t="s">
        <v>138</v>
      </c>
      <c r="E527" t="s">
        <v>67</v>
      </c>
      <c r="F527" t="s">
        <v>68</v>
      </c>
      <c r="G527" t="s">
        <v>36</v>
      </c>
      <c r="H527">
        <v>1</v>
      </c>
      <c r="I527" s="2">
        <v>401.39</v>
      </c>
      <c r="J527" s="2">
        <v>401.39</v>
      </c>
      <c r="K527" s="2">
        <f t="shared" si="25"/>
        <v>401.39</v>
      </c>
      <c r="L527" s="2">
        <f t="shared" si="26"/>
        <v>0</v>
      </c>
      <c r="M527" t="s">
        <v>48</v>
      </c>
      <c r="N527" t="s">
        <v>16</v>
      </c>
    </row>
    <row r="528" spans="1:14" x14ac:dyDescent="0.3">
      <c r="A528">
        <v>2024001526</v>
      </c>
      <c r="B528" s="1">
        <v>45439</v>
      </c>
      <c r="C528" s="11">
        <f t="shared" si="24"/>
        <v>2024</v>
      </c>
      <c r="D528" t="s">
        <v>11</v>
      </c>
      <c r="E528" t="s">
        <v>34</v>
      </c>
      <c r="F528" t="s">
        <v>35</v>
      </c>
      <c r="G528" t="s">
        <v>36</v>
      </c>
      <c r="H528">
        <v>2</v>
      </c>
      <c r="I528" s="2">
        <v>14.03</v>
      </c>
      <c r="J528" s="2">
        <v>28.06</v>
      </c>
      <c r="K528" s="2">
        <f t="shared" si="25"/>
        <v>28.06</v>
      </c>
      <c r="L528" s="2">
        <f t="shared" si="26"/>
        <v>0</v>
      </c>
      <c r="M528" t="s">
        <v>55</v>
      </c>
      <c r="N528" t="s">
        <v>16</v>
      </c>
    </row>
    <row r="529" spans="1:14" x14ac:dyDescent="0.3">
      <c r="A529">
        <v>2024001527</v>
      </c>
      <c r="B529" s="1">
        <v>45614</v>
      </c>
      <c r="C529" s="11">
        <f t="shared" si="24"/>
        <v>2024</v>
      </c>
      <c r="D529" t="s">
        <v>287</v>
      </c>
      <c r="E529" t="s">
        <v>46</v>
      </c>
      <c r="F529" t="s">
        <v>47</v>
      </c>
      <c r="G529" t="s">
        <v>36</v>
      </c>
      <c r="H529">
        <v>1</v>
      </c>
      <c r="I529" s="2">
        <v>93.73</v>
      </c>
      <c r="J529" s="2">
        <v>93.73</v>
      </c>
      <c r="K529" s="2">
        <f t="shared" si="25"/>
        <v>93.73</v>
      </c>
      <c r="L529" s="2">
        <f t="shared" si="26"/>
        <v>0</v>
      </c>
      <c r="M529" t="s">
        <v>64</v>
      </c>
      <c r="N529" t="s">
        <v>26</v>
      </c>
    </row>
    <row r="530" spans="1:14" x14ac:dyDescent="0.3">
      <c r="A530">
        <v>2024001528</v>
      </c>
      <c r="B530" s="1">
        <v>45391</v>
      </c>
      <c r="C530" s="11">
        <f t="shared" si="24"/>
        <v>2024</v>
      </c>
      <c r="D530" t="s">
        <v>288</v>
      </c>
      <c r="E530" t="s">
        <v>40</v>
      </c>
      <c r="F530" t="s">
        <v>41</v>
      </c>
      <c r="G530" t="s">
        <v>36</v>
      </c>
      <c r="H530">
        <v>3</v>
      </c>
      <c r="I530" s="2">
        <v>46.24</v>
      </c>
      <c r="J530" s="2">
        <v>138.72</v>
      </c>
      <c r="K530" s="2">
        <f t="shared" si="25"/>
        <v>138.72</v>
      </c>
      <c r="L530" s="2">
        <f t="shared" si="26"/>
        <v>0</v>
      </c>
      <c r="M530" t="s">
        <v>20</v>
      </c>
      <c r="N530" t="s">
        <v>16</v>
      </c>
    </row>
    <row r="531" spans="1:14" x14ac:dyDescent="0.3">
      <c r="A531">
        <v>2024001529</v>
      </c>
      <c r="B531" s="1">
        <v>45647</v>
      </c>
      <c r="C531" s="11">
        <f t="shared" si="24"/>
        <v>2024</v>
      </c>
      <c r="D531" t="s">
        <v>118</v>
      </c>
      <c r="E531" t="s">
        <v>28</v>
      </c>
      <c r="F531" t="s">
        <v>29</v>
      </c>
      <c r="G531" t="s">
        <v>30</v>
      </c>
      <c r="H531">
        <v>1</v>
      </c>
      <c r="I531" s="2">
        <v>25.43</v>
      </c>
      <c r="J531" s="2">
        <v>25.43</v>
      </c>
      <c r="K531" s="2">
        <f t="shared" si="25"/>
        <v>25.43</v>
      </c>
      <c r="L531" s="2">
        <f t="shared" si="26"/>
        <v>0</v>
      </c>
      <c r="M531" t="s">
        <v>61</v>
      </c>
      <c r="N531" t="s">
        <v>26</v>
      </c>
    </row>
    <row r="532" spans="1:14" x14ac:dyDescent="0.3">
      <c r="A532">
        <v>2024001530</v>
      </c>
      <c r="B532" s="1">
        <v>45592</v>
      </c>
      <c r="C532" s="11">
        <f t="shared" si="24"/>
        <v>2024</v>
      </c>
      <c r="D532" t="s">
        <v>268</v>
      </c>
      <c r="E532" t="s">
        <v>53</v>
      </c>
      <c r="F532" t="s">
        <v>54</v>
      </c>
      <c r="G532" t="s">
        <v>36</v>
      </c>
      <c r="H532">
        <v>1</v>
      </c>
      <c r="I532" s="2">
        <v>123.43</v>
      </c>
      <c r="J532" s="2">
        <v>123.43</v>
      </c>
      <c r="K532" s="2">
        <f t="shared" si="25"/>
        <v>123.43</v>
      </c>
      <c r="L532" s="2">
        <f t="shared" si="26"/>
        <v>0</v>
      </c>
      <c r="M532" t="s">
        <v>38</v>
      </c>
      <c r="N532" t="s">
        <v>26</v>
      </c>
    </row>
    <row r="533" spans="1:14" x14ac:dyDescent="0.3">
      <c r="A533">
        <v>2024001531</v>
      </c>
      <c r="B533" s="1">
        <v>45528</v>
      </c>
      <c r="C533" s="11">
        <f t="shared" si="24"/>
        <v>2024</v>
      </c>
      <c r="D533" t="s">
        <v>273</v>
      </c>
      <c r="E533" t="s">
        <v>46</v>
      </c>
      <c r="F533" t="s">
        <v>47</v>
      </c>
      <c r="G533" t="s">
        <v>36</v>
      </c>
      <c r="H533">
        <v>2</v>
      </c>
      <c r="I533" s="2">
        <v>89.72</v>
      </c>
      <c r="J533" s="2">
        <v>179.44</v>
      </c>
      <c r="K533" s="2">
        <f t="shared" si="25"/>
        <v>179.44</v>
      </c>
      <c r="L533" s="2">
        <f t="shared" si="26"/>
        <v>0</v>
      </c>
      <c r="M533" t="s">
        <v>64</v>
      </c>
      <c r="N533" t="s">
        <v>32</v>
      </c>
    </row>
    <row r="534" spans="1:14" x14ac:dyDescent="0.3">
      <c r="A534">
        <v>2024001532</v>
      </c>
      <c r="B534" s="1">
        <v>45457</v>
      </c>
      <c r="C534" s="11">
        <f t="shared" si="24"/>
        <v>2024</v>
      </c>
      <c r="D534" t="s">
        <v>169</v>
      </c>
      <c r="E534" t="s">
        <v>46</v>
      </c>
      <c r="F534" t="s">
        <v>47</v>
      </c>
      <c r="G534" t="s">
        <v>36</v>
      </c>
      <c r="H534">
        <v>1</v>
      </c>
      <c r="I534" s="2">
        <v>86.11</v>
      </c>
      <c r="J534" s="2">
        <v>86.11</v>
      </c>
      <c r="K534" s="2">
        <f t="shared" si="25"/>
        <v>86.11</v>
      </c>
      <c r="L534" s="2">
        <f t="shared" si="26"/>
        <v>0</v>
      </c>
      <c r="M534" t="s">
        <v>25</v>
      </c>
      <c r="N534" t="s">
        <v>21</v>
      </c>
    </row>
    <row r="535" spans="1:14" x14ac:dyDescent="0.3">
      <c r="A535">
        <v>2024001533</v>
      </c>
      <c r="B535" s="1">
        <v>45657</v>
      </c>
      <c r="C535" s="11">
        <f t="shared" si="24"/>
        <v>2024</v>
      </c>
      <c r="D535" t="s">
        <v>199</v>
      </c>
      <c r="E535" t="s">
        <v>28</v>
      </c>
      <c r="F535" t="s">
        <v>29</v>
      </c>
      <c r="G535" t="s">
        <v>30</v>
      </c>
      <c r="H535">
        <v>1</v>
      </c>
      <c r="I535" s="2">
        <v>24.82</v>
      </c>
      <c r="J535" s="2">
        <v>24.82</v>
      </c>
      <c r="K535" s="2">
        <f t="shared" si="25"/>
        <v>24.82</v>
      </c>
      <c r="L535" s="2">
        <f t="shared" si="26"/>
        <v>0</v>
      </c>
      <c r="M535" t="s">
        <v>57</v>
      </c>
      <c r="N535" t="s">
        <v>32</v>
      </c>
    </row>
    <row r="536" spans="1:14" x14ac:dyDescent="0.3">
      <c r="A536">
        <v>2024001534</v>
      </c>
      <c r="B536" s="1">
        <v>45639</v>
      </c>
      <c r="C536" s="11">
        <f t="shared" si="24"/>
        <v>2024</v>
      </c>
      <c r="D536" t="s">
        <v>265</v>
      </c>
      <c r="E536" t="s">
        <v>28</v>
      </c>
      <c r="F536" t="s">
        <v>29</v>
      </c>
      <c r="G536" t="s">
        <v>30</v>
      </c>
      <c r="H536">
        <v>2</v>
      </c>
      <c r="I536" s="2">
        <v>23.8</v>
      </c>
      <c r="J536" s="2">
        <v>47.6</v>
      </c>
      <c r="K536" s="2">
        <f t="shared" si="25"/>
        <v>47.6</v>
      </c>
      <c r="L536" s="2">
        <f t="shared" si="26"/>
        <v>0</v>
      </c>
      <c r="M536" t="s">
        <v>15</v>
      </c>
      <c r="N536" t="s">
        <v>26</v>
      </c>
    </row>
    <row r="537" spans="1:14" x14ac:dyDescent="0.3">
      <c r="A537">
        <v>2024001535</v>
      </c>
      <c r="B537" s="1">
        <v>45536</v>
      </c>
      <c r="C537" s="11">
        <f t="shared" si="24"/>
        <v>2024</v>
      </c>
      <c r="D537" t="s">
        <v>98</v>
      </c>
      <c r="E537" t="s">
        <v>12</v>
      </c>
      <c r="F537" t="s">
        <v>13</v>
      </c>
      <c r="G537" t="s">
        <v>14</v>
      </c>
      <c r="H537">
        <v>1</v>
      </c>
      <c r="I537" s="2">
        <v>361.37</v>
      </c>
      <c r="J537" s="2">
        <v>361.37</v>
      </c>
      <c r="K537" s="2">
        <f t="shared" si="25"/>
        <v>361.37</v>
      </c>
      <c r="L537" s="2">
        <f t="shared" si="26"/>
        <v>0</v>
      </c>
      <c r="M537" t="s">
        <v>61</v>
      </c>
      <c r="N537" t="s">
        <v>26</v>
      </c>
    </row>
    <row r="538" spans="1:14" x14ac:dyDescent="0.3">
      <c r="A538">
        <v>2024001536</v>
      </c>
      <c r="B538" s="1">
        <v>45657</v>
      </c>
      <c r="C538" s="11">
        <f t="shared" si="24"/>
        <v>2024</v>
      </c>
      <c r="D538" t="s">
        <v>11</v>
      </c>
      <c r="E538" t="s">
        <v>18</v>
      </c>
      <c r="F538" t="s">
        <v>19</v>
      </c>
      <c r="G538" t="s">
        <v>14</v>
      </c>
      <c r="H538">
        <v>1</v>
      </c>
      <c r="I538" s="2">
        <v>592.61</v>
      </c>
      <c r="J538" s="2">
        <v>592.61</v>
      </c>
      <c r="K538" s="2">
        <f t="shared" si="25"/>
        <v>592.61</v>
      </c>
      <c r="L538" s="2">
        <f t="shared" si="26"/>
        <v>0</v>
      </c>
      <c r="M538" t="s">
        <v>55</v>
      </c>
      <c r="N538" t="s">
        <v>21</v>
      </c>
    </row>
    <row r="539" spans="1:14" x14ac:dyDescent="0.3">
      <c r="A539">
        <v>2024001537</v>
      </c>
      <c r="B539" s="1">
        <v>45609</v>
      </c>
      <c r="C539" s="11">
        <f t="shared" si="24"/>
        <v>2024</v>
      </c>
      <c r="D539" t="s">
        <v>184</v>
      </c>
      <c r="E539" t="s">
        <v>40</v>
      </c>
      <c r="F539" t="s">
        <v>41</v>
      </c>
      <c r="G539" t="s">
        <v>36</v>
      </c>
      <c r="H539">
        <v>1</v>
      </c>
      <c r="I539" s="2">
        <v>46.57</v>
      </c>
      <c r="J539" s="2">
        <v>46.57</v>
      </c>
      <c r="K539" s="2">
        <f t="shared" si="25"/>
        <v>46.57</v>
      </c>
      <c r="L539" s="2">
        <f t="shared" si="26"/>
        <v>0</v>
      </c>
      <c r="M539" t="s">
        <v>15</v>
      </c>
      <c r="N539" t="s">
        <v>16</v>
      </c>
    </row>
    <row r="540" spans="1:14" x14ac:dyDescent="0.3">
      <c r="A540">
        <v>2024001538</v>
      </c>
      <c r="B540" s="1">
        <v>45629</v>
      </c>
      <c r="C540" s="11">
        <f t="shared" si="24"/>
        <v>2024</v>
      </c>
      <c r="D540" t="s">
        <v>139</v>
      </c>
      <c r="E540" t="s">
        <v>34</v>
      </c>
      <c r="F540" t="s">
        <v>35</v>
      </c>
      <c r="G540" t="s">
        <v>36</v>
      </c>
      <c r="H540">
        <v>1</v>
      </c>
      <c r="I540" s="2">
        <v>15.69</v>
      </c>
      <c r="J540" s="2">
        <v>15.69</v>
      </c>
      <c r="K540" s="2">
        <f t="shared" si="25"/>
        <v>15.69</v>
      </c>
      <c r="L540" s="2">
        <f t="shared" si="26"/>
        <v>0</v>
      </c>
      <c r="M540" t="s">
        <v>57</v>
      </c>
      <c r="N540" t="s">
        <v>16</v>
      </c>
    </row>
    <row r="541" spans="1:14" x14ac:dyDescent="0.3">
      <c r="A541">
        <v>2024001539</v>
      </c>
      <c r="B541" s="1">
        <v>45649</v>
      </c>
      <c r="C541" s="11">
        <f t="shared" si="24"/>
        <v>2024</v>
      </c>
      <c r="D541" t="s">
        <v>257</v>
      </c>
      <c r="E541" t="s">
        <v>23</v>
      </c>
      <c r="F541" t="s">
        <v>24</v>
      </c>
      <c r="G541" t="s">
        <v>14</v>
      </c>
      <c r="H541">
        <v>1</v>
      </c>
      <c r="I541" s="2">
        <v>77.23</v>
      </c>
      <c r="J541" s="2">
        <v>77.23</v>
      </c>
      <c r="K541" s="2">
        <f t="shared" si="25"/>
        <v>77.23</v>
      </c>
      <c r="L541" s="2">
        <f t="shared" si="26"/>
        <v>0</v>
      </c>
      <c r="M541" t="s">
        <v>31</v>
      </c>
      <c r="N541" t="s">
        <v>26</v>
      </c>
    </row>
    <row r="542" spans="1:14" x14ac:dyDescent="0.3">
      <c r="A542">
        <v>2024001540</v>
      </c>
      <c r="B542" s="1">
        <v>45364</v>
      </c>
      <c r="C542" s="11">
        <f t="shared" si="24"/>
        <v>2024</v>
      </c>
      <c r="D542" t="s">
        <v>232</v>
      </c>
      <c r="E542" t="s">
        <v>28</v>
      </c>
      <c r="F542" t="s">
        <v>29</v>
      </c>
      <c r="G542" t="s">
        <v>30</v>
      </c>
      <c r="H542">
        <v>1</v>
      </c>
      <c r="I542" s="2">
        <v>24.47</v>
      </c>
      <c r="J542" s="2">
        <v>24.47</v>
      </c>
      <c r="K542" s="2">
        <f t="shared" si="25"/>
        <v>24.47</v>
      </c>
      <c r="L542" s="2">
        <f t="shared" si="26"/>
        <v>0</v>
      </c>
      <c r="M542" t="s">
        <v>31</v>
      </c>
      <c r="N542" t="s">
        <v>21</v>
      </c>
    </row>
    <row r="543" spans="1:14" x14ac:dyDescent="0.3">
      <c r="A543">
        <v>2024001541</v>
      </c>
      <c r="B543" s="1">
        <v>45414</v>
      </c>
      <c r="C543" s="11">
        <f t="shared" si="24"/>
        <v>2024</v>
      </c>
      <c r="D543" t="s">
        <v>11</v>
      </c>
      <c r="E543" t="s">
        <v>67</v>
      </c>
      <c r="F543" t="s">
        <v>68</v>
      </c>
      <c r="G543" t="s">
        <v>36</v>
      </c>
      <c r="H543">
        <v>1</v>
      </c>
      <c r="I543" s="2">
        <v>427.25</v>
      </c>
      <c r="J543" s="2">
        <v>427.25</v>
      </c>
      <c r="K543" s="2">
        <f t="shared" si="25"/>
        <v>427.25</v>
      </c>
      <c r="L543" s="2">
        <f t="shared" si="26"/>
        <v>0</v>
      </c>
      <c r="M543" t="s">
        <v>38</v>
      </c>
      <c r="N543" t="s">
        <v>16</v>
      </c>
    </row>
    <row r="544" spans="1:14" x14ac:dyDescent="0.3">
      <c r="A544">
        <v>2024001542</v>
      </c>
      <c r="B544" s="1">
        <v>45543</v>
      </c>
      <c r="C544" s="11">
        <f t="shared" si="24"/>
        <v>2024</v>
      </c>
      <c r="D544" t="s">
        <v>232</v>
      </c>
      <c r="E544" t="s">
        <v>18</v>
      </c>
      <c r="F544" t="s">
        <v>19</v>
      </c>
      <c r="G544" t="s">
        <v>14</v>
      </c>
      <c r="H544">
        <v>3</v>
      </c>
      <c r="I544" s="2">
        <v>600.08000000000004</v>
      </c>
      <c r="J544" s="2">
        <v>1800.24</v>
      </c>
      <c r="K544" s="2">
        <f t="shared" si="25"/>
        <v>1800.2400000000002</v>
      </c>
      <c r="L544" s="2">
        <f t="shared" si="26"/>
        <v>0</v>
      </c>
      <c r="M544" t="s">
        <v>31</v>
      </c>
      <c r="N544" t="s">
        <v>26</v>
      </c>
    </row>
    <row r="545" spans="1:14" x14ac:dyDescent="0.3">
      <c r="A545">
        <v>2024001543</v>
      </c>
      <c r="B545" s="1">
        <v>45496</v>
      </c>
      <c r="C545" s="11">
        <f t="shared" si="24"/>
        <v>2024</v>
      </c>
      <c r="D545" t="s">
        <v>231</v>
      </c>
      <c r="E545" t="s">
        <v>67</v>
      </c>
      <c r="F545" t="s">
        <v>68</v>
      </c>
      <c r="G545" t="s">
        <v>36</v>
      </c>
      <c r="H545">
        <v>2</v>
      </c>
      <c r="I545" s="2">
        <v>345.96</v>
      </c>
      <c r="J545" s="2">
        <v>691.92</v>
      </c>
      <c r="K545" s="2">
        <f t="shared" si="25"/>
        <v>691.92</v>
      </c>
      <c r="L545" s="2">
        <f t="shared" si="26"/>
        <v>0</v>
      </c>
      <c r="M545" t="s">
        <v>64</v>
      </c>
      <c r="N545" t="s">
        <v>32</v>
      </c>
    </row>
    <row r="546" spans="1:14" x14ac:dyDescent="0.3">
      <c r="A546">
        <v>2024001544</v>
      </c>
      <c r="B546" s="1">
        <v>45615</v>
      </c>
      <c r="C546" s="11">
        <f t="shared" si="24"/>
        <v>2024</v>
      </c>
      <c r="D546" t="s">
        <v>289</v>
      </c>
      <c r="E546" t="s">
        <v>43</v>
      </c>
      <c r="F546" t="s">
        <v>44</v>
      </c>
      <c r="G546" t="s">
        <v>36</v>
      </c>
      <c r="H546">
        <v>3</v>
      </c>
      <c r="I546" s="2">
        <v>1304.95</v>
      </c>
      <c r="J546" s="2">
        <v>3914.85</v>
      </c>
      <c r="K546" s="2">
        <f t="shared" si="25"/>
        <v>3914.8500000000004</v>
      </c>
      <c r="L546" s="2">
        <f t="shared" si="26"/>
        <v>0</v>
      </c>
      <c r="M546" t="s">
        <v>61</v>
      </c>
      <c r="N546" t="s">
        <v>16</v>
      </c>
    </row>
    <row r="547" spans="1:14" x14ac:dyDescent="0.3">
      <c r="A547">
        <v>2024001545</v>
      </c>
      <c r="B547" s="1">
        <v>45329</v>
      </c>
      <c r="C547" s="11">
        <f t="shared" si="24"/>
        <v>2024</v>
      </c>
      <c r="D547" t="s">
        <v>142</v>
      </c>
      <c r="E547" t="s">
        <v>43</v>
      </c>
      <c r="F547" t="s">
        <v>44</v>
      </c>
      <c r="G547" t="s">
        <v>36</v>
      </c>
      <c r="H547">
        <v>1</v>
      </c>
      <c r="I547" s="2">
        <v>1138.9100000000001</v>
      </c>
      <c r="J547" s="2">
        <v>1138.9100000000001</v>
      </c>
      <c r="K547" s="2">
        <f t="shared" si="25"/>
        <v>1138.9100000000001</v>
      </c>
      <c r="L547" s="2">
        <f t="shared" si="26"/>
        <v>0</v>
      </c>
      <c r="M547" t="s">
        <v>25</v>
      </c>
      <c r="N547" t="s">
        <v>16</v>
      </c>
    </row>
    <row r="548" spans="1:14" x14ac:dyDescent="0.3">
      <c r="A548">
        <v>2024001546</v>
      </c>
      <c r="B548" s="1">
        <v>45400</v>
      </c>
      <c r="C548" s="11">
        <f t="shared" si="24"/>
        <v>2024</v>
      </c>
      <c r="D548" t="s">
        <v>11</v>
      </c>
      <c r="E548" t="s">
        <v>12</v>
      </c>
      <c r="F548" t="s">
        <v>13</v>
      </c>
      <c r="G548" t="s">
        <v>14</v>
      </c>
      <c r="H548">
        <v>1</v>
      </c>
      <c r="I548" s="2">
        <v>348.18</v>
      </c>
      <c r="J548" s="2">
        <v>348.18</v>
      </c>
      <c r="K548" s="2">
        <f t="shared" si="25"/>
        <v>348.18</v>
      </c>
      <c r="L548" s="2">
        <f t="shared" si="26"/>
        <v>0</v>
      </c>
      <c r="M548" t="s">
        <v>31</v>
      </c>
      <c r="N548" t="s">
        <v>21</v>
      </c>
    </row>
    <row r="549" spans="1:14" x14ac:dyDescent="0.3">
      <c r="A549">
        <v>2024001547</v>
      </c>
      <c r="B549" s="1">
        <v>45444</v>
      </c>
      <c r="C549" s="11">
        <f t="shared" si="24"/>
        <v>2024</v>
      </c>
      <c r="D549" t="s">
        <v>201</v>
      </c>
      <c r="E549" t="s">
        <v>46</v>
      </c>
      <c r="F549" t="s">
        <v>47</v>
      </c>
      <c r="G549" t="s">
        <v>36</v>
      </c>
      <c r="H549">
        <v>3</v>
      </c>
      <c r="I549" s="2">
        <v>93.51</v>
      </c>
      <c r="J549" s="2">
        <v>280.52999999999997</v>
      </c>
      <c r="K549" s="2">
        <f t="shared" si="25"/>
        <v>280.53000000000003</v>
      </c>
      <c r="L549" s="2">
        <f t="shared" si="26"/>
        <v>0</v>
      </c>
      <c r="M549" t="s">
        <v>48</v>
      </c>
      <c r="N549" t="s">
        <v>26</v>
      </c>
    </row>
    <row r="550" spans="1:14" x14ac:dyDescent="0.3">
      <c r="A550">
        <v>2024001548</v>
      </c>
      <c r="B550" s="1">
        <v>45657</v>
      </c>
      <c r="C550" s="11">
        <f t="shared" si="24"/>
        <v>2024</v>
      </c>
      <c r="D550" t="s">
        <v>226</v>
      </c>
      <c r="E550" t="s">
        <v>53</v>
      </c>
      <c r="F550" t="s">
        <v>54</v>
      </c>
      <c r="G550" t="s">
        <v>36</v>
      </c>
      <c r="H550">
        <v>4</v>
      </c>
      <c r="I550" s="2">
        <v>113.13</v>
      </c>
      <c r="J550" s="2">
        <v>452.52</v>
      </c>
      <c r="K550" s="2">
        <f t="shared" si="25"/>
        <v>452.52</v>
      </c>
      <c r="L550" s="2">
        <f t="shared" si="26"/>
        <v>0</v>
      </c>
      <c r="M550" t="s">
        <v>31</v>
      </c>
      <c r="N550" t="s">
        <v>16</v>
      </c>
    </row>
    <row r="551" spans="1:14" x14ac:dyDescent="0.3">
      <c r="A551">
        <v>2024001549</v>
      </c>
      <c r="B551" s="1">
        <v>45586</v>
      </c>
      <c r="C551" s="11">
        <f t="shared" si="24"/>
        <v>2024</v>
      </c>
      <c r="D551" t="s">
        <v>290</v>
      </c>
      <c r="E551" t="s">
        <v>43</v>
      </c>
      <c r="F551" t="s">
        <v>44</v>
      </c>
      <c r="G551" t="s">
        <v>36</v>
      </c>
      <c r="H551">
        <v>1</v>
      </c>
      <c r="I551" s="2">
        <v>1118.2</v>
      </c>
      <c r="J551" s="2">
        <v>1118.2</v>
      </c>
      <c r="K551" s="2">
        <f t="shared" si="25"/>
        <v>1118.2</v>
      </c>
      <c r="L551" s="2">
        <f t="shared" si="26"/>
        <v>0</v>
      </c>
      <c r="M551" t="s">
        <v>48</v>
      </c>
      <c r="N551" t="s">
        <v>16</v>
      </c>
    </row>
    <row r="552" spans="1:14" x14ac:dyDescent="0.3">
      <c r="A552">
        <v>2024001550</v>
      </c>
      <c r="B552" s="1">
        <v>45400</v>
      </c>
      <c r="C552" s="11">
        <f t="shared" si="24"/>
        <v>2024</v>
      </c>
      <c r="D552" t="s">
        <v>91</v>
      </c>
      <c r="E552" t="s">
        <v>53</v>
      </c>
      <c r="F552" t="s">
        <v>54</v>
      </c>
      <c r="G552" t="s">
        <v>36</v>
      </c>
      <c r="H552">
        <v>1</v>
      </c>
      <c r="I552" s="2">
        <v>122.51</v>
      </c>
      <c r="J552" s="2">
        <v>122.51</v>
      </c>
      <c r="K552" s="2">
        <f t="shared" si="25"/>
        <v>122.51</v>
      </c>
      <c r="L552" s="2">
        <f t="shared" si="26"/>
        <v>0</v>
      </c>
      <c r="M552" t="s">
        <v>61</v>
      </c>
      <c r="N552" t="s">
        <v>32</v>
      </c>
    </row>
    <row r="553" spans="1:14" x14ac:dyDescent="0.3">
      <c r="A553">
        <v>2024001551</v>
      </c>
      <c r="B553" s="1">
        <v>45604</v>
      </c>
      <c r="C553" s="11">
        <f t="shared" si="24"/>
        <v>2024</v>
      </c>
      <c r="D553" t="s">
        <v>11</v>
      </c>
      <c r="E553" t="s">
        <v>67</v>
      </c>
      <c r="F553" t="s">
        <v>68</v>
      </c>
      <c r="G553" t="s">
        <v>36</v>
      </c>
      <c r="H553">
        <v>1</v>
      </c>
      <c r="I553" s="2">
        <v>416.94</v>
      </c>
      <c r="J553" s="2">
        <v>416.94</v>
      </c>
      <c r="K553" s="2">
        <f t="shared" si="25"/>
        <v>416.94</v>
      </c>
      <c r="L553" s="2">
        <f t="shared" si="26"/>
        <v>0</v>
      </c>
      <c r="M553" t="s">
        <v>25</v>
      </c>
      <c r="N553" t="s">
        <v>21</v>
      </c>
    </row>
    <row r="554" spans="1:14" x14ac:dyDescent="0.3">
      <c r="A554">
        <v>2024001552</v>
      </c>
      <c r="B554" s="1">
        <v>45432</v>
      </c>
      <c r="C554" s="11">
        <f t="shared" si="24"/>
        <v>2024</v>
      </c>
      <c r="D554" t="s">
        <v>215</v>
      </c>
      <c r="E554" t="s">
        <v>12</v>
      </c>
      <c r="F554" t="s">
        <v>13</v>
      </c>
      <c r="G554" t="s">
        <v>14</v>
      </c>
      <c r="H554">
        <v>1</v>
      </c>
      <c r="I554" s="2">
        <v>351.96</v>
      </c>
      <c r="J554" s="2">
        <v>351.96</v>
      </c>
      <c r="K554" s="2">
        <f t="shared" si="25"/>
        <v>351.96</v>
      </c>
      <c r="L554" s="2">
        <f t="shared" si="26"/>
        <v>0</v>
      </c>
      <c r="M554" t="s">
        <v>64</v>
      </c>
      <c r="N554" t="s">
        <v>16</v>
      </c>
    </row>
    <row r="555" spans="1:14" x14ac:dyDescent="0.3">
      <c r="A555">
        <v>2024001553</v>
      </c>
      <c r="B555" s="1">
        <v>45580</v>
      </c>
      <c r="C555" s="11">
        <f t="shared" si="24"/>
        <v>2024</v>
      </c>
      <c r="D555" t="s">
        <v>291</v>
      </c>
      <c r="E555" t="s">
        <v>46</v>
      </c>
      <c r="F555" t="s">
        <v>47</v>
      </c>
      <c r="G555" t="s">
        <v>36</v>
      </c>
      <c r="H555">
        <v>3</v>
      </c>
      <c r="I555" s="2">
        <v>97.85</v>
      </c>
      <c r="J555" s="2">
        <v>293.55</v>
      </c>
      <c r="K555" s="2">
        <f t="shared" si="25"/>
        <v>293.54999999999995</v>
      </c>
      <c r="L555" s="2">
        <f t="shared" si="26"/>
        <v>0</v>
      </c>
      <c r="M555" t="s">
        <v>31</v>
      </c>
      <c r="N555" t="s">
        <v>16</v>
      </c>
    </row>
    <row r="556" spans="1:14" x14ac:dyDescent="0.3">
      <c r="A556">
        <v>2024001554</v>
      </c>
      <c r="B556" s="1">
        <v>45406</v>
      </c>
      <c r="C556" s="11">
        <f t="shared" si="24"/>
        <v>2024</v>
      </c>
      <c r="D556" t="s">
        <v>178</v>
      </c>
      <c r="E556" t="s">
        <v>28</v>
      </c>
      <c r="F556" t="s">
        <v>29</v>
      </c>
      <c r="G556" t="s">
        <v>30</v>
      </c>
      <c r="H556">
        <v>1</v>
      </c>
      <c r="I556" s="2">
        <v>23.88</v>
      </c>
      <c r="J556" s="2">
        <v>23.88</v>
      </c>
      <c r="K556" s="2">
        <f t="shared" si="25"/>
        <v>23.88</v>
      </c>
      <c r="L556" s="2">
        <f t="shared" si="26"/>
        <v>0</v>
      </c>
      <c r="M556" t="s">
        <v>64</v>
      </c>
      <c r="N556" t="s">
        <v>21</v>
      </c>
    </row>
    <row r="557" spans="1:14" x14ac:dyDescent="0.3">
      <c r="A557">
        <v>2024001555</v>
      </c>
      <c r="B557" s="1">
        <v>45438</v>
      </c>
      <c r="C557" s="11">
        <f t="shared" si="24"/>
        <v>2024</v>
      </c>
      <c r="D557" t="s">
        <v>292</v>
      </c>
      <c r="E557" t="s">
        <v>23</v>
      </c>
      <c r="F557" t="s">
        <v>24</v>
      </c>
      <c r="G557" t="s">
        <v>14</v>
      </c>
      <c r="H557">
        <v>2</v>
      </c>
      <c r="I557" s="2">
        <v>77.959999999999994</v>
      </c>
      <c r="J557" s="2">
        <v>155.91999999999999</v>
      </c>
      <c r="K557" s="2">
        <f t="shared" si="25"/>
        <v>155.91999999999999</v>
      </c>
      <c r="L557" s="2">
        <f t="shared" si="26"/>
        <v>0</v>
      </c>
      <c r="M557" t="s">
        <v>48</v>
      </c>
      <c r="N557" t="s">
        <v>21</v>
      </c>
    </row>
    <row r="558" spans="1:14" x14ac:dyDescent="0.3">
      <c r="A558">
        <v>2024001556</v>
      </c>
      <c r="B558" s="1">
        <v>45580</v>
      </c>
      <c r="C558" s="11">
        <f t="shared" si="24"/>
        <v>2024</v>
      </c>
      <c r="D558" t="s">
        <v>293</v>
      </c>
      <c r="E558" t="s">
        <v>34</v>
      </c>
      <c r="F558" t="s">
        <v>35</v>
      </c>
      <c r="G558" t="s">
        <v>36</v>
      </c>
      <c r="H558">
        <v>2</v>
      </c>
      <c r="I558" s="2">
        <v>14.35</v>
      </c>
      <c r="J558" s="2">
        <v>28.7</v>
      </c>
      <c r="K558" s="2">
        <f t="shared" si="25"/>
        <v>28.7</v>
      </c>
      <c r="L558" s="2">
        <f t="shared" si="26"/>
        <v>0</v>
      </c>
      <c r="M558" t="s">
        <v>55</v>
      </c>
      <c r="N558" t="s">
        <v>16</v>
      </c>
    </row>
    <row r="559" spans="1:14" x14ac:dyDescent="0.3">
      <c r="A559">
        <v>2024001557</v>
      </c>
      <c r="B559" s="1">
        <v>45432</v>
      </c>
      <c r="C559" s="11">
        <f t="shared" si="24"/>
        <v>2024</v>
      </c>
      <c r="D559" t="s">
        <v>153</v>
      </c>
      <c r="E559" t="s">
        <v>43</v>
      </c>
      <c r="F559" t="s">
        <v>44</v>
      </c>
      <c r="G559" t="s">
        <v>36</v>
      </c>
      <c r="H559">
        <v>2</v>
      </c>
      <c r="I559" s="2">
        <v>1232.08</v>
      </c>
      <c r="J559" s="2">
        <v>2464.16</v>
      </c>
      <c r="K559" s="2">
        <f t="shared" si="25"/>
        <v>2464.16</v>
      </c>
      <c r="L559" s="2">
        <f t="shared" si="26"/>
        <v>0</v>
      </c>
      <c r="M559" t="s">
        <v>61</v>
      </c>
      <c r="N559" t="s">
        <v>26</v>
      </c>
    </row>
    <row r="560" spans="1:14" x14ac:dyDescent="0.3">
      <c r="A560">
        <v>2024001558</v>
      </c>
      <c r="B560" s="1">
        <v>45611</v>
      </c>
      <c r="C560" s="11">
        <f t="shared" si="24"/>
        <v>2024</v>
      </c>
      <c r="D560" t="s">
        <v>261</v>
      </c>
      <c r="E560" t="s">
        <v>23</v>
      </c>
      <c r="F560" t="s">
        <v>24</v>
      </c>
      <c r="G560" t="s">
        <v>14</v>
      </c>
      <c r="H560">
        <v>2</v>
      </c>
      <c r="I560" s="2">
        <v>78.11</v>
      </c>
      <c r="J560" s="2">
        <v>156.22</v>
      </c>
      <c r="K560" s="2">
        <f t="shared" si="25"/>
        <v>156.22</v>
      </c>
      <c r="L560" s="2">
        <f t="shared" si="26"/>
        <v>0</v>
      </c>
      <c r="M560" t="s">
        <v>61</v>
      </c>
      <c r="N560" t="s">
        <v>21</v>
      </c>
    </row>
    <row r="561" spans="1:14" x14ac:dyDescent="0.3">
      <c r="A561">
        <v>2024001559</v>
      </c>
      <c r="B561" s="1">
        <v>45298</v>
      </c>
      <c r="C561" s="11">
        <f t="shared" si="24"/>
        <v>2024</v>
      </c>
      <c r="D561" t="s">
        <v>249</v>
      </c>
      <c r="E561" t="s">
        <v>18</v>
      </c>
      <c r="F561" t="s">
        <v>19</v>
      </c>
      <c r="G561" t="s">
        <v>14</v>
      </c>
      <c r="H561">
        <v>3</v>
      </c>
      <c r="I561" s="2">
        <v>561.47</v>
      </c>
      <c r="J561" s="2">
        <v>1684.41</v>
      </c>
      <c r="K561" s="2">
        <f t="shared" si="25"/>
        <v>1684.41</v>
      </c>
      <c r="L561" s="2">
        <f t="shared" si="26"/>
        <v>0</v>
      </c>
      <c r="M561" t="s">
        <v>61</v>
      </c>
      <c r="N561" t="s">
        <v>21</v>
      </c>
    </row>
    <row r="562" spans="1:14" x14ac:dyDescent="0.3">
      <c r="A562">
        <v>2024001560</v>
      </c>
      <c r="B562" s="1">
        <v>45316</v>
      </c>
      <c r="C562" s="11">
        <f t="shared" si="24"/>
        <v>2024</v>
      </c>
      <c r="D562" t="s">
        <v>116</v>
      </c>
      <c r="E562" t="s">
        <v>34</v>
      </c>
      <c r="F562" t="s">
        <v>35</v>
      </c>
      <c r="G562" t="s">
        <v>36</v>
      </c>
      <c r="H562">
        <v>2</v>
      </c>
      <c r="I562" s="2">
        <v>16.100000000000001</v>
      </c>
      <c r="J562" s="2">
        <v>32.200000000000003</v>
      </c>
      <c r="K562" s="2">
        <f t="shared" si="25"/>
        <v>32.200000000000003</v>
      </c>
      <c r="L562" s="2">
        <f t="shared" si="26"/>
        <v>0</v>
      </c>
      <c r="M562" t="s">
        <v>48</v>
      </c>
      <c r="N562" t="s">
        <v>16</v>
      </c>
    </row>
    <row r="563" spans="1:14" x14ac:dyDescent="0.3">
      <c r="A563">
        <v>2024001561</v>
      </c>
      <c r="B563" s="1">
        <v>45447</v>
      </c>
      <c r="C563" s="11">
        <f t="shared" si="24"/>
        <v>2024</v>
      </c>
      <c r="D563" t="s">
        <v>245</v>
      </c>
      <c r="E563" t="s">
        <v>23</v>
      </c>
      <c r="F563" t="s">
        <v>24</v>
      </c>
      <c r="G563" t="s">
        <v>14</v>
      </c>
      <c r="H563">
        <v>3</v>
      </c>
      <c r="I563" s="2">
        <v>83.99</v>
      </c>
      <c r="J563" s="2">
        <v>251.97</v>
      </c>
      <c r="K563" s="2">
        <f t="shared" si="25"/>
        <v>251.96999999999997</v>
      </c>
      <c r="L563" s="2">
        <f t="shared" si="26"/>
        <v>0</v>
      </c>
      <c r="M563" t="s">
        <v>48</v>
      </c>
      <c r="N563" t="s">
        <v>16</v>
      </c>
    </row>
    <row r="564" spans="1:14" x14ac:dyDescent="0.3">
      <c r="A564">
        <v>2024001562</v>
      </c>
      <c r="B564" s="1">
        <v>45627</v>
      </c>
      <c r="C564" s="11">
        <f t="shared" si="24"/>
        <v>2024</v>
      </c>
      <c r="D564" t="s">
        <v>11</v>
      </c>
      <c r="E564" t="s">
        <v>28</v>
      </c>
      <c r="F564" t="s">
        <v>29</v>
      </c>
      <c r="G564" t="s">
        <v>30</v>
      </c>
      <c r="H564">
        <v>1</v>
      </c>
      <c r="I564" s="2">
        <v>26.37</v>
      </c>
      <c r="J564" s="2">
        <v>26.37</v>
      </c>
      <c r="K564" s="2">
        <f t="shared" si="25"/>
        <v>26.37</v>
      </c>
      <c r="L564" s="2">
        <f t="shared" si="26"/>
        <v>0</v>
      </c>
      <c r="M564" t="s">
        <v>57</v>
      </c>
      <c r="N564" t="s">
        <v>21</v>
      </c>
    </row>
    <row r="565" spans="1:14" x14ac:dyDescent="0.3">
      <c r="A565">
        <v>2024001563</v>
      </c>
      <c r="B565" s="1">
        <v>45562</v>
      </c>
      <c r="C565" s="11">
        <f t="shared" si="24"/>
        <v>2024</v>
      </c>
      <c r="D565" t="s">
        <v>256</v>
      </c>
      <c r="E565" t="s">
        <v>18</v>
      </c>
      <c r="F565" t="s">
        <v>19</v>
      </c>
      <c r="G565" t="s">
        <v>14</v>
      </c>
      <c r="H565">
        <v>1</v>
      </c>
      <c r="I565" s="2">
        <v>581.23</v>
      </c>
      <c r="J565" s="2">
        <v>581.23</v>
      </c>
      <c r="K565" s="2">
        <f t="shared" si="25"/>
        <v>581.23</v>
      </c>
      <c r="L565" s="2">
        <f t="shared" si="26"/>
        <v>0</v>
      </c>
      <c r="M565" t="s">
        <v>48</v>
      </c>
      <c r="N565" t="s">
        <v>32</v>
      </c>
    </row>
    <row r="566" spans="1:14" x14ac:dyDescent="0.3">
      <c r="A566">
        <v>2024001564</v>
      </c>
      <c r="B566" s="1">
        <v>45437</v>
      </c>
      <c r="C566" s="11">
        <f t="shared" si="24"/>
        <v>2024</v>
      </c>
      <c r="D566" t="s">
        <v>294</v>
      </c>
      <c r="E566" t="s">
        <v>40</v>
      </c>
      <c r="F566" t="s">
        <v>41</v>
      </c>
      <c r="G566" t="s">
        <v>36</v>
      </c>
      <c r="H566">
        <v>1</v>
      </c>
      <c r="I566" s="2">
        <v>44.38</v>
      </c>
      <c r="J566" s="2">
        <v>44.38</v>
      </c>
      <c r="K566" s="2">
        <f t="shared" si="25"/>
        <v>44.38</v>
      </c>
      <c r="L566" s="2">
        <f t="shared" si="26"/>
        <v>0</v>
      </c>
      <c r="M566" t="s">
        <v>48</v>
      </c>
      <c r="N566" t="s">
        <v>32</v>
      </c>
    </row>
    <row r="567" spans="1:14" x14ac:dyDescent="0.3">
      <c r="A567">
        <v>2024001565</v>
      </c>
      <c r="B567" s="1">
        <v>45583</v>
      </c>
      <c r="C567" s="11">
        <f t="shared" si="24"/>
        <v>2024</v>
      </c>
      <c r="D567" t="s">
        <v>233</v>
      </c>
      <c r="E567" t="s">
        <v>12</v>
      </c>
      <c r="F567" t="s">
        <v>13</v>
      </c>
      <c r="G567" t="s">
        <v>14</v>
      </c>
      <c r="H567">
        <v>2</v>
      </c>
      <c r="I567" s="2">
        <v>366.46</v>
      </c>
      <c r="J567" s="2">
        <v>732.92</v>
      </c>
      <c r="K567" s="2">
        <f t="shared" si="25"/>
        <v>732.92</v>
      </c>
      <c r="L567" s="2">
        <f t="shared" si="26"/>
        <v>0</v>
      </c>
      <c r="M567" t="s">
        <v>55</v>
      </c>
      <c r="N567" t="s">
        <v>16</v>
      </c>
    </row>
    <row r="568" spans="1:14" x14ac:dyDescent="0.3">
      <c r="A568">
        <v>2024001566</v>
      </c>
      <c r="B568" s="1">
        <v>45624</v>
      </c>
      <c r="C568" s="11">
        <f t="shared" si="24"/>
        <v>2024</v>
      </c>
      <c r="D568" t="s">
        <v>11</v>
      </c>
      <c r="E568" t="s">
        <v>67</v>
      </c>
      <c r="F568" t="s">
        <v>68</v>
      </c>
      <c r="G568" t="s">
        <v>36</v>
      </c>
      <c r="H568">
        <v>1</v>
      </c>
      <c r="I568" s="2">
        <v>378.44</v>
      </c>
      <c r="J568" s="2">
        <v>378.44</v>
      </c>
      <c r="K568" s="2">
        <f t="shared" si="25"/>
        <v>378.44</v>
      </c>
      <c r="L568" s="2">
        <f t="shared" si="26"/>
        <v>0</v>
      </c>
      <c r="M568" t="s">
        <v>64</v>
      </c>
      <c r="N568" t="s">
        <v>16</v>
      </c>
    </row>
    <row r="569" spans="1:14" x14ac:dyDescent="0.3">
      <c r="A569">
        <v>2024001567</v>
      </c>
      <c r="B569" s="1">
        <v>45611</v>
      </c>
      <c r="C569" s="11">
        <f t="shared" si="24"/>
        <v>2024</v>
      </c>
      <c r="D569" t="s">
        <v>295</v>
      </c>
      <c r="E569" t="s">
        <v>53</v>
      </c>
      <c r="F569" t="s">
        <v>54</v>
      </c>
      <c r="G569" t="s">
        <v>36</v>
      </c>
      <c r="H569">
        <v>1</v>
      </c>
      <c r="I569" s="2">
        <v>115.87</v>
      </c>
      <c r="J569" s="2">
        <v>115.87</v>
      </c>
      <c r="K569" s="2">
        <f t="shared" si="25"/>
        <v>115.87</v>
      </c>
      <c r="L569" s="2">
        <f t="shared" si="26"/>
        <v>0</v>
      </c>
      <c r="M569" t="s">
        <v>38</v>
      </c>
      <c r="N569" t="s">
        <v>21</v>
      </c>
    </row>
    <row r="570" spans="1:14" x14ac:dyDescent="0.3">
      <c r="A570">
        <v>2024001568</v>
      </c>
      <c r="B570" s="1">
        <v>45413</v>
      </c>
      <c r="C570" s="11">
        <f t="shared" si="24"/>
        <v>2024</v>
      </c>
      <c r="D570" t="s">
        <v>232</v>
      </c>
      <c r="E570" t="s">
        <v>40</v>
      </c>
      <c r="F570" t="s">
        <v>41</v>
      </c>
      <c r="G570" t="s">
        <v>36</v>
      </c>
      <c r="H570">
        <v>2</v>
      </c>
      <c r="I570" s="2">
        <v>44.55</v>
      </c>
      <c r="J570" s="2">
        <v>89.1</v>
      </c>
      <c r="K570" s="2">
        <f t="shared" si="25"/>
        <v>89.1</v>
      </c>
      <c r="L570" s="2">
        <f t="shared" si="26"/>
        <v>0</v>
      </c>
      <c r="M570" t="s">
        <v>55</v>
      </c>
      <c r="N570" t="s">
        <v>26</v>
      </c>
    </row>
    <row r="571" spans="1:14" x14ac:dyDescent="0.3">
      <c r="A571">
        <v>2024001569</v>
      </c>
      <c r="B571" s="1">
        <v>45498</v>
      </c>
      <c r="C571" s="11">
        <f t="shared" si="24"/>
        <v>2024</v>
      </c>
      <c r="D571" t="s">
        <v>294</v>
      </c>
      <c r="E571" t="s">
        <v>28</v>
      </c>
      <c r="F571" t="s">
        <v>29</v>
      </c>
      <c r="G571" t="s">
        <v>30</v>
      </c>
      <c r="H571">
        <v>2</v>
      </c>
      <c r="I571" s="2">
        <v>24.99</v>
      </c>
      <c r="J571" s="2">
        <v>49.98</v>
      </c>
      <c r="K571" s="2">
        <f t="shared" si="25"/>
        <v>49.98</v>
      </c>
      <c r="L571" s="2">
        <f t="shared" si="26"/>
        <v>0</v>
      </c>
      <c r="M571" t="s">
        <v>48</v>
      </c>
      <c r="N571" t="s">
        <v>16</v>
      </c>
    </row>
    <row r="572" spans="1:14" x14ac:dyDescent="0.3">
      <c r="A572">
        <v>2024001570</v>
      </c>
      <c r="B572" s="1">
        <v>45605</v>
      </c>
      <c r="C572" s="11">
        <f t="shared" si="24"/>
        <v>2024</v>
      </c>
      <c r="D572" t="s">
        <v>11</v>
      </c>
      <c r="E572" t="s">
        <v>18</v>
      </c>
      <c r="F572" t="s">
        <v>19</v>
      </c>
      <c r="G572" t="s">
        <v>14</v>
      </c>
      <c r="H572">
        <v>2</v>
      </c>
      <c r="I572" s="2">
        <v>640.15</v>
      </c>
      <c r="J572" s="2">
        <v>1280.3</v>
      </c>
      <c r="K572" s="2">
        <f t="shared" si="25"/>
        <v>1280.3</v>
      </c>
      <c r="L572" s="2">
        <f t="shared" si="26"/>
        <v>0</v>
      </c>
      <c r="M572" t="s">
        <v>38</v>
      </c>
      <c r="N572" t="s">
        <v>26</v>
      </c>
    </row>
    <row r="573" spans="1:14" x14ac:dyDescent="0.3">
      <c r="A573">
        <v>2024001571</v>
      </c>
      <c r="B573" s="1">
        <v>45646</v>
      </c>
      <c r="C573" s="11">
        <f t="shared" si="24"/>
        <v>2024</v>
      </c>
      <c r="D573" t="s">
        <v>242</v>
      </c>
      <c r="E573" t="s">
        <v>53</v>
      </c>
      <c r="F573" t="s">
        <v>54</v>
      </c>
      <c r="G573" t="s">
        <v>36</v>
      </c>
      <c r="H573">
        <v>2</v>
      </c>
      <c r="I573" s="2">
        <v>113.22</v>
      </c>
      <c r="J573" s="2">
        <v>226.44</v>
      </c>
      <c r="K573" s="2">
        <f t="shared" si="25"/>
        <v>226.44</v>
      </c>
      <c r="L573" s="2">
        <f t="shared" si="26"/>
        <v>0</v>
      </c>
      <c r="M573" t="s">
        <v>64</v>
      </c>
      <c r="N573" t="s">
        <v>26</v>
      </c>
    </row>
    <row r="574" spans="1:14" x14ac:dyDescent="0.3">
      <c r="A574">
        <v>2024001572</v>
      </c>
      <c r="B574" s="1">
        <v>45506</v>
      </c>
      <c r="C574" s="11">
        <f t="shared" si="24"/>
        <v>2024</v>
      </c>
      <c r="D574" t="s">
        <v>201</v>
      </c>
      <c r="E574" t="s">
        <v>46</v>
      </c>
      <c r="F574" t="s">
        <v>47</v>
      </c>
      <c r="G574" t="s">
        <v>36</v>
      </c>
      <c r="H574">
        <v>3</v>
      </c>
      <c r="I574" s="2">
        <v>98.39</v>
      </c>
      <c r="J574" s="2">
        <v>295.17</v>
      </c>
      <c r="K574" s="2">
        <f t="shared" si="25"/>
        <v>295.17</v>
      </c>
      <c r="L574" s="2">
        <f t="shared" si="26"/>
        <v>0</v>
      </c>
      <c r="M574" t="s">
        <v>31</v>
      </c>
      <c r="N574" t="s">
        <v>32</v>
      </c>
    </row>
    <row r="575" spans="1:14" x14ac:dyDescent="0.3">
      <c r="A575">
        <v>2024001573</v>
      </c>
      <c r="B575" s="1">
        <v>45461</v>
      </c>
      <c r="C575" s="11">
        <f t="shared" si="24"/>
        <v>2024</v>
      </c>
      <c r="D575" t="s">
        <v>296</v>
      </c>
      <c r="E575" t="s">
        <v>67</v>
      </c>
      <c r="F575" t="s">
        <v>68</v>
      </c>
      <c r="G575" t="s">
        <v>36</v>
      </c>
      <c r="H575">
        <v>1</v>
      </c>
      <c r="I575" s="2">
        <v>422.2</v>
      </c>
      <c r="J575" s="2">
        <v>422.2</v>
      </c>
      <c r="K575" s="2">
        <f t="shared" si="25"/>
        <v>422.2</v>
      </c>
      <c r="L575" s="2">
        <f t="shared" si="26"/>
        <v>0</v>
      </c>
      <c r="M575" t="s">
        <v>20</v>
      </c>
      <c r="N575" t="s">
        <v>21</v>
      </c>
    </row>
    <row r="576" spans="1:14" x14ac:dyDescent="0.3">
      <c r="A576">
        <v>2024001574</v>
      </c>
      <c r="B576" s="1">
        <v>45604</v>
      </c>
      <c r="C576" s="11">
        <f t="shared" si="24"/>
        <v>2024</v>
      </c>
      <c r="D576" t="s">
        <v>295</v>
      </c>
      <c r="E576" t="s">
        <v>40</v>
      </c>
      <c r="F576" t="s">
        <v>41</v>
      </c>
      <c r="G576" t="s">
        <v>36</v>
      </c>
      <c r="H576">
        <v>1</v>
      </c>
      <c r="I576" s="2">
        <v>45.04</v>
      </c>
      <c r="J576" s="2">
        <v>45.04</v>
      </c>
      <c r="K576" s="2">
        <f t="shared" si="25"/>
        <v>45.04</v>
      </c>
      <c r="L576" s="2">
        <f t="shared" si="26"/>
        <v>0</v>
      </c>
      <c r="M576" t="s">
        <v>61</v>
      </c>
      <c r="N576" t="s">
        <v>16</v>
      </c>
    </row>
    <row r="577" spans="1:14" x14ac:dyDescent="0.3">
      <c r="A577">
        <v>2024001575</v>
      </c>
      <c r="B577" s="1">
        <v>45657</v>
      </c>
      <c r="C577" s="11">
        <f t="shared" si="24"/>
        <v>2024</v>
      </c>
      <c r="D577" t="s">
        <v>235</v>
      </c>
      <c r="E577" t="s">
        <v>34</v>
      </c>
      <c r="F577" t="s">
        <v>35</v>
      </c>
      <c r="G577" t="s">
        <v>36</v>
      </c>
      <c r="H577">
        <v>3</v>
      </c>
      <c r="I577" s="2">
        <v>15.68</v>
      </c>
      <c r="J577" s="2">
        <v>47.04</v>
      </c>
      <c r="K577" s="2">
        <f t="shared" si="25"/>
        <v>47.04</v>
      </c>
      <c r="L577" s="2">
        <f t="shared" si="26"/>
        <v>0</v>
      </c>
      <c r="M577" t="s">
        <v>55</v>
      </c>
      <c r="N577" t="s">
        <v>16</v>
      </c>
    </row>
    <row r="578" spans="1:14" x14ac:dyDescent="0.3">
      <c r="A578">
        <v>2024001576</v>
      </c>
      <c r="B578" s="1">
        <v>45515</v>
      </c>
      <c r="C578" s="11">
        <f t="shared" si="24"/>
        <v>2024</v>
      </c>
      <c r="D578" t="s">
        <v>56</v>
      </c>
      <c r="E578" t="s">
        <v>67</v>
      </c>
      <c r="F578" t="s">
        <v>68</v>
      </c>
      <c r="G578" t="s">
        <v>36</v>
      </c>
      <c r="H578">
        <v>2</v>
      </c>
      <c r="I578" s="2">
        <v>426.4</v>
      </c>
      <c r="J578" s="2">
        <v>852.8</v>
      </c>
      <c r="K578" s="2">
        <f t="shared" si="25"/>
        <v>852.8</v>
      </c>
      <c r="L578" s="2">
        <f t="shared" si="26"/>
        <v>0</v>
      </c>
      <c r="M578" t="s">
        <v>61</v>
      </c>
      <c r="N578" t="s">
        <v>16</v>
      </c>
    </row>
    <row r="579" spans="1:14" x14ac:dyDescent="0.3">
      <c r="A579">
        <v>2024001577</v>
      </c>
      <c r="B579" s="1">
        <v>45464</v>
      </c>
      <c r="C579" s="11">
        <f t="shared" ref="C579:C642" si="27">YEAR(B579)</f>
        <v>2024</v>
      </c>
      <c r="D579" t="s">
        <v>196</v>
      </c>
      <c r="E579" t="s">
        <v>18</v>
      </c>
      <c r="F579" t="s">
        <v>19</v>
      </c>
      <c r="G579" t="s">
        <v>14</v>
      </c>
      <c r="H579">
        <v>2</v>
      </c>
      <c r="I579" s="2">
        <v>621.80999999999995</v>
      </c>
      <c r="J579" s="2">
        <v>1243.6199999999999</v>
      </c>
      <c r="K579" s="2">
        <f t="shared" ref="K579:K642" si="28">I579*H579</f>
        <v>1243.6199999999999</v>
      </c>
      <c r="L579" s="2">
        <f t="shared" ref="L579:L642" si="29">J579-K579</f>
        <v>0</v>
      </c>
      <c r="M579" t="s">
        <v>38</v>
      </c>
      <c r="N579" t="s">
        <v>21</v>
      </c>
    </row>
    <row r="580" spans="1:14" x14ac:dyDescent="0.3">
      <c r="A580">
        <v>2024001578</v>
      </c>
      <c r="B580" s="1">
        <v>45569</v>
      </c>
      <c r="C580" s="11">
        <f t="shared" si="27"/>
        <v>2024</v>
      </c>
      <c r="D580" t="s">
        <v>202</v>
      </c>
      <c r="E580" t="s">
        <v>53</v>
      </c>
      <c r="F580" t="s">
        <v>54</v>
      </c>
      <c r="G580" t="s">
        <v>36</v>
      </c>
      <c r="H580">
        <v>3</v>
      </c>
      <c r="I580" s="2">
        <v>119.06</v>
      </c>
      <c r="J580" s="2">
        <v>357.18</v>
      </c>
      <c r="K580" s="2">
        <f t="shared" si="28"/>
        <v>357.18</v>
      </c>
      <c r="L580" s="2">
        <f t="shared" si="29"/>
        <v>0</v>
      </c>
      <c r="M580" t="s">
        <v>15</v>
      </c>
      <c r="N580" t="s">
        <v>16</v>
      </c>
    </row>
    <row r="581" spans="1:14" x14ac:dyDescent="0.3">
      <c r="A581">
        <v>2024001579</v>
      </c>
      <c r="B581" s="1">
        <v>45631</v>
      </c>
      <c r="C581" s="11">
        <f t="shared" si="27"/>
        <v>2024</v>
      </c>
      <c r="D581" t="s">
        <v>297</v>
      </c>
      <c r="E581" t="s">
        <v>43</v>
      </c>
      <c r="F581" t="s">
        <v>44</v>
      </c>
      <c r="G581" t="s">
        <v>36</v>
      </c>
      <c r="H581">
        <v>1</v>
      </c>
      <c r="I581" s="2">
        <v>1278.5</v>
      </c>
      <c r="J581" s="2">
        <v>1278.5</v>
      </c>
      <c r="K581" s="2">
        <f t="shared" si="28"/>
        <v>1278.5</v>
      </c>
      <c r="L581" s="2">
        <f t="shared" si="29"/>
        <v>0</v>
      </c>
      <c r="M581" t="s">
        <v>61</v>
      </c>
      <c r="N581" t="s">
        <v>26</v>
      </c>
    </row>
    <row r="582" spans="1:14" x14ac:dyDescent="0.3">
      <c r="A582">
        <v>2024001580</v>
      </c>
      <c r="B582" s="1">
        <v>45354</v>
      </c>
      <c r="C582" s="11">
        <f t="shared" si="27"/>
        <v>2024</v>
      </c>
      <c r="D582" t="s">
        <v>27</v>
      </c>
      <c r="E582" t="s">
        <v>67</v>
      </c>
      <c r="F582" t="s">
        <v>68</v>
      </c>
      <c r="G582" t="s">
        <v>36</v>
      </c>
      <c r="H582">
        <v>1</v>
      </c>
      <c r="I582" s="2">
        <v>419.6</v>
      </c>
      <c r="J582" s="2">
        <v>419.6</v>
      </c>
      <c r="K582" s="2">
        <f t="shared" si="28"/>
        <v>419.6</v>
      </c>
      <c r="L582" s="2">
        <f t="shared" si="29"/>
        <v>0</v>
      </c>
      <c r="M582" t="s">
        <v>64</v>
      </c>
      <c r="N582" t="s">
        <v>26</v>
      </c>
    </row>
    <row r="583" spans="1:14" x14ac:dyDescent="0.3">
      <c r="A583">
        <v>2024001581</v>
      </c>
      <c r="B583" s="1">
        <v>45347</v>
      </c>
      <c r="C583" s="11">
        <f t="shared" si="27"/>
        <v>2024</v>
      </c>
      <c r="D583" t="s">
        <v>11</v>
      </c>
      <c r="E583" t="s">
        <v>23</v>
      </c>
      <c r="F583" t="s">
        <v>24</v>
      </c>
      <c r="G583" t="s">
        <v>14</v>
      </c>
      <c r="H583">
        <v>1</v>
      </c>
      <c r="I583" s="2">
        <v>81.42</v>
      </c>
      <c r="J583" s="2">
        <v>81.42</v>
      </c>
      <c r="K583" s="2">
        <f t="shared" si="28"/>
        <v>81.42</v>
      </c>
      <c r="L583" s="2">
        <f t="shared" si="29"/>
        <v>0</v>
      </c>
      <c r="M583" t="s">
        <v>15</v>
      </c>
      <c r="N583" t="s">
        <v>32</v>
      </c>
    </row>
    <row r="584" spans="1:14" x14ac:dyDescent="0.3">
      <c r="A584">
        <v>2024001582</v>
      </c>
      <c r="B584" s="1">
        <v>45368</v>
      </c>
      <c r="C584" s="11">
        <f t="shared" si="27"/>
        <v>2024</v>
      </c>
      <c r="D584" t="s">
        <v>11</v>
      </c>
      <c r="E584" t="s">
        <v>67</v>
      </c>
      <c r="F584" t="s">
        <v>68</v>
      </c>
      <c r="G584" t="s">
        <v>36</v>
      </c>
      <c r="H584">
        <v>1</v>
      </c>
      <c r="I584" s="2">
        <v>414.88</v>
      </c>
      <c r="J584" s="2">
        <v>414.88</v>
      </c>
      <c r="K584" s="2">
        <f t="shared" si="28"/>
        <v>414.88</v>
      </c>
      <c r="L584" s="2">
        <f t="shared" si="29"/>
        <v>0</v>
      </c>
      <c r="M584" t="s">
        <v>64</v>
      </c>
      <c r="N584" t="s">
        <v>32</v>
      </c>
    </row>
    <row r="585" spans="1:14" x14ac:dyDescent="0.3">
      <c r="A585">
        <v>2024001583</v>
      </c>
      <c r="B585" s="1">
        <v>45318</v>
      </c>
      <c r="C585" s="11">
        <f t="shared" si="27"/>
        <v>2024</v>
      </c>
      <c r="D585" t="s">
        <v>247</v>
      </c>
      <c r="E585" t="s">
        <v>46</v>
      </c>
      <c r="F585" t="s">
        <v>47</v>
      </c>
      <c r="G585" t="s">
        <v>36</v>
      </c>
      <c r="H585">
        <v>1</v>
      </c>
      <c r="I585" s="2">
        <v>92.65</v>
      </c>
      <c r="J585" s="2">
        <v>92.65</v>
      </c>
      <c r="K585" s="2">
        <f t="shared" si="28"/>
        <v>92.65</v>
      </c>
      <c r="L585" s="2">
        <f t="shared" si="29"/>
        <v>0</v>
      </c>
      <c r="M585" t="s">
        <v>57</v>
      </c>
      <c r="N585" t="s">
        <v>21</v>
      </c>
    </row>
    <row r="586" spans="1:14" x14ac:dyDescent="0.3">
      <c r="A586">
        <v>2024001584</v>
      </c>
      <c r="B586" s="1">
        <v>45434</v>
      </c>
      <c r="C586" s="11">
        <f t="shared" si="27"/>
        <v>2024</v>
      </c>
      <c r="D586" t="s">
        <v>298</v>
      </c>
      <c r="E586" t="s">
        <v>43</v>
      </c>
      <c r="F586" t="s">
        <v>44</v>
      </c>
      <c r="G586" t="s">
        <v>36</v>
      </c>
      <c r="H586">
        <v>4</v>
      </c>
      <c r="I586" s="2">
        <v>1188.55</v>
      </c>
      <c r="J586" s="2">
        <v>4754.2</v>
      </c>
      <c r="K586" s="2">
        <f t="shared" si="28"/>
        <v>4754.2</v>
      </c>
      <c r="L586" s="2">
        <f t="shared" si="29"/>
        <v>0</v>
      </c>
      <c r="M586" t="s">
        <v>25</v>
      </c>
      <c r="N586" t="s">
        <v>21</v>
      </c>
    </row>
    <row r="587" spans="1:14" x14ac:dyDescent="0.3">
      <c r="A587">
        <v>2024001585</v>
      </c>
      <c r="B587" s="1">
        <v>45377</v>
      </c>
      <c r="C587" s="11">
        <f t="shared" si="27"/>
        <v>2024</v>
      </c>
      <c r="D587" t="s">
        <v>11</v>
      </c>
      <c r="E587" t="s">
        <v>67</v>
      </c>
      <c r="F587" t="s">
        <v>68</v>
      </c>
      <c r="G587" t="s">
        <v>36</v>
      </c>
      <c r="H587">
        <v>1</v>
      </c>
      <c r="I587" s="2">
        <v>399.26</v>
      </c>
      <c r="J587" s="2">
        <v>399.26</v>
      </c>
      <c r="K587" s="2">
        <f t="shared" si="28"/>
        <v>399.26</v>
      </c>
      <c r="L587" s="2">
        <f t="shared" si="29"/>
        <v>0</v>
      </c>
      <c r="M587" t="s">
        <v>20</v>
      </c>
      <c r="N587" t="s">
        <v>16</v>
      </c>
    </row>
    <row r="588" spans="1:14" x14ac:dyDescent="0.3">
      <c r="A588">
        <v>2024001586</v>
      </c>
      <c r="B588" s="1">
        <v>45647</v>
      </c>
      <c r="C588" s="11">
        <f t="shared" si="27"/>
        <v>2024</v>
      </c>
      <c r="D588" t="s">
        <v>218</v>
      </c>
      <c r="E588" t="s">
        <v>46</v>
      </c>
      <c r="F588" t="s">
        <v>47</v>
      </c>
      <c r="G588" t="s">
        <v>36</v>
      </c>
      <c r="H588">
        <v>2</v>
      </c>
      <c r="I588" s="2">
        <v>94.35</v>
      </c>
      <c r="J588" s="2">
        <v>188.7</v>
      </c>
      <c r="K588" s="2">
        <f t="shared" si="28"/>
        <v>188.7</v>
      </c>
      <c r="L588" s="2">
        <f t="shared" si="29"/>
        <v>0</v>
      </c>
      <c r="M588" t="s">
        <v>31</v>
      </c>
      <c r="N588" t="s">
        <v>21</v>
      </c>
    </row>
    <row r="589" spans="1:14" x14ac:dyDescent="0.3">
      <c r="A589">
        <v>2024001587</v>
      </c>
      <c r="B589" s="1">
        <v>45316</v>
      </c>
      <c r="C589" s="11">
        <f t="shared" si="27"/>
        <v>2024</v>
      </c>
      <c r="D589" t="s">
        <v>268</v>
      </c>
      <c r="E589" t="s">
        <v>34</v>
      </c>
      <c r="F589" t="s">
        <v>35</v>
      </c>
      <c r="G589" t="s">
        <v>36</v>
      </c>
      <c r="H589">
        <v>1</v>
      </c>
      <c r="I589" s="2">
        <v>15.25</v>
      </c>
      <c r="J589" s="2">
        <v>15.25</v>
      </c>
      <c r="K589" s="2">
        <f t="shared" si="28"/>
        <v>15.25</v>
      </c>
      <c r="L589" s="2">
        <f t="shared" si="29"/>
        <v>0</v>
      </c>
      <c r="M589" t="s">
        <v>31</v>
      </c>
      <c r="N589" t="s">
        <v>26</v>
      </c>
    </row>
    <row r="590" spans="1:14" x14ac:dyDescent="0.3">
      <c r="A590">
        <v>2024001588</v>
      </c>
      <c r="B590" s="1">
        <v>45444</v>
      </c>
      <c r="C590" s="11">
        <f t="shared" si="27"/>
        <v>2024</v>
      </c>
      <c r="D590" t="s">
        <v>247</v>
      </c>
      <c r="E590" t="s">
        <v>34</v>
      </c>
      <c r="F590" t="s">
        <v>35</v>
      </c>
      <c r="G590" t="s">
        <v>36</v>
      </c>
      <c r="H590">
        <v>3</v>
      </c>
      <c r="I590" s="2">
        <v>13.88</v>
      </c>
      <c r="J590" s="2">
        <v>41.64</v>
      </c>
      <c r="K590" s="2">
        <f t="shared" si="28"/>
        <v>41.64</v>
      </c>
      <c r="L590" s="2">
        <f t="shared" si="29"/>
        <v>0</v>
      </c>
      <c r="M590" t="s">
        <v>25</v>
      </c>
      <c r="N590" t="s">
        <v>21</v>
      </c>
    </row>
    <row r="591" spans="1:14" x14ac:dyDescent="0.3">
      <c r="A591">
        <v>2024001589</v>
      </c>
      <c r="B591" s="1">
        <v>45606</v>
      </c>
      <c r="C591" s="11">
        <f t="shared" si="27"/>
        <v>2024</v>
      </c>
      <c r="D591" t="s">
        <v>299</v>
      </c>
      <c r="E591" t="s">
        <v>18</v>
      </c>
      <c r="F591" t="s">
        <v>19</v>
      </c>
      <c r="G591" t="s">
        <v>14</v>
      </c>
      <c r="H591">
        <v>5</v>
      </c>
      <c r="I591" s="2">
        <v>558.04</v>
      </c>
      <c r="J591" s="2">
        <v>2790.2</v>
      </c>
      <c r="K591" s="2">
        <f t="shared" si="28"/>
        <v>2790.2</v>
      </c>
      <c r="L591" s="2">
        <f t="shared" si="29"/>
        <v>0</v>
      </c>
      <c r="M591" t="s">
        <v>38</v>
      </c>
      <c r="N591" t="s">
        <v>16</v>
      </c>
    </row>
    <row r="592" spans="1:14" x14ac:dyDescent="0.3">
      <c r="A592">
        <v>2024001590</v>
      </c>
      <c r="B592" s="1">
        <v>45404</v>
      </c>
      <c r="C592" s="11">
        <f t="shared" si="27"/>
        <v>2024</v>
      </c>
      <c r="D592" t="s">
        <v>80</v>
      </c>
      <c r="E592" t="s">
        <v>12</v>
      </c>
      <c r="F592" t="s">
        <v>13</v>
      </c>
      <c r="G592" t="s">
        <v>14</v>
      </c>
      <c r="H592">
        <v>4</v>
      </c>
      <c r="I592" s="2">
        <v>361.45</v>
      </c>
      <c r="J592" s="2">
        <v>1445.8</v>
      </c>
      <c r="K592" s="2">
        <f t="shared" si="28"/>
        <v>1445.8</v>
      </c>
      <c r="L592" s="2">
        <f t="shared" si="29"/>
        <v>0</v>
      </c>
      <c r="M592" t="s">
        <v>55</v>
      </c>
      <c r="N592" t="s">
        <v>21</v>
      </c>
    </row>
    <row r="593" spans="1:14" x14ac:dyDescent="0.3">
      <c r="A593">
        <v>2024001591</v>
      </c>
      <c r="B593" s="1">
        <v>45346</v>
      </c>
      <c r="C593" s="11">
        <f t="shared" si="27"/>
        <v>2024</v>
      </c>
      <c r="D593" t="s">
        <v>234</v>
      </c>
      <c r="E593" t="s">
        <v>40</v>
      </c>
      <c r="F593" t="s">
        <v>41</v>
      </c>
      <c r="G593" t="s">
        <v>36</v>
      </c>
      <c r="H593">
        <v>1</v>
      </c>
      <c r="I593" s="2">
        <v>45.01</v>
      </c>
      <c r="J593" s="2">
        <v>45.01</v>
      </c>
      <c r="K593" s="2">
        <f t="shared" si="28"/>
        <v>45.01</v>
      </c>
      <c r="L593" s="2">
        <f t="shared" si="29"/>
        <v>0</v>
      </c>
      <c r="M593" t="s">
        <v>25</v>
      </c>
      <c r="N593" t="s">
        <v>32</v>
      </c>
    </row>
    <row r="594" spans="1:14" x14ac:dyDescent="0.3">
      <c r="A594">
        <v>2024001592</v>
      </c>
      <c r="B594" s="1">
        <v>45424</v>
      </c>
      <c r="C594" s="11">
        <f t="shared" si="27"/>
        <v>2024</v>
      </c>
      <c r="D594" t="s">
        <v>288</v>
      </c>
      <c r="E594" t="s">
        <v>28</v>
      </c>
      <c r="F594" t="s">
        <v>29</v>
      </c>
      <c r="G594" t="s">
        <v>30</v>
      </c>
      <c r="H594">
        <v>2</v>
      </c>
      <c r="I594" s="2">
        <v>24.07</v>
      </c>
      <c r="J594" s="2">
        <v>48.14</v>
      </c>
      <c r="K594" s="2">
        <f t="shared" si="28"/>
        <v>48.14</v>
      </c>
      <c r="L594" s="2">
        <f t="shared" si="29"/>
        <v>0</v>
      </c>
      <c r="M594" t="s">
        <v>15</v>
      </c>
      <c r="N594" t="s">
        <v>32</v>
      </c>
    </row>
    <row r="595" spans="1:14" x14ac:dyDescent="0.3">
      <c r="A595">
        <v>2024001593</v>
      </c>
      <c r="B595" s="1">
        <v>45484</v>
      </c>
      <c r="C595" s="11">
        <f t="shared" si="27"/>
        <v>2024</v>
      </c>
      <c r="D595" t="s">
        <v>11</v>
      </c>
      <c r="E595" t="s">
        <v>23</v>
      </c>
      <c r="F595" t="s">
        <v>24</v>
      </c>
      <c r="G595" t="s">
        <v>14</v>
      </c>
      <c r="H595">
        <v>2</v>
      </c>
      <c r="I595" s="2">
        <v>78.06</v>
      </c>
      <c r="J595" s="2">
        <v>156.12</v>
      </c>
      <c r="K595" s="2">
        <f t="shared" si="28"/>
        <v>156.12</v>
      </c>
      <c r="L595" s="2">
        <f t="shared" si="29"/>
        <v>0</v>
      </c>
      <c r="M595" t="s">
        <v>64</v>
      </c>
      <c r="N595" t="s">
        <v>16</v>
      </c>
    </row>
    <row r="596" spans="1:14" x14ac:dyDescent="0.3">
      <c r="A596">
        <v>2024001594</v>
      </c>
      <c r="B596" s="1">
        <v>45500</v>
      </c>
      <c r="C596" s="11">
        <f t="shared" si="27"/>
        <v>2024</v>
      </c>
      <c r="D596" t="s">
        <v>190</v>
      </c>
      <c r="E596" t="s">
        <v>40</v>
      </c>
      <c r="F596" t="s">
        <v>41</v>
      </c>
      <c r="G596" t="s">
        <v>36</v>
      </c>
      <c r="H596">
        <v>1</v>
      </c>
      <c r="I596" s="2">
        <v>46.18</v>
      </c>
      <c r="J596" s="2">
        <v>46.18</v>
      </c>
      <c r="K596" s="2">
        <f t="shared" si="28"/>
        <v>46.18</v>
      </c>
      <c r="L596" s="2">
        <f t="shared" si="29"/>
        <v>0</v>
      </c>
      <c r="M596" t="s">
        <v>20</v>
      </c>
      <c r="N596" t="s">
        <v>16</v>
      </c>
    </row>
    <row r="597" spans="1:14" x14ac:dyDescent="0.3">
      <c r="A597">
        <v>2024001595</v>
      </c>
      <c r="B597" s="1">
        <v>45311</v>
      </c>
      <c r="C597" s="11">
        <f t="shared" si="27"/>
        <v>2024</v>
      </c>
      <c r="D597" t="s">
        <v>269</v>
      </c>
      <c r="E597" t="s">
        <v>67</v>
      </c>
      <c r="F597" t="s">
        <v>68</v>
      </c>
      <c r="G597" t="s">
        <v>36</v>
      </c>
      <c r="H597">
        <v>2</v>
      </c>
      <c r="I597" s="2">
        <v>426.62</v>
      </c>
      <c r="J597" s="2">
        <v>853.24</v>
      </c>
      <c r="K597" s="2">
        <f t="shared" si="28"/>
        <v>853.24</v>
      </c>
      <c r="L597" s="2">
        <f t="shared" si="29"/>
        <v>0</v>
      </c>
      <c r="M597" t="s">
        <v>20</v>
      </c>
      <c r="N597" t="s">
        <v>16</v>
      </c>
    </row>
    <row r="598" spans="1:14" x14ac:dyDescent="0.3">
      <c r="A598">
        <v>2024001596</v>
      </c>
      <c r="B598" s="1">
        <v>45385</v>
      </c>
      <c r="C598" s="11">
        <f t="shared" si="27"/>
        <v>2024</v>
      </c>
      <c r="D598" t="s">
        <v>11</v>
      </c>
      <c r="E598" t="s">
        <v>40</v>
      </c>
      <c r="F598" t="s">
        <v>41</v>
      </c>
      <c r="G598" t="s">
        <v>36</v>
      </c>
      <c r="H598">
        <v>2</v>
      </c>
      <c r="I598" s="2">
        <v>45.87</v>
      </c>
      <c r="J598" s="2">
        <v>91.74</v>
      </c>
      <c r="K598" s="2">
        <f t="shared" si="28"/>
        <v>91.74</v>
      </c>
      <c r="L598" s="2">
        <f t="shared" si="29"/>
        <v>0</v>
      </c>
      <c r="M598" t="s">
        <v>31</v>
      </c>
      <c r="N598" t="s">
        <v>21</v>
      </c>
    </row>
    <row r="599" spans="1:14" x14ac:dyDescent="0.3">
      <c r="A599">
        <v>2024001597</v>
      </c>
      <c r="B599" s="1">
        <v>45655</v>
      </c>
      <c r="C599" s="11">
        <f t="shared" si="27"/>
        <v>2024</v>
      </c>
      <c r="D599" t="s">
        <v>11</v>
      </c>
      <c r="E599" t="s">
        <v>23</v>
      </c>
      <c r="F599" t="s">
        <v>24</v>
      </c>
      <c r="G599" t="s">
        <v>14</v>
      </c>
      <c r="H599">
        <v>2</v>
      </c>
      <c r="I599" s="2">
        <v>79.180000000000007</v>
      </c>
      <c r="J599" s="2">
        <v>158.36000000000001</v>
      </c>
      <c r="K599" s="2">
        <f t="shared" si="28"/>
        <v>158.36000000000001</v>
      </c>
      <c r="L599" s="2">
        <f t="shared" si="29"/>
        <v>0</v>
      </c>
      <c r="M599" t="s">
        <v>38</v>
      </c>
      <c r="N599" t="s">
        <v>32</v>
      </c>
    </row>
    <row r="600" spans="1:14" x14ac:dyDescent="0.3">
      <c r="A600">
        <v>2024001598</v>
      </c>
      <c r="B600" s="1">
        <v>45320</v>
      </c>
      <c r="C600" s="11">
        <f t="shared" si="27"/>
        <v>2024</v>
      </c>
      <c r="D600" t="s">
        <v>250</v>
      </c>
      <c r="E600" t="s">
        <v>46</v>
      </c>
      <c r="F600" t="s">
        <v>47</v>
      </c>
      <c r="G600" t="s">
        <v>36</v>
      </c>
      <c r="H600">
        <v>1</v>
      </c>
      <c r="I600" s="2">
        <v>94.19</v>
      </c>
      <c r="J600" s="2">
        <v>94.19</v>
      </c>
      <c r="K600" s="2">
        <f t="shared" si="28"/>
        <v>94.19</v>
      </c>
      <c r="L600" s="2">
        <f t="shared" si="29"/>
        <v>0</v>
      </c>
      <c r="M600" t="s">
        <v>15</v>
      </c>
      <c r="N600" t="s">
        <v>32</v>
      </c>
    </row>
    <row r="601" spans="1:14" x14ac:dyDescent="0.3">
      <c r="A601">
        <v>2024001599</v>
      </c>
      <c r="B601" s="1">
        <v>45336</v>
      </c>
      <c r="C601" s="11">
        <f t="shared" si="27"/>
        <v>2024</v>
      </c>
      <c r="D601" t="s">
        <v>127</v>
      </c>
      <c r="E601" t="s">
        <v>23</v>
      </c>
      <c r="F601" t="s">
        <v>24</v>
      </c>
      <c r="G601" t="s">
        <v>14</v>
      </c>
      <c r="H601">
        <v>1</v>
      </c>
      <c r="I601" s="2">
        <v>81.05</v>
      </c>
      <c r="J601" s="2">
        <v>81.05</v>
      </c>
      <c r="K601" s="2">
        <f t="shared" si="28"/>
        <v>81.05</v>
      </c>
      <c r="L601" s="2">
        <f t="shared" si="29"/>
        <v>0</v>
      </c>
      <c r="M601" t="s">
        <v>25</v>
      </c>
      <c r="N601" t="s">
        <v>21</v>
      </c>
    </row>
    <row r="602" spans="1:14" x14ac:dyDescent="0.3">
      <c r="A602">
        <v>2024001600</v>
      </c>
      <c r="B602" s="1">
        <v>45379</v>
      </c>
      <c r="C602" s="11">
        <f t="shared" si="27"/>
        <v>2024</v>
      </c>
      <c r="D602" t="s">
        <v>109</v>
      </c>
      <c r="E602" t="s">
        <v>28</v>
      </c>
      <c r="F602" t="s">
        <v>29</v>
      </c>
      <c r="G602" t="s">
        <v>30</v>
      </c>
      <c r="H602">
        <v>5</v>
      </c>
      <c r="I602" s="2">
        <v>25.36</v>
      </c>
      <c r="J602" s="2">
        <v>126.8</v>
      </c>
      <c r="K602" s="2">
        <f t="shared" si="28"/>
        <v>126.8</v>
      </c>
      <c r="L602" s="2">
        <f t="shared" si="29"/>
        <v>0</v>
      </c>
      <c r="M602" t="s">
        <v>20</v>
      </c>
      <c r="N602" t="s">
        <v>21</v>
      </c>
    </row>
    <row r="603" spans="1:14" x14ac:dyDescent="0.3">
      <c r="A603">
        <v>2024001601</v>
      </c>
      <c r="B603" s="1">
        <v>45386</v>
      </c>
      <c r="C603" s="11">
        <f t="shared" si="27"/>
        <v>2024</v>
      </c>
      <c r="D603" t="s">
        <v>269</v>
      </c>
      <c r="E603" t="s">
        <v>12</v>
      </c>
      <c r="F603" t="s">
        <v>13</v>
      </c>
      <c r="G603" t="s">
        <v>14</v>
      </c>
      <c r="H603">
        <v>1</v>
      </c>
      <c r="I603" s="2">
        <v>351.31</v>
      </c>
      <c r="J603" s="2">
        <v>351.31</v>
      </c>
      <c r="K603" s="2">
        <f t="shared" si="28"/>
        <v>351.31</v>
      </c>
      <c r="L603" s="2">
        <f t="shared" si="29"/>
        <v>0</v>
      </c>
      <c r="M603" t="s">
        <v>25</v>
      </c>
      <c r="N603" t="s">
        <v>21</v>
      </c>
    </row>
    <row r="604" spans="1:14" x14ac:dyDescent="0.3">
      <c r="A604">
        <v>2024001602</v>
      </c>
      <c r="B604" s="1">
        <v>45559</v>
      </c>
      <c r="C604" s="11">
        <f t="shared" si="27"/>
        <v>2024</v>
      </c>
      <c r="D604" t="s">
        <v>265</v>
      </c>
      <c r="E604" t="s">
        <v>46</v>
      </c>
      <c r="F604" t="s">
        <v>47</v>
      </c>
      <c r="G604" t="s">
        <v>36</v>
      </c>
      <c r="H604">
        <v>4</v>
      </c>
      <c r="I604" s="2">
        <v>89.07</v>
      </c>
      <c r="J604" s="2">
        <v>356.28</v>
      </c>
      <c r="K604" s="2">
        <f t="shared" si="28"/>
        <v>356.28</v>
      </c>
      <c r="L604" s="2">
        <f t="shared" si="29"/>
        <v>0</v>
      </c>
      <c r="M604" t="s">
        <v>55</v>
      </c>
      <c r="N604" t="s">
        <v>21</v>
      </c>
    </row>
    <row r="605" spans="1:14" x14ac:dyDescent="0.3">
      <c r="A605">
        <v>2024001603</v>
      </c>
      <c r="B605" s="1">
        <v>45655</v>
      </c>
      <c r="C605" s="11">
        <f t="shared" si="27"/>
        <v>2024</v>
      </c>
      <c r="D605" t="s">
        <v>177</v>
      </c>
      <c r="E605" t="s">
        <v>40</v>
      </c>
      <c r="F605" t="s">
        <v>41</v>
      </c>
      <c r="G605" t="s">
        <v>36</v>
      </c>
      <c r="H605">
        <v>1</v>
      </c>
      <c r="I605" s="2">
        <v>43.32</v>
      </c>
      <c r="J605" s="2">
        <v>43.32</v>
      </c>
      <c r="K605" s="2">
        <f t="shared" si="28"/>
        <v>43.32</v>
      </c>
      <c r="L605" s="2">
        <f t="shared" si="29"/>
        <v>0</v>
      </c>
      <c r="M605" t="s">
        <v>55</v>
      </c>
      <c r="N605" t="s">
        <v>16</v>
      </c>
    </row>
    <row r="606" spans="1:14" x14ac:dyDescent="0.3">
      <c r="A606">
        <v>2024001604</v>
      </c>
      <c r="B606" s="1">
        <v>45507</v>
      </c>
      <c r="C606" s="11">
        <f t="shared" si="27"/>
        <v>2024</v>
      </c>
      <c r="D606" t="s">
        <v>300</v>
      </c>
      <c r="E606" t="s">
        <v>18</v>
      </c>
      <c r="F606" t="s">
        <v>19</v>
      </c>
      <c r="G606" t="s">
        <v>14</v>
      </c>
      <c r="H606">
        <v>2</v>
      </c>
      <c r="I606" s="2">
        <v>587.66</v>
      </c>
      <c r="J606" s="2">
        <v>1175.32</v>
      </c>
      <c r="K606" s="2">
        <f t="shared" si="28"/>
        <v>1175.32</v>
      </c>
      <c r="L606" s="2">
        <f t="shared" si="29"/>
        <v>0</v>
      </c>
      <c r="M606" t="s">
        <v>20</v>
      </c>
      <c r="N606" t="s">
        <v>26</v>
      </c>
    </row>
    <row r="607" spans="1:14" x14ac:dyDescent="0.3">
      <c r="A607">
        <v>2024001605</v>
      </c>
      <c r="B607" s="1">
        <v>45641</v>
      </c>
      <c r="C607" s="11">
        <f t="shared" si="27"/>
        <v>2024</v>
      </c>
      <c r="D607" t="s">
        <v>252</v>
      </c>
      <c r="E607" t="s">
        <v>46</v>
      </c>
      <c r="F607" t="s">
        <v>47</v>
      </c>
      <c r="G607" t="s">
        <v>36</v>
      </c>
      <c r="H607">
        <v>1</v>
      </c>
      <c r="I607" s="2">
        <v>87.82</v>
      </c>
      <c r="J607" s="2">
        <v>87.82</v>
      </c>
      <c r="K607" s="2">
        <f t="shared" si="28"/>
        <v>87.82</v>
      </c>
      <c r="L607" s="2">
        <f t="shared" si="29"/>
        <v>0</v>
      </c>
      <c r="M607" t="s">
        <v>61</v>
      </c>
      <c r="N607" t="s">
        <v>32</v>
      </c>
    </row>
    <row r="608" spans="1:14" x14ac:dyDescent="0.3">
      <c r="A608">
        <v>2024001606</v>
      </c>
      <c r="B608" s="1">
        <v>45416</v>
      </c>
      <c r="C608" s="11">
        <f t="shared" si="27"/>
        <v>2024</v>
      </c>
      <c r="D608" t="s">
        <v>174</v>
      </c>
      <c r="E608" t="s">
        <v>12</v>
      </c>
      <c r="F608" t="s">
        <v>13</v>
      </c>
      <c r="G608" t="s">
        <v>14</v>
      </c>
      <c r="H608">
        <v>1</v>
      </c>
      <c r="I608" s="2">
        <v>343.36</v>
      </c>
      <c r="J608" s="2">
        <v>343.36</v>
      </c>
      <c r="K608" s="2">
        <f t="shared" si="28"/>
        <v>343.36</v>
      </c>
      <c r="L608" s="2">
        <f t="shared" si="29"/>
        <v>0</v>
      </c>
      <c r="M608" t="s">
        <v>64</v>
      </c>
      <c r="N608" t="s">
        <v>21</v>
      </c>
    </row>
    <row r="609" spans="1:14" x14ac:dyDescent="0.3">
      <c r="A609">
        <v>2024001607</v>
      </c>
      <c r="B609" s="1">
        <v>45635</v>
      </c>
      <c r="C609" s="11">
        <f t="shared" si="27"/>
        <v>2024</v>
      </c>
      <c r="D609" t="s">
        <v>301</v>
      </c>
      <c r="E609" t="s">
        <v>40</v>
      </c>
      <c r="F609" t="s">
        <v>41</v>
      </c>
      <c r="G609" t="s">
        <v>36</v>
      </c>
      <c r="H609">
        <v>3</v>
      </c>
      <c r="I609" s="2">
        <v>45.75</v>
      </c>
      <c r="J609" s="2">
        <v>137.25</v>
      </c>
      <c r="K609" s="2">
        <f t="shared" si="28"/>
        <v>137.25</v>
      </c>
      <c r="L609" s="2">
        <f t="shared" si="29"/>
        <v>0</v>
      </c>
      <c r="M609" t="s">
        <v>25</v>
      </c>
      <c r="N609" t="s">
        <v>32</v>
      </c>
    </row>
    <row r="610" spans="1:14" x14ac:dyDescent="0.3">
      <c r="A610">
        <v>2024001608</v>
      </c>
      <c r="B610" s="1">
        <v>45557</v>
      </c>
      <c r="C610" s="11">
        <f t="shared" si="27"/>
        <v>2024</v>
      </c>
      <c r="D610" t="s">
        <v>11</v>
      </c>
      <c r="E610" t="s">
        <v>23</v>
      </c>
      <c r="F610" t="s">
        <v>24</v>
      </c>
      <c r="G610" t="s">
        <v>14</v>
      </c>
      <c r="H610">
        <v>1</v>
      </c>
      <c r="I610" s="2">
        <v>80.47</v>
      </c>
      <c r="J610" s="2">
        <v>80.47</v>
      </c>
      <c r="K610" s="2">
        <f t="shared" si="28"/>
        <v>80.47</v>
      </c>
      <c r="L610" s="2">
        <f t="shared" si="29"/>
        <v>0</v>
      </c>
      <c r="M610" t="s">
        <v>61</v>
      </c>
      <c r="N610" t="s">
        <v>21</v>
      </c>
    </row>
    <row r="611" spans="1:14" x14ac:dyDescent="0.3">
      <c r="A611">
        <v>2024001609</v>
      </c>
      <c r="B611" s="1">
        <v>45514</v>
      </c>
      <c r="C611" s="11">
        <f t="shared" si="27"/>
        <v>2024</v>
      </c>
      <c r="D611" t="s">
        <v>209</v>
      </c>
      <c r="E611" t="s">
        <v>18</v>
      </c>
      <c r="F611" t="s">
        <v>19</v>
      </c>
      <c r="G611" t="s">
        <v>14</v>
      </c>
      <c r="H611">
        <v>1</v>
      </c>
      <c r="I611" s="2">
        <v>596.97</v>
      </c>
      <c r="J611" s="2">
        <v>596.97</v>
      </c>
      <c r="K611" s="2">
        <f t="shared" si="28"/>
        <v>596.97</v>
      </c>
      <c r="L611" s="2">
        <f t="shared" si="29"/>
        <v>0</v>
      </c>
      <c r="M611" t="s">
        <v>48</v>
      </c>
      <c r="N611" t="s">
        <v>16</v>
      </c>
    </row>
    <row r="612" spans="1:14" x14ac:dyDescent="0.3">
      <c r="A612">
        <v>2024001610</v>
      </c>
      <c r="B612" s="1">
        <v>45380</v>
      </c>
      <c r="C612" s="11">
        <f t="shared" si="27"/>
        <v>2024</v>
      </c>
      <c r="D612" t="s">
        <v>162</v>
      </c>
      <c r="E612" t="s">
        <v>40</v>
      </c>
      <c r="F612" t="s">
        <v>41</v>
      </c>
      <c r="G612" t="s">
        <v>36</v>
      </c>
      <c r="H612">
        <v>2</v>
      </c>
      <c r="I612" s="2">
        <v>46.08</v>
      </c>
      <c r="J612" s="2">
        <v>92.16</v>
      </c>
      <c r="K612" s="2">
        <f t="shared" si="28"/>
        <v>92.16</v>
      </c>
      <c r="L612" s="2">
        <f t="shared" si="29"/>
        <v>0</v>
      </c>
      <c r="M612" t="s">
        <v>15</v>
      </c>
      <c r="N612" t="s">
        <v>21</v>
      </c>
    </row>
    <row r="613" spans="1:14" x14ac:dyDescent="0.3">
      <c r="A613">
        <v>2024001611</v>
      </c>
      <c r="B613" s="1">
        <v>45304</v>
      </c>
      <c r="C613" s="11">
        <f t="shared" si="27"/>
        <v>2024</v>
      </c>
      <c r="D613" t="s">
        <v>226</v>
      </c>
      <c r="E613" t="s">
        <v>28</v>
      </c>
      <c r="F613" t="s">
        <v>29</v>
      </c>
      <c r="G613" t="s">
        <v>30</v>
      </c>
      <c r="H613">
        <v>4</v>
      </c>
      <c r="I613" s="2">
        <v>25.46</v>
      </c>
      <c r="J613" s="2">
        <v>101.84</v>
      </c>
      <c r="K613" s="2">
        <f t="shared" si="28"/>
        <v>101.84</v>
      </c>
      <c r="L613" s="2">
        <f t="shared" si="29"/>
        <v>0</v>
      </c>
      <c r="M613" t="s">
        <v>31</v>
      </c>
      <c r="N613" t="s">
        <v>21</v>
      </c>
    </row>
    <row r="614" spans="1:14" x14ac:dyDescent="0.3">
      <c r="A614">
        <v>2024001612</v>
      </c>
      <c r="B614" s="1">
        <v>45373</v>
      </c>
      <c r="C614" s="11">
        <f t="shared" si="27"/>
        <v>2024</v>
      </c>
      <c r="D614" t="s">
        <v>204</v>
      </c>
      <c r="E614" t="s">
        <v>28</v>
      </c>
      <c r="F614" t="s">
        <v>29</v>
      </c>
      <c r="G614" t="s">
        <v>30</v>
      </c>
      <c r="H614">
        <v>1</v>
      </c>
      <c r="I614" s="2">
        <v>26.56</v>
      </c>
      <c r="J614" s="2">
        <v>26.56</v>
      </c>
      <c r="K614" s="2">
        <f t="shared" si="28"/>
        <v>26.56</v>
      </c>
      <c r="L614" s="2">
        <f t="shared" si="29"/>
        <v>0</v>
      </c>
      <c r="M614" t="s">
        <v>15</v>
      </c>
      <c r="N614" t="s">
        <v>26</v>
      </c>
    </row>
    <row r="615" spans="1:14" x14ac:dyDescent="0.3">
      <c r="A615">
        <v>2024001613</v>
      </c>
      <c r="B615" s="1">
        <v>45518</v>
      </c>
      <c r="C615" s="11">
        <f t="shared" si="27"/>
        <v>2024</v>
      </c>
      <c r="D615" t="s">
        <v>294</v>
      </c>
      <c r="E615" t="s">
        <v>40</v>
      </c>
      <c r="F615" t="s">
        <v>41</v>
      </c>
      <c r="G615" t="s">
        <v>36</v>
      </c>
      <c r="H615">
        <v>1</v>
      </c>
      <c r="I615" s="2">
        <v>44.86</v>
      </c>
      <c r="J615" s="2">
        <v>44.86</v>
      </c>
      <c r="K615" s="2">
        <f t="shared" si="28"/>
        <v>44.86</v>
      </c>
      <c r="L615" s="2">
        <f t="shared" si="29"/>
        <v>0</v>
      </c>
      <c r="M615" t="s">
        <v>15</v>
      </c>
      <c r="N615" t="s">
        <v>32</v>
      </c>
    </row>
    <row r="616" spans="1:14" x14ac:dyDescent="0.3">
      <c r="A616">
        <v>2024001614</v>
      </c>
      <c r="B616" s="1">
        <v>45478</v>
      </c>
      <c r="C616" s="11">
        <f t="shared" si="27"/>
        <v>2024</v>
      </c>
      <c r="D616" t="s">
        <v>110</v>
      </c>
      <c r="E616" t="s">
        <v>23</v>
      </c>
      <c r="F616" t="s">
        <v>24</v>
      </c>
      <c r="G616" t="s">
        <v>14</v>
      </c>
      <c r="H616">
        <v>1</v>
      </c>
      <c r="I616" s="2">
        <v>87.62</v>
      </c>
      <c r="J616" s="2">
        <v>87.62</v>
      </c>
      <c r="K616" s="2">
        <f t="shared" si="28"/>
        <v>87.62</v>
      </c>
      <c r="L616" s="2">
        <f t="shared" si="29"/>
        <v>0</v>
      </c>
      <c r="M616" t="s">
        <v>31</v>
      </c>
      <c r="N616" t="s">
        <v>16</v>
      </c>
    </row>
    <row r="617" spans="1:14" x14ac:dyDescent="0.3">
      <c r="A617">
        <v>2024001615</v>
      </c>
      <c r="B617" s="1">
        <v>45386</v>
      </c>
      <c r="C617" s="11">
        <f t="shared" si="27"/>
        <v>2024</v>
      </c>
      <c r="D617" t="s">
        <v>199</v>
      </c>
      <c r="E617" t="s">
        <v>53</v>
      </c>
      <c r="F617" t="s">
        <v>54</v>
      </c>
      <c r="G617" t="s">
        <v>36</v>
      </c>
      <c r="H617">
        <v>4</v>
      </c>
      <c r="I617" s="2">
        <v>129.76</v>
      </c>
      <c r="J617" s="2">
        <v>519.04</v>
      </c>
      <c r="K617" s="2">
        <f t="shared" si="28"/>
        <v>519.04</v>
      </c>
      <c r="L617" s="2">
        <f t="shared" si="29"/>
        <v>0</v>
      </c>
      <c r="M617" t="s">
        <v>64</v>
      </c>
      <c r="N617" t="s">
        <v>21</v>
      </c>
    </row>
    <row r="618" spans="1:14" x14ac:dyDescent="0.3">
      <c r="A618">
        <v>2024001616</v>
      </c>
      <c r="B618" s="1">
        <v>45411</v>
      </c>
      <c r="C618" s="11">
        <f t="shared" si="27"/>
        <v>2024</v>
      </c>
      <c r="D618" t="s">
        <v>233</v>
      </c>
      <c r="E618" t="s">
        <v>18</v>
      </c>
      <c r="F618" t="s">
        <v>19</v>
      </c>
      <c r="G618" t="s">
        <v>14</v>
      </c>
      <c r="H618">
        <v>1</v>
      </c>
      <c r="I618" s="2">
        <v>581.76</v>
      </c>
      <c r="J618" s="2">
        <v>581.76</v>
      </c>
      <c r="K618" s="2">
        <f t="shared" si="28"/>
        <v>581.76</v>
      </c>
      <c r="L618" s="2">
        <f t="shared" si="29"/>
        <v>0</v>
      </c>
      <c r="M618" t="s">
        <v>55</v>
      </c>
      <c r="N618" t="s">
        <v>32</v>
      </c>
    </row>
    <row r="619" spans="1:14" x14ac:dyDescent="0.3">
      <c r="A619">
        <v>2024001617</v>
      </c>
      <c r="B619" s="1">
        <v>45387</v>
      </c>
      <c r="C619" s="11">
        <f t="shared" si="27"/>
        <v>2024</v>
      </c>
      <c r="D619" t="s">
        <v>160</v>
      </c>
      <c r="E619" t="s">
        <v>53</v>
      </c>
      <c r="F619" t="s">
        <v>54</v>
      </c>
      <c r="G619" t="s">
        <v>36</v>
      </c>
      <c r="H619">
        <v>2</v>
      </c>
      <c r="I619" s="2">
        <v>116.77</v>
      </c>
      <c r="J619" s="2">
        <v>233.54</v>
      </c>
      <c r="K619" s="2">
        <f t="shared" si="28"/>
        <v>233.54</v>
      </c>
      <c r="L619" s="2">
        <f t="shared" si="29"/>
        <v>0</v>
      </c>
      <c r="M619" t="s">
        <v>48</v>
      </c>
      <c r="N619" t="s">
        <v>16</v>
      </c>
    </row>
    <row r="620" spans="1:14" x14ac:dyDescent="0.3">
      <c r="A620">
        <v>2024001618</v>
      </c>
      <c r="B620" s="1">
        <v>45497</v>
      </c>
      <c r="C620" s="11">
        <f t="shared" si="27"/>
        <v>2024</v>
      </c>
      <c r="D620" t="s">
        <v>226</v>
      </c>
      <c r="E620" t="s">
        <v>34</v>
      </c>
      <c r="F620" t="s">
        <v>35</v>
      </c>
      <c r="G620" t="s">
        <v>36</v>
      </c>
      <c r="H620">
        <v>4</v>
      </c>
      <c r="I620" s="2">
        <v>14.77</v>
      </c>
      <c r="J620" s="2">
        <v>59.08</v>
      </c>
      <c r="K620" s="2">
        <f t="shared" si="28"/>
        <v>59.08</v>
      </c>
      <c r="L620" s="2">
        <f t="shared" si="29"/>
        <v>0</v>
      </c>
      <c r="M620" t="s">
        <v>25</v>
      </c>
      <c r="N620" t="s">
        <v>16</v>
      </c>
    </row>
    <row r="621" spans="1:14" x14ac:dyDescent="0.3">
      <c r="A621">
        <v>2024001619</v>
      </c>
      <c r="B621" s="1">
        <v>45599</v>
      </c>
      <c r="C621" s="11">
        <f t="shared" si="27"/>
        <v>2024</v>
      </c>
      <c r="D621" t="s">
        <v>125</v>
      </c>
      <c r="E621" t="s">
        <v>28</v>
      </c>
      <c r="F621" t="s">
        <v>29</v>
      </c>
      <c r="G621" t="s">
        <v>30</v>
      </c>
      <c r="H621">
        <v>1</v>
      </c>
      <c r="I621" s="2">
        <v>25.92</v>
      </c>
      <c r="J621" s="2">
        <v>25.92</v>
      </c>
      <c r="K621" s="2">
        <f t="shared" si="28"/>
        <v>25.92</v>
      </c>
      <c r="L621" s="2">
        <f t="shared" si="29"/>
        <v>0</v>
      </c>
      <c r="M621" t="s">
        <v>25</v>
      </c>
      <c r="N621" t="s">
        <v>16</v>
      </c>
    </row>
    <row r="622" spans="1:14" x14ac:dyDescent="0.3">
      <c r="A622">
        <v>2024001620</v>
      </c>
      <c r="B622" s="1">
        <v>45375</v>
      </c>
      <c r="C622" s="11">
        <f t="shared" si="27"/>
        <v>2024</v>
      </c>
      <c r="D622" t="s">
        <v>174</v>
      </c>
      <c r="E622" t="s">
        <v>46</v>
      </c>
      <c r="F622" t="s">
        <v>47</v>
      </c>
      <c r="G622" t="s">
        <v>36</v>
      </c>
      <c r="H622">
        <v>3</v>
      </c>
      <c r="I622" s="2">
        <v>96.09</v>
      </c>
      <c r="J622" s="2">
        <v>288.27</v>
      </c>
      <c r="K622" s="2">
        <f t="shared" si="28"/>
        <v>288.27</v>
      </c>
      <c r="L622" s="2">
        <f t="shared" si="29"/>
        <v>0</v>
      </c>
      <c r="M622" t="s">
        <v>64</v>
      </c>
      <c r="N622" t="s">
        <v>32</v>
      </c>
    </row>
    <row r="623" spans="1:14" x14ac:dyDescent="0.3">
      <c r="A623">
        <v>2024001139</v>
      </c>
      <c r="B623" s="1">
        <v>45564</v>
      </c>
      <c r="C623" s="11">
        <f t="shared" si="27"/>
        <v>2024</v>
      </c>
      <c r="D623" t="s">
        <v>177</v>
      </c>
      <c r="E623" t="s">
        <v>23</v>
      </c>
      <c r="F623" t="s">
        <v>24</v>
      </c>
      <c r="G623" t="s">
        <v>14</v>
      </c>
      <c r="H623">
        <v>4</v>
      </c>
      <c r="I623" s="2">
        <v>82.76</v>
      </c>
      <c r="J623" s="2">
        <v>331.04</v>
      </c>
      <c r="K623" s="2">
        <f t="shared" si="28"/>
        <v>331.04</v>
      </c>
      <c r="L623" s="2">
        <f t="shared" si="29"/>
        <v>0</v>
      </c>
      <c r="M623" t="s">
        <v>15</v>
      </c>
      <c r="N623" t="s">
        <v>16</v>
      </c>
    </row>
    <row r="624" spans="1:14" x14ac:dyDescent="0.3">
      <c r="A624">
        <v>2024001440</v>
      </c>
      <c r="B624" s="1">
        <v>45619</v>
      </c>
      <c r="C624" s="11">
        <f t="shared" si="27"/>
        <v>2024</v>
      </c>
      <c r="D624" t="s">
        <v>186</v>
      </c>
      <c r="E624" t="s">
        <v>46</v>
      </c>
      <c r="F624" t="s">
        <v>47</v>
      </c>
      <c r="G624" t="s">
        <v>36</v>
      </c>
      <c r="H624">
        <v>3</v>
      </c>
      <c r="I624" s="2">
        <v>93.34</v>
      </c>
      <c r="J624" s="2">
        <v>280.02</v>
      </c>
      <c r="K624" s="2">
        <f t="shared" si="28"/>
        <v>280.02</v>
      </c>
      <c r="L624" s="2">
        <f t="shared" si="29"/>
        <v>0</v>
      </c>
      <c r="M624" t="s">
        <v>15</v>
      </c>
      <c r="N624" t="s">
        <v>16</v>
      </c>
    </row>
    <row r="625" spans="1:14" x14ac:dyDescent="0.3">
      <c r="A625">
        <v>2024001623</v>
      </c>
      <c r="B625" s="1">
        <v>45537</v>
      </c>
      <c r="C625" s="11">
        <f t="shared" si="27"/>
        <v>2024</v>
      </c>
      <c r="D625" t="s">
        <v>164</v>
      </c>
      <c r="E625" t="s">
        <v>43</v>
      </c>
      <c r="F625" t="s">
        <v>44</v>
      </c>
      <c r="G625" t="s">
        <v>36</v>
      </c>
      <c r="H625">
        <v>2</v>
      </c>
      <c r="I625" s="2">
        <v>1259.93</v>
      </c>
      <c r="J625" s="2">
        <v>2519.86</v>
      </c>
      <c r="K625" s="2">
        <f t="shared" si="28"/>
        <v>2519.86</v>
      </c>
      <c r="L625" s="2">
        <f t="shared" si="29"/>
        <v>0</v>
      </c>
      <c r="M625" t="s">
        <v>55</v>
      </c>
      <c r="N625" t="s">
        <v>26</v>
      </c>
    </row>
    <row r="626" spans="1:14" x14ac:dyDescent="0.3">
      <c r="A626">
        <v>2024001624</v>
      </c>
      <c r="B626" s="1">
        <v>45529</v>
      </c>
      <c r="C626" s="11">
        <f t="shared" si="27"/>
        <v>2024</v>
      </c>
      <c r="D626" t="s">
        <v>270</v>
      </c>
      <c r="E626" t="s">
        <v>40</v>
      </c>
      <c r="F626" t="s">
        <v>41</v>
      </c>
      <c r="G626" t="s">
        <v>36</v>
      </c>
      <c r="H626">
        <v>1</v>
      </c>
      <c r="I626" s="2">
        <v>45.32</v>
      </c>
      <c r="J626" s="2">
        <v>45.32</v>
      </c>
      <c r="K626" s="2">
        <f t="shared" si="28"/>
        <v>45.32</v>
      </c>
      <c r="L626" s="2">
        <f t="shared" si="29"/>
        <v>0</v>
      </c>
      <c r="M626" t="s">
        <v>38</v>
      </c>
      <c r="N626" t="s">
        <v>21</v>
      </c>
    </row>
    <row r="627" spans="1:14" x14ac:dyDescent="0.3">
      <c r="A627">
        <v>2024001625</v>
      </c>
      <c r="B627" s="1">
        <v>45492</v>
      </c>
      <c r="C627" s="11">
        <f t="shared" si="27"/>
        <v>2024</v>
      </c>
      <c r="D627" t="s">
        <v>210</v>
      </c>
      <c r="E627" t="s">
        <v>46</v>
      </c>
      <c r="F627" t="s">
        <v>47</v>
      </c>
      <c r="G627" t="s">
        <v>36</v>
      </c>
      <c r="H627">
        <v>3</v>
      </c>
      <c r="I627" s="2">
        <v>80.41</v>
      </c>
      <c r="J627" s="2">
        <v>241.23</v>
      </c>
      <c r="K627" s="2">
        <f t="shared" si="28"/>
        <v>241.23</v>
      </c>
      <c r="L627" s="2">
        <f t="shared" si="29"/>
        <v>0</v>
      </c>
      <c r="M627" t="s">
        <v>25</v>
      </c>
      <c r="N627" t="s">
        <v>21</v>
      </c>
    </row>
    <row r="628" spans="1:14" x14ac:dyDescent="0.3">
      <c r="A628">
        <v>2024001626</v>
      </c>
      <c r="B628" s="1">
        <v>45471</v>
      </c>
      <c r="C628" s="11">
        <f t="shared" si="27"/>
        <v>2024</v>
      </c>
      <c r="D628" t="s">
        <v>63</v>
      </c>
      <c r="E628" t="s">
        <v>67</v>
      </c>
      <c r="F628" t="s">
        <v>68</v>
      </c>
      <c r="G628" t="s">
        <v>36</v>
      </c>
      <c r="H628">
        <v>5</v>
      </c>
      <c r="I628" s="2">
        <v>412.98</v>
      </c>
      <c r="J628" s="2">
        <v>2064.9</v>
      </c>
      <c r="K628" s="2">
        <f t="shared" si="28"/>
        <v>2064.9</v>
      </c>
      <c r="L628" s="2">
        <f t="shared" si="29"/>
        <v>0</v>
      </c>
      <c r="M628" t="s">
        <v>48</v>
      </c>
      <c r="N628" t="s">
        <v>32</v>
      </c>
    </row>
    <row r="629" spans="1:14" x14ac:dyDescent="0.3">
      <c r="A629">
        <v>2024001627</v>
      </c>
      <c r="B629" s="1">
        <v>45562</v>
      </c>
      <c r="C629" s="11">
        <f t="shared" si="27"/>
        <v>2024</v>
      </c>
      <c r="D629" t="s">
        <v>133</v>
      </c>
      <c r="E629" t="s">
        <v>43</v>
      </c>
      <c r="F629" t="s">
        <v>44</v>
      </c>
      <c r="G629" t="s">
        <v>36</v>
      </c>
      <c r="H629">
        <v>3</v>
      </c>
      <c r="I629" s="2">
        <v>1245.44</v>
      </c>
      <c r="J629" s="2">
        <v>3736.32</v>
      </c>
      <c r="K629" s="2">
        <f t="shared" si="28"/>
        <v>3736.32</v>
      </c>
      <c r="L629" s="2">
        <f t="shared" si="29"/>
        <v>0</v>
      </c>
      <c r="M629" t="s">
        <v>48</v>
      </c>
      <c r="N629" t="s">
        <v>26</v>
      </c>
    </row>
    <row r="630" spans="1:14" x14ac:dyDescent="0.3">
      <c r="A630">
        <v>2024001628</v>
      </c>
      <c r="B630" s="1">
        <v>45363</v>
      </c>
      <c r="C630" s="11">
        <f t="shared" si="27"/>
        <v>2024</v>
      </c>
      <c r="D630" t="s">
        <v>272</v>
      </c>
      <c r="E630" t="s">
        <v>43</v>
      </c>
      <c r="F630" t="s">
        <v>44</v>
      </c>
      <c r="G630" t="s">
        <v>36</v>
      </c>
      <c r="H630">
        <v>2</v>
      </c>
      <c r="I630" s="2">
        <v>1314.74</v>
      </c>
      <c r="J630" s="2">
        <v>2629.48</v>
      </c>
      <c r="K630" s="2">
        <f t="shared" si="28"/>
        <v>2629.48</v>
      </c>
      <c r="L630" s="2">
        <f t="shared" si="29"/>
        <v>0</v>
      </c>
      <c r="M630" t="s">
        <v>61</v>
      </c>
      <c r="N630" t="s">
        <v>32</v>
      </c>
    </row>
    <row r="631" spans="1:14" x14ac:dyDescent="0.3">
      <c r="A631">
        <v>2024001629</v>
      </c>
      <c r="B631" s="1">
        <v>45512</v>
      </c>
      <c r="C631" s="11">
        <f t="shared" si="27"/>
        <v>2024</v>
      </c>
      <c r="D631" t="s">
        <v>49</v>
      </c>
      <c r="E631" t="s">
        <v>18</v>
      </c>
      <c r="F631" t="s">
        <v>19</v>
      </c>
      <c r="G631" t="s">
        <v>14</v>
      </c>
      <c r="H631">
        <v>3</v>
      </c>
      <c r="I631" s="2">
        <v>625.91999999999996</v>
      </c>
      <c r="J631" s="2">
        <v>1877.76</v>
      </c>
      <c r="K631" s="2">
        <f t="shared" si="28"/>
        <v>1877.7599999999998</v>
      </c>
      <c r="L631" s="2">
        <f t="shared" si="29"/>
        <v>0</v>
      </c>
      <c r="M631" t="s">
        <v>20</v>
      </c>
      <c r="N631" t="s">
        <v>16</v>
      </c>
    </row>
    <row r="632" spans="1:14" x14ac:dyDescent="0.3">
      <c r="A632">
        <v>2024001630</v>
      </c>
      <c r="B632" s="1">
        <v>45633</v>
      </c>
      <c r="C632" s="11">
        <f t="shared" si="27"/>
        <v>2024</v>
      </c>
      <c r="D632" t="s">
        <v>302</v>
      </c>
      <c r="E632" t="s">
        <v>18</v>
      </c>
      <c r="F632" t="s">
        <v>19</v>
      </c>
      <c r="G632" t="s">
        <v>14</v>
      </c>
      <c r="H632">
        <v>2</v>
      </c>
      <c r="I632" s="2">
        <v>574.98</v>
      </c>
      <c r="J632" s="2">
        <v>1149.96</v>
      </c>
      <c r="K632" s="2">
        <f t="shared" si="28"/>
        <v>1149.96</v>
      </c>
      <c r="L632" s="2">
        <f t="shared" si="29"/>
        <v>0</v>
      </c>
      <c r="M632" t="s">
        <v>61</v>
      </c>
      <c r="N632" t="s">
        <v>21</v>
      </c>
    </row>
    <row r="633" spans="1:14" x14ac:dyDescent="0.3">
      <c r="A633">
        <v>2024001631</v>
      </c>
      <c r="B633" s="1">
        <v>45430</v>
      </c>
      <c r="C633" s="11">
        <f t="shared" si="27"/>
        <v>2024</v>
      </c>
      <c r="D633" t="s">
        <v>303</v>
      </c>
      <c r="E633" t="s">
        <v>34</v>
      </c>
      <c r="F633" t="s">
        <v>35</v>
      </c>
      <c r="G633" t="s">
        <v>36</v>
      </c>
      <c r="H633">
        <v>1</v>
      </c>
      <c r="I633" s="2">
        <v>14.9</v>
      </c>
      <c r="J633" s="2">
        <v>14.9</v>
      </c>
      <c r="K633" s="2">
        <f t="shared" si="28"/>
        <v>14.9</v>
      </c>
      <c r="L633" s="2">
        <f t="shared" si="29"/>
        <v>0</v>
      </c>
      <c r="M633" t="s">
        <v>20</v>
      </c>
      <c r="N633" t="s">
        <v>21</v>
      </c>
    </row>
    <row r="634" spans="1:14" x14ac:dyDescent="0.3">
      <c r="A634">
        <v>2024001632</v>
      </c>
      <c r="B634" s="1">
        <v>45650</v>
      </c>
      <c r="C634" s="11">
        <f t="shared" si="27"/>
        <v>2024</v>
      </c>
      <c r="D634" t="s">
        <v>196</v>
      </c>
      <c r="E634" t="s">
        <v>43</v>
      </c>
      <c r="F634" t="s">
        <v>44</v>
      </c>
      <c r="G634" t="s">
        <v>36</v>
      </c>
      <c r="H634">
        <v>2</v>
      </c>
      <c r="I634" s="2">
        <v>1163.47</v>
      </c>
      <c r="J634" s="2">
        <v>2326.94</v>
      </c>
      <c r="K634" s="2">
        <f t="shared" si="28"/>
        <v>2326.94</v>
      </c>
      <c r="L634" s="2">
        <f t="shared" si="29"/>
        <v>0</v>
      </c>
      <c r="M634" t="s">
        <v>64</v>
      </c>
      <c r="N634" t="s">
        <v>21</v>
      </c>
    </row>
    <row r="635" spans="1:14" x14ac:dyDescent="0.3">
      <c r="A635">
        <v>2024001633</v>
      </c>
      <c r="B635" s="1">
        <v>45584</v>
      </c>
      <c r="C635" s="11">
        <f t="shared" si="27"/>
        <v>2024</v>
      </c>
      <c r="D635" t="s">
        <v>11</v>
      </c>
      <c r="E635" t="s">
        <v>34</v>
      </c>
      <c r="F635" t="s">
        <v>35</v>
      </c>
      <c r="G635" t="s">
        <v>36</v>
      </c>
      <c r="H635">
        <v>2</v>
      </c>
      <c r="I635" s="2">
        <v>14.31</v>
      </c>
      <c r="J635" s="2">
        <v>28.62</v>
      </c>
      <c r="K635" s="2">
        <f t="shared" si="28"/>
        <v>28.62</v>
      </c>
      <c r="L635" s="2">
        <f t="shared" si="29"/>
        <v>0</v>
      </c>
      <c r="M635" t="s">
        <v>64</v>
      </c>
      <c r="N635" t="s">
        <v>16</v>
      </c>
    </row>
    <row r="636" spans="1:14" x14ac:dyDescent="0.3">
      <c r="A636">
        <v>2024001634</v>
      </c>
      <c r="B636" s="1">
        <v>45468</v>
      </c>
      <c r="C636" s="11">
        <f t="shared" si="27"/>
        <v>2024</v>
      </c>
      <c r="D636" t="s">
        <v>304</v>
      </c>
      <c r="E636" t="s">
        <v>12</v>
      </c>
      <c r="F636" t="s">
        <v>13</v>
      </c>
      <c r="G636" t="s">
        <v>14</v>
      </c>
      <c r="H636">
        <v>4</v>
      </c>
      <c r="I636" s="2">
        <v>365.33</v>
      </c>
      <c r="J636" s="2">
        <v>1461.32</v>
      </c>
      <c r="K636" s="2">
        <f t="shared" si="28"/>
        <v>1461.32</v>
      </c>
      <c r="L636" s="2">
        <f t="shared" si="29"/>
        <v>0</v>
      </c>
      <c r="M636" t="s">
        <v>57</v>
      </c>
      <c r="N636" t="s">
        <v>16</v>
      </c>
    </row>
    <row r="637" spans="1:14" x14ac:dyDescent="0.3">
      <c r="A637">
        <v>2024001635</v>
      </c>
      <c r="B637" s="1">
        <v>45543</v>
      </c>
      <c r="C637" s="11">
        <f t="shared" si="27"/>
        <v>2024</v>
      </c>
      <c r="D637" t="s">
        <v>76</v>
      </c>
      <c r="E637" t="s">
        <v>23</v>
      </c>
      <c r="F637" t="s">
        <v>24</v>
      </c>
      <c r="G637" t="s">
        <v>14</v>
      </c>
      <c r="H637">
        <v>1</v>
      </c>
      <c r="I637" s="2">
        <v>85.89</v>
      </c>
      <c r="J637" s="2">
        <v>85.89</v>
      </c>
      <c r="K637" s="2">
        <f t="shared" si="28"/>
        <v>85.89</v>
      </c>
      <c r="L637" s="2">
        <f t="shared" si="29"/>
        <v>0</v>
      </c>
      <c r="M637" t="s">
        <v>61</v>
      </c>
      <c r="N637" t="s">
        <v>16</v>
      </c>
    </row>
    <row r="638" spans="1:14" x14ac:dyDescent="0.3">
      <c r="A638">
        <v>2024001636</v>
      </c>
      <c r="B638" s="1">
        <v>45501</v>
      </c>
      <c r="C638" s="11">
        <f t="shared" si="27"/>
        <v>2024</v>
      </c>
      <c r="D638" t="s">
        <v>250</v>
      </c>
      <c r="E638" t="s">
        <v>43</v>
      </c>
      <c r="F638" t="s">
        <v>44</v>
      </c>
      <c r="G638" t="s">
        <v>36</v>
      </c>
      <c r="H638">
        <v>4</v>
      </c>
      <c r="I638" s="2">
        <v>1171.8900000000001</v>
      </c>
      <c r="J638" s="2">
        <v>4687.5600000000004</v>
      </c>
      <c r="K638" s="2">
        <f t="shared" si="28"/>
        <v>4687.5600000000004</v>
      </c>
      <c r="L638" s="2">
        <f t="shared" si="29"/>
        <v>0</v>
      </c>
      <c r="M638" t="s">
        <v>38</v>
      </c>
      <c r="N638" t="s">
        <v>16</v>
      </c>
    </row>
    <row r="639" spans="1:14" x14ac:dyDescent="0.3">
      <c r="A639">
        <v>2024001637</v>
      </c>
      <c r="B639" s="1">
        <v>45428</v>
      </c>
      <c r="C639" s="11">
        <f t="shared" si="27"/>
        <v>2024</v>
      </c>
      <c r="D639" t="s">
        <v>305</v>
      </c>
      <c r="E639" t="s">
        <v>23</v>
      </c>
      <c r="F639" t="s">
        <v>24</v>
      </c>
      <c r="G639" t="s">
        <v>14</v>
      </c>
      <c r="H639">
        <v>1</v>
      </c>
      <c r="I639" s="2">
        <v>75.38</v>
      </c>
      <c r="J639" s="2">
        <v>75.38</v>
      </c>
      <c r="K639" s="2">
        <f t="shared" si="28"/>
        <v>75.38</v>
      </c>
      <c r="L639" s="2">
        <f t="shared" si="29"/>
        <v>0</v>
      </c>
      <c r="M639" t="s">
        <v>48</v>
      </c>
      <c r="N639" t="s">
        <v>21</v>
      </c>
    </row>
    <row r="640" spans="1:14" x14ac:dyDescent="0.3">
      <c r="A640">
        <v>2024001638</v>
      </c>
      <c r="B640" s="1">
        <v>45581</v>
      </c>
      <c r="C640" s="11">
        <f t="shared" si="27"/>
        <v>2024</v>
      </c>
      <c r="D640" t="s">
        <v>212</v>
      </c>
      <c r="E640" t="s">
        <v>46</v>
      </c>
      <c r="F640" t="s">
        <v>47</v>
      </c>
      <c r="G640" t="s">
        <v>36</v>
      </c>
      <c r="H640">
        <v>1</v>
      </c>
      <c r="I640" s="2">
        <v>84.09</v>
      </c>
      <c r="J640" s="2">
        <v>84.09</v>
      </c>
      <c r="K640" s="2">
        <f t="shared" si="28"/>
        <v>84.09</v>
      </c>
      <c r="L640" s="2">
        <f t="shared" si="29"/>
        <v>0</v>
      </c>
      <c r="M640" t="s">
        <v>57</v>
      </c>
      <c r="N640" t="s">
        <v>21</v>
      </c>
    </row>
    <row r="641" spans="1:14" x14ac:dyDescent="0.3">
      <c r="A641">
        <v>2024001639</v>
      </c>
      <c r="B641" s="1">
        <v>45443</v>
      </c>
      <c r="C641" s="11">
        <f t="shared" si="27"/>
        <v>2024</v>
      </c>
      <c r="D641" t="s">
        <v>11</v>
      </c>
      <c r="E641" t="s">
        <v>18</v>
      </c>
      <c r="F641" t="s">
        <v>19</v>
      </c>
      <c r="G641" t="s">
        <v>14</v>
      </c>
      <c r="H641">
        <v>1</v>
      </c>
      <c r="I641" s="2">
        <v>625.61</v>
      </c>
      <c r="J641" s="2">
        <v>625.61</v>
      </c>
      <c r="K641" s="2">
        <f t="shared" si="28"/>
        <v>625.61</v>
      </c>
      <c r="L641" s="2">
        <f t="shared" si="29"/>
        <v>0</v>
      </c>
      <c r="M641" t="s">
        <v>61</v>
      </c>
      <c r="N641" t="s">
        <v>21</v>
      </c>
    </row>
    <row r="642" spans="1:14" x14ac:dyDescent="0.3">
      <c r="A642">
        <v>2024001640</v>
      </c>
      <c r="B642" s="1">
        <v>45454</v>
      </c>
      <c r="C642" s="11">
        <f t="shared" si="27"/>
        <v>2024</v>
      </c>
      <c r="D642" t="s">
        <v>92</v>
      </c>
      <c r="E642" t="s">
        <v>18</v>
      </c>
      <c r="F642" t="s">
        <v>19</v>
      </c>
      <c r="G642" t="s">
        <v>14</v>
      </c>
      <c r="H642">
        <v>1</v>
      </c>
      <c r="I642" s="2">
        <v>621.80999999999995</v>
      </c>
      <c r="J642" s="2">
        <v>621.80999999999995</v>
      </c>
      <c r="K642" s="2">
        <f t="shared" si="28"/>
        <v>621.80999999999995</v>
      </c>
      <c r="L642" s="2">
        <f t="shared" si="29"/>
        <v>0</v>
      </c>
      <c r="M642" t="s">
        <v>55</v>
      </c>
      <c r="N642" t="s">
        <v>32</v>
      </c>
    </row>
    <row r="643" spans="1:14" x14ac:dyDescent="0.3">
      <c r="A643">
        <v>2024001641</v>
      </c>
      <c r="B643" s="1">
        <v>45431</v>
      </c>
      <c r="C643" s="11">
        <f t="shared" ref="C643:C706" si="30">YEAR(B643)</f>
        <v>2024</v>
      </c>
      <c r="D643" t="s">
        <v>199</v>
      </c>
      <c r="E643" t="s">
        <v>53</v>
      </c>
      <c r="F643" t="s">
        <v>54</v>
      </c>
      <c r="G643" t="s">
        <v>36</v>
      </c>
      <c r="H643">
        <v>1</v>
      </c>
      <c r="I643" s="2">
        <v>122.66</v>
      </c>
      <c r="J643" s="2">
        <v>122.66</v>
      </c>
      <c r="K643" s="2">
        <f t="shared" ref="K643:K706" si="31">I643*H643</f>
        <v>122.66</v>
      </c>
      <c r="L643" s="2">
        <f t="shared" ref="L643:L706" si="32">J643-K643</f>
        <v>0</v>
      </c>
      <c r="M643" t="s">
        <v>61</v>
      </c>
      <c r="N643" t="s">
        <v>16</v>
      </c>
    </row>
    <row r="644" spans="1:14" x14ac:dyDescent="0.3">
      <c r="A644">
        <v>2024001642</v>
      </c>
      <c r="B644" s="1">
        <v>45380</v>
      </c>
      <c r="C644" s="11">
        <f t="shared" si="30"/>
        <v>2024</v>
      </c>
      <c r="D644" t="s">
        <v>306</v>
      </c>
      <c r="E644" t="s">
        <v>34</v>
      </c>
      <c r="F644" t="s">
        <v>35</v>
      </c>
      <c r="G644" t="s">
        <v>36</v>
      </c>
      <c r="H644">
        <v>1</v>
      </c>
      <c r="I644" s="2">
        <v>15.92</v>
      </c>
      <c r="J644" s="2">
        <v>15.92</v>
      </c>
      <c r="K644" s="2">
        <f t="shared" si="31"/>
        <v>15.92</v>
      </c>
      <c r="L644" s="2">
        <f t="shared" si="32"/>
        <v>0</v>
      </c>
      <c r="M644" t="s">
        <v>64</v>
      </c>
      <c r="N644" t="s">
        <v>26</v>
      </c>
    </row>
    <row r="645" spans="1:14" x14ac:dyDescent="0.3">
      <c r="A645">
        <v>2024001643</v>
      </c>
      <c r="B645" s="1">
        <v>45585</v>
      </c>
      <c r="C645" s="11">
        <f t="shared" si="30"/>
        <v>2024</v>
      </c>
      <c r="D645" t="s">
        <v>298</v>
      </c>
      <c r="E645" t="s">
        <v>46</v>
      </c>
      <c r="F645" t="s">
        <v>47</v>
      </c>
      <c r="G645" t="s">
        <v>36</v>
      </c>
      <c r="H645">
        <v>1</v>
      </c>
      <c r="I645" s="2">
        <v>88.84</v>
      </c>
      <c r="J645" s="2">
        <v>88.84</v>
      </c>
      <c r="K645" s="2">
        <f t="shared" si="31"/>
        <v>88.84</v>
      </c>
      <c r="L645" s="2">
        <f t="shared" si="32"/>
        <v>0</v>
      </c>
      <c r="M645" t="s">
        <v>38</v>
      </c>
      <c r="N645" t="s">
        <v>21</v>
      </c>
    </row>
    <row r="646" spans="1:14" x14ac:dyDescent="0.3">
      <c r="A646">
        <v>2024001644</v>
      </c>
      <c r="B646" s="1">
        <v>45593</v>
      </c>
      <c r="C646" s="11">
        <f t="shared" si="30"/>
        <v>2024</v>
      </c>
      <c r="D646" t="s">
        <v>307</v>
      </c>
      <c r="E646" t="s">
        <v>18</v>
      </c>
      <c r="F646" t="s">
        <v>19</v>
      </c>
      <c r="G646" t="s">
        <v>14</v>
      </c>
      <c r="H646">
        <v>2</v>
      </c>
      <c r="I646" s="2">
        <v>551.91999999999996</v>
      </c>
      <c r="J646" s="2">
        <v>1103.8399999999999</v>
      </c>
      <c r="K646" s="2">
        <f t="shared" si="31"/>
        <v>1103.8399999999999</v>
      </c>
      <c r="L646" s="2">
        <f t="shared" si="32"/>
        <v>0</v>
      </c>
      <c r="M646" t="s">
        <v>15</v>
      </c>
      <c r="N646" t="s">
        <v>32</v>
      </c>
    </row>
    <row r="647" spans="1:14" x14ac:dyDescent="0.3">
      <c r="A647">
        <v>2024001645</v>
      </c>
      <c r="B647" s="1">
        <v>45382</v>
      </c>
      <c r="C647" s="11">
        <f t="shared" si="30"/>
        <v>2024</v>
      </c>
      <c r="D647" t="s">
        <v>11</v>
      </c>
      <c r="E647" t="s">
        <v>40</v>
      </c>
      <c r="F647" t="s">
        <v>41</v>
      </c>
      <c r="G647" t="s">
        <v>36</v>
      </c>
      <c r="H647">
        <v>1</v>
      </c>
      <c r="I647" s="2">
        <v>42.26</v>
      </c>
      <c r="J647" s="2">
        <v>42.26</v>
      </c>
      <c r="K647" s="2">
        <f t="shared" si="31"/>
        <v>42.26</v>
      </c>
      <c r="L647" s="2">
        <f t="shared" si="32"/>
        <v>0</v>
      </c>
      <c r="M647" t="s">
        <v>57</v>
      </c>
      <c r="N647" t="s">
        <v>16</v>
      </c>
    </row>
    <row r="648" spans="1:14" x14ac:dyDescent="0.3">
      <c r="A648">
        <v>2024001646</v>
      </c>
      <c r="B648" s="1">
        <v>45651</v>
      </c>
      <c r="C648" s="11">
        <f t="shared" si="30"/>
        <v>2024</v>
      </c>
      <c r="D648" t="s">
        <v>98</v>
      </c>
      <c r="E648" t="s">
        <v>34</v>
      </c>
      <c r="F648" t="s">
        <v>35</v>
      </c>
      <c r="G648" t="s">
        <v>36</v>
      </c>
      <c r="H648">
        <v>1</v>
      </c>
      <c r="I648" s="2">
        <v>15.5</v>
      </c>
      <c r="J648" s="2">
        <v>15.5</v>
      </c>
      <c r="K648" s="2">
        <f t="shared" si="31"/>
        <v>15.5</v>
      </c>
      <c r="L648" s="2">
        <f t="shared" si="32"/>
        <v>0</v>
      </c>
      <c r="M648" t="s">
        <v>20</v>
      </c>
      <c r="N648" t="s">
        <v>21</v>
      </c>
    </row>
    <row r="649" spans="1:14" x14ac:dyDescent="0.3">
      <c r="A649">
        <v>2024001647</v>
      </c>
      <c r="B649" s="1">
        <v>45494</v>
      </c>
      <c r="C649" s="11">
        <f t="shared" si="30"/>
        <v>2024</v>
      </c>
      <c r="D649" t="s">
        <v>308</v>
      </c>
      <c r="E649" t="s">
        <v>18</v>
      </c>
      <c r="F649" t="s">
        <v>19</v>
      </c>
      <c r="G649" t="s">
        <v>14</v>
      </c>
      <c r="H649">
        <v>1</v>
      </c>
      <c r="I649" s="2">
        <v>602.73</v>
      </c>
      <c r="J649" s="2">
        <v>602.73</v>
      </c>
      <c r="K649" s="2">
        <f t="shared" si="31"/>
        <v>602.73</v>
      </c>
      <c r="L649" s="2">
        <f t="shared" si="32"/>
        <v>0</v>
      </c>
      <c r="M649" t="s">
        <v>25</v>
      </c>
      <c r="N649" t="s">
        <v>21</v>
      </c>
    </row>
    <row r="650" spans="1:14" x14ac:dyDescent="0.3">
      <c r="A650">
        <v>2024001648</v>
      </c>
      <c r="B650" s="1">
        <v>45328</v>
      </c>
      <c r="C650" s="11">
        <f t="shared" si="30"/>
        <v>2024</v>
      </c>
      <c r="D650" t="s">
        <v>252</v>
      </c>
      <c r="E650" t="s">
        <v>67</v>
      </c>
      <c r="F650" t="s">
        <v>68</v>
      </c>
      <c r="G650" t="s">
        <v>36</v>
      </c>
      <c r="H650">
        <v>1</v>
      </c>
      <c r="I650" s="2">
        <v>402.98</v>
      </c>
      <c r="J650" s="2">
        <v>402.98</v>
      </c>
      <c r="K650" s="2">
        <f t="shared" si="31"/>
        <v>402.98</v>
      </c>
      <c r="L650" s="2">
        <f t="shared" si="32"/>
        <v>0</v>
      </c>
      <c r="M650" t="s">
        <v>61</v>
      </c>
      <c r="N650" t="s">
        <v>32</v>
      </c>
    </row>
    <row r="651" spans="1:14" x14ac:dyDescent="0.3">
      <c r="A651">
        <v>2024001649</v>
      </c>
      <c r="B651" s="1">
        <v>45479</v>
      </c>
      <c r="C651" s="11">
        <f t="shared" si="30"/>
        <v>2024</v>
      </c>
      <c r="D651" t="s">
        <v>11</v>
      </c>
      <c r="E651" t="s">
        <v>34</v>
      </c>
      <c r="F651" t="s">
        <v>35</v>
      </c>
      <c r="G651" t="s">
        <v>36</v>
      </c>
      <c r="H651">
        <v>2</v>
      </c>
      <c r="I651" s="2">
        <v>14.49</v>
      </c>
      <c r="J651" s="2">
        <v>28.98</v>
      </c>
      <c r="K651" s="2">
        <f t="shared" si="31"/>
        <v>28.98</v>
      </c>
      <c r="L651" s="2">
        <f t="shared" si="32"/>
        <v>0</v>
      </c>
      <c r="M651" t="s">
        <v>15</v>
      </c>
      <c r="N651" t="s">
        <v>16</v>
      </c>
    </row>
    <row r="652" spans="1:14" x14ac:dyDescent="0.3">
      <c r="A652">
        <v>2024001650</v>
      </c>
      <c r="B652" s="1">
        <v>45496</v>
      </c>
      <c r="C652" s="11">
        <f t="shared" si="30"/>
        <v>2024</v>
      </c>
      <c r="D652" t="s">
        <v>233</v>
      </c>
      <c r="E652" t="s">
        <v>46</v>
      </c>
      <c r="F652" t="s">
        <v>47</v>
      </c>
      <c r="G652" t="s">
        <v>36</v>
      </c>
      <c r="H652">
        <v>3</v>
      </c>
      <c r="I652" s="2">
        <v>87.41</v>
      </c>
      <c r="J652" s="2">
        <v>262.23</v>
      </c>
      <c r="K652" s="2">
        <f t="shared" si="31"/>
        <v>262.23</v>
      </c>
      <c r="L652" s="2">
        <f t="shared" si="32"/>
        <v>0</v>
      </c>
      <c r="M652" t="s">
        <v>38</v>
      </c>
      <c r="N652" t="s">
        <v>26</v>
      </c>
    </row>
    <row r="653" spans="1:14" x14ac:dyDescent="0.3">
      <c r="A653">
        <v>2024001651</v>
      </c>
      <c r="B653" s="1">
        <v>45367</v>
      </c>
      <c r="C653" s="11">
        <f t="shared" si="30"/>
        <v>2024</v>
      </c>
      <c r="D653" t="s">
        <v>301</v>
      </c>
      <c r="E653" t="s">
        <v>23</v>
      </c>
      <c r="F653" t="s">
        <v>24</v>
      </c>
      <c r="G653" t="s">
        <v>14</v>
      </c>
      <c r="H653">
        <v>5</v>
      </c>
      <c r="I653" s="2">
        <v>78.319999999999993</v>
      </c>
      <c r="J653" s="2">
        <v>391.6</v>
      </c>
      <c r="K653" s="2">
        <f t="shared" si="31"/>
        <v>391.59999999999997</v>
      </c>
      <c r="L653" s="2">
        <f t="shared" si="32"/>
        <v>0</v>
      </c>
      <c r="M653" t="s">
        <v>61</v>
      </c>
      <c r="N653" t="s">
        <v>26</v>
      </c>
    </row>
    <row r="654" spans="1:14" x14ac:dyDescent="0.3">
      <c r="A654">
        <v>2024001652</v>
      </c>
      <c r="B654" s="1">
        <v>45540</v>
      </c>
      <c r="C654" s="11">
        <f t="shared" si="30"/>
        <v>2024</v>
      </c>
      <c r="D654" t="s">
        <v>309</v>
      </c>
      <c r="E654" t="s">
        <v>46</v>
      </c>
      <c r="F654" t="s">
        <v>47</v>
      </c>
      <c r="G654" t="s">
        <v>36</v>
      </c>
      <c r="H654">
        <v>1</v>
      </c>
      <c r="I654" s="2">
        <v>91.93</v>
      </c>
      <c r="J654" s="2">
        <v>91.93</v>
      </c>
      <c r="K654" s="2">
        <f t="shared" si="31"/>
        <v>91.93</v>
      </c>
      <c r="L654" s="2">
        <f t="shared" si="32"/>
        <v>0</v>
      </c>
      <c r="M654" t="s">
        <v>64</v>
      </c>
      <c r="N654" t="s">
        <v>21</v>
      </c>
    </row>
    <row r="655" spans="1:14" x14ac:dyDescent="0.3">
      <c r="A655">
        <v>2024001653</v>
      </c>
      <c r="B655" s="1">
        <v>45499</v>
      </c>
      <c r="C655" s="11">
        <f t="shared" si="30"/>
        <v>2024</v>
      </c>
      <c r="D655" t="s">
        <v>221</v>
      </c>
      <c r="E655" t="s">
        <v>43</v>
      </c>
      <c r="F655" t="s">
        <v>44</v>
      </c>
      <c r="G655" t="s">
        <v>36</v>
      </c>
      <c r="H655">
        <v>1</v>
      </c>
      <c r="I655" s="2">
        <v>1226</v>
      </c>
      <c r="J655" s="2">
        <v>1226</v>
      </c>
      <c r="K655" s="2">
        <f t="shared" si="31"/>
        <v>1226</v>
      </c>
      <c r="L655" s="2">
        <f t="shared" si="32"/>
        <v>0</v>
      </c>
      <c r="M655" t="s">
        <v>31</v>
      </c>
      <c r="N655" t="s">
        <v>26</v>
      </c>
    </row>
    <row r="656" spans="1:14" x14ac:dyDescent="0.3">
      <c r="A656">
        <v>2024001654</v>
      </c>
      <c r="B656" s="1">
        <v>45436</v>
      </c>
      <c r="C656" s="11">
        <f t="shared" si="30"/>
        <v>2024</v>
      </c>
      <c r="D656" t="s">
        <v>147</v>
      </c>
      <c r="E656" t="s">
        <v>43</v>
      </c>
      <c r="F656" t="s">
        <v>44</v>
      </c>
      <c r="G656" t="s">
        <v>36</v>
      </c>
      <c r="H656">
        <v>1</v>
      </c>
      <c r="I656" s="2">
        <v>1207.98</v>
      </c>
      <c r="J656" s="2">
        <v>1207.98</v>
      </c>
      <c r="K656" s="2">
        <f t="shared" si="31"/>
        <v>1207.98</v>
      </c>
      <c r="L656" s="2">
        <f t="shared" si="32"/>
        <v>0</v>
      </c>
      <c r="M656" t="s">
        <v>20</v>
      </c>
      <c r="N656" t="s">
        <v>26</v>
      </c>
    </row>
    <row r="657" spans="1:14" x14ac:dyDescent="0.3">
      <c r="A657">
        <v>2024001655</v>
      </c>
      <c r="B657" s="1">
        <v>45434</v>
      </c>
      <c r="C657" s="11">
        <f t="shared" si="30"/>
        <v>2024</v>
      </c>
      <c r="D657" t="s">
        <v>11</v>
      </c>
      <c r="E657" t="s">
        <v>67</v>
      </c>
      <c r="F657" t="s">
        <v>68</v>
      </c>
      <c r="G657" t="s">
        <v>36</v>
      </c>
      <c r="H657">
        <v>3</v>
      </c>
      <c r="I657" s="2">
        <v>416.71</v>
      </c>
      <c r="J657" s="2">
        <v>1250.1300000000001</v>
      </c>
      <c r="K657" s="2">
        <f t="shared" si="31"/>
        <v>1250.1299999999999</v>
      </c>
      <c r="L657" s="2">
        <f t="shared" si="32"/>
        <v>0</v>
      </c>
      <c r="M657" t="s">
        <v>61</v>
      </c>
      <c r="N657" t="s">
        <v>21</v>
      </c>
    </row>
    <row r="658" spans="1:14" x14ac:dyDescent="0.3">
      <c r="A658">
        <v>2024001227</v>
      </c>
      <c r="B658" s="1">
        <v>45536</v>
      </c>
      <c r="C658" s="11">
        <f t="shared" si="30"/>
        <v>2024</v>
      </c>
      <c r="D658" t="s">
        <v>310</v>
      </c>
      <c r="E658" t="s">
        <v>67</v>
      </c>
      <c r="F658" t="s">
        <v>68</v>
      </c>
      <c r="G658" t="s">
        <v>36</v>
      </c>
      <c r="H658">
        <v>2</v>
      </c>
      <c r="I658" s="2">
        <v>397.16</v>
      </c>
      <c r="J658" s="2">
        <v>794.32</v>
      </c>
      <c r="K658" s="2">
        <f t="shared" si="31"/>
        <v>794.32</v>
      </c>
      <c r="L658" s="2">
        <f t="shared" si="32"/>
        <v>0</v>
      </c>
      <c r="M658" t="s">
        <v>55</v>
      </c>
      <c r="N658" t="s">
        <v>16</v>
      </c>
    </row>
    <row r="659" spans="1:14" x14ac:dyDescent="0.3">
      <c r="A659">
        <v>2024001657</v>
      </c>
      <c r="B659" s="1">
        <v>45594</v>
      </c>
      <c r="C659" s="11">
        <f t="shared" si="30"/>
        <v>2024</v>
      </c>
      <c r="D659" t="s">
        <v>122</v>
      </c>
      <c r="E659" t="s">
        <v>46</v>
      </c>
      <c r="F659" t="s">
        <v>47</v>
      </c>
      <c r="G659" t="s">
        <v>36</v>
      </c>
      <c r="H659">
        <v>1</v>
      </c>
      <c r="I659" s="2">
        <v>86.59</v>
      </c>
      <c r="J659" s="2">
        <v>86.59</v>
      </c>
      <c r="K659" s="2">
        <f t="shared" si="31"/>
        <v>86.59</v>
      </c>
      <c r="L659" s="2">
        <f t="shared" si="32"/>
        <v>0</v>
      </c>
      <c r="M659" t="s">
        <v>64</v>
      </c>
      <c r="N659" t="s">
        <v>21</v>
      </c>
    </row>
    <row r="660" spans="1:14" x14ac:dyDescent="0.3">
      <c r="A660">
        <v>2024001658</v>
      </c>
      <c r="B660" s="1">
        <v>45533</v>
      </c>
      <c r="C660" s="11">
        <f t="shared" si="30"/>
        <v>2024</v>
      </c>
      <c r="D660" t="s">
        <v>129</v>
      </c>
      <c r="E660" t="s">
        <v>12</v>
      </c>
      <c r="F660" t="s">
        <v>13</v>
      </c>
      <c r="G660" t="s">
        <v>14</v>
      </c>
      <c r="H660">
        <v>2</v>
      </c>
      <c r="I660" s="2">
        <v>344.01</v>
      </c>
      <c r="J660" s="2">
        <v>688.02</v>
      </c>
      <c r="K660" s="2">
        <f t="shared" si="31"/>
        <v>688.02</v>
      </c>
      <c r="L660" s="2">
        <f t="shared" si="32"/>
        <v>0</v>
      </c>
      <c r="M660" t="s">
        <v>15</v>
      </c>
      <c r="N660" t="s">
        <v>21</v>
      </c>
    </row>
    <row r="661" spans="1:14" x14ac:dyDescent="0.3">
      <c r="A661">
        <v>2024001659</v>
      </c>
      <c r="B661" s="1">
        <v>45310</v>
      </c>
      <c r="C661" s="11">
        <f t="shared" si="30"/>
        <v>2024</v>
      </c>
      <c r="D661" t="s">
        <v>51</v>
      </c>
      <c r="E661" t="s">
        <v>34</v>
      </c>
      <c r="F661" t="s">
        <v>35</v>
      </c>
      <c r="G661" t="s">
        <v>36</v>
      </c>
      <c r="H661">
        <v>1</v>
      </c>
      <c r="I661" s="2">
        <v>15.13</v>
      </c>
      <c r="J661" s="2">
        <v>15.13</v>
      </c>
      <c r="K661" s="2">
        <f t="shared" si="31"/>
        <v>15.13</v>
      </c>
      <c r="L661" s="2">
        <f t="shared" si="32"/>
        <v>0</v>
      </c>
      <c r="M661" t="s">
        <v>57</v>
      </c>
      <c r="N661" t="s">
        <v>32</v>
      </c>
    </row>
    <row r="662" spans="1:14" x14ac:dyDescent="0.3">
      <c r="A662">
        <v>2024001660</v>
      </c>
      <c r="B662" s="1">
        <v>45391</v>
      </c>
      <c r="C662" s="11">
        <f t="shared" si="30"/>
        <v>2024</v>
      </c>
      <c r="D662" t="s">
        <v>310</v>
      </c>
      <c r="E662" t="s">
        <v>46</v>
      </c>
      <c r="F662" t="s">
        <v>47</v>
      </c>
      <c r="G662" t="s">
        <v>36</v>
      </c>
      <c r="H662">
        <v>3</v>
      </c>
      <c r="I662" s="2">
        <v>91.91</v>
      </c>
      <c r="J662" s="2">
        <v>275.73</v>
      </c>
      <c r="K662" s="2">
        <f t="shared" si="31"/>
        <v>275.73</v>
      </c>
      <c r="L662" s="2">
        <f t="shared" si="32"/>
        <v>0</v>
      </c>
      <c r="M662" t="s">
        <v>61</v>
      </c>
      <c r="N662" t="s">
        <v>21</v>
      </c>
    </row>
    <row r="663" spans="1:14" x14ac:dyDescent="0.3">
      <c r="A663">
        <v>2024001661</v>
      </c>
      <c r="B663" s="1">
        <v>45654</v>
      </c>
      <c r="C663" s="11">
        <f t="shared" si="30"/>
        <v>2024</v>
      </c>
      <c r="D663" t="s">
        <v>191</v>
      </c>
      <c r="E663" t="s">
        <v>43</v>
      </c>
      <c r="F663" t="s">
        <v>44</v>
      </c>
      <c r="G663" t="s">
        <v>36</v>
      </c>
      <c r="H663">
        <v>1</v>
      </c>
      <c r="I663" s="2">
        <v>1271.83</v>
      </c>
      <c r="J663" s="2">
        <v>1271.83</v>
      </c>
      <c r="K663" s="2">
        <f t="shared" si="31"/>
        <v>1271.83</v>
      </c>
      <c r="L663" s="2">
        <f t="shared" si="32"/>
        <v>0</v>
      </c>
      <c r="M663" t="s">
        <v>38</v>
      </c>
      <c r="N663" t="s">
        <v>26</v>
      </c>
    </row>
    <row r="664" spans="1:14" x14ac:dyDescent="0.3">
      <c r="A664">
        <v>2024001662</v>
      </c>
      <c r="B664" s="1">
        <v>45605</v>
      </c>
      <c r="C664" s="11">
        <f t="shared" si="30"/>
        <v>2024</v>
      </c>
      <c r="D664" t="s">
        <v>60</v>
      </c>
      <c r="E664" t="s">
        <v>18</v>
      </c>
      <c r="F664" t="s">
        <v>19</v>
      </c>
      <c r="G664" t="s">
        <v>14</v>
      </c>
      <c r="H664">
        <v>1</v>
      </c>
      <c r="I664" s="2">
        <v>563.94000000000005</v>
      </c>
      <c r="J664" s="2">
        <v>563.94000000000005</v>
      </c>
      <c r="K664" s="2">
        <f t="shared" si="31"/>
        <v>563.94000000000005</v>
      </c>
      <c r="L664" s="2">
        <f t="shared" si="32"/>
        <v>0</v>
      </c>
      <c r="M664" t="s">
        <v>38</v>
      </c>
      <c r="N664" t="s">
        <v>26</v>
      </c>
    </row>
    <row r="665" spans="1:14" x14ac:dyDescent="0.3">
      <c r="A665">
        <v>2024001663</v>
      </c>
      <c r="B665" s="1">
        <v>45637</v>
      </c>
      <c r="C665" s="11">
        <f t="shared" si="30"/>
        <v>2024</v>
      </c>
      <c r="D665" t="s">
        <v>251</v>
      </c>
      <c r="E665" t="s">
        <v>40</v>
      </c>
      <c r="F665" t="s">
        <v>41</v>
      </c>
      <c r="G665" t="s">
        <v>36</v>
      </c>
      <c r="H665">
        <v>2</v>
      </c>
      <c r="I665" s="2">
        <v>44.11</v>
      </c>
      <c r="J665" s="2">
        <v>88.22</v>
      </c>
      <c r="K665" s="2">
        <f t="shared" si="31"/>
        <v>88.22</v>
      </c>
      <c r="L665" s="2">
        <f t="shared" si="32"/>
        <v>0</v>
      </c>
      <c r="M665" t="s">
        <v>64</v>
      </c>
      <c r="N665" t="s">
        <v>32</v>
      </c>
    </row>
    <row r="666" spans="1:14" x14ac:dyDescent="0.3">
      <c r="A666">
        <v>2024001664</v>
      </c>
      <c r="B666" s="1">
        <v>45571</v>
      </c>
      <c r="C666" s="11">
        <f t="shared" si="30"/>
        <v>2024</v>
      </c>
      <c r="D666" t="s">
        <v>33</v>
      </c>
      <c r="E666" t="s">
        <v>28</v>
      </c>
      <c r="F666" t="s">
        <v>29</v>
      </c>
      <c r="G666" t="s">
        <v>30</v>
      </c>
      <c r="H666">
        <v>1</v>
      </c>
      <c r="I666" s="2">
        <v>22.18</v>
      </c>
      <c r="J666" s="2">
        <v>22.18</v>
      </c>
      <c r="K666" s="2">
        <f t="shared" si="31"/>
        <v>22.18</v>
      </c>
      <c r="L666" s="2">
        <f t="shared" si="32"/>
        <v>0</v>
      </c>
      <c r="M666" t="s">
        <v>48</v>
      </c>
      <c r="N666" t="s">
        <v>32</v>
      </c>
    </row>
    <row r="667" spans="1:14" x14ac:dyDescent="0.3">
      <c r="A667">
        <v>2024001665</v>
      </c>
      <c r="B667" s="1">
        <v>45577</v>
      </c>
      <c r="C667" s="11">
        <f t="shared" si="30"/>
        <v>2024</v>
      </c>
      <c r="D667" t="s">
        <v>311</v>
      </c>
      <c r="E667" t="s">
        <v>40</v>
      </c>
      <c r="F667" t="s">
        <v>41</v>
      </c>
      <c r="G667" t="s">
        <v>36</v>
      </c>
      <c r="H667">
        <v>1</v>
      </c>
      <c r="I667" s="2">
        <v>43.51</v>
      </c>
      <c r="J667" s="2">
        <v>43.51</v>
      </c>
      <c r="K667" s="2">
        <f t="shared" si="31"/>
        <v>43.51</v>
      </c>
      <c r="L667" s="2">
        <f t="shared" si="32"/>
        <v>0</v>
      </c>
      <c r="M667" t="s">
        <v>25</v>
      </c>
      <c r="N667" t="s">
        <v>26</v>
      </c>
    </row>
    <row r="668" spans="1:14" x14ac:dyDescent="0.3">
      <c r="A668">
        <v>2024001666</v>
      </c>
      <c r="B668" s="1">
        <v>45351</v>
      </c>
      <c r="C668" s="11">
        <f t="shared" si="30"/>
        <v>2024</v>
      </c>
      <c r="D668" t="s">
        <v>118</v>
      </c>
      <c r="E668" t="s">
        <v>53</v>
      </c>
      <c r="F668" t="s">
        <v>54</v>
      </c>
      <c r="G668" t="s">
        <v>36</v>
      </c>
      <c r="H668">
        <v>3</v>
      </c>
      <c r="I668" s="2">
        <v>127.2</v>
      </c>
      <c r="J668" s="2">
        <v>381.6</v>
      </c>
      <c r="K668" s="2">
        <f t="shared" si="31"/>
        <v>381.6</v>
      </c>
      <c r="L668" s="2">
        <f t="shared" si="32"/>
        <v>0</v>
      </c>
      <c r="M668" t="s">
        <v>38</v>
      </c>
      <c r="N668" t="s">
        <v>26</v>
      </c>
    </row>
    <row r="669" spans="1:14" x14ac:dyDescent="0.3">
      <c r="A669">
        <v>2024001667</v>
      </c>
      <c r="B669" s="1">
        <v>45297</v>
      </c>
      <c r="C669" s="11">
        <f t="shared" si="30"/>
        <v>2024</v>
      </c>
      <c r="D669" t="s">
        <v>188</v>
      </c>
      <c r="E669" t="s">
        <v>46</v>
      </c>
      <c r="F669" t="s">
        <v>47</v>
      </c>
      <c r="G669" t="s">
        <v>36</v>
      </c>
      <c r="H669">
        <v>3</v>
      </c>
      <c r="I669" s="2">
        <v>90.63</v>
      </c>
      <c r="J669" s="2">
        <v>271.89</v>
      </c>
      <c r="K669" s="2">
        <f t="shared" si="31"/>
        <v>271.89</v>
      </c>
      <c r="L669" s="2">
        <f t="shared" si="32"/>
        <v>0</v>
      </c>
      <c r="M669" t="s">
        <v>20</v>
      </c>
      <c r="N669" t="s">
        <v>16</v>
      </c>
    </row>
    <row r="670" spans="1:14" x14ac:dyDescent="0.3">
      <c r="A670">
        <v>2024001668</v>
      </c>
      <c r="B670" s="1">
        <v>45387</v>
      </c>
      <c r="C670" s="11">
        <f t="shared" si="30"/>
        <v>2024</v>
      </c>
      <c r="D670" t="s">
        <v>131</v>
      </c>
      <c r="E670" t="s">
        <v>46</v>
      </c>
      <c r="F670" t="s">
        <v>47</v>
      </c>
      <c r="G670" t="s">
        <v>36</v>
      </c>
      <c r="H670">
        <v>2</v>
      </c>
      <c r="I670" s="2">
        <v>88.98</v>
      </c>
      <c r="J670" s="2">
        <v>177.96</v>
      </c>
      <c r="K670" s="2">
        <f t="shared" si="31"/>
        <v>177.96</v>
      </c>
      <c r="L670" s="2">
        <f t="shared" si="32"/>
        <v>0</v>
      </c>
      <c r="M670" t="s">
        <v>57</v>
      </c>
      <c r="N670" t="s">
        <v>16</v>
      </c>
    </row>
    <row r="671" spans="1:14" x14ac:dyDescent="0.3">
      <c r="A671">
        <v>2024001669</v>
      </c>
      <c r="B671" s="1">
        <v>45430</v>
      </c>
      <c r="C671" s="11">
        <f t="shared" si="30"/>
        <v>2024</v>
      </c>
      <c r="D671" t="s">
        <v>304</v>
      </c>
      <c r="E671" t="s">
        <v>43</v>
      </c>
      <c r="F671" t="s">
        <v>44</v>
      </c>
      <c r="G671" t="s">
        <v>36</v>
      </c>
      <c r="H671">
        <v>2</v>
      </c>
      <c r="I671" s="2">
        <v>1194.8599999999999</v>
      </c>
      <c r="J671" s="2">
        <v>2389.7199999999998</v>
      </c>
      <c r="K671" s="2">
        <f t="shared" si="31"/>
        <v>2389.7199999999998</v>
      </c>
      <c r="L671" s="2">
        <f t="shared" si="32"/>
        <v>0</v>
      </c>
      <c r="M671" t="s">
        <v>38</v>
      </c>
      <c r="N671" t="s">
        <v>26</v>
      </c>
    </row>
    <row r="672" spans="1:14" x14ac:dyDescent="0.3">
      <c r="A672">
        <v>2024001670</v>
      </c>
      <c r="B672" s="1">
        <v>45588</v>
      </c>
      <c r="C672" s="11">
        <f t="shared" si="30"/>
        <v>2024</v>
      </c>
      <c r="D672" t="s">
        <v>183</v>
      </c>
      <c r="E672" t="s">
        <v>23</v>
      </c>
      <c r="F672" t="s">
        <v>24</v>
      </c>
      <c r="G672" t="s">
        <v>14</v>
      </c>
      <c r="H672">
        <v>3</v>
      </c>
      <c r="I672" s="2">
        <v>79.48</v>
      </c>
      <c r="J672" s="2">
        <v>238.44</v>
      </c>
      <c r="K672" s="2">
        <f t="shared" si="31"/>
        <v>238.44</v>
      </c>
      <c r="L672" s="2">
        <f t="shared" si="32"/>
        <v>0</v>
      </c>
      <c r="M672" t="s">
        <v>15</v>
      </c>
      <c r="N672" t="s">
        <v>21</v>
      </c>
    </row>
    <row r="673" spans="1:14" x14ac:dyDescent="0.3">
      <c r="A673">
        <v>2024001671</v>
      </c>
      <c r="B673" s="1">
        <v>45542</v>
      </c>
      <c r="C673" s="11">
        <f t="shared" si="30"/>
        <v>2024</v>
      </c>
      <c r="D673" t="s">
        <v>312</v>
      </c>
      <c r="E673" t="s">
        <v>28</v>
      </c>
      <c r="F673" t="s">
        <v>29</v>
      </c>
      <c r="G673" t="s">
        <v>30</v>
      </c>
      <c r="H673">
        <v>2</v>
      </c>
      <c r="I673" s="2">
        <v>25.72</v>
      </c>
      <c r="J673" s="2">
        <v>51.44</v>
      </c>
      <c r="K673" s="2">
        <f t="shared" si="31"/>
        <v>51.44</v>
      </c>
      <c r="L673" s="2">
        <f t="shared" si="32"/>
        <v>0</v>
      </c>
      <c r="M673" t="s">
        <v>15</v>
      </c>
      <c r="N673" t="s">
        <v>16</v>
      </c>
    </row>
    <row r="674" spans="1:14" x14ac:dyDescent="0.3">
      <c r="A674">
        <v>2024001672</v>
      </c>
      <c r="B674" s="1">
        <v>45516</v>
      </c>
      <c r="C674" s="11">
        <f t="shared" si="30"/>
        <v>2024</v>
      </c>
      <c r="D674" t="s">
        <v>313</v>
      </c>
      <c r="E674" t="s">
        <v>43</v>
      </c>
      <c r="F674" t="s">
        <v>44</v>
      </c>
      <c r="G674" t="s">
        <v>36</v>
      </c>
      <c r="H674">
        <v>1</v>
      </c>
      <c r="I674" s="2">
        <v>1188.21</v>
      </c>
      <c r="J674" s="2">
        <v>1188.21</v>
      </c>
      <c r="K674" s="2">
        <f t="shared" si="31"/>
        <v>1188.21</v>
      </c>
      <c r="L674" s="2">
        <f t="shared" si="32"/>
        <v>0</v>
      </c>
      <c r="M674" t="s">
        <v>38</v>
      </c>
      <c r="N674" t="s">
        <v>32</v>
      </c>
    </row>
    <row r="675" spans="1:14" x14ac:dyDescent="0.3">
      <c r="A675">
        <v>2024001673</v>
      </c>
      <c r="B675" s="1">
        <v>45506</v>
      </c>
      <c r="C675" s="11">
        <f t="shared" si="30"/>
        <v>2024</v>
      </c>
      <c r="D675" t="s">
        <v>119</v>
      </c>
      <c r="E675" t="s">
        <v>28</v>
      </c>
      <c r="F675" t="s">
        <v>29</v>
      </c>
      <c r="G675" t="s">
        <v>30</v>
      </c>
      <c r="H675">
        <v>1</v>
      </c>
      <c r="I675" s="2">
        <v>26.19</v>
      </c>
      <c r="J675" s="2">
        <v>26.19</v>
      </c>
      <c r="K675" s="2">
        <f t="shared" si="31"/>
        <v>26.19</v>
      </c>
      <c r="L675" s="2">
        <f t="shared" si="32"/>
        <v>0</v>
      </c>
      <c r="M675" t="s">
        <v>20</v>
      </c>
      <c r="N675" t="s">
        <v>32</v>
      </c>
    </row>
    <row r="676" spans="1:14" x14ac:dyDescent="0.3">
      <c r="A676">
        <v>2024001674</v>
      </c>
      <c r="B676" s="1">
        <v>45316</v>
      </c>
      <c r="C676" s="11">
        <f t="shared" si="30"/>
        <v>2024</v>
      </c>
      <c r="D676" t="s">
        <v>202</v>
      </c>
      <c r="E676" t="s">
        <v>46</v>
      </c>
      <c r="F676" t="s">
        <v>47</v>
      </c>
      <c r="G676" t="s">
        <v>36</v>
      </c>
      <c r="H676">
        <v>1</v>
      </c>
      <c r="I676" s="2">
        <v>86.22</v>
      </c>
      <c r="J676" s="2">
        <v>86.22</v>
      </c>
      <c r="K676" s="2">
        <f t="shared" si="31"/>
        <v>86.22</v>
      </c>
      <c r="L676" s="2">
        <f t="shared" si="32"/>
        <v>0</v>
      </c>
      <c r="M676" t="s">
        <v>48</v>
      </c>
      <c r="N676" t="s">
        <v>26</v>
      </c>
    </row>
    <row r="677" spans="1:14" x14ac:dyDescent="0.3">
      <c r="A677">
        <v>2024001675</v>
      </c>
      <c r="B677" s="1">
        <v>45625</v>
      </c>
      <c r="C677" s="11">
        <f t="shared" si="30"/>
        <v>2024</v>
      </c>
      <c r="D677" t="s">
        <v>258</v>
      </c>
      <c r="E677" t="s">
        <v>40</v>
      </c>
      <c r="F677" t="s">
        <v>41</v>
      </c>
      <c r="G677" t="s">
        <v>36</v>
      </c>
      <c r="H677">
        <v>1</v>
      </c>
      <c r="I677" s="2">
        <v>44.49</v>
      </c>
      <c r="J677" s="2">
        <v>44.49</v>
      </c>
      <c r="K677" s="2">
        <f t="shared" si="31"/>
        <v>44.49</v>
      </c>
      <c r="L677" s="2">
        <f t="shared" si="32"/>
        <v>0</v>
      </c>
      <c r="M677" t="s">
        <v>25</v>
      </c>
      <c r="N677" t="s">
        <v>26</v>
      </c>
    </row>
    <row r="678" spans="1:14" x14ac:dyDescent="0.3">
      <c r="A678">
        <v>2024001676</v>
      </c>
      <c r="B678" s="1">
        <v>45505</v>
      </c>
      <c r="C678" s="11">
        <f t="shared" si="30"/>
        <v>2024</v>
      </c>
      <c r="D678" t="s">
        <v>203</v>
      </c>
      <c r="E678" t="s">
        <v>53</v>
      </c>
      <c r="F678" t="s">
        <v>54</v>
      </c>
      <c r="G678" t="s">
        <v>36</v>
      </c>
      <c r="H678">
        <v>1</v>
      </c>
      <c r="I678" s="2">
        <v>122.95</v>
      </c>
      <c r="J678" s="2">
        <v>122.95</v>
      </c>
      <c r="K678" s="2">
        <f t="shared" si="31"/>
        <v>122.95</v>
      </c>
      <c r="L678" s="2">
        <f t="shared" si="32"/>
        <v>0</v>
      </c>
      <c r="M678" t="s">
        <v>48</v>
      </c>
      <c r="N678" t="s">
        <v>16</v>
      </c>
    </row>
    <row r="679" spans="1:14" x14ac:dyDescent="0.3">
      <c r="A679">
        <v>2024001677</v>
      </c>
      <c r="B679" s="1">
        <v>45345</v>
      </c>
      <c r="C679" s="11">
        <f t="shared" si="30"/>
        <v>2024</v>
      </c>
      <c r="D679" t="s">
        <v>277</v>
      </c>
      <c r="E679" t="s">
        <v>43</v>
      </c>
      <c r="F679" t="s">
        <v>44</v>
      </c>
      <c r="G679" t="s">
        <v>36</v>
      </c>
      <c r="H679">
        <v>1</v>
      </c>
      <c r="I679" s="2">
        <v>1178.52</v>
      </c>
      <c r="J679" s="2">
        <v>1178.52</v>
      </c>
      <c r="K679" s="2">
        <f t="shared" si="31"/>
        <v>1178.52</v>
      </c>
      <c r="L679" s="2">
        <f t="shared" si="32"/>
        <v>0</v>
      </c>
      <c r="M679" t="s">
        <v>57</v>
      </c>
      <c r="N679" t="s">
        <v>26</v>
      </c>
    </row>
    <row r="680" spans="1:14" x14ac:dyDescent="0.3">
      <c r="A680">
        <v>2024001678</v>
      </c>
      <c r="B680" s="1">
        <v>45478</v>
      </c>
      <c r="C680" s="11">
        <f t="shared" si="30"/>
        <v>2024</v>
      </c>
      <c r="D680" t="s">
        <v>314</v>
      </c>
      <c r="E680" t="s">
        <v>67</v>
      </c>
      <c r="F680" t="s">
        <v>68</v>
      </c>
      <c r="G680" t="s">
        <v>36</v>
      </c>
      <c r="H680">
        <v>3</v>
      </c>
      <c r="I680" s="2">
        <v>378.02</v>
      </c>
      <c r="J680" s="2">
        <v>1134.06</v>
      </c>
      <c r="K680" s="2">
        <f t="shared" si="31"/>
        <v>1134.06</v>
      </c>
      <c r="L680" s="2">
        <f t="shared" si="32"/>
        <v>0</v>
      </c>
      <c r="M680" t="s">
        <v>31</v>
      </c>
      <c r="N680" t="s">
        <v>32</v>
      </c>
    </row>
    <row r="681" spans="1:14" x14ac:dyDescent="0.3">
      <c r="A681">
        <v>2024001679</v>
      </c>
      <c r="B681" s="1">
        <v>45479</v>
      </c>
      <c r="C681" s="11">
        <f t="shared" si="30"/>
        <v>2024</v>
      </c>
      <c r="D681" t="s">
        <v>153</v>
      </c>
      <c r="E681" t="s">
        <v>40</v>
      </c>
      <c r="F681" t="s">
        <v>41</v>
      </c>
      <c r="G681" t="s">
        <v>36</v>
      </c>
      <c r="H681">
        <v>1</v>
      </c>
      <c r="I681" s="2">
        <v>43.17</v>
      </c>
      <c r="J681" s="2">
        <v>43.17</v>
      </c>
      <c r="K681" s="2">
        <f t="shared" si="31"/>
        <v>43.17</v>
      </c>
      <c r="L681" s="2">
        <f t="shared" si="32"/>
        <v>0</v>
      </c>
      <c r="M681" t="s">
        <v>20</v>
      </c>
      <c r="N681" t="s">
        <v>21</v>
      </c>
    </row>
    <row r="682" spans="1:14" x14ac:dyDescent="0.3">
      <c r="A682">
        <v>2024001680</v>
      </c>
      <c r="B682" s="1">
        <v>45482</v>
      </c>
      <c r="C682" s="11">
        <f t="shared" si="30"/>
        <v>2024</v>
      </c>
      <c r="D682" t="s">
        <v>51</v>
      </c>
      <c r="E682" t="s">
        <v>23</v>
      </c>
      <c r="F682" t="s">
        <v>24</v>
      </c>
      <c r="G682" t="s">
        <v>14</v>
      </c>
      <c r="H682">
        <v>1</v>
      </c>
      <c r="I682" s="2">
        <v>75.349999999999994</v>
      </c>
      <c r="J682" s="2">
        <v>75.349999999999994</v>
      </c>
      <c r="K682" s="2">
        <f t="shared" si="31"/>
        <v>75.349999999999994</v>
      </c>
      <c r="L682" s="2">
        <f t="shared" si="32"/>
        <v>0</v>
      </c>
      <c r="M682" t="s">
        <v>61</v>
      </c>
      <c r="N682" t="s">
        <v>32</v>
      </c>
    </row>
    <row r="683" spans="1:14" x14ac:dyDescent="0.3">
      <c r="A683">
        <v>2024001681</v>
      </c>
      <c r="B683" s="1">
        <v>45583</v>
      </c>
      <c r="C683" s="11">
        <f t="shared" si="30"/>
        <v>2024</v>
      </c>
      <c r="D683" t="s">
        <v>221</v>
      </c>
      <c r="E683" t="s">
        <v>18</v>
      </c>
      <c r="F683" t="s">
        <v>19</v>
      </c>
      <c r="G683" t="s">
        <v>14</v>
      </c>
      <c r="H683">
        <v>1</v>
      </c>
      <c r="I683" s="2">
        <v>590.73</v>
      </c>
      <c r="J683" s="2">
        <v>590.73</v>
      </c>
      <c r="K683" s="2">
        <f t="shared" si="31"/>
        <v>590.73</v>
      </c>
      <c r="L683" s="2">
        <f t="shared" si="32"/>
        <v>0</v>
      </c>
      <c r="M683" t="s">
        <v>38</v>
      </c>
      <c r="N683" t="s">
        <v>32</v>
      </c>
    </row>
    <row r="684" spans="1:14" x14ac:dyDescent="0.3">
      <c r="A684">
        <v>2024001682</v>
      </c>
      <c r="B684" s="1">
        <v>45409</v>
      </c>
      <c r="C684" s="11">
        <f t="shared" si="30"/>
        <v>2024</v>
      </c>
      <c r="D684" t="s">
        <v>146</v>
      </c>
      <c r="E684" t="s">
        <v>18</v>
      </c>
      <c r="F684" t="s">
        <v>19</v>
      </c>
      <c r="G684" t="s">
        <v>14</v>
      </c>
      <c r="H684">
        <v>1</v>
      </c>
      <c r="I684" s="2">
        <v>620.32000000000005</v>
      </c>
      <c r="J684" s="2">
        <v>620.32000000000005</v>
      </c>
      <c r="K684" s="2">
        <f t="shared" si="31"/>
        <v>620.32000000000005</v>
      </c>
      <c r="L684" s="2">
        <f t="shared" si="32"/>
        <v>0</v>
      </c>
      <c r="M684" t="s">
        <v>38</v>
      </c>
      <c r="N684" t="s">
        <v>32</v>
      </c>
    </row>
    <row r="685" spans="1:14" x14ac:dyDescent="0.3">
      <c r="A685">
        <v>2024001683</v>
      </c>
      <c r="B685" s="1">
        <v>45584</v>
      </c>
      <c r="C685" s="11">
        <f t="shared" si="30"/>
        <v>2024</v>
      </c>
      <c r="D685" t="s">
        <v>255</v>
      </c>
      <c r="E685" t="s">
        <v>34</v>
      </c>
      <c r="F685" t="s">
        <v>35</v>
      </c>
      <c r="G685" t="s">
        <v>36</v>
      </c>
      <c r="H685">
        <v>1</v>
      </c>
      <c r="I685" s="2">
        <v>14.42</v>
      </c>
      <c r="J685" s="2">
        <v>14.42</v>
      </c>
      <c r="K685" s="2">
        <f t="shared" si="31"/>
        <v>14.42</v>
      </c>
      <c r="L685" s="2">
        <f t="shared" si="32"/>
        <v>0</v>
      </c>
      <c r="M685" t="s">
        <v>38</v>
      </c>
      <c r="N685" t="s">
        <v>21</v>
      </c>
    </row>
    <row r="686" spans="1:14" x14ac:dyDescent="0.3">
      <c r="A686">
        <v>2024001684</v>
      </c>
      <c r="B686" s="1">
        <v>45397</v>
      </c>
      <c r="C686" s="11">
        <f t="shared" si="30"/>
        <v>2024</v>
      </c>
      <c r="D686" t="s">
        <v>37</v>
      </c>
      <c r="E686" t="s">
        <v>18</v>
      </c>
      <c r="F686" t="s">
        <v>19</v>
      </c>
      <c r="G686" t="s">
        <v>14</v>
      </c>
      <c r="H686">
        <v>3</v>
      </c>
      <c r="I686" s="2">
        <v>594.84</v>
      </c>
      <c r="J686" s="2">
        <v>1784.52</v>
      </c>
      <c r="K686" s="2">
        <f t="shared" si="31"/>
        <v>1784.52</v>
      </c>
      <c r="L686" s="2">
        <f t="shared" si="32"/>
        <v>0</v>
      </c>
      <c r="M686" t="s">
        <v>64</v>
      </c>
      <c r="N686" t="s">
        <v>21</v>
      </c>
    </row>
    <row r="687" spans="1:14" x14ac:dyDescent="0.3">
      <c r="A687">
        <v>2024001685</v>
      </c>
      <c r="B687" s="1">
        <v>45455</v>
      </c>
      <c r="C687" s="11">
        <f t="shared" si="30"/>
        <v>2024</v>
      </c>
      <c r="D687" t="s">
        <v>110</v>
      </c>
      <c r="E687" t="s">
        <v>40</v>
      </c>
      <c r="F687" t="s">
        <v>41</v>
      </c>
      <c r="G687" t="s">
        <v>36</v>
      </c>
      <c r="H687">
        <v>1</v>
      </c>
      <c r="I687" s="2">
        <v>44.62</v>
      </c>
      <c r="J687" s="2">
        <v>44.62</v>
      </c>
      <c r="K687" s="2">
        <f t="shared" si="31"/>
        <v>44.62</v>
      </c>
      <c r="L687" s="2">
        <f t="shared" si="32"/>
        <v>0</v>
      </c>
      <c r="M687" t="s">
        <v>38</v>
      </c>
      <c r="N687" t="s">
        <v>16</v>
      </c>
    </row>
    <row r="688" spans="1:14" x14ac:dyDescent="0.3">
      <c r="A688">
        <v>2024001686</v>
      </c>
      <c r="B688" s="1">
        <v>45336</v>
      </c>
      <c r="C688" s="11">
        <f t="shared" si="30"/>
        <v>2024</v>
      </c>
      <c r="D688" t="s">
        <v>85</v>
      </c>
      <c r="E688" t="s">
        <v>53</v>
      </c>
      <c r="F688" t="s">
        <v>54</v>
      </c>
      <c r="G688" t="s">
        <v>36</v>
      </c>
      <c r="H688">
        <v>3</v>
      </c>
      <c r="I688" s="2">
        <v>112.24</v>
      </c>
      <c r="J688" s="2">
        <v>336.72</v>
      </c>
      <c r="K688" s="2">
        <f t="shared" si="31"/>
        <v>336.71999999999997</v>
      </c>
      <c r="L688" s="2">
        <f t="shared" si="32"/>
        <v>0</v>
      </c>
      <c r="M688" t="s">
        <v>38</v>
      </c>
      <c r="N688" t="s">
        <v>26</v>
      </c>
    </row>
    <row r="689" spans="1:14" x14ac:dyDescent="0.3">
      <c r="A689">
        <v>2024001687</v>
      </c>
      <c r="B689" s="1">
        <v>45522</v>
      </c>
      <c r="C689" s="11">
        <f t="shared" si="30"/>
        <v>2024</v>
      </c>
      <c r="D689" t="s">
        <v>11</v>
      </c>
      <c r="E689" t="s">
        <v>34</v>
      </c>
      <c r="F689" t="s">
        <v>35</v>
      </c>
      <c r="G689" t="s">
        <v>36</v>
      </c>
      <c r="H689">
        <v>1</v>
      </c>
      <c r="I689" s="2">
        <v>14.07</v>
      </c>
      <c r="J689" s="2">
        <v>14.07</v>
      </c>
      <c r="K689" s="2">
        <f t="shared" si="31"/>
        <v>14.07</v>
      </c>
      <c r="L689" s="2">
        <f t="shared" si="32"/>
        <v>0</v>
      </c>
      <c r="M689" t="s">
        <v>64</v>
      </c>
      <c r="N689" t="s">
        <v>32</v>
      </c>
    </row>
    <row r="690" spans="1:14" x14ac:dyDescent="0.3">
      <c r="A690">
        <v>2024001688</v>
      </c>
      <c r="B690" s="1">
        <v>45530</v>
      </c>
      <c r="C690" s="11">
        <f t="shared" si="30"/>
        <v>2024</v>
      </c>
      <c r="D690" t="s">
        <v>263</v>
      </c>
      <c r="E690" t="s">
        <v>28</v>
      </c>
      <c r="F690" t="s">
        <v>29</v>
      </c>
      <c r="G690" t="s">
        <v>30</v>
      </c>
      <c r="H690">
        <v>2</v>
      </c>
      <c r="I690" s="2">
        <v>25.58</v>
      </c>
      <c r="J690" s="2">
        <v>51.16</v>
      </c>
      <c r="K690" s="2">
        <f t="shared" si="31"/>
        <v>51.16</v>
      </c>
      <c r="L690" s="2">
        <f t="shared" si="32"/>
        <v>0</v>
      </c>
      <c r="M690" t="s">
        <v>64</v>
      </c>
      <c r="N690" t="s">
        <v>16</v>
      </c>
    </row>
    <row r="691" spans="1:14" x14ac:dyDescent="0.3">
      <c r="A691">
        <v>2024001689</v>
      </c>
      <c r="B691" s="1">
        <v>45615</v>
      </c>
      <c r="C691" s="11">
        <f t="shared" si="30"/>
        <v>2024</v>
      </c>
      <c r="D691" t="s">
        <v>128</v>
      </c>
      <c r="E691" t="s">
        <v>40</v>
      </c>
      <c r="F691" t="s">
        <v>41</v>
      </c>
      <c r="G691" t="s">
        <v>36</v>
      </c>
      <c r="H691">
        <v>1</v>
      </c>
      <c r="I691" s="2">
        <v>49.68</v>
      </c>
      <c r="J691" s="2">
        <v>49.68</v>
      </c>
      <c r="K691" s="2">
        <f t="shared" si="31"/>
        <v>49.68</v>
      </c>
      <c r="L691" s="2">
        <f t="shared" si="32"/>
        <v>0</v>
      </c>
      <c r="M691" t="s">
        <v>48</v>
      </c>
      <c r="N691" t="s">
        <v>16</v>
      </c>
    </row>
    <row r="692" spans="1:14" x14ac:dyDescent="0.3">
      <c r="A692">
        <v>2024001690</v>
      </c>
      <c r="B692" s="1">
        <v>45386</v>
      </c>
      <c r="C692" s="11">
        <f t="shared" si="30"/>
        <v>2024</v>
      </c>
      <c r="D692" t="s">
        <v>315</v>
      </c>
      <c r="E692" t="s">
        <v>12</v>
      </c>
      <c r="F692" t="s">
        <v>13</v>
      </c>
      <c r="G692" t="s">
        <v>14</v>
      </c>
      <c r="H692">
        <v>5</v>
      </c>
      <c r="I692" s="2">
        <v>360.59</v>
      </c>
      <c r="J692" s="2">
        <v>1802.95</v>
      </c>
      <c r="K692" s="2">
        <f t="shared" si="31"/>
        <v>1802.9499999999998</v>
      </c>
      <c r="L692" s="2">
        <f t="shared" si="32"/>
        <v>0</v>
      </c>
      <c r="M692" t="s">
        <v>48</v>
      </c>
      <c r="N692" t="s">
        <v>26</v>
      </c>
    </row>
    <row r="693" spans="1:14" x14ac:dyDescent="0.3">
      <c r="A693">
        <v>2024001691</v>
      </c>
      <c r="B693" s="1">
        <v>45480</v>
      </c>
      <c r="C693" s="11">
        <f t="shared" si="30"/>
        <v>2024</v>
      </c>
      <c r="D693" t="s">
        <v>77</v>
      </c>
      <c r="E693" t="s">
        <v>18</v>
      </c>
      <c r="F693" t="s">
        <v>19</v>
      </c>
      <c r="G693" t="s">
        <v>14</v>
      </c>
      <c r="H693">
        <v>3</v>
      </c>
      <c r="I693" s="2">
        <v>633.46</v>
      </c>
      <c r="J693" s="2">
        <v>1900.38</v>
      </c>
      <c r="K693" s="2">
        <f t="shared" si="31"/>
        <v>1900.38</v>
      </c>
      <c r="L693" s="2">
        <f t="shared" si="32"/>
        <v>0</v>
      </c>
      <c r="M693" t="s">
        <v>38</v>
      </c>
      <c r="N693" t="s">
        <v>16</v>
      </c>
    </row>
    <row r="694" spans="1:14" x14ac:dyDescent="0.3">
      <c r="A694">
        <v>2024001692</v>
      </c>
      <c r="B694" s="1">
        <v>45421</v>
      </c>
      <c r="C694" s="11">
        <f t="shared" si="30"/>
        <v>2024</v>
      </c>
      <c r="D694" t="s">
        <v>74</v>
      </c>
      <c r="E694" t="s">
        <v>23</v>
      </c>
      <c r="F694" t="s">
        <v>24</v>
      </c>
      <c r="G694" t="s">
        <v>14</v>
      </c>
      <c r="H694">
        <v>2</v>
      </c>
      <c r="I694" s="2">
        <v>78.510000000000005</v>
      </c>
      <c r="J694" s="2">
        <v>157.02000000000001</v>
      </c>
      <c r="K694" s="2">
        <f t="shared" si="31"/>
        <v>157.02000000000001</v>
      </c>
      <c r="L694" s="2">
        <f t="shared" si="32"/>
        <v>0</v>
      </c>
      <c r="M694" t="s">
        <v>25</v>
      </c>
      <c r="N694" t="s">
        <v>21</v>
      </c>
    </row>
    <row r="695" spans="1:14" x14ac:dyDescent="0.3">
      <c r="A695">
        <v>2024001693</v>
      </c>
      <c r="B695" s="1">
        <v>45398</v>
      </c>
      <c r="C695" s="11">
        <f t="shared" si="30"/>
        <v>2024</v>
      </c>
      <c r="D695" t="s">
        <v>17</v>
      </c>
      <c r="E695" t="s">
        <v>43</v>
      </c>
      <c r="F695" t="s">
        <v>44</v>
      </c>
      <c r="G695" t="s">
        <v>36</v>
      </c>
      <c r="H695">
        <v>1</v>
      </c>
      <c r="I695" s="2">
        <v>1226.24</v>
      </c>
      <c r="J695" s="2">
        <v>1226.24</v>
      </c>
      <c r="K695" s="2">
        <f t="shared" si="31"/>
        <v>1226.24</v>
      </c>
      <c r="L695" s="2">
        <f t="shared" si="32"/>
        <v>0</v>
      </c>
      <c r="M695" t="s">
        <v>25</v>
      </c>
      <c r="N695" t="s">
        <v>32</v>
      </c>
    </row>
    <row r="696" spans="1:14" x14ac:dyDescent="0.3">
      <c r="A696">
        <v>2024001694</v>
      </c>
      <c r="B696" s="1">
        <v>45618</v>
      </c>
      <c r="C696" s="11">
        <f t="shared" si="30"/>
        <v>2024</v>
      </c>
      <c r="D696" t="s">
        <v>77</v>
      </c>
      <c r="E696" t="s">
        <v>43</v>
      </c>
      <c r="F696" t="s">
        <v>44</v>
      </c>
      <c r="G696" t="s">
        <v>36</v>
      </c>
      <c r="H696">
        <v>3</v>
      </c>
      <c r="I696" s="2">
        <v>1239.81</v>
      </c>
      <c r="J696" s="2">
        <v>3719.43</v>
      </c>
      <c r="K696" s="2">
        <f t="shared" si="31"/>
        <v>3719.43</v>
      </c>
      <c r="L696" s="2">
        <f t="shared" si="32"/>
        <v>0</v>
      </c>
      <c r="M696" t="s">
        <v>55</v>
      </c>
      <c r="N696" t="s">
        <v>16</v>
      </c>
    </row>
    <row r="697" spans="1:14" x14ac:dyDescent="0.3">
      <c r="A697">
        <v>2024001695</v>
      </c>
      <c r="B697" s="1">
        <v>45571</v>
      </c>
      <c r="C697" s="11">
        <f t="shared" si="30"/>
        <v>2024</v>
      </c>
      <c r="D697" t="s">
        <v>231</v>
      </c>
      <c r="E697" t="s">
        <v>34</v>
      </c>
      <c r="F697" t="s">
        <v>35</v>
      </c>
      <c r="G697" t="s">
        <v>36</v>
      </c>
      <c r="H697">
        <v>1</v>
      </c>
      <c r="I697" s="2">
        <v>14.46</v>
      </c>
      <c r="J697" s="2">
        <v>14.46</v>
      </c>
      <c r="K697" s="2">
        <f t="shared" si="31"/>
        <v>14.46</v>
      </c>
      <c r="L697" s="2">
        <f t="shared" si="32"/>
        <v>0</v>
      </c>
      <c r="M697" t="s">
        <v>20</v>
      </c>
      <c r="N697" t="s">
        <v>16</v>
      </c>
    </row>
    <row r="698" spans="1:14" x14ac:dyDescent="0.3">
      <c r="A698">
        <v>2024001696</v>
      </c>
      <c r="B698" s="1">
        <v>45462</v>
      </c>
      <c r="C698" s="11">
        <f t="shared" si="30"/>
        <v>2024</v>
      </c>
      <c r="D698" t="s">
        <v>75</v>
      </c>
      <c r="E698" t="s">
        <v>34</v>
      </c>
      <c r="F698" t="s">
        <v>35</v>
      </c>
      <c r="G698" t="s">
        <v>36</v>
      </c>
      <c r="H698">
        <v>2</v>
      </c>
      <c r="I698" s="2">
        <v>16.25</v>
      </c>
      <c r="J698" s="2">
        <v>32.5</v>
      </c>
      <c r="K698" s="2">
        <f t="shared" si="31"/>
        <v>32.5</v>
      </c>
      <c r="L698" s="2">
        <f t="shared" si="32"/>
        <v>0</v>
      </c>
      <c r="M698" t="s">
        <v>55</v>
      </c>
      <c r="N698" t="s">
        <v>32</v>
      </c>
    </row>
    <row r="699" spans="1:14" x14ac:dyDescent="0.3">
      <c r="A699">
        <v>2024001697</v>
      </c>
      <c r="B699" s="1">
        <v>45473</v>
      </c>
      <c r="C699" s="11">
        <f t="shared" si="30"/>
        <v>2024</v>
      </c>
      <c r="D699" t="s">
        <v>11</v>
      </c>
      <c r="E699" t="s">
        <v>12</v>
      </c>
      <c r="F699" t="s">
        <v>13</v>
      </c>
      <c r="G699" t="s">
        <v>14</v>
      </c>
      <c r="H699">
        <v>1</v>
      </c>
      <c r="I699" s="2">
        <v>376.66</v>
      </c>
      <c r="J699" s="2">
        <v>376.66</v>
      </c>
      <c r="K699" s="2">
        <f t="shared" si="31"/>
        <v>376.66</v>
      </c>
      <c r="L699" s="2">
        <f t="shared" si="32"/>
        <v>0</v>
      </c>
      <c r="M699" t="s">
        <v>48</v>
      </c>
      <c r="N699" t="s">
        <v>32</v>
      </c>
    </row>
    <row r="700" spans="1:14" x14ac:dyDescent="0.3">
      <c r="A700">
        <v>2024001698</v>
      </c>
      <c r="B700" s="1">
        <v>45557</v>
      </c>
      <c r="C700" s="11">
        <f t="shared" si="30"/>
        <v>2024</v>
      </c>
      <c r="D700" t="s">
        <v>316</v>
      </c>
      <c r="E700" t="s">
        <v>23</v>
      </c>
      <c r="F700" t="s">
        <v>24</v>
      </c>
      <c r="G700" t="s">
        <v>14</v>
      </c>
      <c r="H700">
        <v>1</v>
      </c>
      <c r="I700" s="2">
        <v>84.95</v>
      </c>
      <c r="J700" s="2">
        <v>84.95</v>
      </c>
      <c r="K700" s="2">
        <f t="shared" si="31"/>
        <v>84.95</v>
      </c>
      <c r="L700" s="2">
        <f t="shared" si="32"/>
        <v>0</v>
      </c>
      <c r="M700" t="s">
        <v>25</v>
      </c>
      <c r="N700" t="s">
        <v>16</v>
      </c>
    </row>
    <row r="701" spans="1:14" x14ac:dyDescent="0.3">
      <c r="A701">
        <v>2024001699</v>
      </c>
      <c r="B701" s="1">
        <v>45499</v>
      </c>
      <c r="C701" s="11">
        <f t="shared" si="30"/>
        <v>2024</v>
      </c>
      <c r="D701" t="s">
        <v>59</v>
      </c>
      <c r="E701" t="s">
        <v>67</v>
      </c>
      <c r="F701" t="s">
        <v>68</v>
      </c>
      <c r="G701" t="s">
        <v>36</v>
      </c>
      <c r="H701">
        <v>1</v>
      </c>
      <c r="I701" s="2">
        <v>426.22</v>
      </c>
      <c r="J701" s="2">
        <v>426.22</v>
      </c>
      <c r="K701" s="2">
        <f t="shared" si="31"/>
        <v>426.22</v>
      </c>
      <c r="L701" s="2">
        <f t="shared" si="32"/>
        <v>0</v>
      </c>
      <c r="M701" t="s">
        <v>55</v>
      </c>
      <c r="N701" t="s">
        <v>21</v>
      </c>
    </row>
    <row r="702" spans="1:14" x14ac:dyDescent="0.3">
      <c r="A702">
        <v>2024001700</v>
      </c>
      <c r="B702" s="1">
        <v>45574</v>
      </c>
      <c r="C702" s="11">
        <f t="shared" si="30"/>
        <v>2024</v>
      </c>
      <c r="D702" t="s">
        <v>52</v>
      </c>
      <c r="E702" t="s">
        <v>40</v>
      </c>
      <c r="F702" t="s">
        <v>41</v>
      </c>
      <c r="G702" t="s">
        <v>36</v>
      </c>
      <c r="H702">
        <v>1</v>
      </c>
      <c r="I702" s="2">
        <v>41.41</v>
      </c>
      <c r="J702" s="2">
        <v>41.41</v>
      </c>
      <c r="K702" s="2">
        <f t="shared" si="31"/>
        <v>41.41</v>
      </c>
      <c r="L702" s="2">
        <f t="shared" si="32"/>
        <v>0</v>
      </c>
      <c r="M702" t="s">
        <v>48</v>
      </c>
      <c r="N702" t="s">
        <v>32</v>
      </c>
    </row>
    <row r="703" spans="1:14" x14ac:dyDescent="0.3">
      <c r="A703">
        <v>2024001701</v>
      </c>
      <c r="B703" s="1">
        <v>45637</v>
      </c>
      <c r="C703" s="11">
        <f t="shared" si="30"/>
        <v>2024</v>
      </c>
      <c r="D703" t="s">
        <v>108</v>
      </c>
      <c r="E703" t="s">
        <v>46</v>
      </c>
      <c r="F703" t="s">
        <v>47</v>
      </c>
      <c r="G703" t="s">
        <v>36</v>
      </c>
      <c r="H703">
        <v>1</v>
      </c>
      <c r="I703" s="2">
        <v>97.62</v>
      </c>
      <c r="J703" s="2">
        <v>97.62</v>
      </c>
      <c r="K703" s="2">
        <f t="shared" si="31"/>
        <v>97.62</v>
      </c>
      <c r="L703" s="2">
        <f t="shared" si="32"/>
        <v>0</v>
      </c>
      <c r="M703" t="s">
        <v>55</v>
      </c>
      <c r="N703" t="s">
        <v>32</v>
      </c>
    </row>
    <row r="704" spans="1:14" x14ac:dyDescent="0.3">
      <c r="A704">
        <v>2024001702</v>
      </c>
      <c r="B704" s="1">
        <v>45567</v>
      </c>
      <c r="C704" s="11">
        <f t="shared" si="30"/>
        <v>2024</v>
      </c>
      <c r="D704" t="s">
        <v>11</v>
      </c>
      <c r="E704" t="s">
        <v>53</v>
      </c>
      <c r="F704" t="s">
        <v>54</v>
      </c>
      <c r="G704" t="s">
        <v>36</v>
      </c>
      <c r="H704">
        <v>2</v>
      </c>
      <c r="I704" s="2">
        <v>128.66</v>
      </c>
      <c r="J704" s="2">
        <v>257.32</v>
      </c>
      <c r="K704" s="2">
        <f t="shared" si="31"/>
        <v>257.32</v>
      </c>
      <c r="L704" s="2">
        <f t="shared" si="32"/>
        <v>0</v>
      </c>
      <c r="M704" t="s">
        <v>20</v>
      </c>
      <c r="N704" t="s">
        <v>16</v>
      </c>
    </row>
    <row r="705" spans="1:14" x14ac:dyDescent="0.3">
      <c r="A705">
        <v>2024001703</v>
      </c>
      <c r="B705" s="1">
        <v>45450</v>
      </c>
      <c r="C705" s="11">
        <f t="shared" si="30"/>
        <v>2024</v>
      </c>
      <c r="D705" t="s">
        <v>159</v>
      </c>
      <c r="E705" t="s">
        <v>40</v>
      </c>
      <c r="F705" t="s">
        <v>41</v>
      </c>
      <c r="G705" t="s">
        <v>36</v>
      </c>
      <c r="H705">
        <v>1</v>
      </c>
      <c r="I705" s="2">
        <v>40.04</v>
      </c>
      <c r="J705" s="2">
        <v>40.04</v>
      </c>
      <c r="K705" s="2">
        <f t="shared" si="31"/>
        <v>40.04</v>
      </c>
      <c r="L705" s="2">
        <f t="shared" si="32"/>
        <v>0</v>
      </c>
      <c r="M705" t="s">
        <v>25</v>
      </c>
      <c r="N705" t="s">
        <v>32</v>
      </c>
    </row>
    <row r="706" spans="1:14" x14ac:dyDescent="0.3">
      <c r="A706">
        <v>2024001704</v>
      </c>
      <c r="B706" s="1">
        <v>45631</v>
      </c>
      <c r="C706" s="11">
        <f t="shared" si="30"/>
        <v>2024</v>
      </c>
      <c r="D706" t="s">
        <v>192</v>
      </c>
      <c r="E706" t="s">
        <v>53</v>
      </c>
      <c r="F706" t="s">
        <v>54</v>
      </c>
      <c r="G706" t="s">
        <v>36</v>
      </c>
      <c r="H706">
        <v>2</v>
      </c>
      <c r="I706" s="2">
        <v>109.99</v>
      </c>
      <c r="J706" s="2">
        <v>219.98</v>
      </c>
      <c r="K706" s="2">
        <f t="shared" si="31"/>
        <v>219.98</v>
      </c>
      <c r="L706" s="2">
        <f t="shared" si="32"/>
        <v>0</v>
      </c>
      <c r="M706" t="s">
        <v>31</v>
      </c>
      <c r="N706" t="s">
        <v>32</v>
      </c>
    </row>
    <row r="707" spans="1:14" x14ac:dyDescent="0.3">
      <c r="A707">
        <v>2024001705</v>
      </c>
      <c r="B707" s="1">
        <v>45441</v>
      </c>
      <c r="C707" s="11">
        <f t="shared" ref="C707:C770" si="33">YEAR(B707)</f>
        <v>2024</v>
      </c>
      <c r="D707" t="s">
        <v>81</v>
      </c>
      <c r="E707" t="s">
        <v>12</v>
      </c>
      <c r="F707" t="s">
        <v>13</v>
      </c>
      <c r="G707" t="s">
        <v>14</v>
      </c>
      <c r="H707">
        <v>2</v>
      </c>
      <c r="I707" s="2">
        <v>368.53</v>
      </c>
      <c r="J707" s="2">
        <v>737.06</v>
      </c>
      <c r="K707" s="2">
        <f t="shared" ref="K707:K770" si="34">I707*H707</f>
        <v>737.06</v>
      </c>
      <c r="L707" s="2">
        <f t="shared" ref="L707:L770" si="35">J707-K707</f>
        <v>0</v>
      </c>
      <c r="M707" t="s">
        <v>38</v>
      </c>
      <c r="N707" t="s">
        <v>32</v>
      </c>
    </row>
    <row r="708" spans="1:14" x14ac:dyDescent="0.3">
      <c r="A708">
        <v>2024001706</v>
      </c>
      <c r="B708" s="1">
        <v>45508</v>
      </c>
      <c r="C708" s="11">
        <f t="shared" si="33"/>
        <v>2024</v>
      </c>
      <c r="D708" t="s">
        <v>317</v>
      </c>
      <c r="E708" t="s">
        <v>43</v>
      </c>
      <c r="F708" t="s">
        <v>44</v>
      </c>
      <c r="G708" t="s">
        <v>36</v>
      </c>
      <c r="H708">
        <v>3</v>
      </c>
      <c r="I708" s="2">
        <v>1278.25</v>
      </c>
      <c r="J708" s="2">
        <v>3834.75</v>
      </c>
      <c r="K708" s="2">
        <f t="shared" si="34"/>
        <v>3834.75</v>
      </c>
      <c r="L708" s="2">
        <f t="shared" si="35"/>
        <v>0</v>
      </c>
      <c r="M708" t="s">
        <v>15</v>
      </c>
      <c r="N708" t="s">
        <v>32</v>
      </c>
    </row>
    <row r="709" spans="1:14" x14ac:dyDescent="0.3">
      <c r="A709">
        <v>2024001707</v>
      </c>
      <c r="B709" s="1">
        <v>45656</v>
      </c>
      <c r="C709" s="11">
        <f t="shared" si="33"/>
        <v>2024</v>
      </c>
      <c r="D709" t="s">
        <v>171</v>
      </c>
      <c r="E709" t="s">
        <v>18</v>
      </c>
      <c r="F709" t="s">
        <v>19</v>
      </c>
      <c r="G709" t="s">
        <v>14</v>
      </c>
      <c r="H709">
        <v>2</v>
      </c>
      <c r="I709" s="2">
        <v>655.16</v>
      </c>
      <c r="J709" s="2">
        <v>1310.32</v>
      </c>
      <c r="K709" s="2">
        <f t="shared" si="34"/>
        <v>1310.32</v>
      </c>
      <c r="L709" s="2">
        <f t="shared" si="35"/>
        <v>0</v>
      </c>
      <c r="M709" t="s">
        <v>20</v>
      </c>
      <c r="N709" t="s">
        <v>21</v>
      </c>
    </row>
    <row r="710" spans="1:14" x14ac:dyDescent="0.3">
      <c r="A710">
        <v>2024001708</v>
      </c>
      <c r="B710" s="1">
        <v>45522</v>
      </c>
      <c r="C710" s="11">
        <f t="shared" si="33"/>
        <v>2024</v>
      </c>
      <c r="D710" t="s">
        <v>42</v>
      </c>
      <c r="E710" t="s">
        <v>67</v>
      </c>
      <c r="F710" t="s">
        <v>68</v>
      </c>
      <c r="G710" t="s">
        <v>36</v>
      </c>
      <c r="H710">
        <v>2</v>
      </c>
      <c r="I710" s="2">
        <v>398.33</v>
      </c>
      <c r="J710" s="2">
        <v>796.66</v>
      </c>
      <c r="K710" s="2">
        <f t="shared" si="34"/>
        <v>796.66</v>
      </c>
      <c r="L710" s="2">
        <f t="shared" si="35"/>
        <v>0</v>
      </c>
      <c r="M710" t="s">
        <v>25</v>
      </c>
      <c r="N710" t="s">
        <v>26</v>
      </c>
    </row>
    <row r="711" spans="1:14" x14ac:dyDescent="0.3">
      <c r="A711">
        <v>2024001709</v>
      </c>
      <c r="B711" s="1">
        <v>45574</v>
      </c>
      <c r="C711" s="11">
        <f t="shared" si="33"/>
        <v>2024</v>
      </c>
      <c r="D711" t="s">
        <v>11</v>
      </c>
      <c r="E711" t="s">
        <v>12</v>
      </c>
      <c r="F711" t="s">
        <v>13</v>
      </c>
      <c r="G711" t="s">
        <v>14</v>
      </c>
      <c r="H711">
        <v>2</v>
      </c>
      <c r="I711" s="2">
        <v>294.20999999999998</v>
      </c>
      <c r="J711" s="2">
        <v>588.41999999999996</v>
      </c>
      <c r="K711" s="2">
        <f t="shared" si="34"/>
        <v>588.41999999999996</v>
      </c>
      <c r="L711" s="2">
        <f t="shared" si="35"/>
        <v>0</v>
      </c>
      <c r="M711" t="s">
        <v>61</v>
      </c>
      <c r="N711" t="s">
        <v>26</v>
      </c>
    </row>
    <row r="712" spans="1:14" x14ac:dyDescent="0.3">
      <c r="A712">
        <v>2024001710</v>
      </c>
      <c r="B712" s="1">
        <v>45578</v>
      </c>
      <c r="C712" s="11">
        <f t="shared" si="33"/>
        <v>2024</v>
      </c>
      <c r="D712" t="s">
        <v>11</v>
      </c>
      <c r="E712" t="s">
        <v>34</v>
      </c>
      <c r="F712" t="s">
        <v>35</v>
      </c>
      <c r="G712" t="s">
        <v>36</v>
      </c>
      <c r="H712">
        <v>1</v>
      </c>
      <c r="I712" s="2">
        <v>15.88</v>
      </c>
      <c r="J712" s="2">
        <v>15.88</v>
      </c>
      <c r="K712" s="2">
        <f t="shared" si="34"/>
        <v>15.88</v>
      </c>
      <c r="L712" s="2">
        <f t="shared" si="35"/>
        <v>0</v>
      </c>
      <c r="M712" t="s">
        <v>38</v>
      </c>
      <c r="N712" t="s">
        <v>21</v>
      </c>
    </row>
    <row r="713" spans="1:14" x14ac:dyDescent="0.3">
      <c r="A713">
        <v>2024001711</v>
      </c>
      <c r="B713" s="1">
        <v>45424</v>
      </c>
      <c r="C713" s="11">
        <f t="shared" si="33"/>
        <v>2024</v>
      </c>
      <c r="D713" t="s">
        <v>108</v>
      </c>
      <c r="E713" t="s">
        <v>67</v>
      </c>
      <c r="F713" t="s">
        <v>68</v>
      </c>
      <c r="G713" t="s">
        <v>36</v>
      </c>
      <c r="H713">
        <v>3</v>
      </c>
      <c r="I713" s="2">
        <v>402.69</v>
      </c>
      <c r="J713" s="2">
        <v>1208.07</v>
      </c>
      <c r="K713" s="2">
        <f t="shared" si="34"/>
        <v>1208.07</v>
      </c>
      <c r="L713" s="2">
        <f t="shared" si="35"/>
        <v>0</v>
      </c>
      <c r="M713" t="s">
        <v>64</v>
      </c>
      <c r="N713" t="s">
        <v>16</v>
      </c>
    </row>
    <row r="714" spans="1:14" x14ac:dyDescent="0.3">
      <c r="A714">
        <v>2024001712</v>
      </c>
      <c r="B714" s="1">
        <v>45616</v>
      </c>
      <c r="C714" s="11">
        <f t="shared" si="33"/>
        <v>2024</v>
      </c>
      <c r="D714" t="s">
        <v>216</v>
      </c>
      <c r="E714" t="s">
        <v>28</v>
      </c>
      <c r="F714" t="s">
        <v>29</v>
      </c>
      <c r="G714" t="s">
        <v>30</v>
      </c>
      <c r="H714">
        <v>1</v>
      </c>
      <c r="I714" s="2">
        <v>23.58</v>
      </c>
      <c r="J714" s="2">
        <v>23.58</v>
      </c>
      <c r="K714" s="2">
        <f t="shared" si="34"/>
        <v>23.58</v>
      </c>
      <c r="L714" s="2">
        <f t="shared" si="35"/>
        <v>0</v>
      </c>
      <c r="M714" t="s">
        <v>15</v>
      </c>
      <c r="N714" t="s">
        <v>21</v>
      </c>
    </row>
    <row r="715" spans="1:14" x14ac:dyDescent="0.3">
      <c r="A715">
        <v>2024001713</v>
      </c>
      <c r="B715" s="1">
        <v>45345</v>
      </c>
      <c r="C715" s="11">
        <f t="shared" si="33"/>
        <v>2024</v>
      </c>
      <c r="D715" t="s">
        <v>45</v>
      </c>
      <c r="E715" t="s">
        <v>46</v>
      </c>
      <c r="F715" t="s">
        <v>47</v>
      </c>
      <c r="G715" t="s">
        <v>36</v>
      </c>
      <c r="H715">
        <v>1</v>
      </c>
      <c r="I715" s="2">
        <v>89.72</v>
      </c>
      <c r="J715" s="2">
        <v>89.72</v>
      </c>
      <c r="K715" s="2">
        <f t="shared" si="34"/>
        <v>89.72</v>
      </c>
      <c r="L715" s="2">
        <f t="shared" si="35"/>
        <v>0</v>
      </c>
      <c r="M715" t="s">
        <v>38</v>
      </c>
      <c r="N715" t="s">
        <v>16</v>
      </c>
    </row>
    <row r="716" spans="1:14" x14ac:dyDescent="0.3">
      <c r="A716">
        <v>2024001714</v>
      </c>
      <c r="B716" s="1">
        <v>45484</v>
      </c>
      <c r="C716" s="11">
        <f t="shared" si="33"/>
        <v>2024</v>
      </c>
      <c r="D716" t="s">
        <v>177</v>
      </c>
      <c r="E716" t="s">
        <v>18</v>
      </c>
      <c r="F716" t="s">
        <v>19</v>
      </c>
      <c r="G716" t="s">
        <v>14</v>
      </c>
      <c r="H716">
        <v>1</v>
      </c>
      <c r="I716" s="2">
        <v>650.29</v>
      </c>
      <c r="J716" s="2">
        <v>650.29</v>
      </c>
      <c r="K716" s="2">
        <f t="shared" si="34"/>
        <v>650.29</v>
      </c>
      <c r="L716" s="2">
        <f t="shared" si="35"/>
        <v>0</v>
      </c>
      <c r="M716" t="s">
        <v>64</v>
      </c>
      <c r="N716" t="s">
        <v>32</v>
      </c>
    </row>
    <row r="717" spans="1:14" x14ac:dyDescent="0.3">
      <c r="A717">
        <v>2024001715</v>
      </c>
      <c r="B717" s="1">
        <v>45320</v>
      </c>
      <c r="C717" s="11">
        <f t="shared" si="33"/>
        <v>2024</v>
      </c>
      <c r="D717" t="s">
        <v>318</v>
      </c>
      <c r="E717" t="s">
        <v>34</v>
      </c>
      <c r="F717" t="s">
        <v>35</v>
      </c>
      <c r="G717" t="s">
        <v>36</v>
      </c>
      <c r="H717">
        <v>1</v>
      </c>
      <c r="I717" s="2">
        <v>14.29</v>
      </c>
      <c r="J717" s="2">
        <v>14.29</v>
      </c>
      <c r="K717" s="2">
        <f t="shared" si="34"/>
        <v>14.29</v>
      </c>
      <c r="L717" s="2">
        <f t="shared" si="35"/>
        <v>0</v>
      </c>
      <c r="M717" t="s">
        <v>57</v>
      </c>
      <c r="N717" t="s">
        <v>26</v>
      </c>
    </row>
    <row r="718" spans="1:14" x14ac:dyDescent="0.3">
      <c r="A718">
        <v>2024001716</v>
      </c>
      <c r="B718" s="1">
        <v>45655</v>
      </c>
      <c r="C718" s="11">
        <f t="shared" si="33"/>
        <v>2024</v>
      </c>
      <c r="D718" t="s">
        <v>297</v>
      </c>
      <c r="E718" t="s">
        <v>12</v>
      </c>
      <c r="F718" t="s">
        <v>13</v>
      </c>
      <c r="G718" t="s">
        <v>14</v>
      </c>
      <c r="H718">
        <v>2</v>
      </c>
      <c r="I718" s="2">
        <v>359.31</v>
      </c>
      <c r="J718" s="2">
        <v>718.62</v>
      </c>
      <c r="K718" s="2">
        <f t="shared" si="34"/>
        <v>718.62</v>
      </c>
      <c r="L718" s="2">
        <f t="shared" si="35"/>
        <v>0</v>
      </c>
      <c r="M718" t="s">
        <v>64</v>
      </c>
      <c r="N718" t="s">
        <v>21</v>
      </c>
    </row>
    <row r="719" spans="1:14" x14ac:dyDescent="0.3">
      <c r="A719">
        <v>2024001717</v>
      </c>
      <c r="B719" s="1">
        <v>45393</v>
      </c>
      <c r="C719" s="11">
        <f t="shared" si="33"/>
        <v>2024</v>
      </c>
      <c r="D719" t="s">
        <v>203</v>
      </c>
      <c r="E719" t="s">
        <v>28</v>
      </c>
      <c r="F719" t="s">
        <v>29</v>
      </c>
      <c r="G719" t="s">
        <v>30</v>
      </c>
      <c r="H719">
        <v>1</v>
      </c>
      <c r="I719" s="2">
        <v>25.45</v>
      </c>
      <c r="J719" s="2">
        <v>25.45</v>
      </c>
      <c r="K719" s="2">
        <f t="shared" si="34"/>
        <v>25.45</v>
      </c>
      <c r="L719" s="2">
        <f t="shared" si="35"/>
        <v>0</v>
      </c>
      <c r="M719" t="s">
        <v>38</v>
      </c>
      <c r="N719" t="s">
        <v>21</v>
      </c>
    </row>
    <row r="720" spans="1:14" x14ac:dyDescent="0.3">
      <c r="A720">
        <v>2024001718</v>
      </c>
      <c r="B720" s="1">
        <v>45656</v>
      </c>
      <c r="C720" s="11">
        <f t="shared" si="33"/>
        <v>2024</v>
      </c>
      <c r="D720" t="s">
        <v>279</v>
      </c>
      <c r="E720" t="s">
        <v>34</v>
      </c>
      <c r="F720" t="s">
        <v>35</v>
      </c>
      <c r="G720" t="s">
        <v>36</v>
      </c>
      <c r="H720">
        <v>1</v>
      </c>
      <c r="I720" s="2">
        <v>15.93</v>
      </c>
      <c r="J720" s="2">
        <v>15.93</v>
      </c>
      <c r="K720" s="2">
        <f t="shared" si="34"/>
        <v>15.93</v>
      </c>
      <c r="L720" s="2">
        <f t="shared" si="35"/>
        <v>0</v>
      </c>
      <c r="M720" t="s">
        <v>57</v>
      </c>
      <c r="N720" t="s">
        <v>16</v>
      </c>
    </row>
    <row r="721" spans="1:14" x14ac:dyDescent="0.3">
      <c r="A721">
        <v>2024001719</v>
      </c>
      <c r="B721" s="1">
        <v>45590</v>
      </c>
      <c r="C721" s="11">
        <f t="shared" si="33"/>
        <v>2024</v>
      </c>
      <c r="D721" t="s">
        <v>207</v>
      </c>
      <c r="E721" t="s">
        <v>28</v>
      </c>
      <c r="F721" t="s">
        <v>29</v>
      </c>
      <c r="G721" t="s">
        <v>30</v>
      </c>
      <c r="H721">
        <v>1</v>
      </c>
      <c r="I721" s="2">
        <v>28.36</v>
      </c>
      <c r="J721" s="2">
        <v>28.36</v>
      </c>
      <c r="K721" s="2">
        <f t="shared" si="34"/>
        <v>28.36</v>
      </c>
      <c r="L721" s="2">
        <f t="shared" si="35"/>
        <v>0</v>
      </c>
      <c r="M721" t="s">
        <v>57</v>
      </c>
      <c r="N721" t="s">
        <v>32</v>
      </c>
    </row>
    <row r="722" spans="1:14" x14ac:dyDescent="0.3">
      <c r="A722">
        <v>2024001720</v>
      </c>
      <c r="B722" s="1">
        <v>45330</v>
      </c>
      <c r="C722" s="11">
        <f t="shared" si="33"/>
        <v>2024</v>
      </c>
      <c r="D722" t="s">
        <v>11</v>
      </c>
      <c r="E722" t="s">
        <v>34</v>
      </c>
      <c r="F722" t="s">
        <v>35</v>
      </c>
      <c r="G722" t="s">
        <v>36</v>
      </c>
      <c r="H722">
        <v>2</v>
      </c>
      <c r="I722" s="2">
        <v>13.84</v>
      </c>
      <c r="J722" s="2">
        <v>27.68</v>
      </c>
      <c r="K722" s="2">
        <f t="shared" si="34"/>
        <v>27.68</v>
      </c>
      <c r="L722" s="2">
        <f t="shared" si="35"/>
        <v>0</v>
      </c>
      <c r="M722" t="s">
        <v>31</v>
      </c>
      <c r="N722" t="s">
        <v>16</v>
      </c>
    </row>
    <row r="723" spans="1:14" x14ac:dyDescent="0.3">
      <c r="A723">
        <v>2024001721</v>
      </c>
      <c r="B723" s="1">
        <v>45302</v>
      </c>
      <c r="C723" s="11">
        <f t="shared" si="33"/>
        <v>2024</v>
      </c>
      <c r="D723" t="s">
        <v>197</v>
      </c>
      <c r="E723" t="s">
        <v>40</v>
      </c>
      <c r="F723" t="s">
        <v>41</v>
      </c>
      <c r="G723" t="s">
        <v>36</v>
      </c>
      <c r="H723">
        <v>1</v>
      </c>
      <c r="I723" s="2">
        <v>45.58</v>
      </c>
      <c r="J723" s="2">
        <v>45.58</v>
      </c>
      <c r="K723" s="2">
        <f t="shared" si="34"/>
        <v>45.58</v>
      </c>
      <c r="L723" s="2">
        <f t="shared" si="35"/>
        <v>0</v>
      </c>
      <c r="M723" t="s">
        <v>64</v>
      </c>
      <c r="N723" t="s">
        <v>16</v>
      </c>
    </row>
    <row r="724" spans="1:14" x14ac:dyDescent="0.3">
      <c r="A724">
        <v>2024001722</v>
      </c>
      <c r="B724" s="1">
        <v>45521</v>
      </c>
      <c r="C724" s="11">
        <f t="shared" si="33"/>
        <v>2024</v>
      </c>
      <c r="D724" t="s">
        <v>233</v>
      </c>
      <c r="E724" t="s">
        <v>43</v>
      </c>
      <c r="F724" t="s">
        <v>44</v>
      </c>
      <c r="G724" t="s">
        <v>36</v>
      </c>
      <c r="H724">
        <v>5</v>
      </c>
      <c r="I724" s="2">
        <v>1133.78</v>
      </c>
      <c r="J724" s="2">
        <v>5668.9</v>
      </c>
      <c r="K724" s="2">
        <f t="shared" si="34"/>
        <v>5668.9</v>
      </c>
      <c r="L724" s="2">
        <f t="shared" si="35"/>
        <v>0</v>
      </c>
      <c r="M724" t="s">
        <v>20</v>
      </c>
      <c r="N724" t="s">
        <v>21</v>
      </c>
    </row>
    <row r="725" spans="1:14" x14ac:dyDescent="0.3">
      <c r="A725">
        <v>2024001723</v>
      </c>
      <c r="B725" s="1">
        <v>45558</v>
      </c>
      <c r="C725" s="11">
        <f t="shared" si="33"/>
        <v>2024</v>
      </c>
      <c r="D725" t="s">
        <v>126</v>
      </c>
      <c r="E725" t="s">
        <v>67</v>
      </c>
      <c r="F725" t="s">
        <v>68</v>
      </c>
      <c r="G725" t="s">
        <v>36</v>
      </c>
      <c r="H725">
        <v>2</v>
      </c>
      <c r="I725" s="2">
        <v>402.71</v>
      </c>
      <c r="J725" s="2">
        <v>805.42</v>
      </c>
      <c r="K725" s="2">
        <f t="shared" si="34"/>
        <v>805.42</v>
      </c>
      <c r="L725" s="2">
        <f t="shared" si="35"/>
        <v>0</v>
      </c>
      <c r="M725" t="s">
        <v>57</v>
      </c>
      <c r="N725" t="s">
        <v>26</v>
      </c>
    </row>
    <row r="726" spans="1:14" x14ac:dyDescent="0.3">
      <c r="A726">
        <v>2024001724</v>
      </c>
      <c r="B726" s="1">
        <v>45337</v>
      </c>
      <c r="C726" s="11">
        <f t="shared" si="33"/>
        <v>2024</v>
      </c>
      <c r="D726" t="s">
        <v>17</v>
      </c>
      <c r="E726" t="s">
        <v>28</v>
      </c>
      <c r="F726" t="s">
        <v>29</v>
      </c>
      <c r="G726" t="s">
        <v>30</v>
      </c>
      <c r="H726">
        <v>5</v>
      </c>
      <c r="I726" s="2">
        <v>24.36</v>
      </c>
      <c r="J726" s="2">
        <v>121.8</v>
      </c>
      <c r="K726" s="2">
        <f t="shared" si="34"/>
        <v>121.8</v>
      </c>
      <c r="L726" s="2">
        <f t="shared" si="35"/>
        <v>0</v>
      </c>
      <c r="M726" t="s">
        <v>38</v>
      </c>
      <c r="N726" t="s">
        <v>16</v>
      </c>
    </row>
    <row r="727" spans="1:14" x14ac:dyDescent="0.3">
      <c r="A727">
        <v>2024001725</v>
      </c>
      <c r="B727" s="1">
        <v>45551</v>
      </c>
      <c r="C727" s="11">
        <f t="shared" si="33"/>
        <v>2024</v>
      </c>
      <c r="D727" t="s">
        <v>11</v>
      </c>
      <c r="E727" t="s">
        <v>43</v>
      </c>
      <c r="F727" t="s">
        <v>44</v>
      </c>
      <c r="G727" t="s">
        <v>36</v>
      </c>
      <c r="H727">
        <v>2</v>
      </c>
      <c r="I727" s="2">
        <v>1252.26</v>
      </c>
      <c r="J727" s="2">
        <v>2504.52</v>
      </c>
      <c r="K727" s="2">
        <f t="shared" si="34"/>
        <v>2504.52</v>
      </c>
      <c r="L727" s="2">
        <f t="shared" si="35"/>
        <v>0</v>
      </c>
      <c r="M727" t="s">
        <v>31</v>
      </c>
      <c r="N727" t="s">
        <v>21</v>
      </c>
    </row>
    <row r="728" spans="1:14" x14ac:dyDescent="0.3">
      <c r="A728">
        <v>2024001726</v>
      </c>
      <c r="B728" s="1">
        <v>45639</v>
      </c>
      <c r="C728" s="11">
        <f t="shared" si="33"/>
        <v>2024</v>
      </c>
      <c r="D728" t="s">
        <v>285</v>
      </c>
      <c r="E728" t="s">
        <v>53</v>
      </c>
      <c r="F728" t="s">
        <v>54</v>
      </c>
      <c r="G728" t="s">
        <v>36</v>
      </c>
      <c r="H728">
        <v>1</v>
      </c>
      <c r="I728" s="2">
        <v>109.04</v>
      </c>
      <c r="J728" s="2">
        <v>109.04</v>
      </c>
      <c r="K728" s="2">
        <f t="shared" si="34"/>
        <v>109.04</v>
      </c>
      <c r="L728" s="2">
        <f t="shared" si="35"/>
        <v>0</v>
      </c>
      <c r="M728" t="s">
        <v>48</v>
      </c>
      <c r="N728" t="s">
        <v>16</v>
      </c>
    </row>
    <row r="729" spans="1:14" x14ac:dyDescent="0.3">
      <c r="A729">
        <v>2024001727</v>
      </c>
      <c r="B729" s="1">
        <v>45320</v>
      </c>
      <c r="C729" s="11">
        <f t="shared" si="33"/>
        <v>2024</v>
      </c>
      <c r="D729" t="s">
        <v>217</v>
      </c>
      <c r="E729" t="s">
        <v>34</v>
      </c>
      <c r="F729" t="s">
        <v>35</v>
      </c>
      <c r="G729" t="s">
        <v>36</v>
      </c>
      <c r="H729">
        <v>2</v>
      </c>
      <c r="I729" s="2">
        <v>15.71</v>
      </c>
      <c r="J729" s="2">
        <v>31.42</v>
      </c>
      <c r="K729" s="2">
        <f t="shared" si="34"/>
        <v>31.42</v>
      </c>
      <c r="L729" s="2">
        <f t="shared" si="35"/>
        <v>0</v>
      </c>
      <c r="M729" t="s">
        <v>61</v>
      </c>
      <c r="N729" t="s">
        <v>21</v>
      </c>
    </row>
    <row r="730" spans="1:14" x14ac:dyDescent="0.3">
      <c r="A730">
        <v>2024001728</v>
      </c>
      <c r="B730" s="1">
        <v>45499</v>
      </c>
      <c r="C730" s="11">
        <f t="shared" si="33"/>
        <v>2024</v>
      </c>
      <c r="D730" t="s">
        <v>11</v>
      </c>
      <c r="E730" t="s">
        <v>12</v>
      </c>
      <c r="F730" t="s">
        <v>13</v>
      </c>
      <c r="G730" t="s">
        <v>14</v>
      </c>
      <c r="H730">
        <v>1</v>
      </c>
      <c r="I730" s="2">
        <v>318.61</v>
      </c>
      <c r="J730" s="2">
        <v>318.61</v>
      </c>
      <c r="K730" s="2">
        <f t="shared" si="34"/>
        <v>318.61</v>
      </c>
      <c r="L730" s="2">
        <f t="shared" si="35"/>
        <v>0</v>
      </c>
      <c r="M730" t="s">
        <v>25</v>
      </c>
      <c r="N730" t="s">
        <v>32</v>
      </c>
    </row>
    <row r="731" spans="1:14" x14ac:dyDescent="0.3">
      <c r="A731">
        <v>2024001729</v>
      </c>
      <c r="B731" s="1">
        <v>45537</v>
      </c>
      <c r="C731" s="11">
        <f t="shared" si="33"/>
        <v>2024</v>
      </c>
      <c r="D731" t="s">
        <v>319</v>
      </c>
      <c r="E731" t="s">
        <v>46</v>
      </c>
      <c r="F731" t="s">
        <v>47</v>
      </c>
      <c r="G731" t="s">
        <v>36</v>
      </c>
      <c r="H731">
        <v>1</v>
      </c>
      <c r="I731" s="2">
        <v>83.9</v>
      </c>
      <c r="J731" s="2">
        <v>83.9</v>
      </c>
      <c r="K731" s="2">
        <f t="shared" si="34"/>
        <v>83.9</v>
      </c>
      <c r="L731" s="2">
        <f t="shared" si="35"/>
        <v>0</v>
      </c>
      <c r="M731" t="s">
        <v>15</v>
      </c>
      <c r="N731" t="s">
        <v>26</v>
      </c>
    </row>
    <row r="732" spans="1:14" x14ac:dyDescent="0.3">
      <c r="A732">
        <v>2024001730</v>
      </c>
      <c r="B732" s="1">
        <v>45298</v>
      </c>
      <c r="C732" s="11">
        <f t="shared" si="33"/>
        <v>2024</v>
      </c>
      <c r="D732" t="s">
        <v>301</v>
      </c>
      <c r="E732" t="s">
        <v>43</v>
      </c>
      <c r="F732" t="s">
        <v>44</v>
      </c>
      <c r="G732" t="s">
        <v>36</v>
      </c>
      <c r="H732">
        <v>4</v>
      </c>
      <c r="I732" s="2">
        <v>1195.3499999999999</v>
      </c>
      <c r="J732" s="2">
        <v>4781.3999999999996</v>
      </c>
      <c r="K732" s="2">
        <f t="shared" si="34"/>
        <v>4781.3999999999996</v>
      </c>
      <c r="L732" s="2">
        <f t="shared" si="35"/>
        <v>0</v>
      </c>
      <c r="M732" t="s">
        <v>15</v>
      </c>
      <c r="N732" t="s">
        <v>32</v>
      </c>
    </row>
    <row r="733" spans="1:14" x14ac:dyDescent="0.3">
      <c r="A733">
        <v>2024001731</v>
      </c>
      <c r="B733" s="1">
        <v>45597</v>
      </c>
      <c r="C733" s="11">
        <f t="shared" si="33"/>
        <v>2024</v>
      </c>
      <c r="D733" t="s">
        <v>311</v>
      </c>
      <c r="E733" t="s">
        <v>12</v>
      </c>
      <c r="F733" t="s">
        <v>13</v>
      </c>
      <c r="G733" t="s">
        <v>14</v>
      </c>
      <c r="H733">
        <v>1</v>
      </c>
      <c r="I733" s="2">
        <v>329.08</v>
      </c>
      <c r="J733" s="2">
        <v>329.08</v>
      </c>
      <c r="K733" s="2">
        <f t="shared" si="34"/>
        <v>329.08</v>
      </c>
      <c r="L733" s="2">
        <f t="shared" si="35"/>
        <v>0</v>
      </c>
      <c r="M733" t="s">
        <v>25</v>
      </c>
      <c r="N733" t="s">
        <v>32</v>
      </c>
    </row>
    <row r="734" spans="1:14" x14ac:dyDescent="0.3">
      <c r="A734">
        <v>2024001732</v>
      </c>
      <c r="B734" s="1">
        <v>45295</v>
      </c>
      <c r="C734" s="11">
        <f t="shared" si="33"/>
        <v>2024</v>
      </c>
      <c r="D734" t="s">
        <v>199</v>
      </c>
      <c r="E734" t="s">
        <v>67</v>
      </c>
      <c r="F734" t="s">
        <v>68</v>
      </c>
      <c r="G734" t="s">
        <v>36</v>
      </c>
      <c r="H734">
        <v>1</v>
      </c>
      <c r="I734" s="2">
        <v>443.3</v>
      </c>
      <c r="J734" s="2">
        <v>443.3</v>
      </c>
      <c r="K734" s="2">
        <f t="shared" si="34"/>
        <v>443.3</v>
      </c>
      <c r="L734" s="2">
        <f t="shared" si="35"/>
        <v>0</v>
      </c>
      <c r="M734" t="s">
        <v>48</v>
      </c>
      <c r="N734" t="s">
        <v>26</v>
      </c>
    </row>
    <row r="735" spans="1:14" x14ac:dyDescent="0.3">
      <c r="A735">
        <v>2024001733</v>
      </c>
      <c r="B735" s="1">
        <v>45582</v>
      </c>
      <c r="C735" s="11">
        <f t="shared" si="33"/>
        <v>2024</v>
      </c>
      <c r="D735" t="s">
        <v>221</v>
      </c>
      <c r="E735" t="s">
        <v>23</v>
      </c>
      <c r="F735" t="s">
        <v>24</v>
      </c>
      <c r="G735" t="s">
        <v>14</v>
      </c>
      <c r="H735">
        <v>3</v>
      </c>
      <c r="I735" s="2">
        <v>84.76</v>
      </c>
      <c r="J735" s="2">
        <v>254.28</v>
      </c>
      <c r="K735" s="2">
        <f t="shared" si="34"/>
        <v>254.28000000000003</v>
      </c>
      <c r="L735" s="2">
        <f t="shared" si="35"/>
        <v>0</v>
      </c>
      <c r="M735" t="s">
        <v>55</v>
      </c>
      <c r="N735" t="s">
        <v>32</v>
      </c>
    </row>
    <row r="736" spans="1:14" x14ac:dyDescent="0.3">
      <c r="A736">
        <v>2024001734</v>
      </c>
      <c r="B736" s="1">
        <v>45414</v>
      </c>
      <c r="C736" s="11">
        <f t="shared" si="33"/>
        <v>2024</v>
      </c>
      <c r="D736" t="s">
        <v>304</v>
      </c>
      <c r="E736" t="s">
        <v>28</v>
      </c>
      <c r="F736" t="s">
        <v>29</v>
      </c>
      <c r="G736" t="s">
        <v>30</v>
      </c>
      <c r="H736">
        <v>1</v>
      </c>
      <c r="I736" s="2">
        <v>24.04</v>
      </c>
      <c r="J736" s="2">
        <v>24.04</v>
      </c>
      <c r="K736" s="2">
        <f t="shared" si="34"/>
        <v>24.04</v>
      </c>
      <c r="L736" s="2">
        <f t="shared" si="35"/>
        <v>0</v>
      </c>
      <c r="M736" t="s">
        <v>38</v>
      </c>
      <c r="N736" t="s">
        <v>26</v>
      </c>
    </row>
    <row r="737" spans="1:14" x14ac:dyDescent="0.3">
      <c r="A737">
        <v>2024001735</v>
      </c>
      <c r="B737" s="1">
        <v>45308</v>
      </c>
      <c r="C737" s="11">
        <f t="shared" si="33"/>
        <v>2024</v>
      </c>
      <c r="D737" t="s">
        <v>158</v>
      </c>
      <c r="E737" t="s">
        <v>46</v>
      </c>
      <c r="F737" t="s">
        <v>47</v>
      </c>
      <c r="G737" t="s">
        <v>36</v>
      </c>
      <c r="H737">
        <v>1</v>
      </c>
      <c r="I737" s="2">
        <v>88.02</v>
      </c>
      <c r="J737" s="2">
        <v>88.02</v>
      </c>
      <c r="K737" s="2">
        <f t="shared" si="34"/>
        <v>88.02</v>
      </c>
      <c r="L737" s="2">
        <f t="shared" si="35"/>
        <v>0</v>
      </c>
      <c r="M737" t="s">
        <v>48</v>
      </c>
      <c r="N737" t="s">
        <v>32</v>
      </c>
    </row>
    <row r="738" spans="1:14" x14ac:dyDescent="0.3">
      <c r="A738">
        <v>2024001736</v>
      </c>
      <c r="B738" s="1">
        <v>45321</v>
      </c>
      <c r="C738" s="11">
        <f t="shared" si="33"/>
        <v>2024</v>
      </c>
      <c r="D738" t="s">
        <v>152</v>
      </c>
      <c r="E738" t="s">
        <v>67</v>
      </c>
      <c r="F738" t="s">
        <v>68</v>
      </c>
      <c r="G738" t="s">
        <v>36</v>
      </c>
      <c r="H738">
        <v>1</v>
      </c>
      <c r="I738" s="2">
        <v>421.9</v>
      </c>
      <c r="J738" s="2">
        <v>421.9</v>
      </c>
      <c r="K738" s="2">
        <f t="shared" si="34"/>
        <v>421.9</v>
      </c>
      <c r="L738" s="2">
        <f t="shared" si="35"/>
        <v>0</v>
      </c>
      <c r="M738" t="s">
        <v>55</v>
      </c>
      <c r="N738" t="s">
        <v>16</v>
      </c>
    </row>
    <row r="739" spans="1:14" x14ac:dyDescent="0.3">
      <c r="A739">
        <v>2024001737</v>
      </c>
      <c r="B739" s="1">
        <v>45472</v>
      </c>
      <c r="C739" s="11">
        <f t="shared" si="33"/>
        <v>2024</v>
      </c>
      <c r="D739" t="s">
        <v>11</v>
      </c>
      <c r="E739" t="s">
        <v>53</v>
      </c>
      <c r="F739" t="s">
        <v>54</v>
      </c>
      <c r="G739" t="s">
        <v>36</v>
      </c>
      <c r="H739">
        <v>2</v>
      </c>
      <c r="I739" s="2">
        <v>122.6</v>
      </c>
      <c r="J739" s="2">
        <v>245.2</v>
      </c>
      <c r="K739" s="2">
        <f t="shared" si="34"/>
        <v>245.2</v>
      </c>
      <c r="L739" s="2">
        <f t="shared" si="35"/>
        <v>0</v>
      </c>
      <c r="M739" t="s">
        <v>31</v>
      </c>
      <c r="N739" t="s">
        <v>16</v>
      </c>
    </row>
    <row r="740" spans="1:14" x14ac:dyDescent="0.3">
      <c r="A740">
        <v>2024001738</v>
      </c>
      <c r="B740" s="1">
        <v>45378</v>
      </c>
      <c r="C740" s="11">
        <f t="shared" si="33"/>
        <v>2024</v>
      </c>
      <c r="D740" t="s">
        <v>185</v>
      </c>
      <c r="E740" t="s">
        <v>67</v>
      </c>
      <c r="F740" t="s">
        <v>68</v>
      </c>
      <c r="G740" t="s">
        <v>36</v>
      </c>
      <c r="H740">
        <v>2</v>
      </c>
      <c r="I740" s="2">
        <v>397.97</v>
      </c>
      <c r="J740" s="2">
        <v>795.94</v>
      </c>
      <c r="K740" s="2">
        <f t="shared" si="34"/>
        <v>795.94</v>
      </c>
      <c r="L740" s="2">
        <f t="shared" si="35"/>
        <v>0</v>
      </c>
      <c r="M740" t="s">
        <v>25</v>
      </c>
      <c r="N740" t="s">
        <v>16</v>
      </c>
    </row>
    <row r="741" spans="1:14" x14ac:dyDescent="0.3">
      <c r="A741">
        <v>2024001739</v>
      </c>
      <c r="B741" s="1">
        <v>45386</v>
      </c>
      <c r="C741" s="11">
        <f t="shared" si="33"/>
        <v>2024</v>
      </c>
      <c r="D741" t="s">
        <v>73</v>
      </c>
      <c r="E741" t="s">
        <v>18</v>
      </c>
      <c r="F741" t="s">
        <v>19</v>
      </c>
      <c r="G741" t="s">
        <v>14</v>
      </c>
      <c r="H741">
        <v>1</v>
      </c>
      <c r="I741" s="2">
        <v>585.22</v>
      </c>
      <c r="J741" s="2">
        <v>585.22</v>
      </c>
      <c r="K741" s="2">
        <f t="shared" si="34"/>
        <v>585.22</v>
      </c>
      <c r="L741" s="2">
        <f t="shared" si="35"/>
        <v>0</v>
      </c>
      <c r="M741" t="s">
        <v>31</v>
      </c>
      <c r="N741" t="s">
        <v>26</v>
      </c>
    </row>
    <row r="742" spans="1:14" x14ac:dyDescent="0.3">
      <c r="A742">
        <v>2024001740</v>
      </c>
      <c r="B742" s="1">
        <v>45520</v>
      </c>
      <c r="C742" s="11">
        <f t="shared" si="33"/>
        <v>2024</v>
      </c>
      <c r="D742" t="s">
        <v>106</v>
      </c>
      <c r="E742" t="s">
        <v>67</v>
      </c>
      <c r="F742" t="s">
        <v>68</v>
      </c>
      <c r="G742" t="s">
        <v>36</v>
      </c>
      <c r="H742">
        <v>2</v>
      </c>
      <c r="I742" s="2">
        <v>416.82</v>
      </c>
      <c r="J742" s="2">
        <v>833.64</v>
      </c>
      <c r="K742" s="2">
        <f t="shared" si="34"/>
        <v>833.64</v>
      </c>
      <c r="L742" s="2">
        <f t="shared" si="35"/>
        <v>0</v>
      </c>
      <c r="M742" t="s">
        <v>15</v>
      </c>
      <c r="N742" t="s">
        <v>26</v>
      </c>
    </row>
    <row r="743" spans="1:14" x14ac:dyDescent="0.3">
      <c r="A743">
        <v>2024001741</v>
      </c>
      <c r="B743" s="1">
        <v>45452</v>
      </c>
      <c r="C743" s="11">
        <f t="shared" si="33"/>
        <v>2024</v>
      </c>
      <c r="D743" t="s">
        <v>121</v>
      </c>
      <c r="E743" t="s">
        <v>18</v>
      </c>
      <c r="F743" t="s">
        <v>19</v>
      </c>
      <c r="G743" t="s">
        <v>14</v>
      </c>
      <c r="H743">
        <v>1</v>
      </c>
      <c r="I743" s="2">
        <v>589.33000000000004</v>
      </c>
      <c r="J743" s="2">
        <v>589.33000000000004</v>
      </c>
      <c r="K743" s="2">
        <f t="shared" si="34"/>
        <v>589.33000000000004</v>
      </c>
      <c r="L743" s="2">
        <f t="shared" si="35"/>
        <v>0</v>
      </c>
      <c r="M743" t="s">
        <v>38</v>
      </c>
      <c r="N743" t="s">
        <v>21</v>
      </c>
    </row>
    <row r="744" spans="1:14" x14ac:dyDescent="0.3">
      <c r="A744">
        <v>2024001742</v>
      </c>
      <c r="B744" s="1">
        <v>45463</v>
      </c>
      <c r="C744" s="11">
        <f t="shared" si="33"/>
        <v>2024</v>
      </c>
      <c r="D744" t="s">
        <v>179</v>
      </c>
      <c r="E744" t="s">
        <v>34</v>
      </c>
      <c r="F744" t="s">
        <v>35</v>
      </c>
      <c r="G744" t="s">
        <v>36</v>
      </c>
      <c r="H744">
        <v>1</v>
      </c>
      <c r="I744" s="2">
        <v>16.21</v>
      </c>
      <c r="J744" s="2">
        <v>16.21</v>
      </c>
      <c r="K744" s="2">
        <f t="shared" si="34"/>
        <v>16.21</v>
      </c>
      <c r="L744" s="2">
        <f t="shared" si="35"/>
        <v>0</v>
      </c>
      <c r="M744" t="s">
        <v>31</v>
      </c>
      <c r="N744" t="s">
        <v>26</v>
      </c>
    </row>
    <row r="745" spans="1:14" x14ac:dyDescent="0.3">
      <c r="A745">
        <v>2024001743</v>
      </c>
      <c r="B745" s="1">
        <v>45655</v>
      </c>
      <c r="C745" s="11">
        <f t="shared" si="33"/>
        <v>2024</v>
      </c>
      <c r="D745" t="s">
        <v>77</v>
      </c>
      <c r="E745" t="s">
        <v>46</v>
      </c>
      <c r="F745" t="s">
        <v>47</v>
      </c>
      <c r="G745" t="s">
        <v>36</v>
      </c>
      <c r="H745">
        <v>1</v>
      </c>
      <c r="I745" s="2">
        <v>88.83</v>
      </c>
      <c r="J745" s="2">
        <v>88.83</v>
      </c>
      <c r="K745" s="2">
        <f t="shared" si="34"/>
        <v>88.83</v>
      </c>
      <c r="L745" s="2">
        <f t="shared" si="35"/>
        <v>0</v>
      </c>
      <c r="M745" t="s">
        <v>55</v>
      </c>
      <c r="N745" t="s">
        <v>32</v>
      </c>
    </row>
    <row r="746" spans="1:14" x14ac:dyDescent="0.3">
      <c r="A746">
        <v>2024001744</v>
      </c>
      <c r="B746" s="1">
        <v>45389</v>
      </c>
      <c r="C746" s="11">
        <f t="shared" si="33"/>
        <v>2024</v>
      </c>
      <c r="D746" t="s">
        <v>190</v>
      </c>
      <c r="E746" t="s">
        <v>23</v>
      </c>
      <c r="F746" t="s">
        <v>24</v>
      </c>
      <c r="G746" t="s">
        <v>14</v>
      </c>
      <c r="H746">
        <v>2</v>
      </c>
      <c r="I746" s="2">
        <v>81.78</v>
      </c>
      <c r="J746" s="2">
        <v>163.56</v>
      </c>
      <c r="K746" s="2">
        <f t="shared" si="34"/>
        <v>163.56</v>
      </c>
      <c r="L746" s="2">
        <f t="shared" si="35"/>
        <v>0</v>
      </c>
      <c r="M746" t="s">
        <v>48</v>
      </c>
      <c r="N746" t="s">
        <v>21</v>
      </c>
    </row>
    <row r="747" spans="1:14" x14ac:dyDescent="0.3">
      <c r="A747">
        <v>2024001745</v>
      </c>
      <c r="B747" s="1">
        <v>45476</v>
      </c>
      <c r="C747" s="11">
        <f t="shared" si="33"/>
        <v>2024</v>
      </c>
      <c r="D747" t="s">
        <v>11</v>
      </c>
      <c r="E747" t="s">
        <v>18</v>
      </c>
      <c r="F747" t="s">
        <v>19</v>
      </c>
      <c r="G747" t="s">
        <v>14</v>
      </c>
      <c r="H747">
        <v>1</v>
      </c>
      <c r="I747" s="2">
        <v>633.04</v>
      </c>
      <c r="J747" s="2">
        <v>633.04</v>
      </c>
      <c r="K747" s="2">
        <f t="shared" si="34"/>
        <v>633.04</v>
      </c>
      <c r="L747" s="2">
        <f t="shared" si="35"/>
        <v>0</v>
      </c>
      <c r="M747" t="s">
        <v>15</v>
      </c>
      <c r="N747" t="s">
        <v>32</v>
      </c>
    </row>
    <row r="748" spans="1:14" x14ac:dyDescent="0.3">
      <c r="A748">
        <v>2024001746</v>
      </c>
      <c r="B748" s="1">
        <v>45515</v>
      </c>
      <c r="C748" s="11">
        <f t="shared" si="33"/>
        <v>2024</v>
      </c>
      <c r="D748" t="s">
        <v>233</v>
      </c>
      <c r="E748" t="s">
        <v>34</v>
      </c>
      <c r="F748" t="s">
        <v>35</v>
      </c>
      <c r="G748" t="s">
        <v>36</v>
      </c>
      <c r="H748">
        <v>2</v>
      </c>
      <c r="I748" s="2">
        <v>14.03</v>
      </c>
      <c r="J748" s="2">
        <v>28.06</v>
      </c>
      <c r="K748" s="2">
        <f t="shared" si="34"/>
        <v>28.06</v>
      </c>
      <c r="L748" s="2">
        <f t="shared" si="35"/>
        <v>0</v>
      </c>
      <c r="M748" t="s">
        <v>25</v>
      </c>
      <c r="N748" t="s">
        <v>21</v>
      </c>
    </row>
    <row r="749" spans="1:14" x14ac:dyDescent="0.3">
      <c r="A749">
        <v>2024001747</v>
      </c>
      <c r="B749" s="1">
        <v>45488</v>
      </c>
      <c r="C749" s="11">
        <f t="shared" si="33"/>
        <v>2024</v>
      </c>
      <c r="D749" t="s">
        <v>11</v>
      </c>
      <c r="E749" t="s">
        <v>18</v>
      </c>
      <c r="F749" t="s">
        <v>19</v>
      </c>
      <c r="G749" t="s">
        <v>14</v>
      </c>
      <c r="H749">
        <v>2</v>
      </c>
      <c r="I749" s="2">
        <v>608.78</v>
      </c>
      <c r="J749" s="2">
        <v>1217.56</v>
      </c>
      <c r="K749" s="2">
        <f t="shared" si="34"/>
        <v>1217.56</v>
      </c>
      <c r="L749" s="2">
        <f t="shared" si="35"/>
        <v>0</v>
      </c>
      <c r="M749" t="s">
        <v>31</v>
      </c>
      <c r="N749" t="s">
        <v>21</v>
      </c>
    </row>
    <row r="750" spans="1:14" x14ac:dyDescent="0.3">
      <c r="A750">
        <v>2024001748</v>
      </c>
      <c r="B750" s="1">
        <v>45586</v>
      </c>
      <c r="C750" s="11">
        <f t="shared" si="33"/>
        <v>2024</v>
      </c>
      <c r="D750" t="s">
        <v>33</v>
      </c>
      <c r="E750" t="s">
        <v>53</v>
      </c>
      <c r="F750" t="s">
        <v>54</v>
      </c>
      <c r="G750" t="s">
        <v>36</v>
      </c>
      <c r="H750">
        <v>1</v>
      </c>
      <c r="I750" s="2">
        <v>117.67</v>
      </c>
      <c r="J750" s="2">
        <v>117.67</v>
      </c>
      <c r="K750" s="2">
        <f t="shared" si="34"/>
        <v>117.67</v>
      </c>
      <c r="L750" s="2">
        <f t="shared" si="35"/>
        <v>0</v>
      </c>
      <c r="M750" t="s">
        <v>57</v>
      </c>
      <c r="N750" t="s">
        <v>16</v>
      </c>
    </row>
    <row r="751" spans="1:14" x14ac:dyDescent="0.3">
      <c r="A751">
        <v>2024001749</v>
      </c>
      <c r="B751" s="1">
        <v>45402</v>
      </c>
      <c r="C751" s="11">
        <f t="shared" si="33"/>
        <v>2024</v>
      </c>
      <c r="D751" t="s">
        <v>197</v>
      </c>
      <c r="E751" t="s">
        <v>34</v>
      </c>
      <c r="F751" t="s">
        <v>35</v>
      </c>
      <c r="G751" t="s">
        <v>36</v>
      </c>
      <c r="H751">
        <v>3</v>
      </c>
      <c r="I751" s="2">
        <v>14.69</v>
      </c>
      <c r="J751" s="2">
        <v>44.07</v>
      </c>
      <c r="K751" s="2">
        <f t="shared" si="34"/>
        <v>44.07</v>
      </c>
      <c r="L751" s="2">
        <f t="shared" si="35"/>
        <v>0</v>
      </c>
      <c r="M751" t="s">
        <v>20</v>
      </c>
      <c r="N751" t="s">
        <v>21</v>
      </c>
    </row>
    <row r="752" spans="1:14" x14ac:dyDescent="0.3">
      <c r="A752">
        <v>2024001750</v>
      </c>
      <c r="B752" s="1">
        <v>45413</v>
      </c>
      <c r="C752" s="11">
        <f t="shared" si="33"/>
        <v>2024</v>
      </c>
      <c r="D752" t="s">
        <v>11</v>
      </c>
      <c r="E752" t="s">
        <v>12</v>
      </c>
      <c r="F752" t="s">
        <v>13</v>
      </c>
      <c r="G752" t="s">
        <v>14</v>
      </c>
      <c r="H752">
        <v>1</v>
      </c>
      <c r="I752" s="2">
        <v>368.47</v>
      </c>
      <c r="J752" s="2">
        <v>368.47</v>
      </c>
      <c r="K752" s="2">
        <f t="shared" si="34"/>
        <v>368.47</v>
      </c>
      <c r="L752" s="2">
        <f t="shared" si="35"/>
        <v>0</v>
      </c>
      <c r="M752" t="s">
        <v>57</v>
      </c>
      <c r="N752" t="s">
        <v>32</v>
      </c>
    </row>
    <row r="753" spans="1:14" x14ac:dyDescent="0.3">
      <c r="A753">
        <v>2024001751</v>
      </c>
      <c r="B753" s="1">
        <v>45300</v>
      </c>
      <c r="C753" s="11">
        <f t="shared" si="33"/>
        <v>2024</v>
      </c>
      <c r="D753" t="s">
        <v>181</v>
      </c>
      <c r="E753" t="s">
        <v>53</v>
      </c>
      <c r="F753" t="s">
        <v>54</v>
      </c>
      <c r="G753" t="s">
        <v>36</v>
      </c>
      <c r="H753">
        <v>1</v>
      </c>
      <c r="I753" s="2">
        <v>136.5</v>
      </c>
      <c r="J753" s="2">
        <v>136.5</v>
      </c>
      <c r="K753" s="2">
        <f t="shared" si="34"/>
        <v>136.5</v>
      </c>
      <c r="L753" s="2">
        <f t="shared" si="35"/>
        <v>0</v>
      </c>
      <c r="M753" t="s">
        <v>48</v>
      </c>
      <c r="N753" t="s">
        <v>16</v>
      </c>
    </row>
    <row r="754" spans="1:14" x14ac:dyDescent="0.3">
      <c r="A754">
        <v>2024001752</v>
      </c>
      <c r="B754" s="1">
        <v>45404</v>
      </c>
      <c r="C754" s="11">
        <f t="shared" si="33"/>
        <v>2024</v>
      </c>
      <c r="D754" t="s">
        <v>114</v>
      </c>
      <c r="E754" t="s">
        <v>46</v>
      </c>
      <c r="F754" t="s">
        <v>47</v>
      </c>
      <c r="G754" t="s">
        <v>36</v>
      </c>
      <c r="H754">
        <v>4</v>
      </c>
      <c r="I754" s="2">
        <v>87.8</v>
      </c>
      <c r="J754" s="2">
        <v>351.2</v>
      </c>
      <c r="K754" s="2">
        <f t="shared" si="34"/>
        <v>351.2</v>
      </c>
      <c r="L754" s="2">
        <f t="shared" si="35"/>
        <v>0</v>
      </c>
      <c r="M754" t="s">
        <v>48</v>
      </c>
      <c r="N754" t="s">
        <v>16</v>
      </c>
    </row>
    <row r="755" spans="1:14" x14ac:dyDescent="0.3">
      <c r="A755">
        <v>2024001753</v>
      </c>
      <c r="B755" s="1">
        <v>45303</v>
      </c>
      <c r="C755" s="11">
        <f t="shared" si="33"/>
        <v>2024</v>
      </c>
      <c r="D755" t="s">
        <v>175</v>
      </c>
      <c r="E755" t="s">
        <v>46</v>
      </c>
      <c r="F755" t="s">
        <v>47</v>
      </c>
      <c r="G755" t="s">
        <v>36</v>
      </c>
      <c r="H755">
        <v>3</v>
      </c>
      <c r="I755" s="2">
        <v>93.69</v>
      </c>
      <c r="J755" s="2">
        <v>281.07</v>
      </c>
      <c r="K755" s="2">
        <f t="shared" si="34"/>
        <v>281.07</v>
      </c>
      <c r="L755" s="2">
        <f t="shared" si="35"/>
        <v>0</v>
      </c>
      <c r="M755" t="s">
        <v>48</v>
      </c>
      <c r="N755" t="s">
        <v>32</v>
      </c>
    </row>
    <row r="756" spans="1:14" x14ac:dyDescent="0.3">
      <c r="A756">
        <v>2024001754</v>
      </c>
      <c r="B756" s="1">
        <v>45570</v>
      </c>
      <c r="C756" s="11">
        <f t="shared" si="33"/>
        <v>2024</v>
      </c>
      <c r="D756" t="s">
        <v>259</v>
      </c>
      <c r="E756" t="s">
        <v>67</v>
      </c>
      <c r="F756" t="s">
        <v>68</v>
      </c>
      <c r="G756" t="s">
        <v>36</v>
      </c>
      <c r="H756">
        <v>2</v>
      </c>
      <c r="I756" s="2">
        <v>419.56</v>
      </c>
      <c r="J756" s="2">
        <v>839.12</v>
      </c>
      <c r="K756" s="2">
        <f t="shared" si="34"/>
        <v>839.12</v>
      </c>
      <c r="L756" s="2">
        <f t="shared" si="35"/>
        <v>0</v>
      </c>
      <c r="M756" t="s">
        <v>55</v>
      </c>
      <c r="N756" t="s">
        <v>21</v>
      </c>
    </row>
    <row r="757" spans="1:14" x14ac:dyDescent="0.3">
      <c r="A757">
        <v>2024001755</v>
      </c>
      <c r="B757" s="1">
        <v>45610</v>
      </c>
      <c r="C757" s="11">
        <f t="shared" si="33"/>
        <v>2024</v>
      </c>
      <c r="D757" t="s">
        <v>82</v>
      </c>
      <c r="E757" t="s">
        <v>34</v>
      </c>
      <c r="F757" t="s">
        <v>35</v>
      </c>
      <c r="G757" t="s">
        <v>36</v>
      </c>
      <c r="H757">
        <v>1</v>
      </c>
      <c r="I757" s="2">
        <v>13.42</v>
      </c>
      <c r="J757" s="2">
        <v>13.42</v>
      </c>
      <c r="K757" s="2">
        <f t="shared" si="34"/>
        <v>13.42</v>
      </c>
      <c r="L757" s="2">
        <f t="shared" si="35"/>
        <v>0</v>
      </c>
      <c r="M757" t="s">
        <v>48</v>
      </c>
      <c r="N757" t="s">
        <v>32</v>
      </c>
    </row>
    <row r="758" spans="1:14" x14ac:dyDescent="0.3">
      <c r="A758">
        <v>2024001756</v>
      </c>
      <c r="B758" s="1">
        <v>45511</v>
      </c>
      <c r="C758" s="11">
        <f t="shared" si="33"/>
        <v>2024</v>
      </c>
      <c r="D758" t="s">
        <v>268</v>
      </c>
      <c r="E758" t="s">
        <v>28</v>
      </c>
      <c r="F758" t="s">
        <v>29</v>
      </c>
      <c r="G758" t="s">
        <v>30</v>
      </c>
      <c r="H758">
        <v>1</v>
      </c>
      <c r="I758" s="2">
        <v>25.14</v>
      </c>
      <c r="J758" s="2">
        <v>25.14</v>
      </c>
      <c r="K758" s="2">
        <f t="shared" si="34"/>
        <v>25.14</v>
      </c>
      <c r="L758" s="2">
        <f t="shared" si="35"/>
        <v>0</v>
      </c>
      <c r="M758" t="s">
        <v>20</v>
      </c>
      <c r="N758" t="s">
        <v>32</v>
      </c>
    </row>
    <row r="759" spans="1:14" x14ac:dyDescent="0.3">
      <c r="A759">
        <v>2024001757</v>
      </c>
      <c r="B759" s="1">
        <v>45385</v>
      </c>
      <c r="C759" s="11">
        <f t="shared" si="33"/>
        <v>2024</v>
      </c>
      <c r="D759" t="s">
        <v>296</v>
      </c>
      <c r="E759" t="s">
        <v>18</v>
      </c>
      <c r="F759" t="s">
        <v>19</v>
      </c>
      <c r="G759" t="s">
        <v>14</v>
      </c>
      <c r="H759">
        <v>1</v>
      </c>
      <c r="I759" s="2">
        <v>615.22</v>
      </c>
      <c r="J759" s="2">
        <v>615.22</v>
      </c>
      <c r="K759" s="2">
        <f t="shared" si="34"/>
        <v>615.22</v>
      </c>
      <c r="L759" s="2">
        <f t="shared" si="35"/>
        <v>0</v>
      </c>
      <c r="M759" t="s">
        <v>64</v>
      </c>
      <c r="N759" t="s">
        <v>16</v>
      </c>
    </row>
    <row r="760" spans="1:14" x14ac:dyDescent="0.3">
      <c r="A760">
        <v>2024001758</v>
      </c>
      <c r="B760" s="1">
        <v>45629</v>
      </c>
      <c r="C760" s="11">
        <f t="shared" si="33"/>
        <v>2024</v>
      </c>
      <c r="D760" t="s">
        <v>306</v>
      </c>
      <c r="E760" t="s">
        <v>46</v>
      </c>
      <c r="F760" t="s">
        <v>47</v>
      </c>
      <c r="G760" t="s">
        <v>36</v>
      </c>
      <c r="H760">
        <v>2</v>
      </c>
      <c r="I760" s="2">
        <v>93.67</v>
      </c>
      <c r="J760" s="2">
        <v>187.34</v>
      </c>
      <c r="K760" s="2">
        <f t="shared" si="34"/>
        <v>187.34</v>
      </c>
      <c r="L760" s="2">
        <f t="shared" si="35"/>
        <v>0</v>
      </c>
      <c r="M760" t="s">
        <v>55</v>
      </c>
      <c r="N760" t="s">
        <v>21</v>
      </c>
    </row>
    <row r="761" spans="1:14" x14ac:dyDescent="0.3">
      <c r="A761">
        <v>2024001759</v>
      </c>
      <c r="B761" s="1">
        <v>45540</v>
      </c>
      <c r="C761" s="11">
        <f t="shared" si="33"/>
        <v>2024</v>
      </c>
      <c r="D761" t="s">
        <v>105</v>
      </c>
      <c r="E761" t="s">
        <v>34</v>
      </c>
      <c r="F761" t="s">
        <v>35</v>
      </c>
      <c r="G761" t="s">
        <v>36</v>
      </c>
      <c r="H761">
        <v>5</v>
      </c>
      <c r="I761" s="2">
        <v>14.96</v>
      </c>
      <c r="J761" s="2">
        <v>74.8</v>
      </c>
      <c r="K761" s="2">
        <f t="shared" si="34"/>
        <v>74.800000000000011</v>
      </c>
      <c r="L761" s="2">
        <f t="shared" si="35"/>
        <v>0</v>
      </c>
      <c r="M761" t="s">
        <v>25</v>
      </c>
      <c r="N761" t="s">
        <v>16</v>
      </c>
    </row>
    <row r="762" spans="1:14" x14ac:dyDescent="0.3">
      <c r="A762">
        <v>2024001464</v>
      </c>
      <c r="B762" s="1">
        <v>45529</v>
      </c>
      <c r="C762" s="11">
        <f t="shared" si="33"/>
        <v>2024</v>
      </c>
      <c r="D762" t="s">
        <v>39</v>
      </c>
      <c r="E762" t="s">
        <v>67</v>
      </c>
      <c r="F762" t="s">
        <v>68</v>
      </c>
      <c r="G762" t="s">
        <v>36</v>
      </c>
      <c r="H762">
        <v>2</v>
      </c>
      <c r="I762" s="2">
        <v>446.14</v>
      </c>
      <c r="J762" s="2">
        <v>892.28</v>
      </c>
      <c r="K762" s="2">
        <f t="shared" si="34"/>
        <v>892.28</v>
      </c>
      <c r="L762" s="2">
        <f t="shared" si="35"/>
        <v>0</v>
      </c>
      <c r="M762" t="s">
        <v>15</v>
      </c>
      <c r="N762" t="s">
        <v>16</v>
      </c>
    </row>
    <row r="763" spans="1:14" x14ac:dyDescent="0.3">
      <c r="A763">
        <v>2024001761</v>
      </c>
      <c r="B763" s="1">
        <v>45442</v>
      </c>
      <c r="C763" s="11">
        <f t="shared" si="33"/>
        <v>2024</v>
      </c>
      <c r="D763" t="s">
        <v>11</v>
      </c>
      <c r="E763" t="s">
        <v>23</v>
      </c>
      <c r="F763" t="s">
        <v>24</v>
      </c>
      <c r="G763" t="s">
        <v>14</v>
      </c>
      <c r="H763">
        <v>3</v>
      </c>
      <c r="I763" s="2">
        <v>79.28</v>
      </c>
      <c r="J763" s="2">
        <v>237.84</v>
      </c>
      <c r="K763" s="2">
        <f t="shared" si="34"/>
        <v>237.84</v>
      </c>
      <c r="L763" s="2">
        <f t="shared" si="35"/>
        <v>0</v>
      </c>
      <c r="M763" t="s">
        <v>55</v>
      </c>
      <c r="N763" t="s">
        <v>32</v>
      </c>
    </row>
    <row r="764" spans="1:14" x14ac:dyDescent="0.3">
      <c r="A764">
        <v>2024001762</v>
      </c>
      <c r="B764" s="1">
        <v>45511</v>
      </c>
      <c r="C764" s="11">
        <f t="shared" si="33"/>
        <v>2024</v>
      </c>
      <c r="D764" t="s">
        <v>69</v>
      </c>
      <c r="E764" t="s">
        <v>43</v>
      </c>
      <c r="F764" t="s">
        <v>44</v>
      </c>
      <c r="G764" t="s">
        <v>36</v>
      </c>
      <c r="H764">
        <v>3</v>
      </c>
      <c r="I764" s="2">
        <v>1220.3800000000001</v>
      </c>
      <c r="J764" s="2">
        <v>3661.14</v>
      </c>
      <c r="K764" s="2">
        <f t="shared" si="34"/>
        <v>3661.1400000000003</v>
      </c>
      <c r="L764" s="2">
        <f t="shared" si="35"/>
        <v>0</v>
      </c>
      <c r="M764" t="s">
        <v>61</v>
      </c>
      <c r="N764" t="s">
        <v>26</v>
      </c>
    </row>
    <row r="765" spans="1:14" x14ac:dyDescent="0.3">
      <c r="A765">
        <v>2024001763</v>
      </c>
      <c r="B765" s="1">
        <v>45390</v>
      </c>
      <c r="C765" s="11">
        <f t="shared" si="33"/>
        <v>2024</v>
      </c>
      <c r="D765" t="s">
        <v>118</v>
      </c>
      <c r="E765" t="s">
        <v>34</v>
      </c>
      <c r="F765" t="s">
        <v>35</v>
      </c>
      <c r="G765" t="s">
        <v>36</v>
      </c>
      <c r="H765">
        <v>1</v>
      </c>
      <c r="I765" s="2">
        <v>15.21</v>
      </c>
      <c r="J765" s="2">
        <v>15.21</v>
      </c>
      <c r="K765" s="2">
        <f t="shared" si="34"/>
        <v>15.21</v>
      </c>
      <c r="L765" s="2">
        <f t="shared" si="35"/>
        <v>0</v>
      </c>
      <c r="M765" t="s">
        <v>64</v>
      </c>
      <c r="N765" t="s">
        <v>26</v>
      </c>
    </row>
    <row r="766" spans="1:14" x14ac:dyDescent="0.3">
      <c r="A766">
        <v>2024001114</v>
      </c>
      <c r="B766" s="1">
        <v>45417</v>
      </c>
      <c r="C766" s="11">
        <f t="shared" si="33"/>
        <v>2024</v>
      </c>
      <c r="D766" t="s">
        <v>189</v>
      </c>
      <c r="E766" t="s">
        <v>34</v>
      </c>
      <c r="F766" t="s">
        <v>35</v>
      </c>
      <c r="G766" t="s">
        <v>36</v>
      </c>
      <c r="H766">
        <v>1</v>
      </c>
      <c r="I766" s="2">
        <v>14.56</v>
      </c>
      <c r="J766" s="2">
        <v>14.56</v>
      </c>
      <c r="K766" s="2">
        <f t="shared" si="34"/>
        <v>14.56</v>
      </c>
      <c r="L766" s="2">
        <f t="shared" si="35"/>
        <v>0</v>
      </c>
      <c r="M766" t="s">
        <v>15</v>
      </c>
      <c r="N766" t="s">
        <v>21</v>
      </c>
    </row>
    <row r="767" spans="1:14" x14ac:dyDescent="0.3">
      <c r="A767">
        <v>2024001765</v>
      </c>
      <c r="B767" s="1">
        <v>45654</v>
      </c>
      <c r="C767" s="11">
        <f t="shared" si="33"/>
        <v>2024</v>
      </c>
      <c r="D767" t="s">
        <v>152</v>
      </c>
      <c r="E767" t="s">
        <v>40</v>
      </c>
      <c r="F767" t="s">
        <v>41</v>
      </c>
      <c r="G767" t="s">
        <v>36</v>
      </c>
      <c r="H767">
        <v>2</v>
      </c>
      <c r="I767" s="2">
        <v>42.36</v>
      </c>
      <c r="J767" s="2">
        <v>84.72</v>
      </c>
      <c r="K767" s="2">
        <f t="shared" si="34"/>
        <v>84.72</v>
      </c>
      <c r="L767" s="2">
        <f t="shared" si="35"/>
        <v>0</v>
      </c>
      <c r="M767" t="s">
        <v>61</v>
      </c>
      <c r="N767" t="s">
        <v>26</v>
      </c>
    </row>
    <row r="768" spans="1:14" x14ac:dyDescent="0.3">
      <c r="A768">
        <v>2024001766</v>
      </c>
      <c r="B768" s="1">
        <v>45604</v>
      </c>
      <c r="C768" s="11">
        <f t="shared" si="33"/>
        <v>2024</v>
      </c>
      <c r="D768" t="s">
        <v>249</v>
      </c>
      <c r="E768" t="s">
        <v>53</v>
      </c>
      <c r="F768" t="s">
        <v>54</v>
      </c>
      <c r="G768" t="s">
        <v>36</v>
      </c>
      <c r="H768">
        <v>1</v>
      </c>
      <c r="I768" s="2">
        <v>116.78</v>
      </c>
      <c r="J768" s="2">
        <v>116.78</v>
      </c>
      <c r="K768" s="2">
        <f t="shared" si="34"/>
        <v>116.78</v>
      </c>
      <c r="L768" s="2">
        <f t="shared" si="35"/>
        <v>0</v>
      </c>
      <c r="M768" t="s">
        <v>15</v>
      </c>
      <c r="N768" t="s">
        <v>16</v>
      </c>
    </row>
    <row r="769" spans="1:14" x14ac:dyDescent="0.3">
      <c r="A769">
        <v>2024001767</v>
      </c>
      <c r="B769" s="1">
        <v>45631</v>
      </c>
      <c r="C769" s="11">
        <f t="shared" si="33"/>
        <v>2024</v>
      </c>
      <c r="D769" t="s">
        <v>287</v>
      </c>
      <c r="E769" t="s">
        <v>28</v>
      </c>
      <c r="F769" t="s">
        <v>29</v>
      </c>
      <c r="G769" t="s">
        <v>30</v>
      </c>
      <c r="H769">
        <v>2</v>
      </c>
      <c r="I769" s="2">
        <v>25.9</v>
      </c>
      <c r="J769" s="2">
        <v>51.8</v>
      </c>
      <c r="K769" s="2">
        <f t="shared" si="34"/>
        <v>51.8</v>
      </c>
      <c r="L769" s="2">
        <f t="shared" si="35"/>
        <v>0</v>
      </c>
      <c r="M769" t="s">
        <v>48</v>
      </c>
      <c r="N769" t="s">
        <v>21</v>
      </c>
    </row>
    <row r="770" spans="1:14" x14ac:dyDescent="0.3">
      <c r="A770">
        <v>2024001768</v>
      </c>
      <c r="B770" s="1">
        <v>45312</v>
      </c>
      <c r="C770" s="11">
        <f t="shared" si="33"/>
        <v>2024</v>
      </c>
      <c r="D770" t="s">
        <v>185</v>
      </c>
      <c r="E770" t="s">
        <v>23</v>
      </c>
      <c r="F770" t="s">
        <v>24</v>
      </c>
      <c r="G770" t="s">
        <v>14</v>
      </c>
      <c r="H770">
        <v>2</v>
      </c>
      <c r="I770" s="2">
        <v>75.55</v>
      </c>
      <c r="J770" s="2">
        <v>151.1</v>
      </c>
      <c r="K770" s="2">
        <f t="shared" si="34"/>
        <v>151.1</v>
      </c>
      <c r="L770" s="2">
        <f t="shared" si="35"/>
        <v>0</v>
      </c>
      <c r="M770" t="s">
        <v>25</v>
      </c>
      <c r="N770" t="s">
        <v>16</v>
      </c>
    </row>
    <row r="771" spans="1:14" x14ac:dyDescent="0.3">
      <c r="A771">
        <v>2024001769</v>
      </c>
      <c r="B771" s="1">
        <v>45408</v>
      </c>
      <c r="C771" s="11">
        <f t="shared" ref="C771:C834" si="36">YEAR(B771)</f>
        <v>2024</v>
      </c>
      <c r="D771" t="s">
        <v>82</v>
      </c>
      <c r="E771" t="s">
        <v>43</v>
      </c>
      <c r="F771" t="s">
        <v>44</v>
      </c>
      <c r="G771" t="s">
        <v>36</v>
      </c>
      <c r="H771">
        <v>2</v>
      </c>
      <c r="I771" s="2">
        <v>1197.8499999999999</v>
      </c>
      <c r="J771" s="2">
        <v>2395.6999999999998</v>
      </c>
      <c r="K771" s="2">
        <f t="shared" ref="K771:K834" si="37">I771*H771</f>
        <v>2395.6999999999998</v>
      </c>
      <c r="L771" s="2">
        <f t="shared" ref="L771:L834" si="38">J771-K771</f>
        <v>0</v>
      </c>
      <c r="M771" t="s">
        <v>55</v>
      </c>
      <c r="N771" t="s">
        <v>26</v>
      </c>
    </row>
    <row r="772" spans="1:14" x14ac:dyDescent="0.3">
      <c r="A772">
        <v>2024001770</v>
      </c>
      <c r="B772" s="1">
        <v>45349</v>
      </c>
      <c r="C772" s="11">
        <f t="shared" si="36"/>
        <v>2024</v>
      </c>
      <c r="D772" t="s">
        <v>320</v>
      </c>
      <c r="E772" t="s">
        <v>67</v>
      </c>
      <c r="F772" t="s">
        <v>68</v>
      </c>
      <c r="G772" t="s">
        <v>36</v>
      </c>
      <c r="H772">
        <v>4</v>
      </c>
      <c r="I772" s="2">
        <v>393.71</v>
      </c>
      <c r="J772" s="2">
        <v>1574.84</v>
      </c>
      <c r="K772" s="2">
        <f t="shared" si="37"/>
        <v>1574.84</v>
      </c>
      <c r="L772" s="2">
        <f t="shared" si="38"/>
        <v>0</v>
      </c>
      <c r="M772" t="s">
        <v>55</v>
      </c>
      <c r="N772" t="s">
        <v>32</v>
      </c>
    </row>
    <row r="773" spans="1:14" x14ac:dyDescent="0.3">
      <c r="A773">
        <v>2024001771</v>
      </c>
      <c r="B773" s="1">
        <v>45550</v>
      </c>
      <c r="C773" s="11">
        <f t="shared" si="36"/>
        <v>2024</v>
      </c>
      <c r="D773" t="s">
        <v>321</v>
      </c>
      <c r="E773" t="s">
        <v>23</v>
      </c>
      <c r="F773" t="s">
        <v>24</v>
      </c>
      <c r="G773" t="s">
        <v>14</v>
      </c>
      <c r="H773">
        <v>1</v>
      </c>
      <c r="I773" s="2">
        <v>79.209999999999994</v>
      </c>
      <c r="J773" s="2">
        <v>79.209999999999994</v>
      </c>
      <c r="K773" s="2">
        <f t="shared" si="37"/>
        <v>79.209999999999994</v>
      </c>
      <c r="L773" s="2">
        <f t="shared" si="38"/>
        <v>0</v>
      </c>
      <c r="M773" t="s">
        <v>61</v>
      </c>
      <c r="N773" t="s">
        <v>32</v>
      </c>
    </row>
    <row r="774" spans="1:14" x14ac:dyDescent="0.3">
      <c r="A774">
        <v>2024001772</v>
      </c>
      <c r="B774" s="1">
        <v>45635</v>
      </c>
      <c r="C774" s="11">
        <f t="shared" si="36"/>
        <v>2024</v>
      </c>
      <c r="D774" t="s">
        <v>59</v>
      </c>
      <c r="E774" t="s">
        <v>34</v>
      </c>
      <c r="F774" t="s">
        <v>35</v>
      </c>
      <c r="G774" t="s">
        <v>36</v>
      </c>
      <c r="H774">
        <v>3</v>
      </c>
      <c r="I774" s="2">
        <v>15.17</v>
      </c>
      <c r="J774" s="2">
        <v>45.51</v>
      </c>
      <c r="K774" s="2">
        <f t="shared" si="37"/>
        <v>45.51</v>
      </c>
      <c r="L774" s="2">
        <f t="shared" si="38"/>
        <v>0</v>
      </c>
      <c r="M774" t="s">
        <v>48</v>
      </c>
      <c r="N774" t="s">
        <v>32</v>
      </c>
    </row>
    <row r="775" spans="1:14" x14ac:dyDescent="0.3">
      <c r="A775">
        <v>2024001773</v>
      </c>
      <c r="B775" s="1">
        <v>45517</v>
      </c>
      <c r="C775" s="11">
        <f t="shared" si="36"/>
        <v>2024</v>
      </c>
      <c r="D775" t="s">
        <v>322</v>
      </c>
      <c r="E775" t="s">
        <v>34</v>
      </c>
      <c r="F775" t="s">
        <v>35</v>
      </c>
      <c r="G775" t="s">
        <v>36</v>
      </c>
      <c r="H775">
        <v>3</v>
      </c>
      <c r="I775" s="2">
        <v>15.81</v>
      </c>
      <c r="J775" s="2">
        <v>47.43</v>
      </c>
      <c r="K775" s="2">
        <f t="shared" si="37"/>
        <v>47.43</v>
      </c>
      <c r="L775" s="2">
        <f t="shared" si="38"/>
        <v>0</v>
      </c>
      <c r="M775" t="s">
        <v>48</v>
      </c>
      <c r="N775" t="s">
        <v>32</v>
      </c>
    </row>
    <row r="776" spans="1:14" x14ac:dyDescent="0.3">
      <c r="A776">
        <v>2024001774</v>
      </c>
      <c r="B776" s="1">
        <v>45473</v>
      </c>
      <c r="C776" s="11">
        <f t="shared" si="36"/>
        <v>2024</v>
      </c>
      <c r="D776" t="s">
        <v>71</v>
      </c>
      <c r="E776" t="s">
        <v>46</v>
      </c>
      <c r="F776" t="s">
        <v>47</v>
      </c>
      <c r="G776" t="s">
        <v>36</v>
      </c>
      <c r="H776">
        <v>1</v>
      </c>
      <c r="I776" s="2">
        <v>86.26</v>
      </c>
      <c r="J776" s="2">
        <v>86.26</v>
      </c>
      <c r="K776" s="2">
        <f t="shared" si="37"/>
        <v>86.26</v>
      </c>
      <c r="L776" s="2">
        <f t="shared" si="38"/>
        <v>0</v>
      </c>
      <c r="M776" t="s">
        <v>15</v>
      </c>
      <c r="N776" t="s">
        <v>16</v>
      </c>
    </row>
    <row r="777" spans="1:14" x14ac:dyDescent="0.3">
      <c r="A777">
        <v>2024001775</v>
      </c>
      <c r="B777" s="1">
        <v>45325</v>
      </c>
      <c r="C777" s="11">
        <f t="shared" si="36"/>
        <v>2024</v>
      </c>
      <c r="D777" t="s">
        <v>173</v>
      </c>
      <c r="E777" t="s">
        <v>67</v>
      </c>
      <c r="F777" t="s">
        <v>68</v>
      </c>
      <c r="G777" t="s">
        <v>36</v>
      </c>
      <c r="H777">
        <v>2</v>
      </c>
      <c r="I777" s="2">
        <v>387.23</v>
      </c>
      <c r="J777" s="2">
        <v>774.46</v>
      </c>
      <c r="K777" s="2">
        <f t="shared" si="37"/>
        <v>774.46</v>
      </c>
      <c r="L777" s="2">
        <f t="shared" si="38"/>
        <v>0</v>
      </c>
      <c r="M777" t="s">
        <v>64</v>
      </c>
      <c r="N777" t="s">
        <v>32</v>
      </c>
    </row>
    <row r="778" spans="1:14" x14ac:dyDescent="0.3">
      <c r="A778">
        <v>2024001776</v>
      </c>
      <c r="B778" s="1">
        <v>45652</v>
      </c>
      <c r="C778" s="11">
        <f t="shared" si="36"/>
        <v>2024</v>
      </c>
      <c r="D778" t="s">
        <v>294</v>
      </c>
      <c r="E778" t="s">
        <v>53</v>
      </c>
      <c r="F778" t="s">
        <v>54</v>
      </c>
      <c r="G778" t="s">
        <v>36</v>
      </c>
      <c r="H778">
        <v>2</v>
      </c>
      <c r="I778" s="2">
        <v>124.49</v>
      </c>
      <c r="J778" s="2">
        <v>248.98</v>
      </c>
      <c r="K778" s="2">
        <f t="shared" si="37"/>
        <v>248.98</v>
      </c>
      <c r="L778" s="2">
        <f t="shared" si="38"/>
        <v>0</v>
      </c>
      <c r="M778" t="s">
        <v>55</v>
      </c>
      <c r="N778" t="s">
        <v>32</v>
      </c>
    </row>
    <row r="779" spans="1:14" x14ac:dyDescent="0.3">
      <c r="A779">
        <v>2024001777</v>
      </c>
      <c r="B779" s="1">
        <v>45379</v>
      </c>
      <c r="C779" s="11">
        <f t="shared" si="36"/>
        <v>2024</v>
      </c>
      <c r="D779" t="s">
        <v>319</v>
      </c>
      <c r="E779" t="s">
        <v>28</v>
      </c>
      <c r="F779" t="s">
        <v>29</v>
      </c>
      <c r="G779" t="s">
        <v>30</v>
      </c>
      <c r="H779">
        <v>2</v>
      </c>
      <c r="I779" s="2">
        <v>26.19</v>
      </c>
      <c r="J779" s="2">
        <v>52.38</v>
      </c>
      <c r="K779" s="2">
        <f t="shared" si="37"/>
        <v>52.38</v>
      </c>
      <c r="L779" s="2">
        <f t="shared" si="38"/>
        <v>0</v>
      </c>
      <c r="M779" t="s">
        <v>38</v>
      </c>
      <c r="N779" t="s">
        <v>21</v>
      </c>
    </row>
    <row r="780" spans="1:14" x14ac:dyDescent="0.3">
      <c r="A780">
        <v>2024001778</v>
      </c>
      <c r="B780" s="1">
        <v>45459</v>
      </c>
      <c r="C780" s="11">
        <f t="shared" si="36"/>
        <v>2024</v>
      </c>
      <c r="D780" t="s">
        <v>99</v>
      </c>
      <c r="E780" t="s">
        <v>28</v>
      </c>
      <c r="F780" t="s">
        <v>29</v>
      </c>
      <c r="G780" t="s">
        <v>30</v>
      </c>
      <c r="H780">
        <v>1</v>
      </c>
      <c r="I780" s="2">
        <v>23.92</v>
      </c>
      <c r="J780" s="2">
        <v>23.92</v>
      </c>
      <c r="K780" s="2">
        <f t="shared" si="37"/>
        <v>23.92</v>
      </c>
      <c r="L780" s="2">
        <f t="shared" si="38"/>
        <v>0</v>
      </c>
      <c r="M780" t="s">
        <v>48</v>
      </c>
      <c r="N780" t="s">
        <v>32</v>
      </c>
    </row>
    <row r="781" spans="1:14" x14ac:dyDescent="0.3">
      <c r="A781">
        <v>2024001779</v>
      </c>
      <c r="B781" s="1">
        <v>45360</v>
      </c>
      <c r="C781" s="11">
        <f t="shared" si="36"/>
        <v>2024</v>
      </c>
      <c r="D781" t="s">
        <v>66</v>
      </c>
      <c r="E781" t="s">
        <v>18</v>
      </c>
      <c r="F781" t="s">
        <v>19</v>
      </c>
      <c r="G781" t="s">
        <v>14</v>
      </c>
      <c r="H781">
        <v>2</v>
      </c>
      <c r="I781" s="2">
        <v>563.70000000000005</v>
      </c>
      <c r="J781" s="2">
        <v>1127.4000000000001</v>
      </c>
      <c r="K781" s="2">
        <f t="shared" si="37"/>
        <v>1127.4000000000001</v>
      </c>
      <c r="L781" s="2">
        <f t="shared" si="38"/>
        <v>0</v>
      </c>
      <c r="M781" t="s">
        <v>55</v>
      </c>
      <c r="N781" t="s">
        <v>21</v>
      </c>
    </row>
    <row r="782" spans="1:14" x14ac:dyDescent="0.3">
      <c r="A782">
        <v>2024001780</v>
      </c>
      <c r="B782" s="1">
        <v>45549</v>
      </c>
      <c r="C782" s="11">
        <f t="shared" si="36"/>
        <v>2024</v>
      </c>
      <c r="D782" t="s">
        <v>190</v>
      </c>
      <c r="E782" t="s">
        <v>12</v>
      </c>
      <c r="F782" t="s">
        <v>13</v>
      </c>
      <c r="G782" t="s">
        <v>14</v>
      </c>
      <c r="H782">
        <v>5</v>
      </c>
      <c r="I782" s="2">
        <v>332.97</v>
      </c>
      <c r="J782" s="2">
        <v>1664.85</v>
      </c>
      <c r="K782" s="2">
        <f t="shared" si="37"/>
        <v>1664.8500000000001</v>
      </c>
      <c r="L782" s="2">
        <f t="shared" si="38"/>
        <v>0</v>
      </c>
      <c r="M782" t="s">
        <v>20</v>
      </c>
      <c r="N782" t="s">
        <v>21</v>
      </c>
    </row>
    <row r="783" spans="1:14" x14ac:dyDescent="0.3">
      <c r="A783">
        <v>2024001781</v>
      </c>
      <c r="B783" s="1">
        <v>45482</v>
      </c>
      <c r="C783" s="11">
        <f t="shared" si="36"/>
        <v>2024</v>
      </c>
      <c r="D783" t="s">
        <v>11</v>
      </c>
      <c r="E783" t="s">
        <v>28</v>
      </c>
      <c r="F783" t="s">
        <v>29</v>
      </c>
      <c r="G783" t="s">
        <v>30</v>
      </c>
      <c r="H783">
        <v>1</v>
      </c>
      <c r="I783" s="2">
        <v>26.26</v>
      </c>
      <c r="J783" s="2">
        <v>26.26</v>
      </c>
      <c r="K783" s="2">
        <f t="shared" si="37"/>
        <v>26.26</v>
      </c>
      <c r="L783" s="2">
        <f t="shared" si="38"/>
        <v>0</v>
      </c>
      <c r="M783" t="s">
        <v>57</v>
      </c>
      <c r="N783" t="s">
        <v>26</v>
      </c>
    </row>
    <row r="784" spans="1:14" x14ac:dyDescent="0.3">
      <c r="A784">
        <v>2024001782</v>
      </c>
      <c r="B784" s="1">
        <v>45589</v>
      </c>
      <c r="C784" s="11">
        <f t="shared" si="36"/>
        <v>2024</v>
      </c>
      <c r="D784" t="s">
        <v>11</v>
      </c>
      <c r="E784" t="s">
        <v>12</v>
      </c>
      <c r="F784" t="s">
        <v>13</v>
      </c>
      <c r="G784" t="s">
        <v>14</v>
      </c>
      <c r="H784">
        <v>0</v>
      </c>
      <c r="I784" s="2">
        <v>330.18</v>
      </c>
      <c r="J784" s="2">
        <v>0</v>
      </c>
      <c r="K784" s="2">
        <f t="shared" si="37"/>
        <v>0</v>
      </c>
      <c r="L784" s="2">
        <f t="shared" si="38"/>
        <v>0</v>
      </c>
      <c r="M784" t="s">
        <v>20</v>
      </c>
      <c r="N784" t="s">
        <v>26</v>
      </c>
    </row>
    <row r="785" spans="1:14" x14ac:dyDescent="0.3">
      <c r="A785">
        <v>2024001783</v>
      </c>
      <c r="B785" s="1">
        <v>45599</v>
      </c>
      <c r="C785" s="11">
        <f t="shared" si="36"/>
        <v>2024</v>
      </c>
      <c r="D785" t="s">
        <v>323</v>
      </c>
      <c r="E785" t="s">
        <v>40</v>
      </c>
      <c r="F785" t="s">
        <v>41</v>
      </c>
      <c r="G785" t="s">
        <v>36</v>
      </c>
      <c r="H785">
        <v>2</v>
      </c>
      <c r="I785" s="2">
        <v>46.71</v>
      </c>
      <c r="J785" s="2">
        <v>93.42</v>
      </c>
      <c r="K785" s="2">
        <f t="shared" si="37"/>
        <v>93.42</v>
      </c>
      <c r="L785" s="2">
        <f t="shared" si="38"/>
        <v>0</v>
      </c>
      <c r="M785" t="s">
        <v>15</v>
      </c>
      <c r="N785" t="s">
        <v>21</v>
      </c>
    </row>
    <row r="786" spans="1:14" x14ac:dyDescent="0.3">
      <c r="A786">
        <v>2024001784</v>
      </c>
      <c r="B786" s="1">
        <v>45587</v>
      </c>
      <c r="C786" s="11">
        <f t="shared" si="36"/>
        <v>2024</v>
      </c>
      <c r="D786" t="s">
        <v>98</v>
      </c>
      <c r="E786" t="s">
        <v>46</v>
      </c>
      <c r="F786" t="s">
        <v>47</v>
      </c>
      <c r="G786" t="s">
        <v>36</v>
      </c>
      <c r="H786">
        <v>3</v>
      </c>
      <c r="I786" s="2">
        <v>93.42</v>
      </c>
      <c r="J786" s="2">
        <v>280.26</v>
      </c>
      <c r="K786" s="2">
        <f t="shared" si="37"/>
        <v>280.26</v>
      </c>
      <c r="L786" s="2">
        <f t="shared" si="38"/>
        <v>0</v>
      </c>
      <c r="M786" t="s">
        <v>55</v>
      </c>
      <c r="N786" t="s">
        <v>32</v>
      </c>
    </row>
    <row r="787" spans="1:14" x14ac:dyDescent="0.3">
      <c r="A787">
        <v>2024001785</v>
      </c>
      <c r="B787" s="1">
        <v>45527</v>
      </c>
      <c r="C787" s="11">
        <f t="shared" si="36"/>
        <v>2024</v>
      </c>
      <c r="D787" t="s">
        <v>11</v>
      </c>
      <c r="E787" t="s">
        <v>53</v>
      </c>
      <c r="F787" t="s">
        <v>54</v>
      </c>
      <c r="G787" t="s">
        <v>36</v>
      </c>
      <c r="H787">
        <v>1</v>
      </c>
      <c r="I787" s="2">
        <v>126.33</v>
      </c>
      <c r="J787" s="2">
        <v>126.33</v>
      </c>
      <c r="K787" s="2">
        <f t="shared" si="37"/>
        <v>126.33</v>
      </c>
      <c r="L787" s="2">
        <f t="shared" si="38"/>
        <v>0</v>
      </c>
      <c r="M787" t="s">
        <v>55</v>
      </c>
      <c r="N787" t="s">
        <v>26</v>
      </c>
    </row>
    <row r="788" spans="1:14" x14ac:dyDescent="0.3">
      <c r="A788">
        <v>2024001786</v>
      </c>
      <c r="B788" s="1">
        <v>45304</v>
      </c>
      <c r="C788" s="11">
        <f t="shared" si="36"/>
        <v>2024</v>
      </c>
      <c r="D788" t="s">
        <v>155</v>
      </c>
      <c r="E788" t="s">
        <v>53</v>
      </c>
      <c r="F788" t="s">
        <v>54</v>
      </c>
      <c r="G788" t="s">
        <v>36</v>
      </c>
      <c r="H788">
        <v>2</v>
      </c>
      <c r="I788" s="2">
        <v>115.11</v>
      </c>
      <c r="J788" s="2">
        <v>230.22</v>
      </c>
      <c r="K788" s="2">
        <f t="shared" si="37"/>
        <v>230.22</v>
      </c>
      <c r="L788" s="2">
        <f t="shared" si="38"/>
        <v>0</v>
      </c>
      <c r="M788" t="s">
        <v>57</v>
      </c>
      <c r="N788" t="s">
        <v>16</v>
      </c>
    </row>
    <row r="789" spans="1:14" x14ac:dyDescent="0.3">
      <c r="A789">
        <v>2024001787</v>
      </c>
      <c r="B789" s="1">
        <v>45366</v>
      </c>
      <c r="C789" s="11">
        <f t="shared" si="36"/>
        <v>2024</v>
      </c>
      <c r="D789" t="s">
        <v>87</v>
      </c>
      <c r="E789" t="s">
        <v>18</v>
      </c>
      <c r="F789" t="s">
        <v>19</v>
      </c>
      <c r="G789" t="s">
        <v>14</v>
      </c>
      <c r="H789">
        <v>1</v>
      </c>
      <c r="I789" s="2">
        <v>641.53</v>
      </c>
      <c r="J789" s="2">
        <v>641.53</v>
      </c>
      <c r="K789" s="2">
        <f t="shared" si="37"/>
        <v>641.53</v>
      </c>
      <c r="L789" s="2">
        <f t="shared" si="38"/>
        <v>0</v>
      </c>
      <c r="M789" t="s">
        <v>57</v>
      </c>
      <c r="N789" t="s">
        <v>16</v>
      </c>
    </row>
    <row r="790" spans="1:14" x14ac:dyDescent="0.3">
      <c r="A790">
        <v>2024001788</v>
      </c>
      <c r="B790" s="1">
        <v>45609</v>
      </c>
      <c r="C790" s="11">
        <f t="shared" si="36"/>
        <v>2024</v>
      </c>
      <c r="D790" t="s">
        <v>314</v>
      </c>
      <c r="E790" t="s">
        <v>23</v>
      </c>
      <c r="F790" t="s">
        <v>24</v>
      </c>
      <c r="G790" t="s">
        <v>14</v>
      </c>
      <c r="H790">
        <v>3</v>
      </c>
      <c r="I790" s="2">
        <v>77.489999999999995</v>
      </c>
      <c r="J790" s="2">
        <v>232.47</v>
      </c>
      <c r="K790" s="2">
        <f t="shared" si="37"/>
        <v>232.46999999999997</v>
      </c>
      <c r="L790" s="2">
        <f t="shared" si="38"/>
        <v>0</v>
      </c>
      <c r="M790" t="s">
        <v>57</v>
      </c>
      <c r="N790" t="s">
        <v>21</v>
      </c>
    </row>
    <row r="791" spans="1:14" x14ac:dyDescent="0.3">
      <c r="A791">
        <v>2024001789</v>
      </c>
      <c r="B791" s="1">
        <v>45561</v>
      </c>
      <c r="C791" s="11">
        <f t="shared" si="36"/>
        <v>2024</v>
      </c>
      <c r="D791" t="s">
        <v>266</v>
      </c>
      <c r="E791" t="s">
        <v>53</v>
      </c>
      <c r="F791" t="s">
        <v>54</v>
      </c>
      <c r="G791" t="s">
        <v>36</v>
      </c>
      <c r="H791">
        <v>1</v>
      </c>
      <c r="I791" s="2">
        <v>126.31</v>
      </c>
      <c r="J791" s="2">
        <v>126.31</v>
      </c>
      <c r="K791" s="2">
        <f t="shared" si="37"/>
        <v>126.31</v>
      </c>
      <c r="L791" s="2">
        <f t="shared" si="38"/>
        <v>0</v>
      </c>
      <c r="M791" t="s">
        <v>61</v>
      </c>
      <c r="N791" t="s">
        <v>26</v>
      </c>
    </row>
    <row r="792" spans="1:14" x14ac:dyDescent="0.3">
      <c r="A792">
        <v>2024001790</v>
      </c>
      <c r="B792" s="1">
        <v>45435</v>
      </c>
      <c r="C792" s="11">
        <f t="shared" si="36"/>
        <v>2024</v>
      </c>
      <c r="D792" t="s">
        <v>157</v>
      </c>
      <c r="E792" t="s">
        <v>67</v>
      </c>
      <c r="F792" t="s">
        <v>68</v>
      </c>
      <c r="G792" t="s">
        <v>36</v>
      </c>
      <c r="H792">
        <v>1</v>
      </c>
      <c r="I792" s="2">
        <v>383.78</v>
      </c>
      <c r="J792" s="2">
        <v>383.78</v>
      </c>
      <c r="K792" s="2">
        <f t="shared" si="37"/>
        <v>383.78</v>
      </c>
      <c r="L792" s="2">
        <f t="shared" si="38"/>
        <v>0</v>
      </c>
      <c r="M792" t="s">
        <v>38</v>
      </c>
      <c r="N792" t="s">
        <v>21</v>
      </c>
    </row>
    <row r="793" spans="1:14" x14ac:dyDescent="0.3">
      <c r="A793">
        <v>2024001791</v>
      </c>
      <c r="B793" s="1">
        <v>45333</v>
      </c>
      <c r="C793" s="11">
        <f t="shared" si="36"/>
        <v>2024</v>
      </c>
      <c r="D793" t="s">
        <v>265</v>
      </c>
      <c r="E793" t="s">
        <v>53</v>
      </c>
      <c r="F793" t="s">
        <v>54</v>
      </c>
      <c r="G793" t="s">
        <v>36</v>
      </c>
      <c r="H793">
        <v>3</v>
      </c>
      <c r="I793" s="2">
        <v>113.32</v>
      </c>
      <c r="J793" s="2">
        <v>339.96</v>
      </c>
      <c r="K793" s="2">
        <f t="shared" si="37"/>
        <v>339.96</v>
      </c>
      <c r="L793" s="2">
        <f t="shared" si="38"/>
        <v>0</v>
      </c>
      <c r="M793" t="s">
        <v>55</v>
      </c>
      <c r="N793" t="s">
        <v>32</v>
      </c>
    </row>
    <row r="794" spans="1:14" x14ac:dyDescent="0.3">
      <c r="A794">
        <v>2024001792</v>
      </c>
      <c r="B794" s="1">
        <v>45297</v>
      </c>
      <c r="C794" s="11">
        <f t="shared" si="36"/>
        <v>2024</v>
      </c>
      <c r="D794" t="s">
        <v>285</v>
      </c>
      <c r="E794" t="s">
        <v>67</v>
      </c>
      <c r="F794" t="s">
        <v>68</v>
      </c>
      <c r="G794" t="s">
        <v>36</v>
      </c>
      <c r="H794">
        <v>2</v>
      </c>
      <c r="I794" s="2">
        <v>400.14</v>
      </c>
      <c r="J794" s="2">
        <v>800.28</v>
      </c>
      <c r="K794" s="2">
        <f t="shared" si="37"/>
        <v>800.28</v>
      </c>
      <c r="L794" s="2">
        <f t="shared" si="38"/>
        <v>0</v>
      </c>
      <c r="M794" t="s">
        <v>20</v>
      </c>
      <c r="N794" t="s">
        <v>21</v>
      </c>
    </row>
    <row r="795" spans="1:14" x14ac:dyDescent="0.3">
      <c r="A795">
        <v>2024001793</v>
      </c>
      <c r="B795" s="1">
        <v>45317</v>
      </c>
      <c r="C795" s="11">
        <f t="shared" si="36"/>
        <v>2024</v>
      </c>
      <c r="D795" t="s">
        <v>141</v>
      </c>
      <c r="E795" t="s">
        <v>40</v>
      </c>
      <c r="F795" t="s">
        <v>41</v>
      </c>
      <c r="G795" t="s">
        <v>36</v>
      </c>
      <c r="H795">
        <v>1</v>
      </c>
      <c r="I795" s="2">
        <v>40.31</v>
      </c>
      <c r="J795" s="2">
        <v>40.31</v>
      </c>
      <c r="K795" s="2">
        <f t="shared" si="37"/>
        <v>40.31</v>
      </c>
      <c r="L795" s="2">
        <f t="shared" si="38"/>
        <v>0</v>
      </c>
      <c r="M795" t="s">
        <v>64</v>
      </c>
      <c r="N795" t="s">
        <v>26</v>
      </c>
    </row>
    <row r="796" spans="1:14" x14ac:dyDescent="0.3">
      <c r="A796">
        <v>2024001794</v>
      </c>
      <c r="B796" s="1">
        <v>45369</v>
      </c>
      <c r="C796" s="11">
        <f t="shared" si="36"/>
        <v>2024</v>
      </c>
      <c r="D796" t="s">
        <v>185</v>
      </c>
      <c r="E796" t="s">
        <v>18</v>
      </c>
      <c r="F796" t="s">
        <v>19</v>
      </c>
      <c r="G796" t="s">
        <v>14</v>
      </c>
      <c r="H796">
        <v>2</v>
      </c>
      <c r="I796" s="2">
        <v>588.22</v>
      </c>
      <c r="J796" s="2">
        <v>1176.44</v>
      </c>
      <c r="K796" s="2">
        <f t="shared" si="37"/>
        <v>1176.44</v>
      </c>
      <c r="L796" s="2">
        <f t="shared" si="38"/>
        <v>0</v>
      </c>
      <c r="M796" t="s">
        <v>64</v>
      </c>
      <c r="N796" t="s">
        <v>21</v>
      </c>
    </row>
    <row r="797" spans="1:14" x14ac:dyDescent="0.3">
      <c r="A797">
        <v>2024001795</v>
      </c>
      <c r="B797" s="1">
        <v>45618</v>
      </c>
      <c r="C797" s="11">
        <f t="shared" si="36"/>
        <v>2024</v>
      </c>
      <c r="D797" t="s">
        <v>11</v>
      </c>
      <c r="E797" t="s">
        <v>28</v>
      </c>
      <c r="F797" t="s">
        <v>29</v>
      </c>
      <c r="G797" t="s">
        <v>30</v>
      </c>
      <c r="H797">
        <v>5</v>
      </c>
      <c r="I797" s="2">
        <v>25.87</v>
      </c>
      <c r="J797" s="2">
        <v>129.35</v>
      </c>
      <c r="K797" s="2">
        <f t="shared" si="37"/>
        <v>129.35</v>
      </c>
      <c r="L797" s="2">
        <f t="shared" si="38"/>
        <v>0</v>
      </c>
      <c r="M797" t="s">
        <v>20</v>
      </c>
      <c r="N797" t="s">
        <v>32</v>
      </c>
    </row>
    <row r="798" spans="1:14" x14ac:dyDescent="0.3">
      <c r="A798">
        <v>2024001796</v>
      </c>
      <c r="B798" s="1">
        <v>45487</v>
      </c>
      <c r="C798" s="11">
        <f t="shared" si="36"/>
        <v>2024</v>
      </c>
      <c r="D798" t="s">
        <v>91</v>
      </c>
      <c r="E798" t="s">
        <v>34</v>
      </c>
      <c r="F798" t="s">
        <v>35</v>
      </c>
      <c r="G798" t="s">
        <v>36</v>
      </c>
      <c r="H798">
        <v>1</v>
      </c>
      <c r="I798" s="2">
        <v>15.05</v>
      </c>
      <c r="J798" s="2">
        <v>15.05</v>
      </c>
      <c r="K798" s="2">
        <f t="shared" si="37"/>
        <v>15.05</v>
      </c>
      <c r="L798" s="2">
        <f t="shared" si="38"/>
        <v>0</v>
      </c>
      <c r="M798" t="s">
        <v>64</v>
      </c>
      <c r="N798" t="s">
        <v>21</v>
      </c>
    </row>
    <row r="799" spans="1:14" x14ac:dyDescent="0.3">
      <c r="A799">
        <v>2024001797</v>
      </c>
      <c r="B799" s="1">
        <v>45463</v>
      </c>
      <c r="C799" s="11">
        <f t="shared" si="36"/>
        <v>2024</v>
      </c>
      <c r="D799" t="s">
        <v>11</v>
      </c>
      <c r="E799" t="s">
        <v>53</v>
      </c>
      <c r="F799" t="s">
        <v>54</v>
      </c>
      <c r="G799" t="s">
        <v>36</v>
      </c>
      <c r="H799">
        <v>1</v>
      </c>
      <c r="I799" s="2">
        <v>119.1</v>
      </c>
      <c r="J799" s="2">
        <v>119.1</v>
      </c>
      <c r="K799" s="2">
        <f t="shared" si="37"/>
        <v>119.1</v>
      </c>
      <c r="L799" s="2">
        <f t="shared" si="38"/>
        <v>0</v>
      </c>
      <c r="M799" t="s">
        <v>31</v>
      </c>
      <c r="N799" t="s">
        <v>26</v>
      </c>
    </row>
    <row r="800" spans="1:14" x14ac:dyDescent="0.3">
      <c r="A800">
        <v>2024001798</v>
      </c>
      <c r="B800" s="1">
        <v>45469</v>
      </c>
      <c r="C800" s="11">
        <f t="shared" si="36"/>
        <v>2024</v>
      </c>
      <c r="D800" t="s">
        <v>51</v>
      </c>
      <c r="E800" t="s">
        <v>12</v>
      </c>
      <c r="F800" t="s">
        <v>13</v>
      </c>
      <c r="G800" t="s">
        <v>14</v>
      </c>
      <c r="H800">
        <v>2</v>
      </c>
      <c r="I800" s="2">
        <v>345.98</v>
      </c>
      <c r="J800" s="2">
        <v>691.96</v>
      </c>
      <c r="K800" s="2">
        <f t="shared" si="37"/>
        <v>691.96</v>
      </c>
      <c r="L800" s="2">
        <f t="shared" si="38"/>
        <v>0</v>
      </c>
      <c r="M800" t="s">
        <v>25</v>
      </c>
      <c r="N800" t="s">
        <v>32</v>
      </c>
    </row>
    <row r="801" spans="1:14" x14ac:dyDescent="0.3">
      <c r="A801">
        <v>2024001799</v>
      </c>
      <c r="B801" s="1">
        <v>45515</v>
      </c>
      <c r="C801" s="11">
        <f t="shared" si="36"/>
        <v>2024</v>
      </c>
      <c r="D801" t="s">
        <v>11</v>
      </c>
      <c r="E801" t="s">
        <v>34</v>
      </c>
      <c r="F801" t="s">
        <v>35</v>
      </c>
      <c r="G801" t="s">
        <v>36</v>
      </c>
      <c r="H801">
        <v>2</v>
      </c>
      <c r="I801" s="2">
        <v>13.55</v>
      </c>
      <c r="J801" s="2">
        <v>27.1</v>
      </c>
      <c r="K801" s="2">
        <f t="shared" si="37"/>
        <v>27.1</v>
      </c>
      <c r="L801" s="2">
        <f t="shared" si="38"/>
        <v>0</v>
      </c>
      <c r="M801" t="s">
        <v>57</v>
      </c>
      <c r="N801" t="s">
        <v>32</v>
      </c>
    </row>
    <row r="802" spans="1:14" x14ac:dyDescent="0.3">
      <c r="A802">
        <v>2024001800</v>
      </c>
      <c r="B802" s="1">
        <v>45561</v>
      </c>
      <c r="C802" s="11">
        <f t="shared" si="36"/>
        <v>2024</v>
      </c>
      <c r="D802" t="s">
        <v>298</v>
      </c>
      <c r="E802" t="s">
        <v>43</v>
      </c>
      <c r="F802" t="s">
        <v>44</v>
      </c>
      <c r="G802" t="s">
        <v>36</v>
      </c>
      <c r="H802">
        <v>1</v>
      </c>
      <c r="I802" s="2">
        <v>1218.8399999999999</v>
      </c>
      <c r="J802" s="2">
        <v>1218.8399999999999</v>
      </c>
      <c r="K802" s="2">
        <f t="shared" si="37"/>
        <v>1218.8399999999999</v>
      </c>
      <c r="L802" s="2">
        <f t="shared" si="38"/>
        <v>0</v>
      </c>
      <c r="M802" t="s">
        <v>64</v>
      </c>
      <c r="N802" t="s">
        <v>16</v>
      </c>
    </row>
    <row r="803" spans="1:14" x14ac:dyDescent="0.3">
      <c r="A803">
        <v>2024001801</v>
      </c>
      <c r="B803" s="1">
        <v>45626</v>
      </c>
      <c r="C803" s="11">
        <f t="shared" si="36"/>
        <v>2024</v>
      </c>
      <c r="D803" t="s">
        <v>214</v>
      </c>
      <c r="E803" t="s">
        <v>67</v>
      </c>
      <c r="F803" t="s">
        <v>68</v>
      </c>
      <c r="G803" t="s">
        <v>36</v>
      </c>
      <c r="H803">
        <v>1</v>
      </c>
      <c r="I803" s="2">
        <v>379.77</v>
      </c>
      <c r="J803" s="2">
        <v>379.77</v>
      </c>
      <c r="K803" s="2">
        <f t="shared" si="37"/>
        <v>379.77</v>
      </c>
      <c r="L803" s="2">
        <f t="shared" si="38"/>
        <v>0</v>
      </c>
      <c r="M803" t="s">
        <v>55</v>
      </c>
      <c r="N803" t="s">
        <v>32</v>
      </c>
    </row>
    <row r="804" spans="1:14" x14ac:dyDescent="0.3">
      <c r="A804">
        <v>2024001802</v>
      </c>
      <c r="B804" s="1">
        <v>45538</v>
      </c>
      <c r="C804" s="11">
        <f t="shared" si="36"/>
        <v>2024</v>
      </c>
      <c r="D804" t="s">
        <v>186</v>
      </c>
      <c r="E804" t="s">
        <v>34</v>
      </c>
      <c r="F804" t="s">
        <v>35</v>
      </c>
      <c r="G804" t="s">
        <v>36</v>
      </c>
      <c r="H804">
        <v>2</v>
      </c>
      <c r="I804" s="2">
        <v>15.05</v>
      </c>
      <c r="J804" s="2">
        <v>30.1</v>
      </c>
      <c r="K804" s="2">
        <f t="shared" si="37"/>
        <v>30.1</v>
      </c>
      <c r="L804" s="2">
        <f t="shared" si="38"/>
        <v>0</v>
      </c>
      <c r="M804" t="s">
        <v>38</v>
      </c>
      <c r="N804" t="s">
        <v>26</v>
      </c>
    </row>
    <row r="805" spans="1:14" x14ac:dyDescent="0.3">
      <c r="A805">
        <v>2024001803</v>
      </c>
      <c r="B805" s="1">
        <v>45560</v>
      </c>
      <c r="C805" s="11">
        <f t="shared" si="36"/>
        <v>2024</v>
      </c>
      <c r="D805" t="s">
        <v>114</v>
      </c>
      <c r="E805" t="s">
        <v>40</v>
      </c>
      <c r="F805" t="s">
        <v>41</v>
      </c>
      <c r="G805" t="s">
        <v>36</v>
      </c>
      <c r="H805">
        <v>1</v>
      </c>
      <c r="I805" s="2">
        <v>45.78</v>
      </c>
      <c r="J805" s="2">
        <v>45.78</v>
      </c>
      <c r="K805" s="2">
        <f t="shared" si="37"/>
        <v>45.78</v>
      </c>
      <c r="L805" s="2">
        <f t="shared" si="38"/>
        <v>0</v>
      </c>
      <c r="M805" t="s">
        <v>48</v>
      </c>
      <c r="N805" t="s">
        <v>26</v>
      </c>
    </row>
    <row r="806" spans="1:14" x14ac:dyDescent="0.3">
      <c r="A806">
        <v>2024001804</v>
      </c>
      <c r="B806" s="1">
        <v>45389</v>
      </c>
      <c r="C806" s="11">
        <f t="shared" si="36"/>
        <v>2024</v>
      </c>
      <c r="D806" t="s">
        <v>11</v>
      </c>
      <c r="E806" t="s">
        <v>40</v>
      </c>
      <c r="F806" t="s">
        <v>41</v>
      </c>
      <c r="G806" t="s">
        <v>36</v>
      </c>
      <c r="H806">
        <v>1</v>
      </c>
      <c r="I806" s="2">
        <v>45.03</v>
      </c>
      <c r="J806" s="2">
        <v>45.03</v>
      </c>
      <c r="K806" s="2">
        <f t="shared" si="37"/>
        <v>45.03</v>
      </c>
      <c r="L806" s="2">
        <f t="shared" si="38"/>
        <v>0</v>
      </c>
      <c r="M806" t="s">
        <v>48</v>
      </c>
      <c r="N806" t="s">
        <v>16</v>
      </c>
    </row>
    <row r="807" spans="1:14" x14ac:dyDescent="0.3">
      <c r="A807">
        <v>2024001805</v>
      </c>
      <c r="B807" s="1">
        <v>45305</v>
      </c>
      <c r="C807" s="11">
        <f t="shared" si="36"/>
        <v>2024</v>
      </c>
      <c r="D807" t="s">
        <v>11</v>
      </c>
      <c r="E807" t="s">
        <v>23</v>
      </c>
      <c r="F807" t="s">
        <v>24</v>
      </c>
      <c r="G807" t="s">
        <v>14</v>
      </c>
      <c r="H807">
        <v>1</v>
      </c>
      <c r="I807" s="2">
        <v>84.19</v>
      </c>
      <c r="J807" s="2">
        <v>84.19</v>
      </c>
      <c r="K807" s="2">
        <f t="shared" si="37"/>
        <v>84.19</v>
      </c>
      <c r="L807" s="2">
        <f t="shared" si="38"/>
        <v>0</v>
      </c>
      <c r="M807" t="s">
        <v>55</v>
      </c>
      <c r="N807" t="s">
        <v>26</v>
      </c>
    </row>
    <row r="808" spans="1:14" x14ac:dyDescent="0.3">
      <c r="A808">
        <v>2024001806</v>
      </c>
      <c r="B808" s="1">
        <v>45648</v>
      </c>
      <c r="C808" s="11">
        <f t="shared" si="36"/>
        <v>2024</v>
      </c>
      <c r="D808" t="s">
        <v>11</v>
      </c>
      <c r="E808" t="s">
        <v>28</v>
      </c>
      <c r="F808" t="s">
        <v>29</v>
      </c>
      <c r="G808" t="s">
        <v>30</v>
      </c>
      <c r="H808">
        <v>2</v>
      </c>
      <c r="I808" s="2">
        <v>22.95</v>
      </c>
      <c r="J808" s="2">
        <v>45.9</v>
      </c>
      <c r="K808" s="2">
        <f t="shared" si="37"/>
        <v>45.9</v>
      </c>
      <c r="L808" s="2">
        <f t="shared" si="38"/>
        <v>0</v>
      </c>
      <c r="M808" t="s">
        <v>25</v>
      </c>
      <c r="N808" t="s">
        <v>16</v>
      </c>
    </row>
    <row r="809" spans="1:14" x14ac:dyDescent="0.3">
      <c r="A809">
        <v>2024001807</v>
      </c>
      <c r="B809" s="1">
        <v>45582</v>
      </c>
      <c r="C809" s="11">
        <f t="shared" si="36"/>
        <v>2024</v>
      </c>
      <c r="D809" t="s">
        <v>277</v>
      </c>
      <c r="E809" t="s">
        <v>40</v>
      </c>
      <c r="F809" t="s">
        <v>41</v>
      </c>
      <c r="G809" t="s">
        <v>36</v>
      </c>
      <c r="H809">
        <v>2</v>
      </c>
      <c r="I809" s="2">
        <v>40.98</v>
      </c>
      <c r="J809" s="2">
        <v>81.96</v>
      </c>
      <c r="K809" s="2">
        <f t="shared" si="37"/>
        <v>81.96</v>
      </c>
      <c r="L809" s="2">
        <f t="shared" si="38"/>
        <v>0</v>
      </c>
      <c r="M809" t="s">
        <v>61</v>
      </c>
      <c r="N809" t="s">
        <v>21</v>
      </c>
    </row>
    <row r="810" spans="1:14" x14ac:dyDescent="0.3">
      <c r="A810">
        <v>2024001808</v>
      </c>
      <c r="B810" s="1">
        <v>45564</v>
      </c>
      <c r="C810" s="11">
        <f t="shared" si="36"/>
        <v>2024</v>
      </c>
      <c r="D810" t="s">
        <v>11</v>
      </c>
      <c r="E810" t="s">
        <v>46</v>
      </c>
      <c r="F810" t="s">
        <v>47</v>
      </c>
      <c r="G810" t="s">
        <v>36</v>
      </c>
      <c r="H810">
        <v>1</v>
      </c>
      <c r="I810" s="2">
        <v>90.91</v>
      </c>
      <c r="J810" s="2">
        <v>90.91</v>
      </c>
      <c r="K810" s="2">
        <f t="shared" si="37"/>
        <v>90.91</v>
      </c>
      <c r="L810" s="2">
        <f t="shared" si="38"/>
        <v>0</v>
      </c>
      <c r="M810" t="s">
        <v>64</v>
      </c>
      <c r="N810" t="s">
        <v>26</v>
      </c>
    </row>
    <row r="811" spans="1:14" x14ac:dyDescent="0.3">
      <c r="A811">
        <v>2024001809</v>
      </c>
      <c r="B811" s="1">
        <v>45616</v>
      </c>
      <c r="C811" s="11">
        <f t="shared" si="36"/>
        <v>2024</v>
      </c>
      <c r="D811" t="s">
        <v>97</v>
      </c>
      <c r="E811" t="s">
        <v>12</v>
      </c>
      <c r="F811" t="s">
        <v>13</v>
      </c>
      <c r="G811" t="s">
        <v>14</v>
      </c>
      <c r="H811">
        <v>1</v>
      </c>
      <c r="I811" s="2">
        <v>359.49</v>
      </c>
      <c r="J811" s="2">
        <v>359.49</v>
      </c>
      <c r="K811" s="2">
        <f t="shared" si="37"/>
        <v>359.49</v>
      </c>
      <c r="L811" s="2">
        <f t="shared" si="38"/>
        <v>0</v>
      </c>
      <c r="M811" t="s">
        <v>57</v>
      </c>
      <c r="N811" t="s">
        <v>26</v>
      </c>
    </row>
    <row r="812" spans="1:14" x14ac:dyDescent="0.3">
      <c r="A812">
        <v>2024001810</v>
      </c>
      <c r="B812" s="1">
        <v>45456</v>
      </c>
      <c r="C812" s="11">
        <f t="shared" si="36"/>
        <v>2024</v>
      </c>
      <c r="D812" t="s">
        <v>108</v>
      </c>
      <c r="E812" t="s">
        <v>18</v>
      </c>
      <c r="F812" t="s">
        <v>19</v>
      </c>
      <c r="G812" t="s">
        <v>14</v>
      </c>
      <c r="H812">
        <v>3</v>
      </c>
      <c r="I812" s="2">
        <v>603.87</v>
      </c>
      <c r="J812" s="2">
        <v>1811.61</v>
      </c>
      <c r="K812" s="2">
        <f t="shared" si="37"/>
        <v>1811.6100000000001</v>
      </c>
      <c r="L812" s="2">
        <f t="shared" si="38"/>
        <v>0</v>
      </c>
      <c r="M812" t="s">
        <v>64</v>
      </c>
      <c r="N812" t="s">
        <v>32</v>
      </c>
    </row>
    <row r="813" spans="1:14" x14ac:dyDescent="0.3">
      <c r="A813">
        <v>2024001811</v>
      </c>
      <c r="B813" s="1">
        <v>45505</v>
      </c>
      <c r="C813" s="11">
        <f t="shared" si="36"/>
        <v>2024</v>
      </c>
      <c r="D813" t="s">
        <v>301</v>
      </c>
      <c r="E813" t="s">
        <v>40</v>
      </c>
      <c r="F813" t="s">
        <v>41</v>
      </c>
      <c r="G813" t="s">
        <v>36</v>
      </c>
      <c r="H813">
        <v>1</v>
      </c>
      <c r="I813" s="2">
        <v>42.87</v>
      </c>
      <c r="J813" s="2">
        <v>42.87</v>
      </c>
      <c r="K813" s="2">
        <f t="shared" si="37"/>
        <v>42.87</v>
      </c>
      <c r="L813" s="2">
        <f t="shared" si="38"/>
        <v>0</v>
      </c>
      <c r="M813" t="s">
        <v>64</v>
      </c>
      <c r="N813" t="s">
        <v>21</v>
      </c>
    </row>
    <row r="814" spans="1:14" x14ac:dyDescent="0.3">
      <c r="A814">
        <v>2024001812</v>
      </c>
      <c r="B814" s="1">
        <v>45657</v>
      </c>
      <c r="C814" s="11">
        <f t="shared" si="36"/>
        <v>2024</v>
      </c>
      <c r="D814" t="s">
        <v>290</v>
      </c>
      <c r="E814" t="s">
        <v>40</v>
      </c>
      <c r="F814" t="s">
        <v>41</v>
      </c>
      <c r="G814" t="s">
        <v>36</v>
      </c>
      <c r="H814">
        <v>2</v>
      </c>
      <c r="I814" s="2">
        <v>46.71</v>
      </c>
      <c r="J814" s="2">
        <v>93.42</v>
      </c>
      <c r="K814" s="2">
        <f t="shared" si="37"/>
        <v>93.42</v>
      </c>
      <c r="L814" s="2">
        <f t="shared" si="38"/>
        <v>0</v>
      </c>
      <c r="M814" t="s">
        <v>38</v>
      </c>
      <c r="N814" t="s">
        <v>32</v>
      </c>
    </row>
    <row r="815" spans="1:14" x14ac:dyDescent="0.3">
      <c r="A815">
        <v>2024001813</v>
      </c>
      <c r="B815" s="1">
        <v>45416</v>
      </c>
      <c r="C815" s="11">
        <f t="shared" si="36"/>
        <v>2024</v>
      </c>
      <c r="D815" t="s">
        <v>211</v>
      </c>
      <c r="E815" t="s">
        <v>43</v>
      </c>
      <c r="F815" t="s">
        <v>44</v>
      </c>
      <c r="G815" t="s">
        <v>36</v>
      </c>
      <c r="H815">
        <v>2</v>
      </c>
      <c r="I815" s="2">
        <v>1140.3800000000001</v>
      </c>
      <c r="J815" s="2">
        <v>2280.7600000000002</v>
      </c>
      <c r="K815" s="2">
        <f t="shared" si="37"/>
        <v>2280.7600000000002</v>
      </c>
      <c r="L815" s="2">
        <f t="shared" si="38"/>
        <v>0</v>
      </c>
      <c r="M815" t="s">
        <v>48</v>
      </c>
      <c r="N815" t="s">
        <v>21</v>
      </c>
    </row>
    <row r="816" spans="1:14" x14ac:dyDescent="0.3">
      <c r="A816">
        <v>2024001438</v>
      </c>
      <c r="B816" s="1">
        <v>45519</v>
      </c>
      <c r="C816" s="11">
        <f t="shared" si="36"/>
        <v>2024</v>
      </c>
      <c r="D816" t="s">
        <v>175</v>
      </c>
      <c r="E816" t="s">
        <v>67</v>
      </c>
      <c r="F816" t="s">
        <v>68</v>
      </c>
      <c r="G816" t="s">
        <v>36</v>
      </c>
      <c r="H816">
        <v>1</v>
      </c>
      <c r="I816" s="2">
        <v>415.25</v>
      </c>
      <c r="J816" s="2">
        <v>415.25</v>
      </c>
      <c r="K816" s="2">
        <f t="shared" si="37"/>
        <v>415.25</v>
      </c>
      <c r="L816" s="2">
        <f t="shared" si="38"/>
        <v>0</v>
      </c>
      <c r="M816" t="s">
        <v>20</v>
      </c>
      <c r="N816" t="s">
        <v>32</v>
      </c>
    </row>
    <row r="817" spans="1:14" x14ac:dyDescent="0.3">
      <c r="A817">
        <v>2024001815</v>
      </c>
      <c r="B817" s="1">
        <v>45404</v>
      </c>
      <c r="C817" s="11">
        <f t="shared" si="36"/>
        <v>2024</v>
      </c>
      <c r="D817" t="s">
        <v>174</v>
      </c>
      <c r="E817" t="s">
        <v>23</v>
      </c>
      <c r="F817" t="s">
        <v>24</v>
      </c>
      <c r="G817" t="s">
        <v>14</v>
      </c>
      <c r="H817">
        <v>3</v>
      </c>
      <c r="I817" s="2">
        <v>76.739999999999995</v>
      </c>
      <c r="J817" s="2">
        <v>230.22</v>
      </c>
      <c r="K817" s="2">
        <f t="shared" si="37"/>
        <v>230.21999999999997</v>
      </c>
      <c r="L817" s="2">
        <f t="shared" si="38"/>
        <v>0</v>
      </c>
      <c r="M817" t="s">
        <v>61</v>
      </c>
      <c r="N817" t="s">
        <v>26</v>
      </c>
    </row>
    <row r="818" spans="1:14" x14ac:dyDescent="0.3">
      <c r="A818">
        <v>2024001816</v>
      </c>
      <c r="B818" s="1">
        <v>45462</v>
      </c>
      <c r="C818" s="11">
        <f t="shared" si="36"/>
        <v>2024</v>
      </c>
      <c r="D818" t="s">
        <v>261</v>
      </c>
      <c r="E818" t="s">
        <v>46</v>
      </c>
      <c r="F818" t="s">
        <v>47</v>
      </c>
      <c r="G818" t="s">
        <v>36</v>
      </c>
      <c r="H818">
        <v>3</v>
      </c>
      <c r="I818" s="2">
        <v>93.17</v>
      </c>
      <c r="J818" s="2">
        <v>279.51</v>
      </c>
      <c r="K818" s="2">
        <f t="shared" si="37"/>
        <v>279.51</v>
      </c>
      <c r="L818" s="2">
        <f t="shared" si="38"/>
        <v>0</v>
      </c>
      <c r="M818" t="s">
        <v>31</v>
      </c>
      <c r="N818" t="s">
        <v>16</v>
      </c>
    </row>
    <row r="819" spans="1:14" x14ac:dyDescent="0.3">
      <c r="A819">
        <v>2024001817</v>
      </c>
      <c r="B819" s="1">
        <v>45605</v>
      </c>
      <c r="C819" s="11">
        <f t="shared" si="36"/>
        <v>2024</v>
      </c>
      <c r="D819" t="s">
        <v>11</v>
      </c>
      <c r="E819" t="s">
        <v>12</v>
      </c>
      <c r="F819" t="s">
        <v>13</v>
      </c>
      <c r="G819" t="s">
        <v>14</v>
      </c>
      <c r="H819">
        <v>5</v>
      </c>
      <c r="I819" s="2">
        <v>369.62</v>
      </c>
      <c r="J819" s="2">
        <v>1848.1</v>
      </c>
      <c r="K819" s="2">
        <f t="shared" si="37"/>
        <v>1848.1</v>
      </c>
      <c r="L819" s="2">
        <f t="shared" si="38"/>
        <v>0</v>
      </c>
      <c r="M819" t="s">
        <v>20</v>
      </c>
      <c r="N819" t="s">
        <v>16</v>
      </c>
    </row>
    <row r="820" spans="1:14" x14ac:dyDescent="0.3">
      <c r="A820">
        <v>2024001818</v>
      </c>
      <c r="B820" s="1">
        <v>45397</v>
      </c>
      <c r="C820" s="11">
        <f t="shared" si="36"/>
        <v>2024</v>
      </c>
      <c r="D820" t="s">
        <v>150</v>
      </c>
      <c r="E820" t="s">
        <v>23</v>
      </c>
      <c r="F820" t="s">
        <v>24</v>
      </c>
      <c r="G820" t="s">
        <v>14</v>
      </c>
      <c r="H820">
        <v>1</v>
      </c>
      <c r="I820" s="2">
        <v>81.349999999999994</v>
      </c>
      <c r="J820" s="2">
        <v>81.349999999999994</v>
      </c>
      <c r="K820" s="2">
        <f t="shared" si="37"/>
        <v>81.349999999999994</v>
      </c>
      <c r="L820" s="2">
        <f t="shared" si="38"/>
        <v>0</v>
      </c>
      <c r="M820" t="s">
        <v>61</v>
      </c>
      <c r="N820" t="s">
        <v>32</v>
      </c>
    </row>
    <row r="821" spans="1:14" x14ac:dyDescent="0.3">
      <c r="A821">
        <v>2024001819</v>
      </c>
      <c r="B821" s="1">
        <v>45654</v>
      </c>
      <c r="C821" s="11">
        <f t="shared" si="36"/>
        <v>2024</v>
      </c>
      <c r="D821" t="s">
        <v>255</v>
      </c>
      <c r="E821" t="s">
        <v>18</v>
      </c>
      <c r="F821" t="s">
        <v>19</v>
      </c>
      <c r="G821" t="s">
        <v>14</v>
      </c>
      <c r="H821">
        <v>2</v>
      </c>
      <c r="I821" s="2">
        <v>607.38</v>
      </c>
      <c r="J821" s="2">
        <v>1214.76</v>
      </c>
      <c r="K821" s="2">
        <f t="shared" si="37"/>
        <v>1214.76</v>
      </c>
      <c r="L821" s="2">
        <f t="shared" si="38"/>
        <v>0</v>
      </c>
      <c r="M821" t="s">
        <v>48</v>
      </c>
      <c r="N821" t="s">
        <v>21</v>
      </c>
    </row>
    <row r="822" spans="1:14" x14ac:dyDescent="0.3">
      <c r="A822">
        <v>2024001820</v>
      </c>
      <c r="B822" s="1">
        <v>45623</v>
      </c>
      <c r="C822" s="11">
        <f t="shared" si="36"/>
        <v>2024</v>
      </c>
      <c r="D822" t="s">
        <v>316</v>
      </c>
      <c r="E822" t="s">
        <v>34</v>
      </c>
      <c r="F822" t="s">
        <v>35</v>
      </c>
      <c r="G822" t="s">
        <v>36</v>
      </c>
      <c r="H822">
        <v>1</v>
      </c>
      <c r="I822" s="2">
        <v>14</v>
      </c>
      <c r="J822" s="2">
        <v>14</v>
      </c>
      <c r="K822" s="2">
        <f t="shared" si="37"/>
        <v>14</v>
      </c>
      <c r="L822" s="2">
        <f t="shared" si="38"/>
        <v>0</v>
      </c>
      <c r="M822" t="s">
        <v>64</v>
      </c>
      <c r="N822" t="s">
        <v>21</v>
      </c>
    </row>
    <row r="823" spans="1:14" x14ac:dyDescent="0.3">
      <c r="A823">
        <v>2024001821</v>
      </c>
      <c r="B823" s="1">
        <v>45476</v>
      </c>
      <c r="C823" s="11">
        <f t="shared" si="36"/>
        <v>2024</v>
      </c>
      <c r="D823" t="s">
        <v>72</v>
      </c>
      <c r="E823" t="s">
        <v>67</v>
      </c>
      <c r="F823" t="s">
        <v>68</v>
      </c>
      <c r="G823" t="s">
        <v>36</v>
      </c>
      <c r="H823">
        <v>5</v>
      </c>
      <c r="I823" s="2">
        <v>403.19</v>
      </c>
      <c r="J823" s="2">
        <v>2015.95</v>
      </c>
      <c r="K823" s="2">
        <f t="shared" si="37"/>
        <v>2015.95</v>
      </c>
      <c r="L823" s="2">
        <f t="shared" si="38"/>
        <v>0</v>
      </c>
      <c r="M823" t="s">
        <v>57</v>
      </c>
      <c r="N823" t="s">
        <v>26</v>
      </c>
    </row>
    <row r="824" spans="1:14" x14ac:dyDescent="0.3">
      <c r="A824">
        <v>2024001822</v>
      </c>
      <c r="B824" s="1">
        <v>45333</v>
      </c>
      <c r="C824" s="11">
        <f t="shared" si="36"/>
        <v>2024</v>
      </c>
      <c r="D824" t="s">
        <v>11</v>
      </c>
      <c r="E824" t="s">
        <v>40</v>
      </c>
      <c r="F824" t="s">
        <v>41</v>
      </c>
      <c r="G824" t="s">
        <v>36</v>
      </c>
      <c r="H824">
        <v>3</v>
      </c>
      <c r="I824" s="2">
        <v>47.85</v>
      </c>
      <c r="J824" s="2">
        <v>143.55000000000001</v>
      </c>
      <c r="K824" s="2">
        <f t="shared" si="37"/>
        <v>143.55000000000001</v>
      </c>
      <c r="L824" s="2">
        <f t="shared" si="38"/>
        <v>0</v>
      </c>
      <c r="M824" t="s">
        <v>31</v>
      </c>
      <c r="N824" t="s">
        <v>26</v>
      </c>
    </row>
    <row r="825" spans="1:14" x14ac:dyDescent="0.3">
      <c r="A825">
        <v>2024001823</v>
      </c>
      <c r="B825" s="1">
        <v>45585</v>
      </c>
      <c r="C825" s="11">
        <f t="shared" si="36"/>
        <v>2024</v>
      </c>
      <c r="D825" t="s">
        <v>289</v>
      </c>
      <c r="E825" t="s">
        <v>23</v>
      </c>
      <c r="F825" t="s">
        <v>24</v>
      </c>
      <c r="G825" t="s">
        <v>14</v>
      </c>
      <c r="H825">
        <v>1</v>
      </c>
      <c r="I825" s="2">
        <v>76.099999999999994</v>
      </c>
      <c r="J825" s="2">
        <v>76.099999999999994</v>
      </c>
      <c r="K825" s="2">
        <f t="shared" si="37"/>
        <v>76.099999999999994</v>
      </c>
      <c r="L825" s="2">
        <f t="shared" si="38"/>
        <v>0</v>
      </c>
      <c r="M825" t="s">
        <v>20</v>
      </c>
      <c r="N825" t="s">
        <v>21</v>
      </c>
    </row>
    <row r="826" spans="1:14" x14ac:dyDescent="0.3">
      <c r="A826">
        <v>2024001824</v>
      </c>
      <c r="B826" s="1">
        <v>45348</v>
      </c>
      <c r="C826" s="11">
        <f t="shared" si="36"/>
        <v>2024</v>
      </c>
      <c r="D826" t="s">
        <v>286</v>
      </c>
      <c r="E826" t="s">
        <v>40</v>
      </c>
      <c r="F826" t="s">
        <v>41</v>
      </c>
      <c r="G826" t="s">
        <v>36</v>
      </c>
      <c r="H826">
        <v>1</v>
      </c>
      <c r="I826" s="2">
        <v>45.41</v>
      </c>
      <c r="J826" s="2">
        <v>45.41</v>
      </c>
      <c r="K826" s="2">
        <f t="shared" si="37"/>
        <v>45.41</v>
      </c>
      <c r="L826" s="2">
        <f t="shared" si="38"/>
        <v>0</v>
      </c>
      <c r="M826" t="s">
        <v>25</v>
      </c>
      <c r="N826" t="s">
        <v>26</v>
      </c>
    </row>
    <row r="827" spans="1:14" x14ac:dyDescent="0.3">
      <c r="A827">
        <v>2024001825</v>
      </c>
      <c r="B827" s="1">
        <v>45470</v>
      </c>
      <c r="C827" s="11">
        <f t="shared" si="36"/>
        <v>2024</v>
      </c>
      <c r="D827" t="s">
        <v>216</v>
      </c>
      <c r="E827" t="s">
        <v>18</v>
      </c>
      <c r="F827" t="s">
        <v>19</v>
      </c>
      <c r="G827" t="s">
        <v>14</v>
      </c>
      <c r="H827">
        <v>3</v>
      </c>
      <c r="I827" s="2">
        <v>639.1</v>
      </c>
      <c r="J827" s="2">
        <v>1917.3</v>
      </c>
      <c r="K827" s="2">
        <f t="shared" si="37"/>
        <v>1917.3000000000002</v>
      </c>
      <c r="L827" s="2">
        <f t="shared" si="38"/>
        <v>0</v>
      </c>
      <c r="M827" t="s">
        <v>64</v>
      </c>
      <c r="N827" t="s">
        <v>32</v>
      </c>
    </row>
    <row r="828" spans="1:14" x14ac:dyDescent="0.3">
      <c r="A828">
        <v>2024001826</v>
      </c>
      <c r="B828" s="1">
        <v>45317</v>
      </c>
      <c r="C828" s="11">
        <f t="shared" si="36"/>
        <v>2024</v>
      </c>
      <c r="D828" t="s">
        <v>50</v>
      </c>
      <c r="E828" t="s">
        <v>12</v>
      </c>
      <c r="F828" t="s">
        <v>13</v>
      </c>
      <c r="G828" t="s">
        <v>14</v>
      </c>
      <c r="H828">
        <v>4</v>
      </c>
      <c r="I828" s="2">
        <v>347.12</v>
      </c>
      <c r="J828" s="2">
        <v>1388.48</v>
      </c>
      <c r="K828" s="2">
        <f t="shared" si="37"/>
        <v>1388.48</v>
      </c>
      <c r="L828" s="2">
        <f t="shared" si="38"/>
        <v>0</v>
      </c>
      <c r="M828" t="s">
        <v>15</v>
      </c>
      <c r="N828" t="s">
        <v>32</v>
      </c>
    </row>
    <row r="829" spans="1:14" x14ac:dyDescent="0.3">
      <c r="A829">
        <v>2024001827</v>
      </c>
      <c r="B829" s="1">
        <v>45626</v>
      </c>
      <c r="C829" s="11">
        <f t="shared" si="36"/>
        <v>2024</v>
      </c>
      <c r="D829" t="s">
        <v>178</v>
      </c>
      <c r="E829" t="s">
        <v>12</v>
      </c>
      <c r="F829" t="s">
        <v>13</v>
      </c>
      <c r="G829" t="s">
        <v>14</v>
      </c>
      <c r="H829">
        <v>3</v>
      </c>
      <c r="I829" s="2">
        <v>353.71</v>
      </c>
      <c r="J829" s="2">
        <v>1061.1300000000001</v>
      </c>
      <c r="K829" s="2">
        <f t="shared" si="37"/>
        <v>1061.1299999999999</v>
      </c>
      <c r="L829" s="2">
        <f t="shared" si="38"/>
        <v>0</v>
      </c>
      <c r="M829" t="s">
        <v>15</v>
      </c>
      <c r="N829" t="s">
        <v>32</v>
      </c>
    </row>
    <row r="830" spans="1:14" x14ac:dyDescent="0.3">
      <c r="A830">
        <v>2024001828</v>
      </c>
      <c r="B830" s="1">
        <v>45438</v>
      </c>
      <c r="C830" s="11">
        <f t="shared" si="36"/>
        <v>2024</v>
      </c>
      <c r="D830" t="s">
        <v>282</v>
      </c>
      <c r="E830" t="s">
        <v>46</v>
      </c>
      <c r="F830" t="s">
        <v>47</v>
      </c>
      <c r="G830" t="s">
        <v>36</v>
      </c>
      <c r="H830">
        <v>1</v>
      </c>
      <c r="I830" s="2">
        <v>95.64</v>
      </c>
      <c r="J830" s="2">
        <v>95.64</v>
      </c>
      <c r="K830" s="2">
        <f t="shared" si="37"/>
        <v>95.64</v>
      </c>
      <c r="L830" s="2">
        <f t="shared" si="38"/>
        <v>0</v>
      </c>
      <c r="M830" t="s">
        <v>64</v>
      </c>
      <c r="N830" t="s">
        <v>32</v>
      </c>
    </row>
    <row r="831" spans="1:14" x14ac:dyDescent="0.3">
      <c r="A831">
        <v>2024001829</v>
      </c>
      <c r="B831" s="1">
        <v>45652</v>
      </c>
      <c r="C831" s="11">
        <f t="shared" si="36"/>
        <v>2024</v>
      </c>
      <c r="D831" t="s">
        <v>71</v>
      </c>
      <c r="E831" t="s">
        <v>67</v>
      </c>
      <c r="F831" t="s">
        <v>68</v>
      </c>
      <c r="G831" t="s">
        <v>36</v>
      </c>
      <c r="H831">
        <v>1</v>
      </c>
      <c r="I831" s="2">
        <v>395.98</v>
      </c>
      <c r="J831" s="2">
        <v>395.98</v>
      </c>
      <c r="K831" s="2">
        <f t="shared" si="37"/>
        <v>395.98</v>
      </c>
      <c r="L831" s="2">
        <f t="shared" si="38"/>
        <v>0</v>
      </c>
      <c r="M831" t="s">
        <v>31</v>
      </c>
      <c r="N831" t="s">
        <v>16</v>
      </c>
    </row>
    <row r="832" spans="1:14" x14ac:dyDescent="0.3">
      <c r="A832">
        <v>2024001830</v>
      </c>
      <c r="B832" s="1">
        <v>45502</v>
      </c>
      <c r="C832" s="11">
        <f t="shared" si="36"/>
        <v>2024</v>
      </c>
      <c r="D832" t="s">
        <v>173</v>
      </c>
      <c r="E832" t="s">
        <v>43</v>
      </c>
      <c r="F832" t="s">
        <v>44</v>
      </c>
      <c r="G832" t="s">
        <v>36</v>
      </c>
      <c r="H832">
        <v>1</v>
      </c>
      <c r="I832" s="2">
        <v>1191.95</v>
      </c>
      <c r="J832" s="2">
        <v>1191.95</v>
      </c>
      <c r="K832" s="2">
        <f t="shared" si="37"/>
        <v>1191.95</v>
      </c>
      <c r="L832" s="2">
        <f t="shared" si="38"/>
        <v>0</v>
      </c>
      <c r="M832" t="s">
        <v>38</v>
      </c>
      <c r="N832" t="s">
        <v>26</v>
      </c>
    </row>
    <row r="833" spans="1:14" x14ac:dyDescent="0.3">
      <c r="A833">
        <v>2024001831</v>
      </c>
      <c r="B833" s="1">
        <v>45346</v>
      </c>
      <c r="C833" s="11">
        <f t="shared" si="36"/>
        <v>2024</v>
      </c>
      <c r="D833" t="s">
        <v>11</v>
      </c>
      <c r="E833" t="s">
        <v>28</v>
      </c>
      <c r="F833" t="s">
        <v>29</v>
      </c>
      <c r="G833" t="s">
        <v>30</v>
      </c>
      <c r="H833">
        <v>2</v>
      </c>
      <c r="I833" s="2">
        <v>25.52</v>
      </c>
      <c r="J833" s="2">
        <v>51.04</v>
      </c>
      <c r="K833" s="2">
        <f t="shared" si="37"/>
        <v>51.04</v>
      </c>
      <c r="L833" s="2">
        <f t="shared" si="38"/>
        <v>0</v>
      </c>
      <c r="M833" t="s">
        <v>55</v>
      </c>
      <c r="N833" t="s">
        <v>21</v>
      </c>
    </row>
    <row r="834" spans="1:14" x14ac:dyDescent="0.3">
      <c r="A834">
        <v>2024001832</v>
      </c>
      <c r="B834" s="1">
        <v>45388</v>
      </c>
      <c r="C834" s="11">
        <f t="shared" si="36"/>
        <v>2024</v>
      </c>
      <c r="D834" t="s">
        <v>187</v>
      </c>
      <c r="E834" t="s">
        <v>67</v>
      </c>
      <c r="F834" t="s">
        <v>68</v>
      </c>
      <c r="G834" t="s">
        <v>36</v>
      </c>
      <c r="H834">
        <v>1</v>
      </c>
      <c r="I834" s="2">
        <v>386.6</v>
      </c>
      <c r="J834" s="2">
        <v>386.6</v>
      </c>
      <c r="K834" s="2">
        <f t="shared" si="37"/>
        <v>386.6</v>
      </c>
      <c r="L834" s="2">
        <f t="shared" si="38"/>
        <v>0</v>
      </c>
      <c r="M834" t="s">
        <v>57</v>
      </c>
      <c r="N834" t="s">
        <v>21</v>
      </c>
    </row>
    <row r="835" spans="1:14" x14ac:dyDescent="0.3">
      <c r="A835">
        <v>2024001833</v>
      </c>
      <c r="B835" s="1">
        <v>45325</v>
      </c>
      <c r="C835" s="11">
        <f t="shared" ref="C835:C898" si="39">YEAR(B835)</f>
        <v>2024</v>
      </c>
      <c r="D835" t="s">
        <v>11</v>
      </c>
      <c r="E835" t="s">
        <v>43</v>
      </c>
      <c r="F835" t="s">
        <v>44</v>
      </c>
      <c r="G835" t="s">
        <v>36</v>
      </c>
      <c r="H835">
        <v>4</v>
      </c>
      <c r="I835" s="2">
        <v>1270.3</v>
      </c>
      <c r="J835" s="2">
        <v>5081.2</v>
      </c>
      <c r="K835" s="2">
        <f t="shared" ref="K835:K898" si="40">I835*H835</f>
        <v>5081.2</v>
      </c>
      <c r="L835" s="2">
        <f t="shared" ref="L835:L898" si="41">J835-K835</f>
        <v>0</v>
      </c>
      <c r="M835" t="s">
        <v>15</v>
      </c>
      <c r="N835" t="s">
        <v>21</v>
      </c>
    </row>
    <row r="836" spans="1:14" x14ac:dyDescent="0.3">
      <c r="A836">
        <v>2024001834</v>
      </c>
      <c r="B836" s="1">
        <v>45294</v>
      </c>
      <c r="C836" s="11">
        <f t="shared" si="39"/>
        <v>2024</v>
      </c>
      <c r="D836" t="s">
        <v>11</v>
      </c>
      <c r="E836" t="s">
        <v>46</v>
      </c>
      <c r="F836" t="s">
        <v>47</v>
      </c>
      <c r="G836" t="s">
        <v>36</v>
      </c>
      <c r="H836">
        <v>2</v>
      </c>
      <c r="I836" s="2">
        <v>84.38</v>
      </c>
      <c r="J836" s="2">
        <v>168.76</v>
      </c>
      <c r="K836" s="2">
        <f t="shared" si="40"/>
        <v>168.76</v>
      </c>
      <c r="L836" s="2">
        <f t="shared" si="41"/>
        <v>0</v>
      </c>
      <c r="M836" t="s">
        <v>64</v>
      </c>
      <c r="N836" t="s">
        <v>21</v>
      </c>
    </row>
    <row r="837" spans="1:14" x14ac:dyDescent="0.3">
      <c r="A837">
        <v>2024001835</v>
      </c>
      <c r="B837" s="1">
        <v>45301</v>
      </c>
      <c r="C837" s="11">
        <f t="shared" si="39"/>
        <v>2024</v>
      </c>
      <c r="D837" t="s">
        <v>324</v>
      </c>
      <c r="E837" t="s">
        <v>46</v>
      </c>
      <c r="F837" t="s">
        <v>47</v>
      </c>
      <c r="G837" t="s">
        <v>36</v>
      </c>
      <c r="H837">
        <v>2</v>
      </c>
      <c r="I837" s="2">
        <v>85.01</v>
      </c>
      <c r="J837" s="2">
        <v>170.02</v>
      </c>
      <c r="K837" s="2">
        <f t="shared" si="40"/>
        <v>170.02</v>
      </c>
      <c r="L837" s="2">
        <f t="shared" si="41"/>
        <v>0</v>
      </c>
      <c r="M837" t="s">
        <v>38</v>
      </c>
      <c r="N837" t="s">
        <v>26</v>
      </c>
    </row>
    <row r="838" spans="1:14" x14ac:dyDescent="0.3">
      <c r="A838">
        <v>2024001836</v>
      </c>
      <c r="B838" s="1">
        <v>45417</v>
      </c>
      <c r="C838" s="11">
        <f t="shared" si="39"/>
        <v>2024</v>
      </c>
      <c r="D838" t="s">
        <v>291</v>
      </c>
      <c r="E838" t="s">
        <v>43</v>
      </c>
      <c r="F838" t="s">
        <v>44</v>
      </c>
      <c r="G838" t="s">
        <v>36</v>
      </c>
      <c r="H838">
        <v>1</v>
      </c>
      <c r="I838" s="2">
        <v>1153.1199999999999</v>
      </c>
      <c r="J838" s="2">
        <v>1153.1199999999999</v>
      </c>
      <c r="K838" s="2">
        <f t="shared" si="40"/>
        <v>1153.1199999999999</v>
      </c>
      <c r="L838" s="2">
        <f t="shared" si="41"/>
        <v>0</v>
      </c>
      <c r="M838" t="s">
        <v>20</v>
      </c>
      <c r="N838" t="s">
        <v>32</v>
      </c>
    </row>
    <row r="839" spans="1:14" x14ac:dyDescent="0.3">
      <c r="A839">
        <v>2024001837</v>
      </c>
      <c r="B839" s="1">
        <v>45332</v>
      </c>
      <c r="C839" s="11">
        <f t="shared" si="39"/>
        <v>2024</v>
      </c>
      <c r="D839" t="s">
        <v>226</v>
      </c>
      <c r="E839" t="s">
        <v>43</v>
      </c>
      <c r="F839" t="s">
        <v>44</v>
      </c>
      <c r="G839" t="s">
        <v>36</v>
      </c>
      <c r="H839">
        <v>1</v>
      </c>
      <c r="I839" s="2">
        <v>1138.5</v>
      </c>
      <c r="J839" s="2">
        <v>1138.5</v>
      </c>
      <c r="K839" s="2">
        <f t="shared" si="40"/>
        <v>1138.5</v>
      </c>
      <c r="L839" s="2">
        <f t="shared" si="41"/>
        <v>0</v>
      </c>
      <c r="M839" t="s">
        <v>55</v>
      </c>
      <c r="N839" t="s">
        <v>16</v>
      </c>
    </row>
    <row r="840" spans="1:14" x14ac:dyDescent="0.3">
      <c r="A840">
        <v>2024001838</v>
      </c>
      <c r="B840" s="1">
        <v>45657</v>
      </c>
      <c r="C840" s="11">
        <f t="shared" si="39"/>
        <v>2024</v>
      </c>
      <c r="D840" t="s">
        <v>125</v>
      </c>
      <c r="E840" t="s">
        <v>12</v>
      </c>
      <c r="F840" t="s">
        <v>13</v>
      </c>
      <c r="G840" t="s">
        <v>14</v>
      </c>
      <c r="H840">
        <v>2</v>
      </c>
      <c r="I840" s="2">
        <v>326.98</v>
      </c>
      <c r="J840" s="2">
        <v>653.96</v>
      </c>
      <c r="K840" s="2">
        <f t="shared" si="40"/>
        <v>653.96</v>
      </c>
      <c r="L840" s="2">
        <f t="shared" si="41"/>
        <v>0</v>
      </c>
      <c r="M840" t="s">
        <v>64</v>
      </c>
      <c r="N840" t="s">
        <v>32</v>
      </c>
    </row>
    <row r="841" spans="1:14" x14ac:dyDescent="0.3">
      <c r="A841">
        <v>2024001839</v>
      </c>
      <c r="B841" s="1">
        <v>45494</v>
      </c>
      <c r="C841" s="11">
        <f t="shared" si="39"/>
        <v>2024</v>
      </c>
      <c r="D841" t="s">
        <v>202</v>
      </c>
      <c r="E841" t="s">
        <v>28</v>
      </c>
      <c r="F841" t="s">
        <v>29</v>
      </c>
      <c r="G841" t="s">
        <v>30</v>
      </c>
      <c r="H841">
        <v>2</v>
      </c>
      <c r="I841" s="2">
        <v>24.52</v>
      </c>
      <c r="J841" s="2">
        <v>49.04</v>
      </c>
      <c r="K841" s="2">
        <f t="shared" si="40"/>
        <v>49.04</v>
      </c>
      <c r="L841" s="2">
        <f t="shared" si="41"/>
        <v>0</v>
      </c>
      <c r="M841" t="s">
        <v>25</v>
      </c>
      <c r="N841" t="s">
        <v>16</v>
      </c>
    </row>
    <row r="842" spans="1:14" x14ac:dyDescent="0.3">
      <c r="A842">
        <v>2024001840</v>
      </c>
      <c r="B842" s="1">
        <v>45332</v>
      </c>
      <c r="C842" s="11">
        <f t="shared" si="39"/>
        <v>2024</v>
      </c>
      <c r="D842" t="s">
        <v>11</v>
      </c>
      <c r="E842" t="s">
        <v>23</v>
      </c>
      <c r="F842" t="s">
        <v>24</v>
      </c>
      <c r="G842" t="s">
        <v>14</v>
      </c>
      <c r="H842">
        <v>1</v>
      </c>
      <c r="I842" s="2">
        <v>77.86</v>
      </c>
      <c r="J842" s="2">
        <v>77.86</v>
      </c>
      <c r="K842" s="2">
        <f t="shared" si="40"/>
        <v>77.86</v>
      </c>
      <c r="L842" s="2">
        <f t="shared" si="41"/>
        <v>0</v>
      </c>
      <c r="M842" t="s">
        <v>25</v>
      </c>
      <c r="N842" t="s">
        <v>26</v>
      </c>
    </row>
    <row r="843" spans="1:14" x14ac:dyDescent="0.3">
      <c r="A843">
        <v>2024001841</v>
      </c>
      <c r="B843" s="1">
        <v>45421</v>
      </c>
      <c r="C843" s="11">
        <f t="shared" si="39"/>
        <v>2024</v>
      </c>
      <c r="D843" t="s">
        <v>11</v>
      </c>
      <c r="E843" t="s">
        <v>28</v>
      </c>
      <c r="F843" t="s">
        <v>29</v>
      </c>
      <c r="G843" t="s">
        <v>30</v>
      </c>
      <c r="H843">
        <v>1</v>
      </c>
      <c r="I843" s="2">
        <v>24.67</v>
      </c>
      <c r="J843" s="2">
        <v>24.67</v>
      </c>
      <c r="K843" s="2">
        <f t="shared" si="40"/>
        <v>24.67</v>
      </c>
      <c r="L843" s="2">
        <f t="shared" si="41"/>
        <v>0</v>
      </c>
      <c r="M843" t="s">
        <v>20</v>
      </c>
      <c r="N843" t="s">
        <v>26</v>
      </c>
    </row>
    <row r="844" spans="1:14" x14ac:dyDescent="0.3">
      <c r="A844">
        <v>2024001842</v>
      </c>
      <c r="B844" s="1">
        <v>45615</v>
      </c>
      <c r="C844" s="11">
        <f t="shared" si="39"/>
        <v>2024</v>
      </c>
      <c r="D844" t="s">
        <v>11</v>
      </c>
      <c r="E844" t="s">
        <v>43</v>
      </c>
      <c r="F844" t="s">
        <v>44</v>
      </c>
      <c r="G844" t="s">
        <v>36</v>
      </c>
      <c r="H844">
        <v>1</v>
      </c>
      <c r="I844" s="2">
        <v>1312.53</v>
      </c>
      <c r="J844" s="2">
        <v>1312.53</v>
      </c>
      <c r="K844" s="2">
        <f t="shared" si="40"/>
        <v>1312.53</v>
      </c>
      <c r="L844" s="2">
        <f t="shared" si="41"/>
        <v>0</v>
      </c>
      <c r="M844" t="s">
        <v>31</v>
      </c>
      <c r="N844" t="s">
        <v>21</v>
      </c>
    </row>
    <row r="845" spans="1:14" x14ac:dyDescent="0.3">
      <c r="A845">
        <v>2024001843</v>
      </c>
      <c r="B845" s="1">
        <v>45632</v>
      </c>
      <c r="C845" s="11">
        <f t="shared" si="39"/>
        <v>2024</v>
      </c>
      <c r="D845" t="s">
        <v>303</v>
      </c>
      <c r="E845" t="s">
        <v>40</v>
      </c>
      <c r="F845" t="s">
        <v>41</v>
      </c>
      <c r="G845" t="s">
        <v>36</v>
      </c>
      <c r="H845">
        <v>3</v>
      </c>
      <c r="I845" s="2">
        <v>48.64</v>
      </c>
      <c r="J845" s="2">
        <v>145.91999999999999</v>
      </c>
      <c r="K845" s="2">
        <f t="shared" si="40"/>
        <v>145.92000000000002</v>
      </c>
      <c r="L845" s="2">
        <f t="shared" si="41"/>
        <v>0</v>
      </c>
      <c r="M845" t="s">
        <v>20</v>
      </c>
      <c r="N845" t="s">
        <v>16</v>
      </c>
    </row>
    <row r="846" spans="1:14" x14ac:dyDescent="0.3">
      <c r="A846">
        <v>2024001844</v>
      </c>
      <c r="B846" s="1">
        <v>45656</v>
      </c>
      <c r="C846" s="11">
        <f t="shared" si="39"/>
        <v>2024</v>
      </c>
      <c r="D846" t="s">
        <v>179</v>
      </c>
      <c r="E846" t="s">
        <v>46</v>
      </c>
      <c r="F846" t="s">
        <v>47</v>
      </c>
      <c r="G846" t="s">
        <v>36</v>
      </c>
      <c r="H846">
        <v>1</v>
      </c>
      <c r="I846" s="2">
        <v>88.89</v>
      </c>
      <c r="J846" s="2">
        <v>88.89</v>
      </c>
      <c r="K846" s="2">
        <f t="shared" si="40"/>
        <v>88.89</v>
      </c>
      <c r="L846" s="2">
        <f t="shared" si="41"/>
        <v>0</v>
      </c>
      <c r="M846" t="s">
        <v>48</v>
      </c>
      <c r="N846" t="s">
        <v>16</v>
      </c>
    </row>
    <row r="847" spans="1:14" x14ac:dyDescent="0.3">
      <c r="A847">
        <v>2024001845</v>
      </c>
      <c r="B847" s="1">
        <v>45448</v>
      </c>
      <c r="C847" s="11">
        <f t="shared" si="39"/>
        <v>2024</v>
      </c>
      <c r="D847" t="s">
        <v>163</v>
      </c>
      <c r="E847" t="s">
        <v>12</v>
      </c>
      <c r="F847" t="s">
        <v>13</v>
      </c>
      <c r="G847" t="s">
        <v>14</v>
      </c>
      <c r="H847">
        <v>4</v>
      </c>
      <c r="I847" s="2">
        <v>360.42</v>
      </c>
      <c r="J847" s="2">
        <v>1441.68</v>
      </c>
      <c r="K847" s="2">
        <f t="shared" si="40"/>
        <v>1441.68</v>
      </c>
      <c r="L847" s="2">
        <f t="shared" si="41"/>
        <v>0</v>
      </c>
      <c r="M847" t="s">
        <v>38</v>
      </c>
      <c r="N847" t="s">
        <v>32</v>
      </c>
    </row>
    <row r="848" spans="1:14" x14ac:dyDescent="0.3">
      <c r="A848">
        <v>2024001846</v>
      </c>
      <c r="B848" s="1">
        <v>45338</v>
      </c>
      <c r="C848" s="11">
        <f t="shared" si="39"/>
        <v>2024</v>
      </c>
      <c r="D848" t="s">
        <v>232</v>
      </c>
      <c r="E848" t="s">
        <v>28</v>
      </c>
      <c r="F848" t="s">
        <v>29</v>
      </c>
      <c r="G848" t="s">
        <v>30</v>
      </c>
      <c r="H848">
        <v>1</v>
      </c>
      <c r="I848" s="2">
        <v>23.12</v>
      </c>
      <c r="J848" s="2">
        <v>23.12</v>
      </c>
      <c r="K848" s="2">
        <f t="shared" si="40"/>
        <v>23.12</v>
      </c>
      <c r="L848" s="2">
        <f t="shared" si="41"/>
        <v>0</v>
      </c>
      <c r="M848" t="s">
        <v>15</v>
      </c>
      <c r="N848" t="s">
        <v>21</v>
      </c>
    </row>
    <row r="849" spans="1:14" x14ac:dyDescent="0.3">
      <c r="A849">
        <v>2024001847</v>
      </c>
      <c r="B849" s="1">
        <v>45637</v>
      </c>
      <c r="C849" s="11">
        <f t="shared" si="39"/>
        <v>2024</v>
      </c>
      <c r="D849" t="s">
        <v>161</v>
      </c>
      <c r="E849" t="s">
        <v>28</v>
      </c>
      <c r="F849" t="s">
        <v>29</v>
      </c>
      <c r="G849" t="s">
        <v>30</v>
      </c>
      <c r="H849">
        <v>2</v>
      </c>
      <c r="I849" s="2">
        <v>24.99</v>
      </c>
      <c r="J849" s="2">
        <v>49.98</v>
      </c>
      <c r="K849" s="2">
        <f t="shared" si="40"/>
        <v>49.98</v>
      </c>
      <c r="L849" s="2">
        <f t="shared" si="41"/>
        <v>0</v>
      </c>
      <c r="M849" t="s">
        <v>61</v>
      </c>
      <c r="N849" t="s">
        <v>16</v>
      </c>
    </row>
    <row r="850" spans="1:14" x14ac:dyDescent="0.3">
      <c r="A850">
        <v>2024001848</v>
      </c>
      <c r="B850" s="1">
        <v>45472</v>
      </c>
      <c r="C850" s="11">
        <f t="shared" si="39"/>
        <v>2024</v>
      </c>
      <c r="D850" t="s">
        <v>325</v>
      </c>
      <c r="E850" t="s">
        <v>40</v>
      </c>
      <c r="F850" t="s">
        <v>41</v>
      </c>
      <c r="G850" t="s">
        <v>36</v>
      </c>
      <c r="H850">
        <v>4</v>
      </c>
      <c r="I850" s="2">
        <v>40.93</v>
      </c>
      <c r="J850" s="2">
        <v>163.72</v>
      </c>
      <c r="K850" s="2">
        <f t="shared" si="40"/>
        <v>163.72</v>
      </c>
      <c r="L850" s="2">
        <f t="shared" si="41"/>
        <v>0</v>
      </c>
      <c r="M850" t="s">
        <v>61</v>
      </c>
      <c r="N850" t="s">
        <v>32</v>
      </c>
    </row>
    <row r="851" spans="1:14" x14ac:dyDescent="0.3">
      <c r="A851">
        <v>2024001849</v>
      </c>
      <c r="B851" s="1">
        <v>45610</v>
      </c>
      <c r="C851" s="11">
        <f t="shared" si="39"/>
        <v>2024</v>
      </c>
      <c r="D851" t="s">
        <v>325</v>
      </c>
      <c r="E851" t="s">
        <v>43</v>
      </c>
      <c r="F851" t="s">
        <v>44</v>
      </c>
      <c r="G851" t="s">
        <v>36</v>
      </c>
      <c r="H851">
        <v>3</v>
      </c>
      <c r="I851" s="2">
        <v>1228.98</v>
      </c>
      <c r="J851" s="2">
        <v>3686.94</v>
      </c>
      <c r="K851" s="2">
        <f t="shared" si="40"/>
        <v>3686.94</v>
      </c>
      <c r="L851" s="2">
        <f t="shared" si="41"/>
        <v>0</v>
      </c>
      <c r="M851" t="s">
        <v>57</v>
      </c>
      <c r="N851" t="s">
        <v>32</v>
      </c>
    </row>
    <row r="852" spans="1:14" x14ac:dyDescent="0.3">
      <c r="A852">
        <v>2024001850</v>
      </c>
      <c r="B852" s="1">
        <v>45599</v>
      </c>
      <c r="C852" s="11">
        <f t="shared" si="39"/>
        <v>2024</v>
      </c>
      <c r="D852" t="s">
        <v>292</v>
      </c>
      <c r="E852" t="s">
        <v>53</v>
      </c>
      <c r="F852" t="s">
        <v>54</v>
      </c>
      <c r="G852" t="s">
        <v>36</v>
      </c>
      <c r="H852">
        <v>1</v>
      </c>
      <c r="I852" s="2">
        <v>116.6</v>
      </c>
      <c r="J852" s="2">
        <v>116.6</v>
      </c>
      <c r="K852" s="2">
        <f t="shared" si="40"/>
        <v>116.6</v>
      </c>
      <c r="L852" s="2">
        <f t="shared" si="41"/>
        <v>0</v>
      </c>
      <c r="M852" t="s">
        <v>64</v>
      </c>
      <c r="N852" t="s">
        <v>16</v>
      </c>
    </row>
    <row r="853" spans="1:14" x14ac:dyDescent="0.3">
      <c r="A853">
        <v>2024001851</v>
      </c>
      <c r="B853" s="1">
        <v>45420</v>
      </c>
      <c r="C853" s="11">
        <f t="shared" si="39"/>
        <v>2024</v>
      </c>
      <c r="D853" t="s">
        <v>11</v>
      </c>
      <c r="E853" t="s">
        <v>43</v>
      </c>
      <c r="F853" t="s">
        <v>44</v>
      </c>
      <c r="G853" t="s">
        <v>36</v>
      </c>
      <c r="H853">
        <v>1</v>
      </c>
      <c r="I853" s="2">
        <v>875.01</v>
      </c>
      <c r="J853" s="2">
        <v>875.01</v>
      </c>
      <c r="K853" s="2">
        <f t="shared" si="40"/>
        <v>875.01</v>
      </c>
      <c r="L853" s="2">
        <f t="shared" si="41"/>
        <v>0</v>
      </c>
      <c r="M853" t="s">
        <v>31</v>
      </c>
      <c r="N853" t="s">
        <v>32</v>
      </c>
    </row>
    <row r="854" spans="1:14" x14ac:dyDescent="0.3">
      <c r="A854">
        <v>2024001852</v>
      </c>
      <c r="B854" s="1">
        <v>45448</v>
      </c>
      <c r="C854" s="11">
        <f t="shared" si="39"/>
        <v>2024</v>
      </c>
      <c r="D854" t="s">
        <v>287</v>
      </c>
      <c r="E854" t="s">
        <v>12</v>
      </c>
      <c r="F854" t="s">
        <v>13</v>
      </c>
      <c r="G854" t="s">
        <v>14</v>
      </c>
      <c r="H854">
        <v>1</v>
      </c>
      <c r="I854" s="2">
        <v>355.2</v>
      </c>
      <c r="J854" s="2">
        <v>355.2</v>
      </c>
      <c r="K854" s="2">
        <f t="shared" si="40"/>
        <v>355.2</v>
      </c>
      <c r="L854" s="2">
        <f t="shared" si="41"/>
        <v>0</v>
      </c>
      <c r="M854" t="s">
        <v>31</v>
      </c>
      <c r="N854" t="s">
        <v>16</v>
      </c>
    </row>
    <row r="855" spans="1:14" x14ac:dyDescent="0.3">
      <c r="A855">
        <v>2024001853</v>
      </c>
      <c r="B855" s="1">
        <v>45490</v>
      </c>
      <c r="C855" s="11">
        <f t="shared" si="39"/>
        <v>2024</v>
      </c>
      <c r="D855" t="s">
        <v>184</v>
      </c>
      <c r="E855" t="s">
        <v>46</v>
      </c>
      <c r="F855" t="s">
        <v>47</v>
      </c>
      <c r="G855" t="s">
        <v>36</v>
      </c>
      <c r="H855">
        <v>1</v>
      </c>
      <c r="I855" s="2">
        <v>97.3</v>
      </c>
      <c r="J855" s="2">
        <v>97.3</v>
      </c>
      <c r="K855" s="2">
        <f t="shared" si="40"/>
        <v>97.3</v>
      </c>
      <c r="L855" s="2">
        <f t="shared" si="41"/>
        <v>0</v>
      </c>
      <c r="M855" t="s">
        <v>38</v>
      </c>
      <c r="N855" t="s">
        <v>21</v>
      </c>
    </row>
    <row r="856" spans="1:14" x14ac:dyDescent="0.3">
      <c r="A856">
        <v>2024001854</v>
      </c>
      <c r="B856" s="1">
        <v>45359</v>
      </c>
      <c r="C856" s="11">
        <f t="shared" si="39"/>
        <v>2024</v>
      </c>
      <c r="D856" t="s">
        <v>298</v>
      </c>
      <c r="E856" t="s">
        <v>46</v>
      </c>
      <c r="F856" t="s">
        <v>47</v>
      </c>
      <c r="G856" t="s">
        <v>36</v>
      </c>
      <c r="H856">
        <v>4</v>
      </c>
      <c r="I856" s="2">
        <v>86.02</v>
      </c>
      <c r="J856" s="2">
        <v>344.08</v>
      </c>
      <c r="K856" s="2">
        <f t="shared" si="40"/>
        <v>344.08</v>
      </c>
      <c r="L856" s="2">
        <f t="shared" si="41"/>
        <v>0</v>
      </c>
      <c r="M856" t="s">
        <v>31</v>
      </c>
      <c r="N856" t="s">
        <v>32</v>
      </c>
    </row>
    <row r="857" spans="1:14" x14ac:dyDescent="0.3">
      <c r="A857">
        <v>2024001855</v>
      </c>
      <c r="B857" s="1">
        <v>45560</v>
      </c>
      <c r="C857" s="11">
        <f t="shared" si="39"/>
        <v>2024</v>
      </c>
      <c r="D857" t="s">
        <v>11</v>
      </c>
      <c r="E857" t="s">
        <v>23</v>
      </c>
      <c r="F857" t="s">
        <v>24</v>
      </c>
      <c r="G857" t="s">
        <v>14</v>
      </c>
      <c r="H857">
        <v>2</v>
      </c>
      <c r="I857" s="2">
        <v>69.650000000000006</v>
      </c>
      <c r="J857" s="2">
        <v>139.30000000000001</v>
      </c>
      <c r="K857" s="2">
        <f t="shared" si="40"/>
        <v>139.30000000000001</v>
      </c>
      <c r="L857" s="2">
        <f t="shared" si="41"/>
        <v>0</v>
      </c>
      <c r="M857" t="s">
        <v>31</v>
      </c>
      <c r="N857" t="s">
        <v>26</v>
      </c>
    </row>
    <row r="858" spans="1:14" x14ac:dyDescent="0.3">
      <c r="A858">
        <v>2024001856</v>
      </c>
      <c r="B858" s="1">
        <v>45595</v>
      </c>
      <c r="C858" s="11">
        <f t="shared" si="39"/>
        <v>2024</v>
      </c>
      <c r="D858" t="s">
        <v>306</v>
      </c>
      <c r="E858" t="s">
        <v>46</v>
      </c>
      <c r="F858" t="s">
        <v>47</v>
      </c>
      <c r="G858" t="s">
        <v>36</v>
      </c>
      <c r="H858">
        <v>5</v>
      </c>
      <c r="I858" s="2">
        <v>93.39</v>
      </c>
      <c r="J858" s="2">
        <v>466.95</v>
      </c>
      <c r="K858" s="2">
        <f t="shared" si="40"/>
        <v>466.95</v>
      </c>
      <c r="L858" s="2">
        <f t="shared" si="41"/>
        <v>0</v>
      </c>
      <c r="M858" t="s">
        <v>55</v>
      </c>
      <c r="N858" t="s">
        <v>32</v>
      </c>
    </row>
    <row r="859" spans="1:14" x14ac:dyDescent="0.3">
      <c r="A859">
        <v>2024001857</v>
      </c>
      <c r="B859" s="1">
        <v>45567</v>
      </c>
      <c r="C859" s="11">
        <f t="shared" si="39"/>
        <v>2024</v>
      </c>
      <c r="D859" t="s">
        <v>69</v>
      </c>
      <c r="E859" t="s">
        <v>34</v>
      </c>
      <c r="F859" t="s">
        <v>35</v>
      </c>
      <c r="G859" t="s">
        <v>36</v>
      </c>
      <c r="H859">
        <v>1</v>
      </c>
      <c r="I859" s="2">
        <v>14.11</v>
      </c>
      <c r="J859" s="2">
        <v>14.11</v>
      </c>
      <c r="K859" s="2">
        <f t="shared" si="40"/>
        <v>14.11</v>
      </c>
      <c r="L859" s="2">
        <f t="shared" si="41"/>
        <v>0</v>
      </c>
      <c r="M859" t="s">
        <v>20</v>
      </c>
      <c r="N859" t="s">
        <v>16</v>
      </c>
    </row>
    <row r="860" spans="1:14" x14ac:dyDescent="0.3">
      <c r="A860">
        <v>2024001858</v>
      </c>
      <c r="B860" s="1">
        <v>45391</v>
      </c>
      <c r="C860" s="11">
        <f t="shared" si="39"/>
        <v>2024</v>
      </c>
      <c r="D860" t="s">
        <v>123</v>
      </c>
      <c r="E860" t="s">
        <v>34</v>
      </c>
      <c r="F860" t="s">
        <v>35</v>
      </c>
      <c r="G860" t="s">
        <v>36</v>
      </c>
      <c r="H860">
        <v>1</v>
      </c>
      <c r="I860" s="2">
        <v>14.57</v>
      </c>
      <c r="J860" s="2">
        <v>14.57</v>
      </c>
      <c r="K860" s="2">
        <f t="shared" si="40"/>
        <v>14.57</v>
      </c>
      <c r="L860" s="2">
        <f t="shared" si="41"/>
        <v>0</v>
      </c>
      <c r="M860" t="s">
        <v>38</v>
      </c>
      <c r="N860" t="s">
        <v>16</v>
      </c>
    </row>
    <row r="861" spans="1:14" x14ac:dyDescent="0.3">
      <c r="A861">
        <v>2024001530</v>
      </c>
      <c r="B861" s="1">
        <v>45309</v>
      </c>
      <c r="C861" s="11">
        <f t="shared" si="39"/>
        <v>2024</v>
      </c>
      <c r="D861" t="s">
        <v>106</v>
      </c>
      <c r="E861" t="s">
        <v>12</v>
      </c>
      <c r="F861" t="s">
        <v>13</v>
      </c>
      <c r="G861" t="s">
        <v>14</v>
      </c>
      <c r="H861">
        <v>3</v>
      </c>
      <c r="I861" s="2">
        <v>353.44</v>
      </c>
      <c r="J861" s="2">
        <v>1060.32</v>
      </c>
      <c r="K861" s="2">
        <f t="shared" si="40"/>
        <v>1060.32</v>
      </c>
      <c r="L861" s="2">
        <f t="shared" si="41"/>
        <v>0</v>
      </c>
      <c r="M861" t="s">
        <v>25</v>
      </c>
      <c r="N861" t="s">
        <v>21</v>
      </c>
    </row>
    <row r="862" spans="1:14" x14ac:dyDescent="0.3">
      <c r="A862">
        <v>2024001860</v>
      </c>
      <c r="B862" s="1">
        <v>45362</v>
      </c>
      <c r="C862" s="11">
        <f t="shared" si="39"/>
        <v>2024</v>
      </c>
      <c r="D862" t="s">
        <v>294</v>
      </c>
      <c r="E862" t="s">
        <v>34</v>
      </c>
      <c r="F862" t="s">
        <v>35</v>
      </c>
      <c r="G862" t="s">
        <v>36</v>
      </c>
      <c r="H862">
        <v>1</v>
      </c>
      <c r="I862" s="2">
        <v>15.4</v>
      </c>
      <c r="J862" s="2">
        <v>15.4</v>
      </c>
      <c r="K862" s="2">
        <f t="shared" si="40"/>
        <v>15.4</v>
      </c>
      <c r="L862" s="2">
        <f t="shared" si="41"/>
        <v>0</v>
      </c>
      <c r="M862" t="s">
        <v>57</v>
      </c>
      <c r="N862" t="s">
        <v>16</v>
      </c>
    </row>
    <row r="863" spans="1:14" x14ac:dyDescent="0.3">
      <c r="A863">
        <v>2024001861</v>
      </c>
      <c r="B863" s="1">
        <v>45360</v>
      </c>
      <c r="C863" s="11">
        <f t="shared" si="39"/>
        <v>2024</v>
      </c>
      <c r="D863" t="s">
        <v>113</v>
      </c>
      <c r="E863" t="s">
        <v>18</v>
      </c>
      <c r="F863" t="s">
        <v>19</v>
      </c>
      <c r="G863" t="s">
        <v>14</v>
      </c>
      <c r="H863">
        <v>2</v>
      </c>
      <c r="I863" s="2">
        <v>612.85</v>
      </c>
      <c r="J863" s="2">
        <v>1225.7</v>
      </c>
      <c r="K863" s="2">
        <f t="shared" si="40"/>
        <v>1225.7</v>
      </c>
      <c r="L863" s="2">
        <f t="shared" si="41"/>
        <v>0</v>
      </c>
      <c r="M863" t="s">
        <v>57</v>
      </c>
      <c r="N863" t="s">
        <v>26</v>
      </c>
    </row>
    <row r="864" spans="1:14" x14ac:dyDescent="0.3">
      <c r="A864">
        <v>2024001862</v>
      </c>
      <c r="B864" s="1">
        <v>45308</v>
      </c>
      <c r="C864" s="11">
        <f t="shared" si="39"/>
        <v>2024</v>
      </c>
      <c r="D864" t="s">
        <v>126</v>
      </c>
      <c r="E864" t="s">
        <v>18</v>
      </c>
      <c r="F864" t="s">
        <v>19</v>
      </c>
      <c r="G864" t="s">
        <v>14</v>
      </c>
      <c r="H864">
        <v>2</v>
      </c>
      <c r="I864" s="2">
        <v>615.22</v>
      </c>
      <c r="J864" s="2">
        <v>1230.44</v>
      </c>
      <c r="K864" s="2">
        <f t="shared" si="40"/>
        <v>1230.44</v>
      </c>
      <c r="L864" s="2">
        <f t="shared" si="41"/>
        <v>0</v>
      </c>
      <c r="M864" t="s">
        <v>31</v>
      </c>
      <c r="N864" t="s">
        <v>32</v>
      </c>
    </row>
    <row r="865" spans="1:14" x14ac:dyDescent="0.3">
      <c r="A865">
        <v>2024001863</v>
      </c>
      <c r="B865" s="1">
        <v>45326</v>
      </c>
      <c r="C865" s="11">
        <f t="shared" si="39"/>
        <v>2024</v>
      </c>
      <c r="D865" t="s">
        <v>264</v>
      </c>
      <c r="E865" t="s">
        <v>53</v>
      </c>
      <c r="F865" t="s">
        <v>54</v>
      </c>
      <c r="G865" t="s">
        <v>36</v>
      </c>
      <c r="H865">
        <v>2</v>
      </c>
      <c r="I865" s="2">
        <v>125.01</v>
      </c>
      <c r="J865" s="2">
        <v>250.02</v>
      </c>
      <c r="K865" s="2">
        <f t="shared" si="40"/>
        <v>250.02</v>
      </c>
      <c r="L865" s="2">
        <f t="shared" si="41"/>
        <v>0</v>
      </c>
      <c r="M865" t="s">
        <v>64</v>
      </c>
      <c r="N865" t="s">
        <v>32</v>
      </c>
    </row>
    <row r="866" spans="1:14" x14ac:dyDescent="0.3">
      <c r="A866">
        <v>2024001864</v>
      </c>
      <c r="B866" s="1">
        <v>45410</v>
      </c>
      <c r="C866" s="11">
        <f t="shared" si="39"/>
        <v>2024</v>
      </c>
      <c r="D866" t="s">
        <v>76</v>
      </c>
      <c r="E866" t="s">
        <v>40</v>
      </c>
      <c r="F866" t="s">
        <v>41</v>
      </c>
      <c r="G866" t="s">
        <v>36</v>
      </c>
      <c r="H866">
        <v>1</v>
      </c>
      <c r="I866" s="2">
        <v>43.63</v>
      </c>
      <c r="J866" s="2">
        <v>43.63</v>
      </c>
      <c r="K866" s="2">
        <f t="shared" si="40"/>
        <v>43.63</v>
      </c>
      <c r="L866" s="2">
        <f t="shared" si="41"/>
        <v>0</v>
      </c>
      <c r="M866" t="s">
        <v>57</v>
      </c>
      <c r="N866" t="s">
        <v>26</v>
      </c>
    </row>
    <row r="867" spans="1:14" x14ac:dyDescent="0.3">
      <c r="A867">
        <v>2024001865</v>
      </c>
      <c r="B867" s="1">
        <v>45559</v>
      </c>
      <c r="C867" s="11">
        <f t="shared" si="39"/>
        <v>2024</v>
      </c>
      <c r="D867" t="s">
        <v>326</v>
      </c>
      <c r="E867" t="s">
        <v>46</v>
      </c>
      <c r="F867" t="s">
        <v>47</v>
      </c>
      <c r="G867" t="s">
        <v>36</v>
      </c>
      <c r="H867">
        <v>1</v>
      </c>
      <c r="I867" s="2">
        <v>91.63</v>
      </c>
      <c r="J867" s="2">
        <v>91.63</v>
      </c>
      <c r="K867" s="2">
        <f t="shared" si="40"/>
        <v>91.63</v>
      </c>
      <c r="L867" s="2">
        <f t="shared" si="41"/>
        <v>0</v>
      </c>
      <c r="M867" t="s">
        <v>31</v>
      </c>
      <c r="N867" t="s">
        <v>26</v>
      </c>
    </row>
    <row r="868" spans="1:14" x14ac:dyDescent="0.3">
      <c r="A868">
        <v>2024001866</v>
      </c>
      <c r="B868" s="1">
        <v>45505</v>
      </c>
      <c r="C868" s="11">
        <f t="shared" si="39"/>
        <v>2024</v>
      </c>
      <c r="D868" t="s">
        <v>62</v>
      </c>
      <c r="E868" t="s">
        <v>12</v>
      </c>
      <c r="F868" t="s">
        <v>13</v>
      </c>
      <c r="G868" t="s">
        <v>14</v>
      </c>
      <c r="H868">
        <v>2</v>
      </c>
      <c r="I868" s="2">
        <v>335.4</v>
      </c>
      <c r="J868" s="2">
        <v>670.8</v>
      </c>
      <c r="K868" s="2">
        <f t="shared" si="40"/>
        <v>670.8</v>
      </c>
      <c r="L868" s="2">
        <f t="shared" si="41"/>
        <v>0</v>
      </c>
      <c r="M868" t="s">
        <v>57</v>
      </c>
      <c r="N868" t="s">
        <v>21</v>
      </c>
    </row>
    <row r="869" spans="1:14" x14ac:dyDescent="0.3">
      <c r="A869">
        <v>2024001867</v>
      </c>
      <c r="B869" s="1">
        <v>45431</v>
      </c>
      <c r="C869" s="11">
        <f t="shared" si="39"/>
        <v>2024</v>
      </c>
      <c r="D869" t="s">
        <v>282</v>
      </c>
      <c r="E869" t="s">
        <v>23</v>
      </c>
      <c r="F869" t="s">
        <v>24</v>
      </c>
      <c r="G869" t="s">
        <v>14</v>
      </c>
      <c r="H869">
        <v>1</v>
      </c>
      <c r="I869" s="2">
        <v>82.33</v>
      </c>
      <c r="J869" s="2">
        <v>82.33</v>
      </c>
      <c r="K869" s="2">
        <f t="shared" si="40"/>
        <v>82.33</v>
      </c>
      <c r="L869" s="2">
        <f t="shared" si="41"/>
        <v>0</v>
      </c>
      <c r="M869" t="s">
        <v>25</v>
      </c>
      <c r="N869" t="s">
        <v>32</v>
      </c>
    </row>
    <row r="870" spans="1:14" x14ac:dyDescent="0.3">
      <c r="A870">
        <v>2024001868</v>
      </c>
      <c r="B870" s="1">
        <v>45301</v>
      </c>
      <c r="C870" s="11">
        <f t="shared" si="39"/>
        <v>2024</v>
      </c>
      <c r="D870" t="s">
        <v>276</v>
      </c>
      <c r="E870" t="s">
        <v>23</v>
      </c>
      <c r="F870" t="s">
        <v>24</v>
      </c>
      <c r="G870" t="s">
        <v>14</v>
      </c>
      <c r="H870">
        <v>3</v>
      </c>
      <c r="I870" s="2">
        <v>80.569999999999993</v>
      </c>
      <c r="J870" s="2">
        <v>241.71</v>
      </c>
      <c r="K870" s="2">
        <f t="shared" si="40"/>
        <v>241.70999999999998</v>
      </c>
      <c r="L870" s="2">
        <f t="shared" si="41"/>
        <v>0</v>
      </c>
      <c r="M870" t="s">
        <v>64</v>
      </c>
      <c r="N870" t="s">
        <v>16</v>
      </c>
    </row>
    <row r="871" spans="1:14" x14ac:dyDescent="0.3">
      <c r="A871">
        <v>2024001869</v>
      </c>
      <c r="B871" s="1">
        <v>45633</v>
      </c>
      <c r="C871" s="11">
        <f t="shared" si="39"/>
        <v>2024</v>
      </c>
      <c r="D871" t="s">
        <v>303</v>
      </c>
      <c r="E871" t="s">
        <v>40</v>
      </c>
      <c r="F871" t="s">
        <v>41</v>
      </c>
      <c r="G871" t="s">
        <v>36</v>
      </c>
      <c r="H871">
        <v>1</v>
      </c>
      <c r="I871" s="2">
        <v>39.549999999999997</v>
      </c>
      <c r="J871" s="2">
        <v>39.549999999999997</v>
      </c>
      <c r="K871" s="2">
        <f t="shared" si="40"/>
        <v>39.549999999999997</v>
      </c>
      <c r="L871" s="2">
        <f t="shared" si="41"/>
        <v>0</v>
      </c>
      <c r="M871" t="s">
        <v>38</v>
      </c>
      <c r="N871" t="s">
        <v>32</v>
      </c>
    </row>
    <row r="872" spans="1:14" x14ac:dyDescent="0.3">
      <c r="A872">
        <v>2024001870</v>
      </c>
      <c r="B872" s="1">
        <v>45634</v>
      </c>
      <c r="C872" s="11">
        <f t="shared" si="39"/>
        <v>2024</v>
      </c>
      <c r="D872" t="s">
        <v>11</v>
      </c>
      <c r="E872" t="s">
        <v>53</v>
      </c>
      <c r="F872" t="s">
        <v>54</v>
      </c>
      <c r="G872" t="s">
        <v>36</v>
      </c>
      <c r="H872">
        <v>1</v>
      </c>
      <c r="I872" s="2">
        <v>124.59</v>
      </c>
      <c r="J872" s="2">
        <v>124.59</v>
      </c>
      <c r="K872" s="2">
        <f t="shared" si="40"/>
        <v>124.59</v>
      </c>
      <c r="L872" s="2">
        <f t="shared" si="41"/>
        <v>0</v>
      </c>
      <c r="M872" t="s">
        <v>64</v>
      </c>
      <c r="N872" t="s">
        <v>32</v>
      </c>
    </row>
    <row r="873" spans="1:14" x14ac:dyDescent="0.3">
      <c r="A873">
        <v>2024001871</v>
      </c>
      <c r="B873" s="1">
        <v>45621</v>
      </c>
      <c r="C873" s="11">
        <f t="shared" si="39"/>
        <v>2024</v>
      </c>
      <c r="D873" t="s">
        <v>169</v>
      </c>
      <c r="E873" t="s">
        <v>34</v>
      </c>
      <c r="F873" t="s">
        <v>35</v>
      </c>
      <c r="G873" t="s">
        <v>36</v>
      </c>
      <c r="H873">
        <v>2</v>
      </c>
      <c r="I873" s="2">
        <v>15.38</v>
      </c>
      <c r="J873" s="2">
        <v>30.76</v>
      </c>
      <c r="K873" s="2">
        <f t="shared" si="40"/>
        <v>30.76</v>
      </c>
      <c r="L873" s="2">
        <f t="shared" si="41"/>
        <v>0</v>
      </c>
      <c r="M873" t="s">
        <v>20</v>
      </c>
      <c r="N873" t="s">
        <v>21</v>
      </c>
    </row>
    <row r="874" spans="1:14" x14ac:dyDescent="0.3">
      <c r="A874">
        <v>2024001872</v>
      </c>
      <c r="B874" s="1">
        <v>45557</v>
      </c>
      <c r="C874" s="11">
        <f t="shared" si="39"/>
        <v>2024</v>
      </c>
      <c r="D874" t="s">
        <v>170</v>
      </c>
      <c r="E874" t="s">
        <v>23</v>
      </c>
      <c r="F874" t="s">
        <v>24</v>
      </c>
      <c r="G874" t="s">
        <v>14</v>
      </c>
      <c r="H874">
        <v>1</v>
      </c>
      <c r="I874" s="2">
        <v>77.73</v>
      </c>
      <c r="J874" s="2">
        <v>77.73</v>
      </c>
      <c r="K874" s="2">
        <f t="shared" si="40"/>
        <v>77.73</v>
      </c>
      <c r="L874" s="2">
        <f t="shared" si="41"/>
        <v>0</v>
      </c>
      <c r="M874" t="s">
        <v>15</v>
      </c>
      <c r="N874" t="s">
        <v>32</v>
      </c>
    </row>
    <row r="875" spans="1:14" x14ac:dyDescent="0.3">
      <c r="A875">
        <v>2024001873</v>
      </c>
      <c r="B875" s="1">
        <v>45580</v>
      </c>
      <c r="C875" s="11">
        <f t="shared" si="39"/>
        <v>2024</v>
      </c>
      <c r="D875" t="s">
        <v>313</v>
      </c>
      <c r="E875" t="s">
        <v>23</v>
      </c>
      <c r="F875" t="s">
        <v>24</v>
      </c>
      <c r="G875" t="s">
        <v>14</v>
      </c>
      <c r="H875">
        <v>3</v>
      </c>
      <c r="I875" s="2">
        <v>76.67</v>
      </c>
      <c r="J875" s="2">
        <v>230.01</v>
      </c>
      <c r="K875" s="2">
        <f t="shared" si="40"/>
        <v>230.01</v>
      </c>
      <c r="L875" s="2">
        <f t="shared" si="41"/>
        <v>0</v>
      </c>
      <c r="M875" t="s">
        <v>38</v>
      </c>
      <c r="N875" t="s">
        <v>32</v>
      </c>
    </row>
    <row r="876" spans="1:14" x14ac:dyDescent="0.3">
      <c r="A876">
        <v>2024001874</v>
      </c>
      <c r="B876" s="1">
        <v>45595</v>
      </c>
      <c r="C876" s="11">
        <f t="shared" si="39"/>
        <v>2024</v>
      </c>
      <c r="D876" t="s">
        <v>316</v>
      </c>
      <c r="E876" t="s">
        <v>46</v>
      </c>
      <c r="F876" t="s">
        <v>47</v>
      </c>
      <c r="G876" t="s">
        <v>36</v>
      </c>
      <c r="H876">
        <v>2</v>
      </c>
      <c r="I876" s="2">
        <v>85.57</v>
      </c>
      <c r="J876" s="2">
        <v>171.14</v>
      </c>
      <c r="K876" s="2">
        <f t="shared" si="40"/>
        <v>171.14</v>
      </c>
      <c r="L876" s="2">
        <f t="shared" si="41"/>
        <v>0</v>
      </c>
      <c r="M876" t="s">
        <v>55</v>
      </c>
      <c r="N876" t="s">
        <v>26</v>
      </c>
    </row>
    <row r="877" spans="1:14" x14ac:dyDescent="0.3">
      <c r="A877">
        <v>2024001875</v>
      </c>
      <c r="B877" s="1">
        <v>45471</v>
      </c>
      <c r="C877" s="11">
        <f t="shared" si="39"/>
        <v>2024</v>
      </c>
      <c r="D877" t="s">
        <v>327</v>
      </c>
      <c r="E877" t="s">
        <v>53</v>
      </c>
      <c r="F877" t="s">
        <v>54</v>
      </c>
      <c r="G877" t="s">
        <v>36</v>
      </c>
      <c r="H877">
        <v>1</v>
      </c>
      <c r="I877" s="2">
        <v>121.19</v>
      </c>
      <c r="J877" s="2">
        <v>121.19</v>
      </c>
      <c r="K877" s="2">
        <f t="shared" si="40"/>
        <v>121.19</v>
      </c>
      <c r="L877" s="2">
        <f t="shared" si="41"/>
        <v>0</v>
      </c>
      <c r="M877" t="s">
        <v>15</v>
      </c>
      <c r="N877" t="s">
        <v>32</v>
      </c>
    </row>
    <row r="878" spans="1:14" x14ac:dyDescent="0.3">
      <c r="A878">
        <v>2024001876</v>
      </c>
      <c r="B878" s="1">
        <v>45580</v>
      </c>
      <c r="C878" s="11">
        <f t="shared" si="39"/>
        <v>2024</v>
      </c>
      <c r="D878" t="s">
        <v>49</v>
      </c>
      <c r="E878" t="s">
        <v>40</v>
      </c>
      <c r="F878" t="s">
        <v>41</v>
      </c>
      <c r="G878" t="s">
        <v>36</v>
      </c>
      <c r="H878">
        <v>1</v>
      </c>
      <c r="I878" s="2">
        <v>43.84</v>
      </c>
      <c r="J878" s="2">
        <v>43.84</v>
      </c>
      <c r="K878" s="2">
        <f t="shared" si="40"/>
        <v>43.84</v>
      </c>
      <c r="L878" s="2">
        <f t="shared" si="41"/>
        <v>0</v>
      </c>
      <c r="M878" t="s">
        <v>57</v>
      </c>
      <c r="N878" t="s">
        <v>21</v>
      </c>
    </row>
    <row r="879" spans="1:14" x14ac:dyDescent="0.3">
      <c r="A879">
        <v>2024001877</v>
      </c>
      <c r="B879" s="1">
        <v>45537</v>
      </c>
      <c r="C879" s="11">
        <f t="shared" si="39"/>
        <v>2024</v>
      </c>
      <c r="D879" t="s">
        <v>200</v>
      </c>
      <c r="E879" t="s">
        <v>23</v>
      </c>
      <c r="F879" t="s">
        <v>24</v>
      </c>
      <c r="G879" t="s">
        <v>14</v>
      </c>
      <c r="H879">
        <v>2</v>
      </c>
      <c r="I879" s="2">
        <v>79.650000000000006</v>
      </c>
      <c r="J879" s="2">
        <v>159.30000000000001</v>
      </c>
      <c r="K879" s="2">
        <f t="shared" si="40"/>
        <v>159.30000000000001</v>
      </c>
      <c r="L879" s="2">
        <f t="shared" si="41"/>
        <v>0</v>
      </c>
      <c r="M879" t="s">
        <v>25</v>
      </c>
      <c r="N879" t="s">
        <v>16</v>
      </c>
    </row>
    <row r="880" spans="1:14" x14ac:dyDescent="0.3">
      <c r="A880">
        <v>2024001878</v>
      </c>
      <c r="B880" s="1">
        <v>45634</v>
      </c>
      <c r="C880" s="11">
        <f t="shared" si="39"/>
        <v>2024</v>
      </c>
      <c r="D880" t="s">
        <v>94</v>
      </c>
      <c r="E880" t="s">
        <v>40</v>
      </c>
      <c r="F880" t="s">
        <v>41</v>
      </c>
      <c r="G880" t="s">
        <v>36</v>
      </c>
      <c r="H880">
        <v>5</v>
      </c>
      <c r="I880" s="2">
        <v>45.63</v>
      </c>
      <c r="J880" s="2">
        <v>228.15</v>
      </c>
      <c r="K880" s="2">
        <f t="shared" si="40"/>
        <v>228.15</v>
      </c>
      <c r="L880" s="2">
        <f t="shared" si="41"/>
        <v>0</v>
      </c>
      <c r="M880" t="s">
        <v>20</v>
      </c>
      <c r="N880" t="s">
        <v>26</v>
      </c>
    </row>
    <row r="881" spans="1:14" x14ac:dyDescent="0.3">
      <c r="A881">
        <v>2024001879</v>
      </c>
      <c r="B881" s="1">
        <v>45615</v>
      </c>
      <c r="C881" s="11">
        <f t="shared" si="39"/>
        <v>2024</v>
      </c>
      <c r="D881" t="s">
        <v>11</v>
      </c>
      <c r="E881" t="s">
        <v>34</v>
      </c>
      <c r="F881" t="s">
        <v>35</v>
      </c>
      <c r="G881" t="s">
        <v>36</v>
      </c>
      <c r="H881">
        <v>2</v>
      </c>
      <c r="I881" s="2">
        <v>15.76</v>
      </c>
      <c r="J881" s="2">
        <v>31.52</v>
      </c>
      <c r="K881" s="2">
        <f t="shared" si="40"/>
        <v>31.52</v>
      </c>
      <c r="L881" s="2">
        <f t="shared" si="41"/>
        <v>0</v>
      </c>
      <c r="M881" t="s">
        <v>57</v>
      </c>
      <c r="N881" t="s">
        <v>16</v>
      </c>
    </row>
    <row r="882" spans="1:14" x14ac:dyDescent="0.3">
      <c r="A882">
        <v>2024001880</v>
      </c>
      <c r="B882" s="1">
        <v>45570</v>
      </c>
      <c r="C882" s="11">
        <f t="shared" si="39"/>
        <v>2024</v>
      </c>
      <c r="D882" t="s">
        <v>116</v>
      </c>
      <c r="E882" t="s">
        <v>67</v>
      </c>
      <c r="F882" t="s">
        <v>68</v>
      </c>
      <c r="G882" t="s">
        <v>36</v>
      </c>
      <c r="H882">
        <v>1</v>
      </c>
      <c r="I882" s="2">
        <v>396.56</v>
      </c>
      <c r="J882" s="2">
        <v>396.56</v>
      </c>
      <c r="K882" s="2">
        <f t="shared" si="40"/>
        <v>396.56</v>
      </c>
      <c r="L882" s="2">
        <f t="shared" si="41"/>
        <v>0</v>
      </c>
      <c r="M882" t="s">
        <v>48</v>
      </c>
      <c r="N882" t="s">
        <v>32</v>
      </c>
    </row>
    <row r="883" spans="1:14" x14ac:dyDescent="0.3">
      <c r="A883">
        <v>2024001881</v>
      </c>
      <c r="B883" s="1">
        <v>45309</v>
      </c>
      <c r="C883" s="11">
        <f t="shared" si="39"/>
        <v>2024</v>
      </c>
      <c r="D883" t="s">
        <v>11</v>
      </c>
      <c r="E883" t="s">
        <v>28</v>
      </c>
      <c r="F883" t="s">
        <v>29</v>
      </c>
      <c r="G883" t="s">
        <v>30</v>
      </c>
      <c r="H883">
        <v>2</v>
      </c>
      <c r="I883" s="2">
        <v>23.92</v>
      </c>
      <c r="J883" s="2">
        <v>47.84</v>
      </c>
      <c r="K883" s="2">
        <f t="shared" si="40"/>
        <v>47.84</v>
      </c>
      <c r="L883" s="2">
        <f t="shared" si="41"/>
        <v>0</v>
      </c>
      <c r="M883" t="s">
        <v>31</v>
      </c>
      <c r="N883" t="s">
        <v>16</v>
      </c>
    </row>
    <row r="884" spans="1:14" x14ac:dyDescent="0.3">
      <c r="A884">
        <v>2024001882</v>
      </c>
      <c r="B884" s="1">
        <v>45473</v>
      </c>
      <c r="C884" s="11">
        <f t="shared" si="39"/>
        <v>2024</v>
      </c>
      <c r="D884" t="s">
        <v>174</v>
      </c>
      <c r="E884" t="s">
        <v>34</v>
      </c>
      <c r="F884" t="s">
        <v>35</v>
      </c>
      <c r="G884" t="s">
        <v>36</v>
      </c>
      <c r="H884">
        <v>1</v>
      </c>
      <c r="I884" s="2">
        <v>15.14</v>
      </c>
      <c r="J884" s="2">
        <v>15.14</v>
      </c>
      <c r="K884" s="2">
        <f t="shared" si="40"/>
        <v>15.14</v>
      </c>
      <c r="L884" s="2">
        <f t="shared" si="41"/>
        <v>0</v>
      </c>
      <c r="M884" t="s">
        <v>31</v>
      </c>
      <c r="N884" t="s">
        <v>21</v>
      </c>
    </row>
    <row r="885" spans="1:14" x14ac:dyDescent="0.3">
      <c r="A885">
        <v>2024001883</v>
      </c>
      <c r="B885" s="1">
        <v>45367</v>
      </c>
      <c r="C885" s="11">
        <f t="shared" si="39"/>
        <v>2024</v>
      </c>
      <c r="D885" t="s">
        <v>243</v>
      </c>
      <c r="E885" t="s">
        <v>40</v>
      </c>
      <c r="F885" t="s">
        <v>41</v>
      </c>
      <c r="G885" t="s">
        <v>36</v>
      </c>
      <c r="H885">
        <v>1</v>
      </c>
      <c r="I885" s="2">
        <v>47.58</v>
      </c>
      <c r="J885" s="2">
        <v>47.58</v>
      </c>
      <c r="K885" s="2">
        <f t="shared" si="40"/>
        <v>47.58</v>
      </c>
      <c r="L885" s="2">
        <f t="shared" si="41"/>
        <v>0</v>
      </c>
      <c r="M885" t="s">
        <v>64</v>
      </c>
      <c r="N885" t="s">
        <v>32</v>
      </c>
    </row>
    <row r="886" spans="1:14" x14ac:dyDescent="0.3">
      <c r="A886">
        <v>2024001884</v>
      </c>
      <c r="B886" s="1">
        <v>45549</v>
      </c>
      <c r="C886" s="11">
        <f t="shared" si="39"/>
        <v>2024</v>
      </c>
      <c r="D886" t="s">
        <v>11</v>
      </c>
      <c r="E886" t="s">
        <v>18</v>
      </c>
      <c r="F886" t="s">
        <v>19</v>
      </c>
      <c r="G886" t="s">
        <v>14</v>
      </c>
      <c r="H886">
        <v>1</v>
      </c>
      <c r="I886" s="2">
        <v>587.55999999999995</v>
      </c>
      <c r="J886" s="2">
        <v>587.55999999999995</v>
      </c>
      <c r="K886" s="2">
        <f t="shared" si="40"/>
        <v>587.55999999999995</v>
      </c>
      <c r="L886" s="2">
        <f t="shared" si="41"/>
        <v>0</v>
      </c>
      <c r="M886" t="s">
        <v>15</v>
      </c>
      <c r="N886" t="s">
        <v>32</v>
      </c>
    </row>
    <row r="887" spans="1:14" x14ac:dyDescent="0.3">
      <c r="A887">
        <v>2024001885</v>
      </c>
      <c r="B887" s="1">
        <v>45545</v>
      </c>
      <c r="C887" s="11">
        <f t="shared" si="39"/>
        <v>2024</v>
      </c>
      <c r="D887" t="s">
        <v>175</v>
      </c>
      <c r="E887" t="s">
        <v>28</v>
      </c>
      <c r="F887" t="s">
        <v>29</v>
      </c>
      <c r="G887" t="s">
        <v>30</v>
      </c>
      <c r="H887">
        <v>1</v>
      </c>
      <c r="I887" s="2">
        <v>26.18</v>
      </c>
      <c r="J887" s="2">
        <v>26.18</v>
      </c>
      <c r="K887" s="2">
        <f t="shared" si="40"/>
        <v>26.18</v>
      </c>
      <c r="L887" s="2">
        <f t="shared" si="41"/>
        <v>0</v>
      </c>
      <c r="M887" t="s">
        <v>25</v>
      </c>
      <c r="N887" t="s">
        <v>26</v>
      </c>
    </row>
    <row r="888" spans="1:14" x14ac:dyDescent="0.3">
      <c r="A888">
        <v>2024001886</v>
      </c>
      <c r="B888" s="1">
        <v>45296</v>
      </c>
      <c r="C888" s="11">
        <f t="shared" si="39"/>
        <v>2024</v>
      </c>
      <c r="D888" t="s">
        <v>278</v>
      </c>
      <c r="E888" t="s">
        <v>18</v>
      </c>
      <c r="F888" t="s">
        <v>19</v>
      </c>
      <c r="G888" t="s">
        <v>14</v>
      </c>
      <c r="H888">
        <v>1</v>
      </c>
      <c r="I888" s="2">
        <v>597.5</v>
      </c>
      <c r="J888" s="2">
        <v>597.5</v>
      </c>
      <c r="K888" s="2">
        <f t="shared" si="40"/>
        <v>597.5</v>
      </c>
      <c r="L888" s="2">
        <f t="shared" si="41"/>
        <v>0</v>
      </c>
      <c r="M888" t="s">
        <v>15</v>
      </c>
      <c r="N888" t="s">
        <v>32</v>
      </c>
    </row>
    <row r="889" spans="1:14" x14ac:dyDescent="0.3">
      <c r="A889">
        <v>2024001887</v>
      </c>
      <c r="B889" s="1">
        <v>45646</v>
      </c>
      <c r="C889" s="11">
        <f t="shared" si="39"/>
        <v>2024</v>
      </c>
      <c r="D889" t="s">
        <v>223</v>
      </c>
      <c r="E889" t="s">
        <v>12</v>
      </c>
      <c r="F889" t="s">
        <v>13</v>
      </c>
      <c r="G889" t="s">
        <v>14</v>
      </c>
      <c r="H889">
        <v>3</v>
      </c>
      <c r="I889" s="2">
        <v>371.21</v>
      </c>
      <c r="J889" s="2">
        <v>1113.6300000000001</v>
      </c>
      <c r="K889" s="2">
        <f t="shared" si="40"/>
        <v>1113.6299999999999</v>
      </c>
      <c r="L889" s="2">
        <f t="shared" si="41"/>
        <v>0</v>
      </c>
      <c r="M889" t="s">
        <v>61</v>
      </c>
      <c r="N889" t="s">
        <v>32</v>
      </c>
    </row>
    <row r="890" spans="1:14" x14ac:dyDescent="0.3">
      <c r="A890">
        <v>2024001888</v>
      </c>
      <c r="B890" s="1">
        <v>45302</v>
      </c>
      <c r="C890" s="11">
        <f t="shared" si="39"/>
        <v>2024</v>
      </c>
      <c r="D890" t="s">
        <v>243</v>
      </c>
      <c r="E890" t="s">
        <v>46</v>
      </c>
      <c r="F890" t="s">
        <v>47</v>
      </c>
      <c r="G890" t="s">
        <v>36</v>
      </c>
      <c r="H890">
        <v>4</v>
      </c>
      <c r="I890" s="2">
        <v>89.94</v>
      </c>
      <c r="J890" s="2">
        <v>359.76</v>
      </c>
      <c r="K890" s="2">
        <f t="shared" si="40"/>
        <v>359.76</v>
      </c>
      <c r="L890" s="2">
        <f t="shared" si="41"/>
        <v>0</v>
      </c>
      <c r="M890" t="s">
        <v>61</v>
      </c>
      <c r="N890" t="s">
        <v>21</v>
      </c>
    </row>
    <row r="891" spans="1:14" x14ac:dyDescent="0.3">
      <c r="A891">
        <v>2024001889</v>
      </c>
      <c r="B891" s="1">
        <v>45442</v>
      </c>
      <c r="C891" s="11">
        <f t="shared" si="39"/>
        <v>2024</v>
      </c>
      <c r="D891" t="s">
        <v>171</v>
      </c>
      <c r="E891" t="s">
        <v>12</v>
      </c>
      <c r="F891" t="s">
        <v>13</v>
      </c>
      <c r="G891" t="s">
        <v>14</v>
      </c>
      <c r="H891">
        <v>3</v>
      </c>
      <c r="I891" s="2">
        <v>352.21</v>
      </c>
      <c r="J891" s="2">
        <v>1056.6300000000001</v>
      </c>
      <c r="K891" s="2">
        <f t="shared" si="40"/>
        <v>1056.6299999999999</v>
      </c>
      <c r="L891" s="2">
        <f t="shared" si="41"/>
        <v>0</v>
      </c>
      <c r="M891" t="s">
        <v>25</v>
      </c>
      <c r="N891" t="s">
        <v>16</v>
      </c>
    </row>
    <row r="892" spans="1:14" x14ac:dyDescent="0.3">
      <c r="A892">
        <v>2024001890</v>
      </c>
      <c r="B892" s="1">
        <v>45591</v>
      </c>
      <c r="C892" s="11">
        <f t="shared" si="39"/>
        <v>2024</v>
      </c>
      <c r="D892" t="s">
        <v>185</v>
      </c>
      <c r="E892" t="s">
        <v>18</v>
      </c>
      <c r="F892" t="s">
        <v>19</v>
      </c>
      <c r="G892" t="s">
        <v>14</v>
      </c>
      <c r="H892">
        <v>1</v>
      </c>
      <c r="I892" s="2">
        <v>600.19000000000005</v>
      </c>
      <c r="J892" s="2">
        <v>600.19000000000005</v>
      </c>
      <c r="K892" s="2">
        <f t="shared" si="40"/>
        <v>600.19000000000005</v>
      </c>
      <c r="L892" s="2">
        <f t="shared" si="41"/>
        <v>0</v>
      </c>
      <c r="M892" t="s">
        <v>25</v>
      </c>
      <c r="N892" t="s">
        <v>16</v>
      </c>
    </row>
    <row r="893" spans="1:14" x14ac:dyDescent="0.3">
      <c r="A893">
        <v>2024001891</v>
      </c>
      <c r="B893" s="1">
        <v>45535</v>
      </c>
      <c r="C893" s="11">
        <f t="shared" si="39"/>
        <v>2024</v>
      </c>
      <c r="D893" t="s">
        <v>234</v>
      </c>
      <c r="E893" t="s">
        <v>23</v>
      </c>
      <c r="F893" t="s">
        <v>24</v>
      </c>
      <c r="G893" t="s">
        <v>14</v>
      </c>
      <c r="H893">
        <v>1</v>
      </c>
      <c r="I893" s="2">
        <v>77.77</v>
      </c>
      <c r="J893" s="2">
        <v>77.77</v>
      </c>
      <c r="K893" s="2">
        <f t="shared" si="40"/>
        <v>77.77</v>
      </c>
      <c r="L893" s="2">
        <f t="shared" si="41"/>
        <v>0</v>
      </c>
      <c r="M893" t="s">
        <v>55</v>
      </c>
      <c r="N893" t="s">
        <v>16</v>
      </c>
    </row>
    <row r="894" spans="1:14" x14ac:dyDescent="0.3">
      <c r="A894">
        <v>2024001892</v>
      </c>
      <c r="B894" s="1">
        <v>45517</v>
      </c>
      <c r="C894" s="11">
        <f t="shared" si="39"/>
        <v>2024</v>
      </c>
      <c r="D894" t="s">
        <v>249</v>
      </c>
      <c r="E894" t="s">
        <v>46</v>
      </c>
      <c r="F894" t="s">
        <v>47</v>
      </c>
      <c r="G894" t="s">
        <v>36</v>
      </c>
      <c r="H894">
        <v>1</v>
      </c>
      <c r="I894" s="2">
        <v>98.71</v>
      </c>
      <c r="J894" s="2">
        <v>98.71</v>
      </c>
      <c r="K894" s="2">
        <f t="shared" si="40"/>
        <v>98.71</v>
      </c>
      <c r="L894" s="2">
        <f t="shared" si="41"/>
        <v>0</v>
      </c>
      <c r="M894" t="s">
        <v>15</v>
      </c>
      <c r="N894" t="s">
        <v>32</v>
      </c>
    </row>
    <row r="895" spans="1:14" x14ac:dyDescent="0.3">
      <c r="A895">
        <v>2024001893</v>
      </c>
      <c r="B895" s="1">
        <v>45396</v>
      </c>
      <c r="C895" s="11">
        <f t="shared" si="39"/>
        <v>2024</v>
      </c>
      <c r="D895" t="s">
        <v>160</v>
      </c>
      <c r="E895" t="s">
        <v>18</v>
      </c>
      <c r="F895" t="s">
        <v>19</v>
      </c>
      <c r="G895" t="s">
        <v>14</v>
      </c>
      <c r="H895">
        <v>4</v>
      </c>
      <c r="I895" s="2">
        <v>567.77</v>
      </c>
      <c r="J895" s="2">
        <v>2271.08</v>
      </c>
      <c r="K895" s="2">
        <f t="shared" si="40"/>
        <v>2271.08</v>
      </c>
      <c r="L895" s="2">
        <f t="shared" si="41"/>
        <v>0</v>
      </c>
      <c r="M895" t="s">
        <v>31</v>
      </c>
      <c r="N895" t="s">
        <v>21</v>
      </c>
    </row>
    <row r="896" spans="1:14" x14ac:dyDescent="0.3">
      <c r="A896">
        <v>2024001894</v>
      </c>
      <c r="B896" s="1">
        <v>45434</v>
      </c>
      <c r="C896" s="11">
        <f t="shared" si="39"/>
        <v>2024</v>
      </c>
      <c r="D896" t="s">
        <v>147</v>
      </c>
      <c r="E896" t="s">
        <v>18</v>
      </c>
      <c r="F896" t="s">
        <v>19</v>
      </c>
      <c r="G896" t="s">
        <v>14</v>
      </c>
      <c r="H896">
        <v>1</v>
      </c>
      <c r="I896" s="2">
        <v>577.76</v>
      </c>
      <c r="J896" s="2">
        <v>577.76</v>
      </c>
      <c r="K896" s="2">
        <f t="shared" si="40"/>
        <v>577.76</v>
      </c>
      <c r="L896" s="2">
        <f t="shared" si="41"/>
        <v>0</v>
      </c>
      <c r="M896" t="s">
        <v>64</v>
      </c>
      <c r="N896" t="s">
        <v>32</v>
      </c>
    </row>
    <row r="897" spans="1:14" x14ac:dyDescent="0.3">
      <c r="A897">
        <v>2024001895</v>
      </c>
      <c r="B897" s="1">
        <v>45642</v>
      </c>
      <c r="C897" s="11">
        <f t="shared" si="39"/>
        <v>2024</v>
      </c>
      <c r="D897" t="s">
        <v>156</v>
      </c>
      <c r="E897" t="s">
        <v>28</v>
      </c>
      <c r="F897" t="s">
        <v>29</v>
      </c>
      <c r="G897" t="s">
        <v>30</v>
      </c>
      <c r="H897">
        <v>1</v>
      </c>
      <c r="I897" s="2">
        <v>24.19</v>
      </c>
      <c r="J897" s="2">
        <v>24.19</v>
      </c>
      <c r="K897" s="2">
        <f t="shared" si="40"/>
        <v>24.19</v>
      </c>
      <c r="L897" s="2">
        <f t="shared" si="41"/>
        <v>0</v>
      </c>
      <c r="M897" t="s">
        <v>55</v>
      </c>
      <c r="N897" t="s">
        <v>32</v>
      </c>
    </row>
    <row r="898" spans="1:14" x14ac:dyDescent="0.3">
      <c r="A898">
        <v>2024001896</v>
      </c>
      <c r="B898" s="1">
        <v>45392</v>
      </c>
      <c r="C898" s="11">
        <f t="shared" si="39"/>
        <v>2024</v>
      </c>
      <c r="D898" t="s">
        <v>99</v>
      </c>
      <c r="E898" t="s">
        <v>18</v>
      </c>
      <c r="F898" t="s">
        <v>19</v>
      </c>
      <c r="G898" t="s">
        <v>14</v>
      </c>
      <c r="H898">
        <v>1</v>
      </c>
      <c r="I898" s="2">
        <v>634.38</v>
      </c>
      <c r="J898" s="2">
        <v>634.38</v>
      </c>
      <c r="K898" s="2">
        <f t="shared" si="40"/>
        <v>634.38</v>
      </c>
      <c r="L898" s="2">
        <f t="shared" si="41"/>
        <v>0</v>
      </c>
      <c r="M898" t="s">
        <v>38</v>
      </c>
      <c r="N898" t="s">
        <v>26</v>
      </c>
    </row>
    <row r="899" spans="1:14" x14ac:dyDescent="0.3">
      <c r="A899">
        <v>2024001897</v>
      </c>
      <c r="B899" s="1">
        <v>45546</v>
      </c>
      <c r="C899" s="11">
        <f t="shared" ref="C899:C962" si="42">YEAR(B899)</f>
        <v>2024</v>
      </c>
      <c r="D899" t="s">
        <v>289</v>
      </c>
      <c r="E899" t="s">
        <v>46</v>
      </c>
      <c r="F899" t="s">
        <v>47</v>
      </c>
      <c r="G899" t="s">
        <v>36</v>
      </c>
      <c r="H899">
        <v>4</v>
      </c>
      <c r="I899" s="2">
        <v>86.5</v>
      </c>
      <c r="J899" s="2">
        <v>346</v>
      </c>
      <c r="K899" s="2">
        <f t="shared" ref="K899:K962" si="43">I899*H899</f>
        <v>346</v>
      </c>
      <c r="L899" s="2">
        <f t="shared" ref="L899:L962" si="44">J899-K899</f>
        <v>0</v>
      </c>
      <c r="M899" t="s">
        <v>38</v>
      </c>
      <c r="N899" t="s">
        <v>26</v>
      </c>
    </row>
    <row r="900" spans="1:14" x14ac:dyDescent="0.3">
      <c r="A900">
        <v>2024001898</v>
      </c>
      <c r="B900" s="1">
        <v>45645</v>
      </c>
      <c r="C900" s="11">
        <f t="shared" si="42"/>
        <v>2024</v>
      </c>
      <c r="D900" t="s">
        <v>229</v>
      </c>
      <c r="E900" t="s">
        <v>43</v>
      </c>
      <c r="F900" t="s">
        <v>44</v>
      </c>
      <c r="G900" t="s">
        <v>36</v>
      </c>
      <c r="H900">
        <v>1</v>
      </c>
      <c r="I900" s="2">
        <v>1130.5</v>
      </c>
      <c r="J900" s="2">
        <v>1130.5</v>
      </c>
      <c r="K900" s="2">
        <f t="shared" si="43"/>
        <v>1130.5</v>
      </c>
      <c r="L900" s="2">
        <f t="shared" si="44"/>
        <v>0</v>
      </c>
      <c r="M900" t="s">
        <v>20</v>
      </c>
      <c r="N900" t="s">
        <v>21</v>
      </c>
    </row>
    <row r="901" spans="1:14" x14ac:dyDescent="0.3">
      <c r="A901">
        <v>2024001899</v>
      </c>
      <c r="B901" s="1">
        <v>45465</v>
      </c>
      <c r="C901" s="11">
        <f t="shared" si="42"/>
        <v>2024</v>
      </c>
      <c r="D901" t="s">
        <v>80</v>
      </c>
      <c r="E901" t="s">
        <v>67</v>
      </c>
      <c r="F901" t="s">
        <v>68</v>
      </c>
      <c r="G901" t="s">
        <v>36</v>
      </c>
      <c r="H901">
        <v>1</v>
      </c>
      <c r="I901" s="2">
        <v>366.37</v>
      </c>
      <c r="J901" s="2">
        <v>366.37</v>
      </c>
      <c r="K901" s="2">
        <f t="shared" si="43"/>
        <v>366.37</v>
      </c>
      <c r="L901" s="2">
        <f t="shared" si="44"/>
        <v>0</v>
      </c>
      <c r="M901" t="s">
        <v>61</v>
      </c>
      <c r="N901" t="s">
        <v>16</v>
      </c>
    </row>
    <row r="902" spans="1:14" x14ac:dyDescent="0.3">
      <c r="A902">
        <v>2024001900</v>
      </c>
      <c r="B902" s="1">
        <v>45585</v>
      </c>
      <c r="C902" s="11">
        <f t="shared" si="42"/>
        <v>2024</v>
      </c>
      <c r="D902" t="s">
        <v>189</v>
      </c>
      <c r="E902" t="s">
        <v>12</v>
      </c>
      <c r="F902" t="s">
        <v>13</v>
      </c>
      <c r="G902" t="s">
        <v>14</v>
      </c>
      <c r="H902">
        <v>2</v>
      </c>
      <c r="I902" s="2">
        <v>352.38</v>
      </c>
      <c r="J902" s="2">
        <v>704.76</v>
      </c>
      <c r="K902" s="2">
        <f t="shared" si="43"/>
        <v>704.76</v>
      </c>
      <c r="L902" s="2">
        <f t="shared" si="44"/>
        <v>0</v>
      </c>
      <c r="M902" t="s">
        <v>55</v>
      </c>
      <c r="N902" t="s">
        <v>26</v>
      </c>
    </row>
    <row r="903" spans="1:14" x14ac:dyDescent="0.3">
      <c r="A903">
        <v>2024001901</v>
      </c>
      <c r="B903" s="1">
        <v>45523</v>
      </c>
      <c r="C903" s="11">
        <f t="shared" si="42"/>
        <v>2024</v>
      </c>
      <c r="D903" t="s">
        <v>66</v>
      </c>
      <c r="E903" t="s">
        <v>23</v>
      </c>
      <c r="F903" t="s">
        <v>24</v>
      </c>
      <c r="G903" t="s">
        <v>14</v>
      </c>
      <c r="H903">
        <v>1</v>
      </c>
      <c r="I903" s="2">
        <v>69.52</v>
      </c>
      <c r="J903" s="2">
        <v>69.52</v>
      </c>
      <c r="K903" s="2">
        <f t="shared" si="43"/>
        <v>69.52</v>
      </c>
      <c r="L903" s="2">
        <f t="shared" si="44"/>
        <v>0</v>
      </c>
      <c r="M903" t="s">
        <v>55</v>
      </c>
      <c r="N903" t="s">
        <v>21</v>
      </c>
    </row>
    <row r="904" spans="1:14" x14ac:dyDescent="0.3">
      <c r="A904">
        <v>2024001902</v>
      </c>
      <c r="B904" s="1">
        <v>45507</v>
      </c>
      <c r="C904" s="11">
        <f t="shared" si="42"/>
        <v>2024</v>
      </c>
      <c r="D904" t="s">
        <v>94</v>
      </c>
      <c r="E904" t="s">
        <v>46</v>
      </c>
      <c r="F904" t="s">
        <v>47</v>
      </c>
      <c r="G904" t="s">
        <v>36</v>
      </c>
      <c r="H904">
        <v>2</v>
      </c>
      <c r="I904" s="2">
        <v>91.72</v>
      </c>
      <c r="J904" s="2">
        <v>183.44</v>
      </c>
      <c r="K904" s="2">
        <f t="shared" si="43"/>
        <v>183.44</v>
      </c>
      <c r="L904" s="2">
        <f t="shared" si="44"/>
        <v>0</v>
      </c>
      <c r="M904" t="s">
        <v>38</v>
      </c>
      <c r="N904" t="s">
        <v>32</v>
      </c>
    </row>
    <row r="905" spans="1:14" x14ac:dyDescent="0.3">
      <c r="A905">
        <v>2024001903</v>
      </c>
      <c r="B905" s="1">
        <v>45486</v>
      </c>
      <c r="C905" s="11">
        <f t="shared" si="42"/>
        <v>2024</v>
      </c>
      <c r="D905" t="s">
        <v>183</v>
      </c>
      <c r="E905" t="s">
        <v>43</v>
      </c>
      <c r="F905" t="s">
        <v>44</v>
      </c>
      <c r="G905" t="s">
        <v>36</v>
      </c>
      <c r="H905">
        <v>1</v>
      </c>
      <c r="I905" s="2">
        <v>1218.7</v>
      </c>
      <c r="J905" s="2">
        <v>1218.7</v>
      </c>
      <c r="K905" s="2">
        <f t="shared" si="43"/>
        <v>1218.7</v>
      </c>
      <c r="L905" s="2">
        <f t="shared" si="44"/>
        <v>0</v>
      </c>
      <c r="M905" t="s">
        <v>48</v>
      </c>
      <c r="N905" t="s">
        <v>16</v>
      </c>
    </row>
    <row r="906" spans="1:14" x14ac:dyDescent="0.3">
      <c r="A906">
        <v>2024001904</v>
      </c>
      <c r="B906" s="1">
        <v>45415</v>
      </c>
      <c r="C906" s="11">
        <f t="shared" si="42"/>
        <v>2024</v>
      </c>
      <c r="D906" t="s">
        <v>11</v>
      </c>
      <c r="E906" t="s">
        <v>43</v>
      </c>
      <c r="F906" t="s">
        <v>44</v>
      </c>
      <c r="G906" t="s">
        <v>36</v>
      </c>
      <c r="H906">
        <v>1</v>
      </c>
      <c r="I906" s="2">
        <v>1181.18</v>
      </c>
      <c r="J906" s="2">
        <v>1181.18</v>
      </c>
      <c r="K906" s="2">
        <f t="shared" si="43"/>
        <v>1181.18</v>
      </c>
      <c r="L906" s="2">
        <f t="shared" si="44"/>
        <v>0</v>
      </c>
      <c r="M906" t="s">
        <v>64</v>
      </c>
      <c r="N906" t="s">
        <v>26</v>
      </c>
    </row>
    <row r="907" spans="1:14" x14ac:dyDescent="0.3">
      <c r="A907">
        <v>2024001905</v>
      </c>
      <c r="B907" s="1">
        <v>45375</v>
      </c>
      <c r="C907" s="11">
        <f t="shared" si="42"/>
        <v>2024</v>
      </c>
      <c r="D907" t="s">
        <v>289</v>
      </c>
      <c r="E907" t="s">
        <v>53</v>
      </c>
      <c r="F907" t="s">
        <v>54</v>
      </c>
      <c r="G907" t="s">
        <v>36</v>
      </c>
      <c r="H907">
        <v>5</v>
      </c>
      <c r="I907" s="2">
        <v>122.52</v>
      </c>
      <c r="J907" s="2">
        <v>612.6</v>
      </c>
      <c r="K907" s="2">
        <f t="shared" si="43"/>
        <v>612.6</v>
      </c>
      <c r="L907" s="2">
        <f t="shared" si="44"/>
        <v>0</v>
      </c>
      <c r="M907" t="s">
        <v>25</v>
      </c>
      <c r="N907" t="s">
        <v>26</v>
      </c>
    </row>
    <row r="908" spans="1:14" x14ac:dyDescent="0.3">
      <c r="A908">
        <v>2024001906</v>
      </c>
      <c r="B908" s="1">
        <v>45436</v>
      </c>
      <c r="C908" s="11">
        <f t="shared" si="42"/>
        <v>2024</v>
      </c>
      <c r="D908" t="s">
        <v>11</v>
      </c>
      <c r="E908" t="s">
        <v>40</v>
      </c>
      <c r="F908" t="s">
        <v>41</v>
      </c>
      <c r="G908" t="s">
        <v>36</v>
      </c>
      <c r="H908">
        <v>3</v>
      </c>
      <c r="I908" s="2">
        <v>47.69</v>
      </c>
      <c r="J908" s="2">
        <v>143.07</v>
      </c>
      <c r="K908" s="2">
        <f t="shared" si="43"/>
        <v>143.07</v>
      </c>
      <c r="L908" s="2">
        <f t="shared" si="44"/>
        <v>0</v>
      </c>
      <c r="M908" t="s">
        <v>38</v>
      </c>
      <c r="N908" t="s">
        <v>32</v>
      </c>
    </row>
    <row r="909" spans="1:14" x14ac:dyDescent="0.3">
      <c r="A909">
        <v>2024001907</v>
      </c>
      <c r="B909" s="1">
        <v>45599</v>
      </c>
      <c r="C909" s="11">
        <f t="shared" si="42"/>
        <v>2024</v>
      </c>
      <c r="D909" t="s">
        <v>11</v>
      </c>
      <c r="E909" t="s">
        <v>34</v>
      </c>
      <c r="F909" t="s">
        <v>35</v>
      </c>
      <c r="G909" t="s">
        <v>36</v>
      </c>
      <c r="H909">
        <v>1</v>
      </c>
      <c r="I909" s="2">
        <v>16.170000000000002</v>
      </c>
      <c r="J909" s="2">
        <v>16.170000000000002</v>
      </c>
      <c r="K909" s="2">
        <f t="shared" si="43"/>
        <v>16.170000000000002</v>
      </c>
      <c r="L909" s="2">
        <f t="shared" si="44"/>
        <v>0</v>
      </c>
      <c r="M909" t="s">
        <v>15</v>
      </c>
      <c r="N909" t="s">
        <v>26</v>
      </c>
    </row>
    <row r="910" spans="1:14" x14ac:dyDescent="0.3">
      <c r="A910">
        <v>2024001908</v>
      </c>
      <c r="B910" s="1">
        <v>45408</v>
      </c>
      <c r="C910" s="11">
        <f t="shared" si="42"/>
        <v>2024</v>
      </c>
      <c r="D910" t="s">
        <v>268</v>
      </c>
      <c r="E910" t="s">
        <v>40</v>
      </c>
      <c r="F910" t="s">
        <v>41</v>
      </c>
      <c r="G910" t="s">
        <v>36</v>
      </c>
      <c r="H910">
        <v>3</v>
      </c>
      <c r="I910" s="2">
        <v>44.96</v>
      </c>
      <c r="J910" s="2">
        <v>134.88</v>
      </c>
      <c r="K910" s="2">
        <f t="shared" si="43"/>
        <v>134.88</v>
      </c>
      <c r="L910" s="2">
        <f t="shared" si="44"/>
        <v>0</v>
      </c>
      <c r="M910" t="s">
        <v>48</v>
      </c>
      <c r="N910" t="s">
        <v>26</v>
      </c>
    </row>
    <row r="911" spans="1:14" x14ac:dyDescent="0.3">
      <c r="A911">
        <v>2024001909</v>
      </c>
      <c r="B911" s="1">
        <v>45522</v>
      </c>
      <c r="C911" s="11">
        <f t="shared" si="42"/>
        <v>2024</v>
      </c>
      <c r="D911" t="s">
        <v>89</v>
      </c>
      <c r="E911" t="s">
        <v>67</v>
      </c>
      <c r="F911" t="s">
        <v>68</v>
      </c>
      <c r="G911" t="s">
        <v>36</v>
      </c>
      <c r="H911">
        <v>1</v>
      </c>
      <c r="I911" s="2">
        <v>395.91</v>
      </c>
      <c r="J911" s="2">
        <v>395.91</v>
      </c>
      <c r="K911" s="2">
        <f t="shared" si="43"/>
        <v>395.91</v>
      </c>
      <c r="L911" s="2">
        <f t="shared" si="44"/>
        <v>0</v>
      </c>
      <c r="M911" t="s">
        <v>57</v>
      </c>
      <c r="N911" t="s">
        <v>26</v>
      </c>
    </row>
    <row r="912" spans="1:14" x14ac:dyDescent="0.3">
      <c r="A912">
        <v>2024001910</v>
      </c>
      <c r="B912" s="1">
        <v>45484</v>
      </c>
      <c r="C912" s="11">
        <f t="shared" si="42"/>
        <v>2024</v>
      </c>
      <c r="D912" t="s">
        <v>82</v>
      </c>
      <c r="E912" t="s">
        <v>43</v>
      </c>
      <c r="F912" t="s">
        <v>44</v>
      </c>
      <c r="G912" t="s">
        <v>36</v>
      </c>
      <c r="H912">
        <v>1</v>
      </c>
      <c r="I912" s="2">
        <v>1194.1300000000001</v>
      </c>
      <c r="J912" s="2">
        <v>1194.1300000000001</v>
      </c>
      <c r="K912" s="2">
        <f t="shared" si="43"/>
        <v>1194.1300000000001</v>
      </c>
      <c r="L912" s="2">
        <f t="shared" si="44"/>
        <v>0</v>
      </c>
      <c r="M912" t="s">
        <v>20</v>
      </c>
      <c r="N912" t="s">
        <v>16</v>
      </c>
    </row>
    <row r="913" spans="1:14" x14ac:dyDescent="0.3">
      <c r="A913">
        <v>2024001911</v>
      </c>
      <c r="B913" s="1">
        <v>45462</v>
      </c>
      <c r="C913" s="11">
        <f t="shared" si="42"/>
        <v>2024</v>
      </c>
      <c r="D913" t="s">
        <v>51</v>
      </c>
      <c r="E913" t="s">
        <v>34</v>
      </c>
      <c r="F913" t="s">
        <v>35</v>
      </c>
      <c r="G913" t="s">
        <v>36</v>
      </c>
      <c r="H913">
        <v>3</v>
      </c>
      <c r="I913" s="2">
        <v>14.17</v>
      </c>
      <c r="J913" s="2">
        <v>42.51</v>
      </c>
      <c r="K913" s="2">
        <f t="shared" si="43"/>
        <v>42.51</v>
      </c>
      <c r="L913" s="2">
        <f t="shared" si="44"/>
        <v>0</v>
      </c>
      <c r="M913" t="s">
        <v>61</v>
      </c>
      <c r="N913" t="s">
        <v>26</v>
      </c>
    </row>
    <row r="914" spans="1:14" x14ac:dyDescent="0.3">
      <c r="A914">
        <v>2024001912</v>
      </c>
      <c r="B914" s="1">
        <v>45625</v>
      </c>
      <c r="C914" s="11">
        <f t="shared" si="42"/>
        <v>2024</v>
      </c>
      <c r="D914" t="s">
        <v>11</v>
      </c>
      <c r="E914" t="s">
        <v>23</v>
      </c>
      <c r="F914" t="s">
        <v>24</v>
      </c>
      <c r="G914" t="s">
        <v>14</v>
      </c>
      <c r="H914">
        <v>3</v>
      </c>
      <c r="I914" s="2">
        <v>85.14</v>
      </c>
      <c r="J914" s="2">
        <v>255.42</v>
      </c>
      <c r="K914" s="2">
        <f t="shared" si="43"/>
        <v>255.42000000000002</v>
      </c>
      <c r="L914" s="2">
        <f t="shared" si="44"/>
        <v>0</v>
      </c>
      <c r="M914" t="s">
        <v>31</v>
      </c>
      <c r="N914" t="s">
        <v>32</v>
      </c>
    </row>
    <row r="915" spans="1:14" x14ac:dyDescent="0.3">
      <c r="A915">
        <v>2024001913</v>
      </c>
      <c r="B915" s="1">
        <v>45557</v>
      </c>
      <c r="C915" s="11">
        <f t="shared" si="42"/>
        <v>2024</v>
      </c>
      <c r="D915" t="s">
        <v>77</v>
      </c>
      <c r="E915" t="s">
        <v>67</v>
      </c>
      <c r="F915" t="s">
        <v>68</v>
      </c>
      <c r="G915" t="s">
        <v>36</v>
      </c>
      <c r="H915">
        <v>4</v>
      </c>
      <c r="I915" s="2">
        <v>351.47</v>
      </c>
      <c r="J915" s="2">
        <v>1405.88</v>
      </c>
      <c r="K915" s="2">
        <f t="shared" si="43"/>
        <v>1405.88</v>
      </c>
      <c r="L915" s="2">
        <f t="shared" si="44"/>
        <v>0</v>
      </c>
      <c r="M915" t="s">
        <v>15</v>
      </c>
      <c r="N915" t="s">
        <v>16</v>
      </c>
    </row>
    <row r="916" spans="1:14" x14ac:dyDescent="0.3">
      <c r="A916">
        <v>2024001914</v>
      </c>
      <c r="B916" s="1">
        <v>45510</v>
      </c>
      <c r="C916" s="11">
        <f t="shared" si="42"/>
        <v>2024</v>
      </c>
      <c r="D916" t="s">
        <v>37</v>
      </c>
      <c r="E916" t="s">
        <v>23</v>
      </c>
      <c r="F916" t="s">
        <v>24</v>
      </c>
      <c r="G916" t="s">
        <v>14</v>
      </c>
      <c r="H916">
        <v>4</v>
      </c>
      <c r="I916" s="2">
        <v>80.27</v>
      </c>
      <c r="J916" s="2">
        <v>321.08</v>
      </c>
      <c r="K916" s="2">
        <f t="shared" si="43"/>
        <v>321.08</v>
      </c>
      <c r="L916" s="2">
        <f t="shared" si="44"/>
        <v>0</v>
      </c>
      <c r="M916" t="s">
        <v>48</v>
      </c>
      <c r="N916" t="s">
        <v>32</v>
      </c>
    </row>
    <row r="917" spans="1:14" x14ac:dyDescent="0.3">
      <c r="A917">
        <v>2024001915</v>
      </c>
      <c r="B917" s="1">
        <v>45296</v>
      </c>
      <c r="C917" s="11">
        <f t="shared" si="42"/>
        <v>2024</v>
      </c>
      <c r="D917" t="s">
        <v>170</v>
      </c>
      <c r="E917" t="s">
        <v>18</v>
      </c>
      <c r="F917" t="s">
        <v>19</v>
      </c>
      <c r="G917" t="s">
        <v>14</v>
      </c>
      <c r="H917">
        <v>2</v>
      </c>
      <c r="I917" s="2">
        <v>581.04</v>
      </c>
      <c r="J917" s="2">
        <v>1162.08</v>
      </c>
      <c r="K917" s="2">
        <f t="shared" si="43"/>
        <v>1162.08</v>
      </c>
      <c r="L917" s="2">
        <f t="shared" si="44"/>
        <v>0</v>
      </c>
      <c r="M917" t="s">
        <v>64</v>
      </c>
      <c r="N917" t="s">
        <v>26</v>
      </c>
    </row>
    <row r="918" spans="1:14" x14ac:dyDescent="0.3">
      <c r="A918">
        <v>2024001402</v>
      </c>
      <c r="B918" s="1">
        <v>45384</v>
      </c>
      <c r="C918" s="11">
        <f t="shared" si="42"/>
        <v>2024</v>
      </c>
      <c r="D918" t="s">
        <v>293</v>
      </c>
      <c r="E918" t="s">
        <v>43</v>
      </c>
      <c r="F918" t="s">
        <v>44</v>
      </c>
      <c r="G918" t="s">
        <v>36</v>
      </c>
      <c r="H918">
        <v>5</v>
      </c>
      <c r="I918" s="2">
        <v>1206.6300000000001</v>
      </c>
      <c r="J918" s="2">
        <v>6033.15</v>
      </c>
      <c r="K918" s="2">
        <f t="shared" si="43"/>
        <v>6033.1500000000005</v>
      </c>
      <c r="L918" s="2">
        <f t="shared" si="44"/>
        <v>0</v>
      </c>
      <c r="M918" t="s">
        <v>48</v>
      </c>
      <c r="N918" t="s">
        <v>32</v>
      </c>
    </row>
    <row r="919" spans="1:14" x14ac:dyDescent="0.3">
      <c r="A919">
        <v>2024001917</v>
      </c>
      <c r="B919" s="1">
        <v>45614</v>
      </c>
      <c r="C919" s="11">
        <f t="shared" si="42"/>
        <v>2024</v>
      </c>
      <c r="D919" t="s">
        <v>224</v>
      </c>
      <c r="E919" t="s">
        <v>67</v>
      </c>
      <c r="F919" t="s">
        <v>68</v>
      </c>
      <c r="G919" t="s">
        <v>36</v>
      </c>
      <c r="H919">
        <v>1</v>
      </c>
      <c r="I919" s="2">
        <v>387.47</v>
      </c>
      <c r="J919" s="2">
        <v>387.47</v>
      </c>
      <c r="K919" s="2">
        <f t="shared" si="43"/>
        <v>387.47</v>
      </c>
      <c r="L919" s="2">
        <f t="shared" si="44"/>
        <v>0</v>
      </c>
      <c r="M919" t="s">
        <v>38</v>
      </c>
      <c r="N919" t="s">
        <v>32</v>
      </c>
    </row>
    <row r="920" spans="1:14" x14ac:dyDescent="0.3">
      <c r="A920">
        <v>2024001918</v>
      </c>
      <c r="B920" s="1">
        <v>45463</v>
      </c>
      <c r="C920" s="11">
        <f t="shared" si="42"/>
        <v>2024</v>
      </c>
      <c r="D920" t="s">
        <v>11</v>
      </c>
      <c r="E920" t="s">
        <v>40</v>
      </c>
      <c r="F920" t="s">
        <v>41</v>
      </c>
      <c r="G920" t="s">
        <v>36</v>
      </c>
      <c r="H920">
        <v>1</v>
      </c>
      <c r="I920" s="2">
        <v>46.8</v>
      </c>
      <c r="J920" s="2">
        <v>46.8</v>
      </c>
      <c r="K920" s="2">
        <f t="shared" si="43"/>
        <v>46.8</v>
      </c>
      <c r="L920" s="2">
        <f t="shared" si="44"/>
        <v>0</v>
      </c>
      <c r="M920" t="s">
        <v>15</v>
      </c>
      <c r="N920" t="s">
        <v>26</v>
      </c>
    </row>
    <row r="921" spans="1:14" x14ac:dyDescent="0.3">
      <c r="A921">
        <v>2024001919</v>
      </c>
      <c r="B921" s="1">
        <v>45628</v>
      </c>
      <c r="C921" s="11">
        <f t="shared" si="42"/>
        <v>2024</v>
      </c>
      <c r="D921" t="s">
        <v>85</v>
      </c>
      <c r="E921" t="s">
        <v>34</v>
      </c>
      <c r="F921" t="s">
        <v>35</v>
      </c>
      <c r="G921" t="s">
        <v>36</v>
      </c>
      <c r="H921">
        <v>2</v>
      </c>
      <c r="I921" s="2">
        <v>13.61</v>
      </c>
      <c r="J921" s="2">
        <v>27.22</v>
      </c>
      <c r="K921" s="2">
        <f t="shared" si="43"/>
        <v>27.22</v>
      </c>
      <c r="L921" s="2">
        <f t="shared" si="44"/>
        <v>0</v>
      </c>
      <c r="M921" t="s">
        <v>64</v>
      </c>
      <c r="N921" t="s">
        <v>21</v>
      </c>
    </row>
    <row r="922" spans="1:14" x14ac:dyDescent="0.3">
      <c r="A922">
        <v>2024001920</v>
      </c>
      <c r="B922" s="1">
        <v>45333</v>
      </c>
      <c r="C922" s="11">
        <f t="shared" si="42"/>
        <v>2024</v>
      </c>
      <c r="D922" t="s">
        <v>11</v>
      </c>
      <c r="E922" t="s">
        <v>12</v>
      </c>
      <c r="F922" t="s">
        <v>13</v>
      </c>
      <c r="G922" t="s">
        <v>14</v>
      </c>
      <c r="H922">
        <v>3</v>
      </c>
      <c r="I922" s="2">
        <v>350.54</v>
      </c>
      <c r="J922" s="2">
        <v>1051.6199999999999</v>
      </c>
      <c r="K922" s="2">
        <f t="shared" si="43"/>
        <v>1051.6200000000001</v>
      </c>
      <c r="L922" s="2">
        <f t="shared" si="44"/>
        <v>0</v>
      </c>
      <c r="M922" t="s">
        <v>38</v>
      </c>
      <c r="N922" t="s">
        <v>21</v>
      </c>
    </row>
    <row r="923" spans="1:14" x14ac:dyDescent="0.3">
      <c r="A923">
        <v>2024001921</v>
      </c>
      <c r="B923" s="1">
        <v>45308</v>
      </c>
      <c r="C923" s="11">
        <f t="shared" si="42"/>
        <v>2024</v>
      </c>
      <c r="D923" t="s">
        <v>153</v>
      </c>
      <c r="E923" t="s">
        <v>53</v>
      </c>
      <c r="F923" t="s">
        <v>54</v>
      </c>
      <c r="G923" t="s">
        <v>36</v>
      </c>
      <c r="H923">
        <v>2</v>
      </c>
      <c r="I923" s="2">
        <v>117.41</v>
      </c>
      <c r="J923" s="2">
        <v>234.82</v>
      </c>
      <c r="K923" s="2">
        <f t="shared" si="43"/>
        <v>234.82</v>
      </c>
      <c r="L923" s="2">
        <f t="shared" si="44"/>
        <v>0</v>
      </c>
      <c r="M923" t="s">
        <v>38</v>
      </c>
      <c r="N923" t="s">
        <v>32</v>
      </c>
    </row>
    <row r="924" spans="1:14" x14ac:dyDescent="0.3">
      <c r="A924">
        <v>2024001922</v>
      </c>
      <c r="B924" s="1">
        <v>45488</v>
      </c>
      <c r="C924" s="11">
        <f t="shared" si="42"/>
        <v>2024</v>
      </c>
      <c r="D924" t="s">
        <v>152</v>
      </c>
      <c r="E924" t="s">
        <v>12</v>
      </c>
      <c r="F924" t="s">
        <v>13</v>
      </c>
      <c r="G924" t="s">
        <v>14</v>
      </c>
      <c r="H924">
        <v>2</v>
      </c>
      <c r="I924" s="2">
        <v>354.27</v>
      </c>
      <c r="J924" s="2">
        <v>708.54</v>
      </c>
      <c r="K924" s="2">
        <f t="shared" si="43"/>
        <v>708.54</v>
      </c>
      <c r="L924" s="2">
        <f t="shared" si="44"/>
        <v>0</v>
      </c>
      <c r="M924" t="s">
        <v>25</v>
      </c>
      <c r="N924" t="s">
        <v>16</v>
      </c>
    </row>
    <row r="925" spans="1:14" x14ac:dyDescent="0.3">
      <c r="A925">
        <v>2024001923</v>
      </c>
      <c r="B925" s="1">
        <v>45348</v>
      </c>
      <c r="C925" s="11">
        <f t="shared" si="42"/>
        <v>2024</v>
      </c>
      <c r="D925" t="s">
        <v>242</v>
      </c>
      <c r="E925" t="s">
        <v>40</v>
      </c>
      <c r="F925" t="s">
        <v>41</v>
      </c>
      <c r="G925" t="s">
        <v>36</v>
      </c>
      <c r="H925">
        <v>1</v>
      </c>
      <c r="I925" s="2">
        <v>41.58</v>
      </c>
      <c r="J925" s="2">
        <v>41.58</v>
      </c>
      <c r="K925" s="2">
        <f t="shared" si="43"/>
        <v>41.58</v>
      </c>
      <c r="L925" s="2">
        <f t="shared" si="44"/>
        <v>0</v>
      </c>
      <c r="M925" t="s">
        <v>20</v>
      </c>
      <c r="N925" t="s">
        <v>21</v>
      </c>
    </row>
    <row r="926" spans="1:14" x14ac:dyDescent="0.3">
      <c r="A926">
        <v>2024001924</v>
      </c>
      <c r="B926" s="1">
        <v>45390</v>
      </c>
      <c r="C926" s="11">
        <f t="shared" si="42"/>
        <v>2024</v>
      </c>
      <c r="D926" t="s">
        <v>11</v>
      </c>
      <c r="E926" t="s">
        <v>53</v>
      </c>
      <c r="F926" t="s">
        <v>54</v>
      </c>
      <c r="G926" t="s">
        <v>36</v>
      </c>
      <c r="H926">
        <v>1</v>
      </c>
      <c r="I926" s="2">
        <v>114.89</v>
      </c>
      <c r="J926" s="2">
        <v>114.89</v>
      </c>
      <c r="K926" s="2">
        <f t="shared" si="43"/>
        <v>114.89</v>
      </c>
      <c r="L926" s="2">
        <f t="shared" si="44"/>
        <v>0</v>
      </c>
      <c r="M926" t="s">
        <v>20</v>
      </c>
      <c r="N926" t="s">
        <v>32</v>
      </c>
    </row>
    <row r="927" spans="1:14" x14ac:dyDescent="0.3">
      <c r="A927">
        <v>2024001925</v>
      </c>
      <c r="B927" s="1">
        <v>45505</v>
      </c>
      <c r="C927" s="11">
        <f t="shared" si="42"/>
        <v>2024</v>
      </c>
      <c r="D927" t="s">
        <v>11</v>
      </c>
      <c r="E927" t="s">
        <v>34</v>
      </c>
      <c r="F927" t="s">
        <v>35</v>
      </c>
      <c r="G927" t="s">
        <v>36</v>
      </c>
      <c r="H927">
        <v>1</v>
      </c>
      <c r="I927" s="2">
        <v>13.57</v>
      </c>
      <c r="J927" s="2">
        <v>13.57</v>
      </c>
      <c r="K927" s="2">
        <f t="shared" si="43"/>
        <v>13.57</v>
      </c>
      <c r="L927" s="2">
        <f t="shared" si="44"/>
        <v>0</v>
      </c>
      <c r="M927" t="s">
        <v>38</v>
      </c>
      <c r="N927" t="s">
        <v>26</v>
      </c>
    </row>
    <row r="928" spans="1:14" x14ac:dyDescent="0.3">
      <c r="A928">
        <v>2024001926</v>
      </c>
      <c r="B928" s="1">
        <v>45504</v>
      </c>
      <c r="C928" s="11">
        <f t="shared" si="42"/>
        <v>2024</v>
      </c>
      <c r="D928" t="s">
        <v>248</v>
      </c>
      <c r="E928" t="s">
        <v>43</v>
      </c>
      <c r="F928" t="s">
        <v>44</v>
      </c>
      <c r="G928" t="s">
        <v>36</v>
      </c>
      <c r="H928">
        <v>1</v>
      </c>
      <c r="I928" s="2">
        <v>1182.17</v>
      </c>
      <c r="J928" s="2">
        <v>1182.17</v>
      </c>
      <c r="K928" s="2">
        <f t="shared" si="43"/>
        <v>1182.17</v>
      </c>
      <c r="L928" s="2">
        <f t="shared" si="44"/>
        <v>0</v>
      </c>
      <c r="M928" t="s">
        <v>15</v>
      </c>
      <c r="N928" t="s">
        <v>32</v>
      </c>
    </row>
    <row r="929" spans="1:14" x14ac:dyDescent="0.3">
      <c r="A929">
        <v>2024001927</v>
      </c>
      <c r="B929" s="1">
        <v>45633</v>
      </c>
      <c r="C929" s="11">
        <f t="shared" si="42"/>
        <v>2024</v>
      </c>
      <c r="D929" t="s">
        <v>129</v>
      </c>
      <c r="E929" t="s">
        <v>40</v>
      </c>
      <c r="F929" t="s">
        <v>41</v>
      </c>
      <c r="G929" t="s">
        <v>36</v>
      </c>
      <c r="H929">
        <v>2</v>
      </c>
      <c r="I929" s="2">
        <v>44.24</v>
      </c>
      <c r="J929" s="2">
        <v>88.48</v>
      </c>
      <c r="K929" s="2">
        <f t="shared" si="43"/>
        <v>88.48</v>
      </c>
      <c r="L929" s="2">
        <f t="shared" si="44"/>
        <v>0</v>
      </c>
      <c r="M929" t="s">
        <v>61</v>
      </c>
      <c r="N929" t="s">
        <v>26</v>
      </c>
    </row>
    <row r="930" spans="1:14" x14ac:dyDescent="0.3">
      <c r="A930">
        <v>2024001928</v>
      </c>
      <c r="B930" s="1">
        <v>45373</v>
      </c>
      <c r="C930" s="11">
        <f t="shared" si="42"/>
        <v>2024</v>
      </c>
      <c r="D930" t="s">
        <v>182</v>
      </c>
      <c r="E930" t="s">
        <v>67</v>
      </c>
      <c r="F930" t="s">
        <v>68</v>
      </c>
      <c r="G930" t="s">
        <v>36</v>
      </c>
      <c r="H930">
        <v>4</v>
      </c>
      <c r="I930" s="2">
        <v>377.84</v>
      </c>
      <c r="J930" s="2">
        <v>1511.36</v>
      </c>
      <c r="K930" s="2">
        <f t="shared" si="43"/>
        <v>1511.36</v>
      </c>
      <c r="L930" s="2">
        <f t="shared" si="44"/>
        <v>0</v>
      </c>
      <c r="M930" t="s">
        <v>64</v>
      </c>
      <c r="N930" t="s">
        <v>21</v>
      </c>
    </row>
    <row r="931" spans="1:14" x14ac:dyDescent="0.3">
      <c r="A931">
        <v>2024001929</v>
      </c>
      <c r="B931" s="1">
        <v>45492</v>
      </c>
      <c r="C931" s="11">
        <f t="shared" si="42"/>
        <v>2024</v>
      </c>
      <c r="D931" t="s">
        <v>160</v>
      </c>
      <c r="E931" t="s">
        <v>34</v>
      </c>
      <c r="F931" t="s">
        <v>35</v>
      </c>
      <c r="G931" t="s">
        <v>36</v>
      </c>
      <c r="H931">
        <v>4</v>
      </c>
      <c r="I931" s="2">
        <v>16.2</v>
      </c>
      <c r="J931" s="2">
        <v>64.8</v>
      </c>
      <c r="K931" s="2">
        <f t="shared" si="43"/>
        <v>64.8</v>
      </c>
      <c r="L931" s="2">
        <f t="shared" si="44"/>
        <v>0</v>
      </c>
      <c r="M931" t="s">
        <v>25</v>
      </c>
      <c r="N931" t="s">
        <v>16</v>
      </c>
    </row>
    <row r="932" spans="1:14" x14ac:dyDescent="0.3">
      <c r="A932">
        <v>2024001930</v>
      </c>
      <c r="B932" s="1">
        <v>45511</v>
      </c>
      <c r="C932" s="11">
        <f t="shared" si="42"/>
        <v>2024</v>
      </c>
      <c r="D932" t="s">
        <v>152</v>
      </c>
      <c r="E932" t="s">
        <v>12</v>
      </c>
      <c r="F932" t="s">
        <v>13</v>
      </c>
      <c r="G932" t="s">
        <v>14</v>
      </c>
      <c r="H932">
        <v>3</v>
      </c>
      <c r="I932" s="2">
        <v>362.62</v>
      </c>
      <c r="J932" s="2">
        <v>1087.8599999999999</v>
      </c>
      <c r="K932" s="2">
        <f t="shared" si="43"/>
        <v>1087.8600000000001</v>
      </c>
      <c r="L932" s="2">
        <f t="shared" si="44"/>
        <v>0</v>
      </c>
      <c r="M932" t="s">
        <v>55</v>
      </c>
      <c r="N932" t="s">
        <v>21</v>
      </c>
    </row>
    <row r="933" spans="1:14" x14ac:dyDescent="0.3">
      <c r="A933">
        <v>2024001931</v>
      </c>
      <c r="B933" s="1">
        <v>45497</v>
      </c>
      <c r="C933" s="11">
        <f t="shared" si="42"/>
        <v>2024</v>
      </c>
      <c r="D933" t="s">
        <v>189</v>
      </c>
      <c r="E933" t="s">
        <v>53</v>
      </c>
      <c r="F933" t="s">
        <v>54</v>
      </c>
      <c r="G933" t="s">
        <v>36</v>
      </c>
      <c r="H933">
        <v>1</v>
      </c>
      <c r="I933" s="2">
        <v>118.03</v>
      </c>
      <c r="J933" s="2">
        <v>118.03</v>
      </c>
      <c r="K933" s="2">
        <f t="shared" si="43"/>
        <v>118.03</v>
      </c>
      <c r="L933" s="2">
        <f t="shared" si="44"/>
        <v>0</v>
      </c>
      <c r="M933" t="s">
        <v>64</v>
      </c>
      <c r="N933" t="s">
        <v>21</v>
      </c>
    </row>
    <row r="934" spans="1:14" x14ac:dyDescent="0.3">
      <c r="A934">
        <v>2024001932</v>
      </c>
      <c r="B934" s="1">
        <v>45359</v>
      </c>
      <c r="C934" s="11">
        <f t="shared" si="42"/>
        <v>2024</v>
      </c>
      <c r="D934" t="s">
        <v>17</v>
      </c>
      <c r="E934" t="s">
        <v>28</v>
      </c>
      <c r="F934" t="s">
        <v>29</v>
      </c>
      <c r="G934" t="s">
        <v>30</v>
      </c>
      <c r="H934">
        <v>1</v>
      </c>
      <c r="I934" s="2">
        <v>24.88</v>
      </c>
      <c r="J934" s="2">
        <v>24.88</v>
      </c>
      <c r="K934" s="2">
        <f t="shared" si="43"/>
        <v>24.88</v>
      </c>
      <c r="L934" s="2">
        <f t="shared" si="44"/>
        <v>0</v>
      </c>
      <c r="M934" t="s">
        <v>25</v>
      </c>
      <c r="N934" t="s">
        <v>32</v>
      </c>
    </row>
    <row r="935" spans="1:14" x14ac:dyDescent="0.3">
      <c r="A935">
        <v>2024001933</v>
      </c>
      <c r="B935" s="1">
        <v>45469</v>
      </c>
      <c r="C935" s="11">
        <f t="shared" si="42"/>
        <v>2024</v>
      </c>
      <c r="D935" t="s">
        <v>316</v>
      </c>
      <c r="E935" t="s">
        <v>67</v>
      </c>
      <c r="F935" t="s">
        <v>68</v>
      </c>
      <c r="G935" t="s">
        <v>36</v>
      </c>
      <c r="H935">
        <v>3</v>
      </c>
      <c r="I935" s="2">
        <v>360.12</v>
      </c>
      <c r="J935" s="2">
        <v>1080.3599999999999</v>
      </c>
      <c r="K935" s="2">
        <f t="shared" si="43"/>
        <v>1080.3600000000001</v>
      </c>
      <c r="L935" s="2">
        <f t="shared" si="44"/>
        <v>0</v>
      </c>
      <c r="M935" t="s">
        <v>15</v>
      </c>
      <c r="N935" t="s">
        <v>16</v>
      </c>
    </row>
    <row r="936" spans="1:14" x14ac:dyDescent="0.3">
      <c r="A936">
        <v>2024001934</v>
      </c>
      <c r="B936" s="1">
        <v>45365</v>
      </c>
      <c r="C936" s="11">
        <f t="shared" si="42"/>
        <v>2024</v>
      </c>
      <c r="D936" t="s">
        <v>11</v>
      </c>
      <c r="E936" t="s">
        <v>46</v>
      </c>
      <c r="F936" t="s">
        <v>47</v>
      </c>
      <c r="G936" t="s">
        <v>36</v>
      </c>
      <c r="H936">
        <v>3</v>
      </c>
      <c r="I936" s="2">
        <v>88.41</v>
      </c>
      <c r="J936" s="2">
        <v>265.23</v>
      </c>
      <c r="K936" s="2">
        <f t="shared" si="43"/>
        <v>265.23</v>
      </c>
      <c r="L936" s="2">
        <f t="shared" si="44"/>
        <v>0</v>
      </c>
      <c r="M936" t="s">
        <v>15</v>
      </c>
      <c r="N936" t="s">
        <v>21</v>
      </c>
    </row>
    <row r="937" spans="1:14" x14ac:dyDescent="0.3">
      <c r="A937">
        <v>2024001935</v>
      </c>
      <c r="B937" s="1">
        <v>45453</v>
      </c>
      <c r="C937" s="11">
        <f t="shared" si="42"/>
        <v>2024</v>
      </c>
      <c r="D937" t="s">
        <v>11</v>
      </c>
      <c r="E937" t="s">
        <v>67</v>
      </c>
      <c r="F937" t="s">
        <v>68</v>
      </c>
      <c r="G937" t="s">
        <v>36</v>
      </c>
      <c r="H937">
        <v>1</v>
      </c>
      <c r="I937" s="2">
        <v>420.81</v>
      </c>
      <c r="J937" s="2">
        <v>420.81</v>
      </c>
      <c r="K937" s="2">
        <f t="shared" si="43"/>
        <v>420.81</v>
      </c>
      <c r="L937" s="2">
        <f t="shared" si="44"/>
        <v>0</v>
      </c>
      <c r="M937" t="s">
        <v>31</v>
      </c>
      <c r="N937" t="s">
        <v>21</v>
      </c>
    </row>
    <row r="938" spans="1:14" x14ac:dyDescent="0.3">
      <c r="A938">
        <v>2024001936</v>
      </c>
      <c r="B938" s="1">
        <v>45335</v>
      </c>
      <c r="C938" s="11">
        <f t="shared" si="42"/>
        <v>2024</v>
      </c>
      <c r="D938" t="s">
        <v>33</v>
      </c>
      <c r="E938" t="s">
        <v>67</v>
      </c>
      <c r="F938" t="s">
        <v>68</v>
      </c>
      <c r="G938" t="s">
        <v>36</v>
      </c>
      <c r="H938">
        <v>3</v>
      </c>
      <c r="I938" s="2">
        <v>370.32</v>
      </c>
      <c r="J938" s="2">
        <v>1110.96</v>
      </c>
      <c r="K938" s="2">
        <f t="shared" si="43"/>
        <v>1110.96</v>
      </c>
      <c r="L938" s="2">
        <f t="shared" si="44"/>
        <v>0</v>
      </c>
      <c r="M938" t="s">
        <v>64</v>
      </c>
      <c r="N938" t="s">
        <v>16</v>
      </c>
    </row>
    <row r="939" spans="1:14" x14ac:dyDescent="0.3">
      <c r="A939">
        <v>2024001937</v>
      </c>
      <c r="B939" s="1">
        <v>45365</v>
      </c>
      <c r="C939" s="11">
        <f t="shared" si="42"/>
        <v>2024</v>
      </c>
      <c r="D939" t="s">
        <v>299</v>
      </c>
      <c r="E939" t="s">
        <v>34</v>
      </c>
      <c r="F939" t="s">
        <v>35</v>
      </c>
      <c r="G939" t="s">
        <v>36</v>
      </c>
      <c r="H939">
        <v>1</v>
      </c>
      <c r="I939" s="2">
        <v>14.84</v>
      </c>
      <c r="J939" s="2">
        <v>14.84</v>
      </c>
      <c r="K939" s="2">
        <f t="shared" si="43"/>
        <v>14.84</v>
      </c>
      <c r="L939" s="2">
        <f t="shared" si="44"/>
        <v>0</v>
      </c>
      <c r="M939" t="s">
        <v>61</v>
      </c>
      <c r="N939" t="s">
        <v>21</v>
      </c>
    </row>
    <row r="940" spans="1:14" x14ac:dyDescent="0.3">
      <c r="A940">
        <v>2024001938</v>
      </c>
      <c r="B940" s="1">
        <v>45560</v>
      </c>
      <c r="C940" s="11">
        <f t="shared" si="42"/>
        <v>2024</v>
      </c>
      <c r="D940" t="s">
        <v>326</v>
      </c>
      <c r="E940" t="s">
        <v>46</v>
      </c>
      <c r="F940" t="s">
        <v>47</v>
      </c>
      <c r="G940" t="s">
        <v>36</v>
      </c>
      <c r="H940">
        <v>1</v>
      </c>
      <c r="I940" s="2">
        <v>86.65</v>
      </c>
      <c r="J940" s="2">
        <v>86.65</v>
      </c>
      <c r="K940" s="2">
        <f t="shared" si="43"/>
        <v>86.65</v>
      </c>
      <c r="L940" s="2">
        <f t="shared" si="44"/>
        <v>0</v>
      </c>
      <c r="M940" t="s">
        <v>25</v>
      </c>
      <c r="N940" t="s">
        <v>32</v>
      </c>
    </row>
    <row r="941" spans="1:14" x14ac:dyDescent="0.3">
      <c r="A941">
        <v>2024001939</v>
      </c>
      <c r="B941" s="1">
        <v>45510</v>
      </c>
      <c r="C941" s="11">
        <f t="shared" si="42"/>
        <v>2024</v>
      </c>
      <c r="D941" t="s">
        <v>328</v>
      </c>
      <c r="E941" t="s">
        <v>34</v>
      </c>
      <c r="F941" t="s">
        <v>35</v>
      </c>
      <c r="G941" t="s">
        <v>36</v>
      </c>
      <c r="H941">
        <v>1</v>
      </c>
      <c r="I941" s="2">
        <v>14.49</v>
      </c>
      <c r="J941" s="2">
        <v>14.49</v>
      </c>
      <c r="K941" s="2">
        <f t="shared" si="43"/>
        <v>14.49</v>
      </c>
      <c r="L941" s="2">
        <f t="shared" si="44"/>
        <v>0</v>
      </c>
      <c r="M941" t="s">
        <v>64</v>
      </c>
      <c r="N941" t="s">
        <v>32</v>
      </c>
    </row>
    <row r="942" spans="1:14" x14ac:dyDescent="0.3">
      <c r="A942">
        <v>2024001940</v>
      </c>
      <c r="B942" s="1">
        <v>45443</v>
      </c>
      <c r="C942" s="11">
        <f t="shared" si="42"/>
        <v>2024</v>
      </c>
      <c r="D942" t="s">
        <v>115</v>
      </c>
      <c r="E942" t="s">
        <v>12</v>
      </c>
      <c r="F942" t="s">
        <v>13</v>
      </c>
      <c r="G942" t="s">
        <v>14</v>
      </c>
      <c r="H942">
        <v>1</v>
      </c>
      <c r="I942" s="2">
        <v>346.55</v>
      </c>
      <c r="J942" s="2">
        <v>346.55</v>
      </c>
      <c r="K942" s="2">
        <f t="shared" si="43"/>
        <v>346.55</v>
      </c>
      <c r="L942" s="2">
        <f t="shared" si="44"/>
        <v>0</v>
      </c>
      <c r="M942" t="s">
        <v>20</v>
      </c>
      <c r="N942" t="s">
        <v>32</v>
      </c>
    </row>
    <row r="943" spans="1:14" x14ac:dyDescent="0.3">
      <c r="A943">
        <v>2024001941</v>
      </c>
      <c r="B943" s="1">
        <v>45587</v>
      </c>
      <c r="C943" s="11">
        <f t="shared" si="42"/>
        <v>2024</v>
      </c>
      <c r="D943" t="s">
        <v>213</v>
      </c>
      <c r="E943" t="s">
        <v>67</v>
      </c>
      <c r="F943" t="s">
        <v>68</v>
      </c>
      <c r="G943" t="s">
        <v>36</v>
      </c>
      <c r="H943">
        <v>2</v>
      </c>
      <c r="I943" s="2">
        <v>390.71</v>
      </c>
      <c r="J943" s="2">
        <v>781.42</v>
      </c>
      <c r="K943" s="2">
        <f t="shared" si="43"/>
        <v>781.42</v>
      </c>
      <c r="L943" s="2">
        <f t="shared" si="44"/>
        <v>0</v>
      </c>
      <c r="M943" t="s">
        <v>20</v>
      </c>
      <c r="N943" t="s">
        <v>26</v>
      </c>
    </row>
    <row r="944" spans="1:14" x14ac:dyDescent="0.3">
      <c r="A944">
        <v>2024001942</v>
      </c>
      <c r="B944" s="1">
        <v>45646</v>
      </c>
      <c r="C944" s="11">
        <f t="shared" si="42"/>
        <v>2024</v>
      </c>
      <c r="D944" t="s">
        <v>22</v>
      </c>
      <c r="E944" t="s">
        <v>28</v>
      </c>
      <c r="F944" t="s">
        <v>29</v>
      </c>
      <c r="G944" t="s">
        <v>30</v>
      </c>
      <c r="H944">
        <v>3</v>
      </c>
      <c r="I944" s="2">
        <v>24.23</v>
      </c>
      <c r="J944" s="2">
        <v>72.69</v>
      </c>
      <c r="K944" s="2">
        <f t="shared" si="43"/>
        <v>72.69</v>
      </c>
      <c r="L944" s="2">
        <f t="shared" si="44"/>
        <v>0</v>
      </c>
      <c r="M944" t="s">
        <v>31</v>
      </c>
      <c r="N944" t="s">
        <v>16</v>
      </c>
    </row>
    <row r="945" spans="1:14" x14ac:dyDescent="0.3">
      <c r="A945">
        <v>2024001943</v>
      </c>
      <c r="B945" s="1">
        <v>45398</v>
      </c>
      <c r="C945" s="11">
        <f t="shared" si="42"/>
        <v>2024</v>
      </c>
      <c r="D945" t="s">
        <v>165</v>
      </c>
      <c r="E945" t="s">
        <v>46</v>
      </c>
      <c r="F945" t="s">
        <v>47</v>
      </c>
      <c r="G945" t="s">
        <v>36</v>
      </c>
      <c r="H945">
        <v>5</v>
      </c>
      <c r="I945" s="2">
        <v>87.65</v>
      </c>
      <c r="J945" s="2">
        <v>438.25</v>
      </c>
      <c r="K945" s="2">
        <f t="shared" si="43"/>
        <v>438.25</v>
      </c>
      <c r="L945" s="2">
        <f t="shared" si="44"/>
        <v>0</v>
      </c>
      <c r="M945" t="s">
        <v>25</v>
      </c>
      <c r="N945" t="s">
        <v>32</v>
      </c>
    </row>
    <row r="946" spans="1:14" x14ac:dyDescent="0.3">
      <c r="A946">
        <v>2024001944</v>
      </c>
      <c r="B946" s="1">
        <v>45394</v>
      </c>
      <c r="C946" s="11">
        <f t="shared" si="42"/>
        <v>2024</v>
      </c>
      <c r="D946" t="s">
        <v>11</v>
      </c>
      <c r="E946" t="s">
        <v>53</v>
      </c>
      <c r="F946" t="s">
        <v>54</v>
      </c>
      <c r="G946" t="s">
        <v>36</v>
      </c>
      <c r="H946">
        <v>1</v>
      </c>
      <c r="I946" s="2">
        <v>120.97</v>
      </c>
      <c r="J946" s="2">
        <v>120.97</v>
      </c>
      <c r="K946" s="2">
        <f t="shared" si="43"/>
        <v>120.97</v>
      </c>
      <c r="L946" s="2">
        <f t="shared" si="44"/>
        <v>0</v>
      </c>
      <c r="M946" t="s">
        <v>20</v>
      </c>
      <c r="N946" t="s">
        <v>16</v>
      </c>
    </row>
    <row r="947" spans="1:14" x14ac:dyDescent="0.3">
      <c r="A947">
        <v>2024001945</v>
      </c>
      <c r="B947" s="1">
        <v>45644</v>
      </c>
      <c r="C947" s="11">
        <f t="shared" si="42"/>
        <v>2024</v>
      </c>
      <c r="D947" t="s">
        <v>11</v>
      </c>
      <c r="E947" t="s">
        <v>28</v>
      </c>
      <c r="F947" t="s">
        <v>29</v>
      </c>
      <c r="G947" t="s">
        <v>30</v>
      </c>
      <c r="H947">
        <v>3</v>
      </c>
      <c r="I947" s="2">
        <v>23.85</v>
      </c>
      <c r="J947" s="2">
        <v>71.55</v>
      </c>
      <c r="K947" s="2">
        <f t="shared" si="43"/>
        <v>71.550000000000011</v>
      </c>
      <c r="L947" s="2">
        <f t="shared" si="44"/>
        <v>0</v>
      </c>
      <c r="M947" t="s">
        <v>57</v>
      </c>
      <c r="N947" t="s">
        <v>21</v>
      </c>
    </row>
    <row r="948" spans="1:14" x14ac:dyDescent="0.3">
      <c r="A948">
        <v>2024001946</v>
      </c>
      <c r="B948" s="1">
        <v>45296</v>
      </c>
      <c r="C948" s="11">
        <f t="shared" si="42"/>
        <v>2024</v>
      </c>
      <c r="D948" t="s">
        <v>58</v>
      </c>
      <c r="E948" t="s">
        <v>53</v>
      </c>
      <c r="F948" t="s">
        <v>54</v>
      </c>
      <c r="G948" t="s">
        <v>36</v>
      </c>
      <c r="H948">
        <v>1</v>
      </c>
      <c r="I948" s="2">
        <v>130.63999999999999</v>
      </c>
      <c r="J948" s="2">
        <v>130.63999999999999</v>
      </c>
      <c r="K948" s="2">
        <f t="shared" si="43"/>
        <v>130.63999999999999</v>
      </c>
      <c r="L948" s="2">
        <f t="shared" si="44"/>
        <v>0</v>
      </c>
      <c r="M948" t="s">
        <v>57</v>
      </c>
      <c r="N948" t="s">
        <v>32</v>
      </c>
    </row>
    <row r="949" spans="1:14" x14ac:dyDescent="0.3">
      <c r="A949">
        <v>2024001947</v>
      </c>
      <c r="B949" s="1">
        <v>45322</v>
      </c>
      <c r="C949" s="11">
        <f t="shared" si="42"/>
        <v>2024</v>
      </c>
      <c r="D949" t="s">
        <v>117</v>
      </c>
      <c r="E949" t="s">
        <v>53</v>
      </c>
      <c r="F949" t="s">
        <v>54</v>
      </c>
      <c r="G949" t="s">
        <v>36</v>
      </c>
      <c r="H949">
        <v>1</v>
      </c>
      <c r="I949" s="2">
        <v>122.33</v>
      </c>
      <c r="J949" s="2">
        <v>122.33</v>
      </c>
      <c r="K949" s="2">
        <f t="shared" si="43"/>
        <v>122.33</v>
      </c>
      <c r="L949" s="2">
        <f t="shared" si="44"/>
        <v>0</v>
      </c>
      <c r="M949" t="s">
        <v>64</v>
      </c>
      <c r="N949" t="s">
        <v>26</v>
      </c>
    </row>
    <row r="950" spans="1:14" x14ac:dyDescent="0.3">
      <c r="A950">
        <v>2024001948</v>
      </c>
      <c r="B950" s="1">
        <v>45311</v>
      </c>
      <c r="C950" s="11">
        <f t="shared" si="42"/>
        <v>2024</v>
      </c>
      <c r="D950" t="s">
        <v>329</v>
      </c>
      <c r="E950" t="s">
        <v>40</v>
      </c>
      <c r="F950" t="s">
        <v>41</v>
      </c>
      <c r="G950" t="s">
        <v>36</v>
      </c>
      <c r="H950">
        <v>1</v>
      </c>
      <c r="I950" s="2">
        <v>40.94</v>
      </c>
      <c r="J950" s="2">
        <v>40.94</v>
      </c>
      <c r="K950" s="2">
        <f t="shared" si="43"/>
        <v>40.94</v>
      </c>
      <c r="L950" s="2">
        <f t="shared" si="44"/>
        <v>0</v>
      </c>
      <c r="M950" t="s">
        <v>64</v>
      </c>
      <c r="N950" t="s">
        <v>26</v>
      </c>
    </row>
    <row r="951" spans="1:14" x14ac:dyDescent="0.3">
      <c r="A951">
        <v>2024001949</v>
      </c>
      <c r="B951" s="1">
        <v>45382</v>
      </c>
      <c r="C951" s="11">
        <f t="shared" si="42"/>
        <v>2024</v>
      </c>
      <c r="D951" t="s">
        <v>76</v>
      </c>
      <c r="E951" t="s">
        <v>67</v>
      </c>
      <c r="F951" t="s">
        <v>68</v>
      </c>
      <c r="G951" t="s">
        <v>36</v>
      </c>
      <c r="H951">
        <v>1</v>
      </c>
      <c r="I951" s="2">
        <v>409.64</v>
      </c>
      <c r="J951" s="2">
        <v>409.64</v>
      </c>
      <c r="K951" s="2">
        <f t="shared" si="43"/>
        <v>409.64</v>
      </c>
      <c r="L951" s="2">
        <f t="shared" si="44"/>
        <v>0</v>
      </c>
      <c r="M951" t="s">
        <v>64</v>
      </c>
      <c r="N951" t="s">
        <v>32</v>
      </c>
    </row>
    <row r="952" spans="1:14" x14ac:dyDescent="0.3">
      <c r="A952">
        <v>2024001950</v>
      </c>
      <c r="B952" s="1">
        <v>45380</v>
      </c>
      <c r="C952" s="11">
        <f t="shared" si="42"/>
        <v>2024</v>
      </c>
      <c r="D952" t="s">
        <v>330</v>
      </c>
      <c r="E952" t="s">
        <v>43</v>
      </c>
      <c r="F952" t="s">
        <v>44</v>
      </c>
      <c r="G952" t="s">
        <v>36</v>
      </c>
      <c r="H952">
        <v>3</v>
      </c>
      <c r="I952" s="2">
        <v>1311.54</v>
      </c>
      <c r="J952" s="2">
        <v>3934.62</v>
      </c>
      <c r="K952" s="2">
        <f t="shared" si="43"/>
        <v>3934.62</v>
      </c>
      <c r="L952" s="2">
        <f t="shared" si="44"/>
        <v>0</v>
      </c>
      <c r="M952" t="s">
        <v>64</v>
      </c>
      <c r="N952" t="s">
        <v>16</v>
      </c>
    </row>
    <row r="953" spans="1:14" x14ac:dyDescent="0.3">
      <c r="A953">
        <v>2024001951</v>
      </c>
      <c r="B953" s="1">
        <v>45530</v>
      </c>
      <c r="C953" s="11">
        <f t="shared" si="42"/>
        <v>2024</v>
      </c>
      <c r="D953" t="s">
        <v>142</v>
      </c>
      <c r="E953" t="s">
        <v>53</v>
      </c>
      <c r="F953" t="s">
        <v>54</v>
      </c>
      <c r="G953" t="s">
        <v>36</v>
      </c>
      <c r="H953">
        <v>3</v>
      </c>
      <c r="I953" s="2">
        <v>125.89</v>
      </c>
      <c r="J953" s="2">
        <v>377.67</v>
      </c>
      <c r="K953" s="2">
        <f t="shared" si="43"/>
        <v>377.67</v>
      </c>
      <c r="L953" s="2">
        <f t="shared" si="44"/>
        <v>0</v>
      </c>
      <c r="M953" t="s">
        <v>64</v>
      </c>
      <c r="N953" t="s">
        <v>26</v>
      </c>
    </row>
    <row r="954" spans="1:14" x14ac:dyDescent="0.3">
      <c r="A954">
        <v>2024001952</v>
      </c>
      <c r="B954" s="1">
        <v>45584</v>
      </c>
      <c r="C954" s="11">
        <f t="shared" si="42"/>
        <v>2024</v>
      </c>
      <c r="D954" t="s">
        <v>331</v>
      </c>
      <c r="E954" t="s">
        <v>46</v>
      </c>
      <c r="F954" t="s">
        <v>47</v>
      </c>
      <c r="G954" t="s">
        <v>36</v>
      </c>
      <c r="H954">
        <v>1</v>
      </c>
      <c r="I954" s="2">
        <v>88.74</v>
      </c>
      <c r="J954" s="2">
        <v>88.74</v>
      </c>
      <c r="K954" s="2">
        <f t="shared" si="43"/>
        <v>88.74</v>
      </c>
      <c r="L954" s="2">
        <f t="shared" si="44"/>
        <v>0</v>
      </c>
      <c r="M954" t="s">
        <v>64</v>
      </c>
      <c r="N954" t="s">
        <v>21</v>
      </c>
    </row>
    <row r="955" spans="1:14" x14ac:dyDescent="0.3">
      <c r="A955">
        <v>2024001953</v>
      </c>
      <c r="B955" s="1">
        <v>45389</v>
      </c>
      <c r="C955" s="11">
        <f t="shared" si="42"/>
        <v>2024</v>
      </c>
      <c r="D955" t="s">
        <v>11</v>
      </c>
      <c r="E955" t="s">
        <v>40</v>
      </c>
      <c r="F955" t="s">
        <v>41</v>
      </c>
      <c r="G955" t="s">
        <v>36</v>
      </c>
      <c r="H955">
        <v>2</v>
      </c>
      <c r="I955" s="2">
        <v>44.55</v>
      </c>
      <c r="J955" s="2">
        <v>89.1</v>
      </c>
      <c r="K955" s="2">
        <f t="shared" si="43"/>
        <v>89.1</v>
      </c>
      <c r="L955" s="2">
        <f t="shared" si="44"/>
        <v>0</v>
      </c>
      <c r="M955" t="s">
        <v>48</v>
      </c>
      <c r="N955" t="s">
        <v>32</v>
      </c>
    </row>
    <row r="956" spans="1:14" x14ac:dyDescent="0.3">
      <c r="A956">
        <v>2024001954</v>
      </c>
      <c r="B956" s="1">
        <v>45606</v>
      </c>
      <c r="C956" s="11">
        <f t="shared" si="42"/>
        <v>2024</v>
      </c>
      <c r="D956" t="s">
        <v>82</v>
      </c>
      <c r="E956" t="s">
        <v>18</v>
      </c>
      <c r="F956" t="s">
        <v>19</v>
      </c>
      <c r="G956" t="s">
        <v>14</v>
      </c>
      <c r="H956">
        <v>1</v>
      </c>
      <c r="I956" s="2">
        <v>623.13</v>
      </c>
      <c r="J956" s="2">
        <v>623.13</v>
      </c>
      <c r="K956" s="2">
        <f t="shared" si="43"/>
        <v>623.13</v>
      </c>
      <c r="L956" s="2">
        <f t="shared" si="44"/>
        <v>0</v>
      </c>
      <c r="M956" t="s">
        <v>31</v>
      </c>
      <c r="N956" t="s">
        <v>26</v>
      </c>
    </row>
    <row r="957" spans="1:14" x14ac:dyDescent="0.3">
      <c r="A957">
        <v>2024001955</v>
      </c>
      <c r="B957" s="1">
        <v>45419</v>
      </c>
      <c r="C957" s="11">
        <f t="shared" si="42"/>
        <v>2024</v>
      </c>
      <c r="D957" t="s">
        <v>100</v>
      </c>
      <c r="E957" t="s">
        <v>46</v>
      </c>
      <c r="F957" t="s">
        <v>47</v>
      </c>
      <c r="G957" t="s">
        <v>36</v>
      </c>
      <c r="H957">
        <v>3</v>
      </c>
      <c r="I957" s="2">
        <v>95.88</v>
      </c>
      <c r="J957" s="2">
        <v>287.64</v>
      </c>
      <c r="K957" s="2">
        <f t="shared" si="43"/>
        <v>287.64</v>
      </c>
      <c r="L957" s="2">
        <f t="shared" si="44"/>
        <v>0</v>
      </c>
      <c r="M957" t="s">
        <v>64</v>
      </c>
      <c r="N957" t="s">
        <v>26</v>
      </c>
    </row>
    <row r="958" spans="1:14" x14ac:dyDescent="0.3">
      <c r="A958">
        <v>2024001956</v>
      </c>
      <c r="B958" s="1">
        <v>45517</v>
      </c>
      <c r="C958" s="11">
        <f t="shared" si="42"/>
        <v>2024</v>
      </c>
      <c r="D958" t="s">
        <v>262</v>
      </c>
      <c r="E958" t="s">
        <v>46</v>
      </c>
      <c r="F958" t="s">
        <v>47</v>
      </c>
      <c r="G958" t="s">
        <v>36</v>
      </c>
      <c r="H958">
        <v>2</v>
      </c>
      <c r="I958" s="2">
        <v>93.22</v>
      </c>
      <c r="J958" s="2">
        <v>186.44</v>
      </c>
      <c r="K958" s="2">
        <f t="shared" si="43"/>
        <v>186.44</v>
      </c>
      <c r="L958" s="2">
        <f t="shared" si="44"/>
        <v>0</v>
      </c>
      <c r="M958" t="s">
        <v>64</v>
      </c>
      <c r="N958" t="s">
        <v>26</v>
      </c>
    </row>
    <row r="959" spans="1:14" x14ac:dyDescent="0.3">
      <c r="A959">
        <v>2024001957</v>
      </c>
      <c r="B959" s="1">
        <v>45470</v>
      </c>
      <c r="C959" s="11">
        <f t="shared" si="42"/>
        <v>2024</v>
      </c>
      <c r="D959" t="s">
        <v>158</v>
      </c>
      <c r="E959" t="s">
        <v>12</v>
      </c>
      <c r="F959" t="s">
        <v>13</v>
      </c>
      <c r="G959" t="s">
        <v>14</v>
      </c>
      <c r="H959">
        <v>1</v>
      </c>
      <c r="I959" s="2">
        <v>352.09</v>
      </c>
      <c r="J959" s="2">
        <v>352.09</v>
      </c>
      <c r="K959" s="2">
        <f t="shared" si="43"/>
        <v>352.09</v>
      </c>
      <c r="L959" s="2">
        <f t="shared" si="44"/>
        <v>0</v>
      </c>
      <c r="M959" t="s">
        <v>20</v>
      </c>
      <c r="N959" t="s">
        <v>32</v>
      </c>
    </row>
    <row r="960" spans="1:14" x14ac:dyDescent="0.3">
      <c r="A960">
        <v>2024001958</v>
      </c>
      <c r="B960" s="1">
        <v>45320</v>
      </c>
      <c r="C960" s="11">
        <f t="shared" si="42"/>
        <v>2024</v>
      </c>
      <c r="D960" t="s">
        <v>167</v>
      </c>
      <c r="E960" t="s">
        <v>43</v>
      </c>
      <c r="F960" t="s">
        <v>44</v>
      </c>
      <c r="G960" t="s">
        <v>36</v>
      </c>
      <c r="H960">
        <v>5</v>
      </c>
      <c r="I960" s="2">
        <v>1095.6400000000001</v>
      </c>
      <c r="J960" s="2">
        <v>5478.2</v>
      </c>
      <c r="K960" s="2">
        <f t="shared" si="43"/>
        <v>5478.2000000000007</v>
      </c>
      <c r="L960" s="2">
        <f t="shared" si="44"/>
        <v>0</v>
      </c>
      <c r="M960" t="s">
        <v>55</v>
      </c>
      <c r="N960" t="s">
        <v>21</v>
      </c>
    </row>
    <row r="961" spans="1:14" x14ac:dyDescent="0.3">
      <c r="A961">
        <v>2024001959</v>
      </c>
      <c r="B961" s="1">
        <v>45455</v>
      </c>
      <c r="C961" s="11">
        <f t="shared" si="42"/>
        <v>2024</v>
      </c>
      <c r="D961" t="s">
        <v>157</v>
      </c>
      <c r="E961" t="s">
        <v>40</v>
      </c>
      <c r="F961" t="s">
        <v>41</v>
      </c>
      <c r="G961" t="s">
        <v>36</v>
      </c>
      <c r="H961">
        <v>3</v>
      </c>
      <c r="I961" s="2">
        <v>42.63</v>
      </c>
      <c r="J961" s="2">
        <v>127.89</v>
      </c>
      <c r="K961" s="2">
        <f t="shared" si="43"/>
        <v>127.89000000000001</v>
      </c>
      <c r="L961" s="2">
        <f t="shared" si="44"/>
        <v>0</v>
      </c>
      <c r="M961" t="s">
        <v>57</v>
      </c>
      <c r="N961" t="s">
        <v>21</v>
      </c>
    </row>
    <row r="962" spans="1:14" x14ac:dyDescent="0.3">
      <c r="A962">
        <v>2024001960</v>
      </c>
      <c r="B962" s="1">
        <v>45450</v>
      </c>
      <c r="C962" s="11">
        <f t="shared" si="42"/>
        <v>2024</v>
      </c>
      <c r="D962" t="s">
        <v>249</v>
      </c>
      <c r="E962" t="s">
        <v>43</v>
      </c>
      <c r="F962" t="s">
        <v>44</v>
      </c>
      <c r="G962" t="s">
        <v>36</v>
      </c>
      <c r="H962">
        <v>4</v>
      </c>
      <c r="I962" s="2">
        <v>1167.51</v>
      </c>
      <c r="J962" s="2">
        <v>4670.04</v>
      </c>
      <c r="K962" s="2">
        <f t="shared" si="43"/>
        <v>4670.04</v>
      </c>
      <c r="L962" s="2">
        <f t="shared" si="44"/>
        <v>0</v>
      </c>
      <c r="M962" t="s">
        <v>57</v>
      </c>
      <c r="N962" t="s">
        <v>16</v>
      </c>
    </row>
    <row r="963" spans="1:14" x14ac:dyDescent="0.3">
      <c r="A963">
        <v>2024001671</v>
      </c>
      <c r="B963" s="1">
        <v>45501</v>
      </c>
      <c r="C963" s="11">
        <f t="shared" ref="C963:C1026" si="45">YEAR(B963)</f>
        <v>2024</v>
      </c>
      <c r="D963" t="s">
        <v>267</v>
      </c>
      <c r="E963" t="s">
        <v>46</v>
      </c>
      <c r="F963" t="s">
        <v>47</v>
      </c>
      <c r="G963" t="s">
        <v>36</v>
      </c>
      <c r="H963">
        <v>1</v>
      </c>
      <c r="I963" s="2">
        <v>89.68</v>
      </c>
      <c r="J963" s="2">
        <v>89.68</v>
      </c>
      <c r="K963" s="2">
        <f t="shared" ref="K963:K1026" si="46">I963*H963</f>
        <v>89.68</v>
      </c>
      <c r="L963" s="2">
        <f t="shared" ref="L963:L1026" si="47">J963-K963</f>
        <v>0</v>
      </c>
      <c r="M963" t="s">
        <v>55</v>
      </c>
      <c r="N963" t="s">
        <v>16</v>
      </c>
    </row>
    <row r="964" spans="1:14" x14ac:dyDescent="0.3">
      <c r="A964">
        <v>2024001962</v>
      </c>
      <c r="B964" s="1">
        <v>45479</v>
      </c>
      <c r="C964" s="11">
        <f t="shared" si="45"/>
        <v>2024</v>
      </c>
      <c r="D964" t="s">
        <v>311</v>
      </c>
      <c r="E964" t="s">
        <v>46</v>
      </c>
      <c r="F964" t="s">
        <v>47</v>
      </c>
      <c r="G964" t="s">
        <v>36</v>
      </c>
      <c r="H964">
        <v>1</v>
      </c>
      <c r="I964" s="2">
        <v>93.04</v>
      </c>
      <c r="J964" s="2">
        <v>93.04</v>
      </c>
      <c r="K964" s="2">
        <f t="shared" si="46"/>
        <v>93.04</v>
      </c>
      <c r="L964" s="2">
        <f t="shared" si="47"/>
        <v>0</v>
      </c>
      <c r="M964" t="s">
        <v>64</v>
      </c>
      <c r="N964" t="s">
        <v>32</v>
      </c>
    </row>
    <row r="965" spans="1:14" x14ac:dyDescent="0.3">
      <c r="A965">
        <v>2024001963</v>
      </c>
      <c r="B965" s="1">
        <v>45468</v>
      </c>
      <c r="C965" s="11">
        <f t="shared" si="45"/>
        <v>2024</v>
      </c>
      <c r="D965" t="s">
        <v>11</v>
      </c>
      <c r="E965" t="s">
        <v>34</v>
      </c>
      <c r="F965" t="s">
        <v>35</v>
      </c>
      <c r="G965" t="s">
        <v>36</v>
      </c>
      <c r="H965">
        <v>1</v>
      </c>
      <c r="I965" s="2">
        <v>14.88</v>
      </c>
      <c r="J965" s="2">
        <v>14.88</v>
      </c>
      <c r="K965" s="2">
        <f t="shared" si="46"/>
        <v>14.88</v>
      </c>
      <c r="L965" s="2">
        <f t="shared" si="47"/>
        <v>0</v>
      </c>
      <c r="M965" t="s">
        <v>31</v>
      </c>
      <c r="N965" t="s">
        <v>26</v>
      </c>
    </row>
    <row r="966" spans="1:14" x14ac:dyDescent="0.3">
      <c r="A966">
        <v>2024001964</v>
      </c>
      <c r="B966" s="1">
        <v>45637</v>
      </c>
      <c r="C966" s="11">
        <f t="shared" si="45"/>
        <v>2024</v>
      </c>
      <c r="D966" t="s">
        <v>311</v>
      </c>
      <c r="E966" t="s">
        <v>46</v>
      </c>
      <c r="F966" t="s">
        <v>47</v>
      </c>
      <c r="G966" t="s">
        <v>36</v>
      </c>
      <c r="H966">
        <v>1</v>
      </c>
      <c r="I966" s="2">
        <v>91.58</v>
      </c>
      <c r="J966" s="2">
        <v>91.58</v>
      </c>
      <c r="K966" s="2">
        <f t="shared" si="46"/>
        <v>91.58</v>
      </c>
      <c r="L966" s="2">
        <f t="shared" si="47"/>
        <v>0</v>
      </c>
      <c r="M966" t="s">
        <v>61</v>
      </c>
      <c r="N966" t="s">
        <v>32</v>
      </c>
    </row>
    <row r="967" spans="1:14" x14ac:dyDescent="0.3">
      <c r="A967">
        <v>2024001965</v>
      </c>
      <c r="B967" s="1">
        <v>45550</v>
      </c>
      <c r="C967" s="11">
        <f t="shared" si="45"/>
        <v>2024</v>
      </c>
      <c r="D967" t="s">
        <v>84</v>
      </c>
      <c r="E967" t="s">
        <v>23</v>
      </c>
      <c r="F967" t="s">
        <v>24</v>
      </c>
      <c r="G967" t="s">
        <v>14</v>
      </c>
      <c r="H967">
        <v>5</v>
      </c>
      <c r="I967" s="2">
        <v>76.62</v>
      </c>
      <c r="J967" s="2">
        <v>383.1</v>
      </c>
      <c r="K967" s="2">
        <f t="shared" si="46"/>
        <v>383.1</v>
      </c>
      <c r="L967" s="2">
        <f t="shared" si="47"/>
        <v>0</v>
      </c>
      <c r="M967" t="s">
        <v>25</v>
      </c>
      <c r="N967" t="s">
        <v>16</v>
      </c>
    </row>
    <row r="968" spans="1:14" x14ac:dyDescent="0.3">
      <c r="A968">
        <v>2024001966</v>
      </c>
      <c r="B968" s="1">
        <v>45446</v>
      </c>
      <c r="C968" s="11">
        <f t="shared" si="45"/>
        <v>2024</v>
      </c>
      <c r="D968" t="s">
        <v>147</v>
      </c>
      <c r="E968" t="s">
        <v>46</v>
      </c>
      <c r="F968" t="s">
        <v>47</v>
      </c>
      <c r="G968" t="s">
        <v>36</v>
      </c>
      <c r="H968">
        <v>1</v>
      </c>
      <c r="I968" s="2">
        <v>95.28</v>
      </c>
      <c r="J968" s="2">
        <v>95.28</v>
      </c>
      <c r="K968" s="2">
        <f t="shared" si="46"/>
        <v>95.28</v>
      </c>
      <c r="L968" s="2">
        <f t="shared" si="47"/>
        <v>0</v>
      </c>
      <c r="M968" t="s">
        <v>20</v>
      </c>
      <c r="N968" t="s">
        <v>32</v>
      </c>
    </row>
    <row r="969" spans="1:14" x14ac:dyDescent="0.3">
      <c r="A969">
        <v>2024001645</v>
      </c>
      <c r="B969" s="1">
        <v>45388</v>
      </c>
      <c r="C969" s="11">
        <f t="shared" si="45"/>
        <v>2024</v>
      </c>
      <c r="D969" t="s">
        <v>104</v>
      </c>
      <c r="E969" t="s">
        <v>53</v>
      </c>
      <c r="F969" t="s">
        <v>54</v>
      </c>
      <c r="G969" t="s">
        <v>36</v>
      </c>
      <c r="H969">
        <v>1</v>
      </c>
      <c r="I969" s="2">
        <v>118.36</v>
      </c>
      <c r="J969" s="2">
        <v>118.36</v>
      </c>
      <c r="K969" s="2">
        <f t="shared" si="46"/>
        <v>118.36</v>
      </c>
      <c r="L969" s="2">
        <f t="shared" si="47"/>
        <v>0</v>
      </c>
      <c r="M969" t="s">
        <v>25</v>
      </c>
      <c r="N969" t="s">
        <v>32</v>
      </c>
    </row>
    <row r="970" spans="1:14" x14ac:dyDescent="0.3">
      <c r="A970">
        <v>2024001968</v>
      </c>
      <c r="B970" s="1">
        <v>45632</v>
      </c>
      <c r="C970" s="11">
        <f t="shared" si="45"/>
        <v>2024</v>
      </c>
      <c r="D970" t="s">
        <v>11</v>
      </c>
      <c r="E970" t="s">
        <v>23</v>
      </c>
      <c r="F970" t="s">
        <v>24</v>
      </c>
      <c r="G970" t="s">
        <v>14</v>
      </c>
      <c r="H970">
        <v>1</v>
      </c>
      <c r="I970" s="2">
        <v>79.150000000000006</v>
      </c>
      <c r="J970" s="2">
        <v>79.150000000000006</v>
      </c>
      <c r="K970" s="2">
        <f t="shared" si="46"/>
        <v>79.150000000000006</v>
      </c>
      <c r="L970" s="2">
        <f t="shared" si="47"/>
        <v>0</v>
      </c>
      <c r="M970" t="s">
        <v>48</v>
      </c>
      <c r="N970" t="s">
        <v>26</v>
      </c>
    </row>
    <row r="971" spans="1:14" x14ac:dyDescent="0.3">
      <c r="A971">
        <v>2024001969</v>
      </c>
      <c r="B971" s="1">
        <v>45556</v>
      </c>
      <c r="C971" s="11">
        <f t="shared" si="45"/>
        <v>2024</v>
      </c>
      <c r="D971" t="s">
        <v>33</v>
      </c>
      <c r="E971" t="s">
        <v>46</v>
      </c>
      <c r="F971" t="s">
        <v>47</v>
      </c>
      <c r="G971" t="s">
        <v>36</v>
      </c>
      <c r="H971">
        <v>3</v>
      </c>
      <c r="I971" s="2">
        <v>95.31</v>
      </c>
      <c r="J971" s="2">
        <v>285.93</v>
      </c>
      <c r="K971" s="2">
        <f t="shared" si="46"/>
        <v>285.93</v>
      </c>
      <c r="L971" s="2">
        <f t="shared" si="47"/>
        <v>0</v>
      </c>
      <c r="M971" t="s">
        <v>64</v>
      </c>
      <c r="N971" t="s">
        <v>32</v>
      </c>
    </row>
    <row r="972" spans="1:14" x14ac:dyDescent="0.3">
      <c r="A972">
        <v>2024001970</v>
      </c>
      <c r="B972" s="1">
        <v>45583</v>
      </c>
      <c r="C972" s="11">
        <f t="shared" si="45"/>
        <v>2024</v>
      </c>
      <c r="D972" t="s">
        <v>145</v>
      </c>
      <c r="E972" t="s">
        <v>67</v>
      </c>
      <c r="F972" t="s">
        <v>68</v>
      </c>
      <c r="G972" t="s">
        <v>36</v>
      </c>
      <c r="H972">
        <v>1</v>
      </c>
      <c r="I972" s="2">
        <v>397.39</v>
      </c>
      <c r="J972" s="2">
        <v>397.39</v>
      </c>
      <c r="K972" s="2">
        <f t="shared" si="46"/>
        <v>397.39</v>
      </c>
      <c r="L972" s="2">
        <f t="shared" si="47"/>
        <v>0</v>
      </c>
      <c r="M972" t="s">
        <v>64</v>
      </c>
      <c r="N972" t="s">
        <v>32</v>
      </c>
    </row>
    <row r="973" spans="1:14" x14ac:dyDescent="0.3">
      <c r="A973">
        <v>2024001971</v>
      </c>
      <c r="B973" s="1">
        <v>45457</v>
      </c>
      <c r="C973" s="11">
        <f t="shared" si="45"/>
        <v>2024</v>
      </c>
      <c r="D973" t="s">
        <v>140</v>
      </c>
      <c r="E973" t="s">
        <v>18</v>
      </c>
      <c r="F973" t="s">
        <v>19</v>
      </c>
      <c r="G973" t="s">
        <v>14</v>
      </c>
      <c r="H973">
        <v>1</v>
      </c>
      <c r="I973" s="2">
        <v>616.97</v>
      </c>
      <c r="J973" s="2">
        <v>616.97</v>
      </c>
      <c r="K973" s="2">
        <f t="shared" si="46"/>
        <v>616.97</v>
      </c>
      <c r="L973" s="2">
        <f t="shared" si="47"/>
        <v>0</v>
      </c>
      <c r="M973" t="s">
        <v>48</v>
      </c>
      <c r="N973" t="s">
        <v>26</v>
      </c>
    </row>
    <row r="974" spans="1:14" x14ac:dyDescent="0.3">
      <c r="A974">
        <v>2024001972</v>
      </c>
      <c r="B974" s="1">
        <v>45382</v>
      </c>
      <c r="C974" s="11">
        <f t="shared" si="45"/>
        <v>2024</v>
      </c>
      <c r="D974" t="s">
        <v>271</v>
      </c>
      <c r="E974" t="s">
        <v>46</v>
      </c>
      <c r="F974" t="s">
        <v>47</v>
      </c>
      <c r="G974" t="s">
        <v>36</v>
      </c>
      <c r="H974">
        <v>1</v>
      </c>
      <c r="I974" s="2">
        <v>93.18</v>
      </c>
      <c r="J974" s="2">
        <v>93.18</v>
      </c>
      <c r="K974" s="2">
        <f t="shared" si="46"/>
        <v>93.18</v>
      </c>
      <c r="L974" s="2">
        <f t="shared" si="47"/>
        <v>0</v>
      </c>
      <c r="M974" t="s">
        <v>20</v>
      </c>
      <c r="N974" t="s">
        <v>21</v>
      </c>
    </row>
    <row r="975" spans="1:14" x14ac:dyDescent="0.3">
      <c r="A975">
        <v>2024001973</v>
      </c>
      <c r="B975" s="1">
        <v>45512</v>
      </c>
      <c r="C975" s="11">
        <f t="shared" si="45"/>
        <v>2024</v>
      </c>
      <c r="D975" t="s">
        <v>11</v>
      </c>
      <c r="E975" t="s">
        <v>53</v>
      </c>
      <c r="F975" t="s">
        <v>54</v>
      </c>
      <c r="G975" t="s">
        <v>36</v>
      </c>
      <c r="H975">
        <v>2</v>
      </c>
      <c r="I975" s="2">
        <v>117</v>
      </c>
      <c r="J975" s="2">
        <v>234</v>
      </c>
      <c r="K975" s="2">
        <f t="shared" si="46"/>
        <v>234</v>
      </c>
      <c r="L975" s="2">
        <f t="shared" si="47"/>
        <v>0</v>
      </c>
      <c r="M975" t="s">
        <v>48</v>
      </c>
      <c r="N975" t="s">
        <v>21</v>
      </c>
    </row>
    <row r="976" spans="1:14" x14ac:dyDescent="0.3">
      <c r="A976">
        <v>2024001974</v>
      </c>
      <c r="B976" s="1">
        <v>45349</v>
      </c>
      <c r="C976" s="11">
        <f t="shared" si="45"/>
        <v>2024</v>
      </c>
      <c r="D976" t="s">
        <v>307</v>
      </c>
      <c r="E976" t="s">
        <v>28</v>
      </c>
      <c r="F976" t="s">
        <v>29</v>
      </c>
      <c r="G976" t="s">
        <v>30</v>
      </c>
      <c r="H976">
        <v>3</v>
      </c>
      <c r="I976" s="2">
        <v>25.13</v>
      </c>
      <c r="J976" s="2">
        <v>75.39</v>
      </c>
      <c r="K976" s="2">
        <f t="shared" si="46"/>
        <v>75.39</v>
      </c>
      <c r="L976" s="2">
        <f t="shared" si="47"/>
        <v>0</v>
      </c>
      <c r="M976" t="s">
        <v>38</v>
      </c>
      <c r="N976" t="s">
        <v>26</v>
      </c>
    </row>
    <row r="977" spans="1:14" x14ac:dyDescent="0.3">
      <c r="A977">
        <v>2024001975</v>
      </c>
      <c r="B977" s="1">
        <v>45473</v>
      </c>
      <c r="C977" s="11">
        <f t="shared" si="45"/>
        <v>2024</v>
      </c>
      <c r="D977" t="s">
        <v>192</v>
      </c>
      <c r="E977" t="s">
        <v>34</v>
      </c>
      <c r="F977" t="s">
        <v>35</v>
      </c>
      <c r="G977" t="s">
        <v>36</v>
      </c>
      <c r="H977">
        <v>2</v>
      </c>
      <c r="I977" s="2">
        <v>15.29</v>
      </c>
      <c r="J977" s="2">
        <v>30.58</v>
      </c>
      <c r="K977" s="2">
        <f t="shared" si="46"/>
        <v>30.58</v>
      </c>
      <c r="L977" s="2">
        <f t="shared" si="47"/>
        <v>0</v>
      </c>
      <c r="M977" t="s">
        <v>31</v>
      </c>
      <c r="N977" t="s">
        <v>16</v>
      </c>
    </row>
    <row r="978" spans="1:14" x14ac:dyDescent="0.3">
      <c r="A978">
        <v>2024001976</v>
      </c>
      <c r="B978" s="1">
        <v>45344</v>
      </c>
      <c r="C978" s="11">
        <f t="shared" si="45"/>
        <v>2024</v>
      </c>
      <c r="D978" t="s">
        <v>306</v>
      </c>
      <c r="E978" t="s">
        <v>46</v>
      </c>
      <c r="F978" t="s">
        <v>47</v>
      </c>
      <c r="G978" t="s">
        <v>36</v>
      </c>
      <c r="H978">
        <v>2</v>
      </c>
      <c r="I978" s="2">
        <v>92.87</v>
      </c>
      <c r="J978" s="2">
        <v>185.74</v>
      </c>
      <c r="K978" s="2">
        <f t="shared" si="46"/>
        <v>185.74</v>
      </c>
      <c r="L978" s="2">
        <f t="shared" si="47"/>
        <v>0</v>
      </c>
      <c r="M978" t="s">
        <v>38</v>
      </c>
      <c r="N978" t="s">
        <v>26</v>
      </c>
    </row>
    <row r="979" spans="1:14" x14ac:dyDescent="0.3">
      <c r="A979">
        <v>2024001977</v>
      </c>
      <c r="B979" s="1">
        <v>45500</v>
      </c>
      <c r="C979" s="11">
        <f t="shared" si="45"/>
        <v>2024</v>
      </c>
      <c r="D979" t="s">
        <v>116</v>
      </c>
      <c r="E979" t="s">
        <v>43</v>
      </c>
      <c r="F979" t="s">
        <v>44</v>
      </c>
      <c r="G979" t="s">
        <v>36</v>
      </c>
      <c r="H979">
        <v>1</v>
      </c>
      <c r="I979" s="2">
        <v>1226.99</v>
      </c>
      <c r="J979" s="2">
        <v>1226.99</v>
      </c>
      <c r="K979" s="2">
        <f t="shared" si="46"/>
        <v>1226.99</v>
      </c>
      <c r="L979" s="2">
        <f t="shared" si="47"/>
        <v>0</v>
      </c>
      <c r="M979" t="s">
        <v>48</v>
      </c>
      <c r="N979" t="s">
        <v>21</v>
      </c>
    </row>
    <row r="980" spans="1:14" x14ac:dyDescent="0.3">
      <c r="A980">
        <v>2024001978</v>
      </c>
      <c r="B980" s="1">
        <v>45550</v>
      </c>
      <c r="C980" s="11">
        <f t="shared" si="45"/>
        <v>2024</v>
      </c>
      <c r="D980" t="s">
        <v>273</v>
      </c>
      <c r="E980" t="s">
        <v>53</v>
      </c>
      <c r="F980" t="s">
        <v>54</v>
      </c>
      <c r="G980" t="s">
        <v>36</v>
      </c>
      <c r="H980">
        <v>1</v>
      </c>
      <c r="I980" s="2">
        <v>119.8</v>
      </c>
      <c r="J980" s="2">
        <v>119.8</v>
      </c>
      <c r="K980" s="2">
        <f t="shared" si="46"/>
        <v>119.8</v>
      </c>
      <c r="L980" s="2">
        <f t="shared" si="47"/>
        <v>0</v>
      </c>
      <c r="M980" t="s">
        <v>31</v>
      </c>
      <c r="N980" t="s">
        <v>26</v>
      </c>
    </row>
    <row r="981" spans="1:14" x14ac:dyDescent="0.3">
      <c r="A981">
        <v>2024001979</v>
      </c>
      <c r="B981" s="1">
        <v>45315</v>
      </c>
      <c r="C981" s="11">
        <f t="shared" si="45"/>
        <v>2024</v>
      </c>
      <c r="D981" t="s">
        <v>91</v>
      </c>
      <c r="E981" t="s">
        <v>23</v>
      </c>
      <c r="F981" t="s">
        <v>24</v>
      </c>
      <c r="G981" t="s">
        <v>14</v>
      </c>
      <c r="H981">
        <v>2</v>
      </c>
      <c r="I981" s="2">
        <v>73.62</v>
      </c>
      <c r="J981" s="2">
        <v>147.24</v>
      </c>
      <c r="K981" s="2">
        <f t="shared" si="46"/>
        <v>147.24</v>
      </c>
      <c r="L981" s="2">
        <f t="shared" si="47"/>
        <v>0</v>
      </c>
      <c r="M981" t="s">
        <v>20</v>
      </c>
      <c r="N981" t="s">
        <v>32</v>
      </c>
    </row>
    <row r="982" spans="1:14" x14ac:dyDescent="0.3">
      <c r="A982">
        <v>2024001980</v>
      </c>
      <c r="B982" s="1">
        <v>45350</v>
      </c>
      <c r="C982" s="11">
        <f t="shared" si="45"/>
        <v>2024</v>
      </c>
      <c r="D982" t="s">
        <v>331</v>
      </c>
      <c r="E982" t="s">
        <v>67</v>
      </c>
      <c r="F982" t="s">
        <v>68</v>
      </c>
      <c r="G982" t="s">
        <v>36</v>
      </c>
      <c r="H982">
        <v>3</v>
      </c>
      <c r="I982" s="2">
        <v>362.42</v>
      </c>
      <c r="J982" s="2">
        <v>1087.26</v>
      </c>
      <c r="K982" s="2">
        <f t="shared" si="46"/>
        <v>1087.26</v>
      </c>
      <c r="L982" s="2">
        <f t="shared" si="47"/>
        <v>0</v>
      </c>
      <c r="M982" t="s">
        <v>61</v>
      </c>
      <c r="N982" t="s">
        <v>21</v>
      </c>
    </row>
    <row r="983" spans="1:14" x14ac:dyDescent="0.3">
      <c r="A983">
        <v>2024001981</v>
      </c>
      <c r="B983" s="1">
        <v>45509</v>
      </c>
      <c r="C983" s="11">
        <f t="shared" si="45"/>
        <v>2024</v>
      </c>
      <c r="D983" t="s">
        <v>141</v>
      </c>
      <c r="E983" t="s">
        <v>12</v>
      </c>
      <c r="F983" t="s">
        <v>13</v>
      </c>
      <c r="G983" t="s">
        <v>14</v>
      </c>
      <c r="H983">
        <v>1</v>
      </c>
      <c r="I983" s="2">
        <v>366.29</v>
      </c>
      <c r="J983" s="2">
        <v>366.29</v>
      </c>
      <c r="K983" s="2">
        <f t="shared" si="46"/>
        <v>366.29</v>
      </c>
      <c r="L983" s="2">
        <f t="shared" si="47"/>
        <v>0</v>
      </c>
      <c r="M983" t="s">
        <v>57</v>
      </c>
      <c r="N983" t="s">
        <v>26</v>
      </c>
    </row>
    <row r="984" spans="1:14" x14ac:dyDescent="0.3">
      <c r="A984">
        <v>2024001982</v>
      </c>
      <c r="B984" s="1">
        <v>45366</v>
      </c>
      <c r="C984" s="11">
        <f t="shared" si="45"/>
        <v>2024</v>
      </c>
      <c r="D984" t="s">
        <v>249</v>
      </c>
      <c r="E984" t="s">
        <v>28</v>
      </c>
      <c r="F984" t="s">
        <v>29</v>
      </c>
      <c r="G984" t="s">
        <v>30</v>
      </c>
      <c r="H984">
        <v>1</v>
      </c>
      <c r="I984" s="2">
        <v>23.02</v>
      </c>
      <c r="J984" s="2">
        <v>23.02</v>
      </c>
      <c r="K984" s="2">
        <f t="shared" si="46"/>
        <v>23.02</v>
      </c>
      <c r="L984" s="2">
        <f t="shared" si="47"/>
        <v>0</v>
      </c>
      <c r="M984" t="s">
        <v>57</v>
      </c>
      <c r="N984" t="s">
        <v>32</v>
      </c>
    </row>
    <row r="985" spans="1:14" x14ac:dyDescent="0.3">
      <c r="A985">
        <v>2024001854</v>
      </c>
      <c r="B985" s="1">
        <v>45298</v>
      </c>
      <c r="C985" s="11">
        <f t="shared" si="45"/>
        <v>2024</v>
      </c>
      <c r="D985" t="s">
        <v>332</v>
      </c>
      <c r="E985" t="s">
        <v>46</v>
      </c>
      <c r="F985" t="s">
        <v>47</v>
      </c>
      <c r="G985" t="s">
        <v>36</v>
      </c>
      <c r="H985">
        <v>1</v>
      </c>
      <c r="I985" s="2">
        <v>91.86</v>
      </c>
      <c r="J985" s="2">
        <v>91.86</v>
      </c>
      <c r="K985" s="2">
        <f t="shared" si="46"/>
        <v>91.86</v>
      </c>
      <c r="L985" s="2">
        <f t="shared" si="47"/>
        <v>0</v>
      </c>
      <c r="M985" t="s">
        <v>55</v>
      </c>
      <c r="N985" t="s">
        <v>26</v>
      </c>
    </row>
    <row r="986" spans="1:14" x14ac:dyDescent="0.3">
      <c r="A986">
        <v>2024001984</v>
      </c>
      <c r="B986" s="1">
        <v>45423</v>
      </c>
      <c r="C986" s="11">
        <f t="shared" si="45"/>
        <v>2024</v>
      </c>
      <c r="D986" t="s">
        <v>247</v>
      </c>
      <c r="E986" t="s">
        <v>40</v>
      </c>
      <c r="F986" t="s">
        <v>41</v>
      </c>
      <c r="G986" t="s">
        <v>36</v>
      </c>
      <c r="H986">
        <v>2</v>
      </c>
      <c r="I986" s="2">
        <v>45.21</v>
      </c>
      <c r="J986" s="2">
        <v>90.42</v>
      </c>
      <c r="K986" s="2">
        <f t="shared" si="46"/>
        <v>90.42</v>
      </c>
      <c r="L986" s="2">
        <f t="shared" si="47"/>
        <v>0</v>
      </c>
      <c r="M986" t="s">
        <v>20</v>
      </c>
      <c r="N986" t="s">
        <v>21</v>
      </c>
    </row>
    <row r="987" spans="1:14" x14ac:dyDescent="0.3">
      <c r="A987">
        <v>2024001985</v>
      </c>
      <c r="B987" s="1">
        <v>45403</v>
      </c>
      <c r="C987" s="11">
        <f t="shared" si="45"/>
        <v>2024</v>
      </c>
      <c r="D987" t="s">
        <v>96</v>
      </c>
      <c r="E987" t="s">
        <v>67</v>
      </c>
      <c r="F987" t="s">
        <v>68</v>
      </c>
      <c r="G987" t="s">
        <v>36</v>
      </c>
      <c r="H987">
        <v>1</v>
      </c>
      <c r="I987" s="2">
        <v>372.45</v>
      </c>
      <c r="J987" s="2">
        <v>372.45</v>
      </c>
      <c r="K987" s="2">
        <f t="shared" si="46"/>
        <v>372.45</v>
      </c>
      <c r="L987" s="2">
        <f t="shared" si="47"/>
        <v>0</v>
      </c>
      <c r="M987" t="s">
        <v>15</v>
      </c>
      <c r="N987" t="s">
        <v>26</v>
      </c>
    </row>
    <row r="988" spans="1:14" x14ac:dyDescent="0.3">
      <c r="A988">
        <v>2024001986</v>
      </c>
      <c r="B988" s="1">
        <v>45371</v>
      </c>
      <c r="C988" s="11">
        <f t="shared" si="45"/>
        <v>2024</v>
      </c>
      <c r="D988" t="s">
        <v>11</v>
      </c>
      <c r="E988" t="s">
        <v>46</v>
      </c>
      <c r="F988" t="s">
        <v>47</v>
      </c>
      <c r="G988" t="s">
        <v>36</v>
      </c>
      <c r="H988">
        <v>2</v>
      </c>
      <c r="I988" s="2">
        <v>89.19</v>
      </c>
      <c r="J988" s="2">
        <v>178.38</v>
      </c>
      <c r="K988" s="2">
        <f t="shared" si="46"/>
        <v>178.38</v>
      </c>
      <c r="L988" s="2">
        <f t="shared" si="47"/>
        <v>0</v>
      </c>
      <c r="M988" t="s">
        <v>20</v>
      </c>
      <c r="N988" t="s">
        <v>21</v>
      </c>
    </row>
    <row r="989" spans="1:14" x14ac:dyDescent="0.3">
      <c r="A989">
        <v>2024001987</v>
      </c>
      <c r="B989" s="1">
        <v>45400</v>
      </c>
      <c r="C989" s="11">
        <f t="shared" si="45"/>
        <v>2024</v>
      </c>
      <c r="D989" t="s">
        <v>11</v>
      </c>
      <c r="E989" t="s">
        <v>12</v>
      </c>
      <c r="F989" t="s">
        <v>13</v>
      </c>
      <c r="G989" t="s">
        <v>14</v>
      </c>
      <c r="H989">
        <v>3</v>
      </c>
      <c r="I989" s="2">
        <v>333.79</v>
      </c>
      <c r="J989" s="2">
        <v>1001.37</v>
      </c>
      <c r="K989" s="2">
        <f t="shared" si="46"/>
        <v>1001.3700000000001</v>
      </c>
      <c r="L989" s="2">
        <f t="shared" si="47"/>
        <v>0</v>
      </c>
      <c r="M989" t="s">
        <v>38</v>
      </c>
      <c r="N989" t="s">
        <v>32</v>
      </c>
    </row>
    <row r="990" spans="1:14" x14ac:dyDescent="0.3">
      <c r="A990">
        <v>2024001988</v>
      </c>
      <c r="B990" s="1">
        <v>45359</v>
      </c>
      <c r="C990" s="11">
        <f t="shared" si="45"/>
        <v>2024</v>
      </c>
      <c r="D990" t="s">
        <v>156</v>
      </c>
      <c r="E990" t="s">
        <v>12</v>
      </c>
      <c r="F990" t="s">
        <v>13</v>
      </c>
      <c r="G990" t="s">
        <v>14</v>
      </c>
      <c r="H990">
        <v>3</v>
      </c>
      <c r="I990" s="2">
        <v>373.57</v>
      </c>
      <c r="J990" s="2">
        <v>1120.71</v>
      </c>
      <c r="K990" s="2">
        <f t="shared" si="46"/>
        <v>1120.71</v>
      </c>
      <c r="L990" s="2">
        <f t="shared" si="47"/>
        <v>0</v>
      </c>
      <c r="M990" t="s">
        <v>64</v>
      </c>
      <c r="N990" t="s">
        <v>16</v>
      </c>
    </row>
    <row r="991" spans="1:14" x14ac:dyDescent="0.3">
      <c r="A991">
        <v>2024001989</v>
      </c>
      <c r="B991" s="1">
        <v>45312</v>
      </c>
      <c r="C991" s="11">
        <f t="shared" si="45"/>
        <v>2024</v>
      </c>
      <c r="D991" t="s">
        <v>266</v>
      </c>
      <c r="E991" t="s">
        <v>53</v>
      </c>
      <c r="F991" t="s">
        <v>54</v>
      </c>
      <c r="G991" t="s">
        <v>36</v>
      </c>
      <c r="H991">
        <v>1</v>
      </c>
      <c r="I991" s="2">
        <v>112.43</v>
      </c>
      <c r="J991" s="2">
        <v>112.43</v>
      </c>
      <c r="K991" s="2">
        <f t="shared" si="46"/>
        <v>112.43</v>
      </c>
      <c r="L991" s="2">
        <f t="shared" si="47"/>
        <v>0</v>
      </c>
      <c r="M991" t="s">
        <v>64</v>
      </c>
      <c r="N991" t="s">
        <v>16</v>
      </c>
    </row>
    <row r="992" spans="1:14" x14ac:dyDescent="0.3">
      <c r="A992">
        <v>2024001990</v>
      </c>
      <c r="B992" s="1">
        <v>45376</v>
      </c>
      <c r="C992" s="11">
        <f t="shared" si="45"/>
        <v>2024</v>
      </c>
      <c r="D992" t="s">
        <v>265</v>
      </c>
      <c r="E992" t="s">
        <v>34</v>
      </c>
      <c r="F992" t="s">
        <v>35</v>
      </c>
      <c r="G992" t="s">
        <v>36</v>
      </c>
      <c r="H992">
        <v>3</v>
      </c>
      <c r="I992" s="2">
        <v>15.82</v>
      </c>
      <c r="J992" s="2">
        <v>47.46</v>
      </c>
      <c r="K992" s="2">
        <f t="shared" si="46"/>
        <v>47.46</v>
      </c>
      <c r="L992" s="2">
        <f t="shared" si="47"/>
        <v>0</v>
      </c>
      <c r="M992" t="s">
        <v>61</v>
      </c>
      <c r="N992" t="s">
        <v>21</v>
      </c>
    </row>
    <row r="993" spans="1:14" x14ac:dyDescent="0.3">
      <c r="A993">
        <v>2024001991</v>
      </c>
      <c r="B993" s="1">
        <v>45650</v>
      </c>
      <c r="C993" s="11">
        <f t="shared" si="45"/>
        <v>2024</v>
      </c>
      <c r="D993" t="s">
        <v>282</v>
      </c>
      <c r="E993" t="s">
        <v>34</v>
      </c>
      <c r="F993" t="s">
        <v>35</v>
      </c>
      <c r="G993" t="s">
        <v>36</v>
      </c>
      <c r="H993">
        <v>1</v>
      </c>
      <c r="I993" s="2">
        <v>15.9</v>
      </c>
      <c r="J993" s="2">
        <v>15.9</v>
      </c>
      <c r="K993" s="2">
        <f t="shared" si="46"/>
        <v>15.9</v>
      </c>
      <c r="L993" s="2">
        <f t="shared" si="47"/>
        <v>0</v>
      </c>
      <c r="M993" t="s">
        <v>25</v>
      </c>
      <c r="N993" t="s">
        <v>16</v>
      </c>
    </row>
    <row r="994" spans="1:14" x14ac:dyDescent="0.3">
      <c r="A994">
        <v>2024001992</v>
      </c>
      <c r="B994" s="1">
        <v>45435</v>
      </c>
      <c r="C994" s="11">
        <f t="shared" si="45"/>
        <v>2024</v>
      </c>
      <c r="D994" t="s">
        <v>133</v>
      </c>
      <c r="E994" t="s">
        <v>53</v>
      </c>
      <c r="F994" t="s">
        <v>54</v>
      </c>
      <c r="G994" t="s">
        <v>36</v>
      </c>
      <c r="H994">
        <v>1</v>
      </c>
      <c r="I994" s="2">
        <v>120.81</v>
      </c>
      <c r="J994" s="2">
        <v>120.81</v>
      </c>
      <c r="K994" s="2">
        <f t="shared" si="46"/>
        <v>120.81</v>
      </c>
      <c r="L994" s="2">
        <f t="shared" si="47"/>
        <v>0</v>
      </c>
      <c r="M994" t="s">
        <v>31</v>
      </c>
      <c r="N994" t="s">
        <v>16</v>
      </c>
    </row>
    <row r="995" spans="1:14" x14ac:dyDescent="0.3">
      <c r="A995">
        <v>2024001993</v>
      </c>
      <c r="B995" s="1">
        <v>45323</v>
      </c>
      <c r="C995" s="11">
        <f t="shared" si="45"/>
        <v>2024</v>
      </c>
      <c r="D995" t="s">
        <v>202</v>
      </c>
      <c r="E995" t="s">
        <v>43</v>
      </c>
      <c r="F995" t="s">
        <v>44</v>
      </c>
      <c r="G995" t="s">
        <v>36</v>
      </c>
      <c r="H995">
        <v>4</v>
      </c>
      <c r="I995" s="2">
        <v>1153.4000000000001</v>
      </c>
      <c r="J995" s="2">
        <v>4613.6000000000004</v>
      </c>
      <c r="K995" s="2">
        <f t="shared" si="46"/>
        <v>4613.6000000000004</v>
      </c>
      <c r="L995" s="2">
        <f t="shared" si="47"/>
        <v>0</v>
      </c>
      <c r="M995" t="s">
        <v>31</v>
      </c>
      <c r="N995" t="s">
        <v>26</v>
      </c>
    </row>
    <row r="996" spans="1:14" x14ac:dyDescent="0.3">
      <c r="A996">
        <v>2024001994</v>
      </c>
      <c r="B996" s="1">
        <v>45391</v>
      </c>
      <c r="C996" s="11">
        <f t="shared" si="45"/>
        <v>2024</v>
      </c>
      <c r="D996" t="s">
        <v>129</v>
      </c>
      <c r="E996" t="s">
        <v>28</v>
      </c>
      <c r="F996" t="s">
        <v>29</v>
      </c>
      <c r="G996" t="s">
        <v>30</v>
      </c>
      <c r="H996">
        <v>1</v>
      </c>
      <c r="I996" s="2">
        <v>23.33</v>
      </c>
      <c r="J996" s="2">
        <v>23.33</v>
      </c>
      <c r="K996" s="2">
        <f t="shared" si="46"/>
        <v>23.33</v>
      </c>
      <c r="L996" s="2">
        <f t="shared" si="47"/>
        <v>0</v>
      </c>
      <c r="M996" t="s">
        <v>31</v>
      </c>
      <c r="N996" t="s">
        <v>26</v>
      </c>
    </row>
    <row r="997" spans="1:14" x14ac:dyDescent="0.3">
      <c r="A997">
        <v>2024001995</v>
      </c>
      <c r="B997" s="1">
        <v>45626</v>
      </c>
      <c r="C997" s="11">
        <f t="shared" si="45"/>
        <v>2024</v>
      </c>
      <c r="D997" t="s">
        <v>231</v>
      </c>
      <c r="E997" t="s">
        <v>40</v>
      </c>
      <c r="F997" t="s">
        <v>41</v>
      </c>
      <c r="G997" t="s">
        <v>36</v>
      </c>
      <c r="H997">
        <v>1</v>
      </c>
      <c r="I997" s="2">
        <v>42.55</v>
      </c>
      <c r="J997" s="2">
        <v>42.55</v>
      </c>
      <c r="K997" s="2">
        <f t="shared" si="46"/>
        <v>42.55</v>
      </c>
      <c r="L997" s="2">
        <f t="shared" si="47"/>
        <v>0</v>
      </c>
      <c r="M997" t="s">
        <v>61</v>
      </c>
      <c r="N997" t="s">
        <v>32</v>
      </c>
    </row>
    <row r="998" spans="1:14" x14ac:dyDescent="0.3">
      <c r="A998">
        <v>2024001996</v>
      </c>
      <c r="B998" s="1">
        <v>45522</v>
      </c>
      <c r="C998" s="11">
        <f t="shared" si="45"/>
        <v>2024</v>
      </c>
      <c r="D998" t="s">
        <v>204</v>
      </c>
      <c r="E998" t="s">
        <v>34</v>
      </c>
      <c r="F998" t="s">
        <v>35</v>
      </c>
      <c r="G998" t="s">
        <v>36</v>
      </c>
      <c r="H998">
        <v>1</v>
      </c>
      <c r="I998" s="2">
        <v>14.33</v>
      </c>
      <c r="J998" s="2">
        <v>14.33</v>
      </c>
      <c r="K998" s="2">
        <f t="shared" si="46"/>
        <v>14.33</v>
      </c>
      <c r="L998" s="2">
        <f t="shared" si="47"/>
        <v>0</v>
      </c>
      <c r="M998" t="s">
        <v>31</v>
      </c>
      <c r="N998" t="s">
        <v>16</v>
      </c>
    </row>
    <row r="999" spans="1:14" x14ac:dyDescent="0.3">
      <c r="A999">
        <v>2024001997</v>
      </c>
      <c r="B999" s="1">
        <v>45546</v>
      </c>
      <c r="C999" s="11">
        <f t="shared" si="45"/>
        <v>2024</v>
      </c>
      <c r="D999" t="s">
        <v>333</v>
      </c>
      <c r="E999" t="s">
        <v>46</v>
      </c>
      <c r="F999" t="s">
        <v>47</v>
      </c>
      <c r="G999" t="s">
        <v>36</v>
      </c>
      <c r="H999">
        <v>1</v>
      </c>
      <c r="I999" s="2">
        <v>90.99</v>
      </c>
      <c r="J999" s="2">
        <v>90.99</v>
      </c>
      <c r="K999" s="2">
        <f t="shared" si="46"/>
        <v>90.99</v>
      </c>
      <c r="L999" s="2">
        <f t="shared" si="47"/>
        <v>0</v>
      </c>
      <c r="M999" t="s">
        <v>48</v>
      </c>
      <c r="N999" t="s">
        <v>16</v>
      </c>
    </row>
    <row r="1000" spans="1:14" x14ac:dyDescent="0.3">
      <c r="A1000">
        <v>2024001998</v>
      </c>
      <c r="B1000" s="1">
        <v>45487</v>
      </c>
      <c r="C1000" s="11">
        <f t="shared" si="45"/>
        <v>2024</v>
      </c>
      <c r="D1000" t="s">
        <v>82</v>
      </c>
      <c r="E1000" t="s">
        <v>12</v>
      </c>
      <c r="F1000" t="s">
        <v>13</v>
      </c>
      <c r="G1000" t="s">
        <v>14</v>
      </c>
      <c r="H1000">
        <v>4</v>
      </c>
      <c r="I1000" s="2">
        <v>375.41</v>
      </c>
      <c r="J1000" s="2">
        <v>1501.64</v>
      </c>
      <c r="K1000" s="2">
        <f t="shared" si="46"/>
        <v>1501.64</v>
      </c>
      <c r="L1000" s="2">
        <f t="shared" si="47"/>
        <v>0</v>
      </c>
      <c r="M1000" t="s">
        <v>64</v>
      </c>
      <c r="N1000" t="s">
        <v>26</v>
      </c>
    </row>
    <row r="1001" spans="1:14" x14ac:dyDescent="0.3">
      <c r="A1001">
        <v>2024001999</v>
      </c>
      <c r="B1001" s="1">
        <v>45336</v>
      </c>
      <c r="C1001" s="11">
        <f t="shared" si="45"/>
        <v>2024</v>
      </c>
      <c r="D1001" t="s">
        <v>63</v>
      </c>
      <c r="E1001" t="s">
        <v>46</v>
      </c>
      <c r="F1001" t="s">
        <v>47</v>
      </c>
      <c r="G1001" t="s">
        <v>36</v>
      </c>
      <c r="H1001">
        <v>1</v>
      </c>
      <c r="I1001" s="2">
        <v>90.06</v>
      </c>
      <c r="J1001" s="2">
        <v>90.06</v>
      </c>
      <c r="K1001" s="2">
        <f t="shared" si="46"/>
        <v>90.06</v>
      </c>
      <c r="L1001" s="2">
        <f t="shared" si="47"/>
        <v>0</v>
      </c>
      <c r="M1001" t="s">
        <v>57</v>
      </c>
      <c r="N1001" t="s">
        <v>16</v>
      </c>
    </row>
    <row r="1002" spans="1:14" x14ac:dyDescent="0.3">
      <c r="A1002">
        <v>2024002000</v>
      </c>
      <c r="B1002" s="1">
        <v>45405</v>
      </c>
      <c r="C1002" s="11">
        <f t="shared" si="45"/>
        <v>2024</v>
      </c>
      <c r="D1002" t="s">
        <v>297</v>
      </c>
      <c r="E1002" t="s">
        <v>34</v>
      </c>
      <c r="F1002" t="s">
        <v>35</v>
      </c>
      <c r="G1002" t="s">
        <v>36</v>
      </c>
      <c r="H1002">
        <v>1</v>
      </c>
      <c r="I1002" s="2">
        <v>14.69</v>
      </c>
      <c r="J1002" s="2">
        <v>14.69</v>
      </c>
      <c r="K1002" s="2">
        <f t="shared" si="46"/>
        <v>14.69</v>
      </c>
      <c r="L1002" s="2">
        <f t="shared" si="47"/>
        <v>0</v>
      </c>
      <c r="M1002" t="s">
        <v>55</v>
      </c>
      <c r="N1002" t="s">
        <v>16</v>
      </c>
    </row>
    <row r="1003" spans="1:14" x14ac:dyDescent="0.3">
      <c r="A1003">
        <v>2024002001</v>
      </c>
      <c r="B1003" s="1">
        <v>45294</v>
      </c>
      <c r="C1003" s="11">
        <f t="shared" si="45"/>
        <v>2024</v>
      </c>
      <c r="D1003" t="s">
        <v>268</v>
      </c>
      <c r="E1003" t="s">
        <v>28</v>
      </c>
      <c r="F1003" t="s">
        <v>29</v>
      </c>
      <c r="G1003" t="s">
        <v>30</v>
      </c>
      <c r="H1003">
        <v>2</v>
      </c>
      <c r="I1003" s="2">
        <v>24.7</v>
      </c>
      <c r="J1003" s="2">
        <v>49.4</v>
      </c>
      <c r="K1003" s="2">
        <f t="shared" si="46"/>
        <v>49.4</v>
      </c>
      <c r="L1003" s="2">
        <f t="shared" si="47"/>
        <v>0</v>
      </c>
      <c r="M1003" t="s">
        <v>15</v>
      </c>
      <c r="N1003" t="s">
        <v>32</v>
      </c>
    </row>
    <row r="1004" spans="1:14" x14ac:dyDescent="0.3">
      <c r="A1004">
        <v>2024002002</v>
      </c>
      <c r="B1004" s="1">
        <v>45454</v>
      </c>
      <c r="C1004" s="11">
        <f t="shared" si="45"/>
        <v>2024</v>
      </c>
      <c r="D1004" t="s">
        <v>11</v>
      </c>
      <c r="E1004" t="s">
        <v>53</v>
      </c>
      <c r="F1004" t="s">
        <v>54</v>
      </c>
      <c r="G1004" t="s">
        <v>36</v>
      </c>
      <c r="H1004">
        <v>1</v>
      </c>
      <c r="I1004" s="2">
        <v>127.58</v>
      </c>
      <c r="J1004" s="2">
        <v>127.58</v>
      </c>
      <c r="K1004" s="2">
        <f t="shared" si="46"/>
        <v>127.58</v>
      </c>
      <c r="L1004" s="2">
        <f t="shared" si="47"/>
        <v>0</v>
      </c>
      <c r="M1004" t="s">
        <v>55</v>
      </c>
      <c r="N1004" t="s">
        <v>32</v>
      </c>
    </row>
    <row r="1005" spans="1:14" x14ac:dyDescent="0.3">
      <c r="A1005">
        <v>2024002003</v>
      </c>
      <c r="B1005" s="1">
        <v>45624</v>
      </c>
      <c r="C1005" s="11">
        <f t="shared" si="45"/>
        <v>2024</v>
      </c>
      <c r="D1005" t="s">
        <v>200</v>
      </c>
      <c r="E1005" t="s">
        <v>18</v>
      </c>
      <c r="F1005" t="s">
        <v>19</v>
      </c>
      <c r="G1005" t="s">
        <v>14</v>
      </c>
      <c r="H1005">
        <v>1</v>
      </c>
      <c r="I1005" s="2">
        <v>626.29999999999995</v>
      </c>
      <c r="J1005" s="2">
        <v>626.29999999999995</v>
      </c>
      <c r="K1005" s="2">
        <f t="shared" si="46"/>
        <v>626.29999999999995</v>
      </c>
      <c r="L1005" s="2">
        <f t="shared" si="47"/>
        <v>0</v>
      </c>
      <c r="M1005" t="s">
        <v>31</v>
      </c>
      <c r="N1005" t="s">
        <v>32</v>
      </c>
    </row>
    <row r="1006" spans="1:14" x14ac:dyDescent="0.3">
      <c r="A1006">
        <v>2024002004</v>
      </c>
      <c r="B1006" s="1">
        <v>45603</v>
      </c>
      <c r="C1006" s="11">
        <f t="shared" si="45"/>
        <v>2024</v>
      </c>
      <c r="D1006" t="s">
        <v>11</v>
      </c>
      <c r="E1006" t="s">
        <v>28</v>
      </c>
      <c r="F1006" t="s">
        <v>29</v>
      </c>
      <c r="G1006" t="s">
        <v>30</v>
      </c>
      <c r="H1006">
        <v>3</v>
      </c>
      <c r="I1006" s="2">
        <v>23.64</v>
      </c>
      <c r="J1006" s="2">
        <v>70.92</v>
      </c>
      <c r="K1006" s="2">
        <f t="shared" si="46"/>
        <v>70.92</v>
      </c>
      <c r="L1006" s="2">
        <f t="shared" si="47"/>
        <v>0</v>
      </c>
      <c r="M1006" t="s">
        <v>64</v>
      </c>
      <c r="N1006" t="s">
        <v>21</v>
      </c>
    </row>
    <row r="1007" spans="1:14" x14ac:dyDescent="0.3">
      <c r="A1007">
        <v>2024002005</v>
      </c>
      <c r="B1007" s="1">
        <v>45614</v>
      </c>
      <c r="C1007" s="11">
        <f t="shared" si="45"/>
        <v>2024</v>
      </c>
      <c r="D1007" t="s">
        <v>312</v>
      </c>
      <c r="E1007" t="s">
        <v>46</v>
      </c>
      <c r="F1007" t="s">
        <v>47</v>
      </c>
      <c r="G1007" t="s">
        <v>36</v>
      </c>
      <c r="H1007">
        <v>2</v>
      </c>
      <c r="I1007" s="2">
        <v>90</v>
      </c>
      <c r="J1007" s="2">
        <v>180</v>
      </c>
      <c r="K1007" s="2">
        <f t="shared" si="46"/>
        <v>180</v>
      </c>
      <c r="L1007" s="2">
        <f t="shared" si="47"/>
        <v>0</v>
      </c>
      <c r="M1007" t="s">
        <v>20</v>
      </c>
      <c r="N1007" t="s">
        <v>26</v>
      </c>
    </row>
    <row r="1008" spans="1:14" x14ac:dyDescent="0.3">
      <c r="A1008">
        <v>2024002006</v>
      </c>
      <c r="B1008" s="1">
        <v>45489</v>
      </c>
      <c r="C1008" s="11">
        <f t="shared" si="45"/>
        <v>2024</v>
      </c>
      <c r="D1008" t="s">
        <v>304</v>
      </c>
      <c r="E1008" t="s">
        <v>46</v>
      </c>
      <c r="F1008" t="s">
        <v>47</v>
      </c>
      <c r="G1008" t="s">
        <v>36</v>
      </c>
      <c r="H1008">
        <v>3</v>
      </c>
      <c r="I1008" s="2">
        <v>92.66</v>
      </c>
      <c r="J1008" s="2">
        <v>277.98</v>
      </c>
      <c r="K1008" s="2">
        <f t="shared" si="46"/>
        <v>277.98</v>
      </c>
      <c r="L1008" s="2">
        <f t="shared" si="47"/>
        <v>0</v>
      </c>
      <c r="M1008" t="s">
        <v>15</v>
      </c>
      <c r="N1008" t="s">
        <v>16</v>
      </c>
    </row>
    <row r="1009" spans="1:14" x14ac:dyDescent="0.3">
      <c r="A1009">
        <v>2024002007</v>
      </c>
      <c r="B1009" s="1">
        <v>45437</v>
      </c>
      <c r="C1009" s="11">
        <f t="shared" si="45"/>
        <v>2024</v>
      </c>
      <c r="D1009" t="s">
        <v>334</v>
      </c>
      <c r="E1009" t="s">
        <v>12</v>
      </c>
      <c r="F1009" t="s">
        <v>13</v>
      </c>
      <c r="G1009" t="s">
        <v>14</v>
      </c>
      <c r="H1009">
        <v>1</v>
      </c>
      <c r="I1009" s="2">
        <v>365.11</v>
      </c>
      <c r="J1009" s="2">
        <v>365.11</v>
      </c>
      <c r="K1009" s="2">
        <f t="shared" si="46"/>
        <v>365.11</v>
      </c>
      <c r="L1009" s="2">
        <f t="shared" si="47"/>
        <v>0</v>
      </c>
      <c r="M1009" t="s">
        <v>64</v>
      </c>
      <c r="N1009" t="s">
        <v>26</v>
      </c>
    </row>
    <row r="1010" spans="1:14" x14ac:dyDescent="0.3">
      <c r="A1010">
        <v>2024002008</v>
      </c>
      <c r="B1010" s="1">
        <v>45478</v>
      </c>
      <c r="C1010" s="11">
        <f t="shared" si="45"/>
        <v>2024</v>
      </c>
      <c r="D1010" t="s">
        <v>172</v>
      </c>
      <c r="E1010" t="s">
        <v>23</v>
      </c>
      <c r="F1010" t="s">
        <v>24</v>
      </c>
      <c r="G1010" t="s">
        <v>14</v>
      </c>
      <c r="H1010">
        <v>3</v>
      </c>
      <c r="I1010" s="2">
        <v>83.76</v>
      </c>
      <c r="J1010" s="2">
        <v>251.28</v>
      </c>
      <c r="K1010" s="2">
        <f t="shared" si="46"/>
        <v>251.28000000000003</v>
      </c>
      <c r="L1010" s="2">
        <f t="shared" si="47"/>
        <v>0</v>
      </c>
      <c r="M1010" t="s">
        <v>20</v>
      </c>
      <c r="N1010" t="s">
        <v>21</v>
      </c>
    </row>
    <row r="1011" spans="1:14" x14ac:dyDescent="0.3">
      <c r="A1011">
        <v>2024002009</v>
      </c>
      <c r="B1011" s="1">
        <v>45506</v>
      </c>
      <c r="C1011" s="11">
        <f t="shared" si="45"/>
        <v>2024</v>
      </c>
      <c r="D1011" t="s">
        <v>295</v>
      </c>
      <c r="E1011" t="s">
        <v>46</v>
      </c>
      <c r="F1011" t="s">
        <v>47</v>
      </c>
      <c r="G1011" t="s">
        <v>36</v>
      </c>
      <c r="H1011">
        <v>1</v>
      </c>
      <c r="I1011" s="2">
        <v>95.59</v>
      </c>
      <c r="J1011" s="2">
        <v>95.59</v>
      </c>
      <c r="K1011" s="2">
        <f t="shared" si="46"/>
        <v>95.59</v>
      </c>
      <c r="L1011" s="2">
        <f t="shared" si="47"/>
        <v>0</v>
      </c>
      <c r="M1011" t="s">
        <v>57</v>
      </c>
      <c r="N1011" t="s">
        <v>32</v>
      </c>
    </row>
    <row r="1012" spans="1:14" x14ac:dyDescent="0.3">
      <c r="A1012">
        <v>2024002010</v>
      </c>
      <c r="B1012" s="1">
        <v>45461</v>
      </c>
      <c r="C1012" s="11">
        <f t="shared" si="45"/>
        <v>2024</v>
      </c>
      <c r="D1012" t="s">
        <v>205</v>
      </c>
      <c r="E1012" t="s">
        <v>28</v>
      </c>
      <c r="F1012" t="s">
        <v>29</v>
      </c>
      <c r="G1012" t="s">
        <v>30</v>
      </c>
      <c r="H1012">
        <v>1</v>
      </c>
      <c r="I1012" s="2">
        <v>24.55</v>
      </c>
      <c r="J1012" s="2">
        <v>24.55</v>
      </c>
      <c r="K1012" s="2">
        <f t="shared" si="46"/>
        <v>24.55</v>
      </c>
      <c r="L1012" s="2">
        <f t="shared" si="47"/>
        <v>0</v>
      </c>
      <c r="M1012" t="s">
        <v>15</v>
      </c>
      <c r="N1012" t="s">
        <v>21</v>
      </c>
    </row>
    <row r="1013" spans="1:14" x14ac:dyDescent="0.3">
      <c r="A1013">
        <v>2024002011</v>
      </c>
      <c r="B1013" s="1">
        <v>45317</v>
      </c>
      <c r="C1013" s="11">
        <f t="shared" si="45"/>
        <v>2024</v>
      </c>
      <c r="D1013" t="s">
        <v>106</v>
      </c>
      <c r="E1013" t="s">
        <v>23</v>
      </c>
      <c r="F1013" t="s">
        <v>24</v>
      </c>
      <c r="G1013" t="s">
        <v>14</v>
      </c>
      <c r="H1013">
        <v>1</v>
      </c>
      <c r="I1013" s="2">
        <v>82.38</v>
      </c>
      <c r="J1013" s="2">
        <v>82.38</v>
      </c>
      <c r="K1013" s="2">
        <f t="shared" si="46"/>
        <v>82.38</v>
      </c>
      <c r="L1013" s="2">
        <f t="shared" si="47"/>
        <v>0</v>
      </c>
      <c r="M1013" t="s">
        <v>25</v>
      </c>
      <c r="N1013" t="s">
        <v>26</v>
      </c>
    </row>
    <row r="1014" spans="1:14" x14ac:dyDescent="0.3">
      <c r="A1014">
        <v>2024002012</v>
      </c>
      <c r="B1014" s="1">
        <v>45468</v>
      </c>
      <c r="C1014" s="11">
        <f t="shared" si="45"/>
        <v>2024</v>
      </c>
      <c r="D1014" t="s">
        <v>11</v>
      </c>
      <c r="E1014" t="s">
        <v>46</v>
      </c>
      <c r="F1014" t="s">
        <v>47</v>
      </c>
      <c r="G1014" t="s">
        <v>36</v>
      </c>
      <c r="H1014">
        <v>2</v>
      </c>
      <c r="I1014" s="2">
        <v>87.06</v>
      </c>
      <c r="J1014" s="2">
        <v>174.12</v>
      </c>
      <c r="K1014" s="2">
        <f t="shared" si="46"/>
        <v>174.12</v>
      </c>
      <c r="L1014" s="2">
        <f t="shared" si="47"/>
        <v>0</v>
      </c>
      <c r="M1014" t="s">
        <v>55</v>
      </c>
      <c r="N1014" t="s">
        <v>16</v>
      </c>
    </row>
    <row r="1015" spans="1:14" x14ac:dyDescent="0.3">
      <c r="A1015">
        <v>2024002013</v>
      </c>
      <c r="B1015" s="1">
        <v>45408</v>
      </c>
      <c r="C1015" s="11">
        <f t="shared" si="45"/>
        <v>2024</v>
      </c>
      <c r="D1015" t="s">
        <v>96</v>
      </c>
      <c r="E1015" t="s">
        <v>46</v>
      </c>
      <c r="F1015" t="s">
        <v>47</v>
      </c>
      <c r="G1015" t="s">
        <v>36</v>
      </c>
      <c r="H1015">
        <v>1</v>
      </c>
      <c r="I1015" s="2">
        <v>90.27</v>
      </c>
      <c r="J1015" s="2">
        <v>90.27</v>
      </c>
      <c r="K1015" s="2">
        <f t="shared" si="46"/>
        <v>90.27</v>
      </c>
      <c r="L1015" s="2">
        <f t="shared" si="47"/>
        <v>0</v>
      </c>
      <c r="M1015" t="s">
        <v>15</v>
      </c>
      <c r="N1015" t="s">
        <v>26</v>
      </c>
    </row>
    <row r="1016" spans="1:14" x14ac:dyDescent="0.3">
      <c r="A1016">
        <v>2024002014</v>
      </c>
      <c r="B1016" s="1">
        <v>45445</v>
      </c>
      <c r="C1016" s="11">
        <f t="shared" si="45"/>
        <v>2024</v>
      </c>
      <c r="D1016" t="s">
        <v>162</v>
      </c>
      <c r="E1016" t="s">
        <v>43</v>
      </c>
      <c r="F1016" t="s">
        <v>44</v>
      </c>
      <c r="G1016" t="s">
        <v>36</v>
      </c>
      <c r="H1016">
        <v>1</v>
      </c>
      <c r="I1016" s="2">
        <v>1242.3800000000001</v>
      </c>
      <c r="J1016" s="2">
        <v>1242.3800000000001</v>
      </c>
      <c r="K1016" s="2">
        <f t="shared" si="46"/>
        <v>1242.3800000000001</v>
      </c>
      <c r="L1016" s="2">
        <f t="shared" si="47"/>
        <v>0</v>
      </c>
      <c r="M1016" t="s">
        <v>55</v>
      </c>
      <c r="N1016" t="s">
        <v>16</v>
      </c>
    </row>
    <row r="1017" spans="1:14" x14ac:dyDescent="0.3">
      <c r="A1017">
        <v>2024002015</v>
      </c>
      <c r="B1017" s="1">
        <v>45397</v>
      </c>
      <c r="C1017" s="11">
        <f t="shared" si="45"/>
        <v>2024</v>
      </c>
      <c r="D1017" t="s">
        <v>271</v>
      </c>
      <c r="E1017" t="s">
        <v>40</v>
      </c>
      <c r="F1017" t="s">
        <v>41</v>
      </c>
      <c r="G1017" t="s">
        <v>36</v>
      </c>
      <c r="H1017">
        <v>2</v>
      </c>
      <c r="I1017" s="2">
        <v>44.1</v>
      </c>
      <c r="J1017" s="2">
        <v>88.2</v>
      </c>
      <c r="K1017" s="2">
        <f t="shared" si="46"/>
        <v>88.2</v>
      </c>
      <c r="L1017" s="2">
        <f t="shared" si="47"/>
        <v>0</v>
      </c>
      <c r="M1017" t="s">
        <v>20</v>
      </c>
      <c r="N1017" t="s">
        <v>32</v>
      </c>
    </row>
    <row r="1018" spans="1:14" x14ac:dyDescent="0.3">
      <c r="A1018">
        <v>2024002016</v>
      </c>
      <c r="B1018" s="1">
        <v>45621</v>
      </c>
      <c r="C1018" s="11">
        <f t="shared" si="45"/>
        <v>2024</v>
      </c>
      <c r="D1018" t="s">
        <v>11</v>
      </c>
      <c r="E1018" t="s">
        <v>43</v>
      </c>
      <c r="F1018" t="s">
        <v>44</v>
      </c>
      <c r="G1018" t="s">
        <v>36</v>
      </c>
      <c r="H1018">
        <v>1</v>
      </c>
      <c r="I1018" s="2">
        <v>1216.92</v>
      </c>
      <c r="J1018" s="2">
        <v>1216.92</v>
      </c>
      <c r="K1018" s="2">
        <f t="shared" si="46"/>
        <v>1216.92</v>
      </c>
      <c r="L1018" s="2">
        <f t="shared" si="47"/>
        <v>0</v>
      </c>
      <c r="M1018" t="s">
        <v>64</v>
      </c>
      <c r="N1018" t="s">
        <v>16</v>
      </c>
    </row>
    <row r="1019" spans="1:14" x14ac:dyDescent="0.3">
      <c r="A1019">
        <v>2024002017</v>
      </c>
      <c r="B1019" s="1">
        <v>45553</v>
      </c>
      <c r="C1019" s="11">
        <f t="shared" si="45"/>
        <v>2024</v>
      </c>
      <c r="D1019" t="s">
        <v>161</v>
      </c>
      <c r="E1019" t="s">
        <v>53</v>
      </c>
      <c r="F1019" t="s">
        <v>54</v>
      </c>
      <c r="G1019" t="s">
        <v>36</v>
      </c>
      <c r="H1019">
        <v>4</v>
      </c>
      <c r="I1019" s="2">
        <v>118.96</v>
      </c>
      <c r="J1019" s="2">
        <v>475.84</v>
      </c>
      <c r="K1019" s="2">
        <f t="shared" si="46"/>
        <v>475.84</v>
      </c>
      <c r="L1019" s="2">
        <f t="shared" si="47"/>
        <v>0</v>
      </c>
      <c r="M1019" t="s">
        <v>64</v>
      </c>
      <c r="N1019" t="s">
        <v>21</v>
      </c>
    </row>
    <row r="1020" spans="1:14" x14ac:dyDescent="0.3">
      <c r="A1020">
        <v>2024002018</v>
      </c>
      <c r="B1020" s="1">
        <v>45442</v>
      </c>
      <c r="C1020" s="11">
        <f t="shared" si="45"/>
        <v>2024</v>
      </c>
      <c r="D1020" t="s">
        <v>79</v>
      </c>
      <c r="E1020" t="s">
        <v>40</v>
      </c>
      <c r="F1020" t="s">
        <v>41</v>
      </c>
      <c r="G1020" t="s">
        <v>36</v>
      </c>
      <c r="H1020">
        <v>4</v>
      </c>
      <c r="I1020" s="2">
        <v>42.03</v>
      </c>
      <c r="J1020" s="2">
        <v>168.12</v>
      </c>
      <c r="K1020" s="2">
        <f t="shared" si="46"/>
        <v>168.12</v>
      </c>
      <c r="L1020" s="2">
        <f t="shared" si="47"/>
        <v>0</v>
      </c>
      <c r="M1020" t="s">
        <v>15</v>
      </c>
      <c r="N1020" t="s">
        <v>21</v>
      </c>
    </row>
    <row r="1021" spans="1:14" x14ac:dyDescent="0.3">
      <c r="A1021">
        <v>2024002019</v>
      </c>
      <c r="B1021" s="1">
        <v>45300</v>
      </c>
      <c r="C1021" s="11">
        <f t="shared" si="45"/>
        <v>2024</v>
      </c>
      <c r="D1021" t="s">
        <v>214</v>
      </c>
      <c r="E1021" t="s">
        <v>12</v>
      </c>
      <c r="F1021" t="s">
        <v>13</v>
      </c>
      <c r="G1021" t="s">
        <v>14</v>
      </c>
      <c r="H1021">
        <v>1</v>
      </c>
      <c r="I1021" s="2">
        <v>347</v>
      </c>
      <c r="J1021" s="2">
        <v>347</v>
      </c>
      <c r="K1021" s="2">
        <f t="shared" si="46"/>
        <v>347</v>
      </c>
      <c r="L1021" s="2">
        <f t="shared" si="47"/>
        <v>0</v>
      </c>
      <c r="M1021" t="s">
        <v>55</v>
      </c>
      <c r="N1021" t="s">
        <v>21</v>
      </c>
    </row>
    <row r="1022" spans="1:14" x14ac:dyDescent="0.3">
      <c r="A1022">
        <v>2024002020</v>
      </c>
      <c r="B1022" s="1">
        <v>45477</v>
      </c>
      <c r="C1022" s="11">
        <f t="shared" si="45"/>
        <v>2024</v>
      </c>
      <c r="D1022" t="s">
        <v>335</v>
      </c>
      <c r="E1022" t="s">
        <v>34</v>
      </c>
      <c r="F1022" t="s">
        <v>35</v>
      </c>
      <c r="G1022" t="s">
        <v>36</v>
      </c>
      <c r="H1022">
        <v>2</v>
      </c>
      <c r="I1022" s="2">
        <v>14.07</v>
      </c>
      <c r="J1022" s="2">
        <v>28.14</v>
      </c>
      <c r="K1022" s="2">
        <f t="shared" si="46"/>
        <v>28.14</v>
      </c>
      <c r="L1022" s="2">
        <f t="shared" si="47"/>
        <v>0</v>
      </c>
      <c r="M1022" t="s">
        <v>61</v>
      </c>
      <c r="N1022" t="s">
        <v>21</v>
      </c>
    </row>
    <row r="1023" spans="1:14" x14ac:dyDescent="0.3">
      <c r="A1023">
        <v>2024002021</v>
      </c>
      <c r="B1023" s="1">
        <v>45614</v>
      </c>
      <c r="C1023" s="11">
        <f t="shared" si="45"/>
        <v>2024</v>
      </c>
      <c r="D1023" t="s">
        <v>164</v>
      </c>
      <c r="E1023" t="s">
        <v>53</v>
      </c>
      <c r="F1023" t="s">
        <v>54</v>
      </c>
      <c r="G1023" t="s">
        <v>36</v>
      </c>
      <c r="H1023">
        <v>1</v>
      </c>
      <c r="I1023" s="2">
        <v>125.75</v>
      </c>
      <c r="J1023" s="2">
        <v>125.75</v>
      </c>
      <c r="K1023" s="2">
        <f t="shared" si="46"/>
        <v>125.75</v>
      </c>
      <c r="L1023" s="2">
        <f t="shared" si="47"/>
        <v>0</v>
      </c>
      <c r="M1023" t="s">
        <v>25</v>
      </c>
      <c r="N1023" t="s">
        <v>21</v>
      </c>
    </row>
    <row r="1024" spans="1:14" x14ac:dyDescent="0.3">
      <c r="A1024">
        <v>2024002022</v>
      </c>
      <c r="B1024" s="1">
        <v>45430</v>
      </c>
      <c r="C1024" s="11">
        <f t="shared" si="45"/>
        <v>2024</v>
      </c>
      <c r="D1024" t="s">
        <v>62</v>
      </c>
      <c r="E1024" t="s">
        <v>12</v>
      </c>
      <c r="F1024" t="s">
        <v>13</v>
      </c>
      <c r="G1024" t="s">
        <v>14</v>
      </c>
      <c r="H1024">
        <v>3</v>
      </c>
      <c r="I1024" s="2">
        <v>368.07</v>
      </c>
      <c r="J1024" s="2">
        <v>1104.21</v>
      </c>
      <c r="K1024" s="2">
        <f t="shared" si="46"/>
        <v>1104.21</v>
      </c>
      <c r="L1024" s="2">
        <f t="shared" si="47"/>
        <v>0</v>
      </c>
      <c r="M1024" t="s">
        <v>55</v>
      </c>
      <c r="N1024" t="s">
        <v>32</v>
      </c>
    </row>
    <row r="1025" spans="1:14" x14ac:dyDescent="0.3">
      <c r="A1025">
        <v>2024002023</v>
      </c>
      <c r="B1025" s="1">
        <v>45624</v>
      </c>
      <c r="C1025" s="11">
        <f t="shared" si="45"/>
        <v>2024</v>
      </c>
      <c r="D1025" t="s">
        <v>320</v>
      </c>
      <c r="E1025" t="s">
        <v>40</v>
      </c>
      <c r="F1025" t="s">
        <v>41</v>
      </c>
      <c r="G1025" t="s">
        <v>36</v>
      </c>
      <c r="H1025">
        <v>1</v>
      </c>
      <c r="I1025" s="2">
        <v>48.52</v>
      </c>
      <c r="J1025" s="2">
        <v>48.52</v>
      </c>
      <c r="K1025" s="2">
        <f t="shared" si="46"/>
        <v>48.52</v>
      </c>
      <c r="L1025" s="2">
        <f t="shared" si="47"/>
        <v>0</v>
      </c>
      <c r="M1025" t="s">
        <v>20</v>
      </c>
      <c r="N1025" t="s">
        <v>21</v>
      </c>
    </row>
    <row r="1026" spans="1:14" x14ac:dyDescent="0.3">
      <c r="A1026">
        <v>2024001955</v>
      </c>
      <c r="B1026" s="1">
        <v>45647</v>
      </c>
      <c r="C1026" s="11">
        <f t="shared" si="45"/>
        <v>2024</v>
      </c>
      <c r="D1026" t="s">
        <v>256</v>
      </c>
      <c r="E1026" t="s">
        <v>53</v>
      </c>
      <c r="F1026" t="s">
        <v>54</v>
      </c>
      <c r="G1026" t="s">
        <v>36</v>
      </c>
      <c r="H1026">
        <v>3</v>
      </c>
      <c r="I1026" s="2">
        <v>122.39</v>
      </c>
      <c r="J1026" s="2">
        <v>367.17</v>
      </c>
      <c r="K1026" s="2">
        <f t="shared" si="46"/>
        <v>367.17</v>
      </c>
      <c r="L1026" s="2">
        <f t="shared" si="47"/>
        <v>0</v>
      </c>
      <c r="M1026" t="s">
        <v>31</v>
      </c>
      <c r="N1026" t="s">
        <v>26</v>
      </c>
    </row>
    <row r="1027" spans="1:14" x14ac:dyDescent="0.3">
      <c r="A1027">
        <v>2024002025</v>
      </c>
      <c r="B1027" s="1">
        <v>45590</v>
      </c>
      <c r="C1027" s="11">
        <f t="shared" ref="C1027:C1090" si="48">YEAR(B1027)</f>
        <v>2024</v>
      </c>
      <c r="D1027" t="s">
        <v>204</v>
      </c>
      <c r="E1027" t="s">
        <v>46</v>
      </c>
      <c r="F1027" t="s">
        <v>47</v>
      </c>
      <c r="G1027" t="s">
        <v>36</v>
      </c>
      <c r="H1027">
        <v>1</v>
      </c>
      <c r="I1027" s="2">
        <v>94.57</v>
      </c>
      <c r="J1027" s="2">
        <v>94.57</v>
      </c>
      <c r="K1027" s="2">
        <f t="shared" ref="K1027:K1090" si="49">I1027*H1027</f>
        <v>94.57</v>
      </c>
      <c r="L1027" s="2">
        <f t="shared" ref="L1027:L1090" si="50">J1027-K1027</f>
        <v>0</v>
      </c>
      <c r="M1027" t="s">
        <v>57</v>
      </c>
      <c r="N1027" t="s">
        <v>16</v>
      </c>
    </row>
    <row r="1028" spans="1:14" x14ac:dyDescent="0.3">
      <c r="A1028">
        <v>2024002026</v>
      </c>
      <c r="B1028" s="1">
        <v>45443</v>
      </c>
      <c r="C1028" s="11">
        <f t="shared" si="48"/>
        <v>2024</v>
      </c>
      <c r="D1028" t="s">
        <v>285</v>
      </c>
      <c r="E1028" t="s">
        <v>40</v>
      </c>
      <c r="F1028" t="s">
        <v>41</v>
      </c>
      <c r="G1028" t="s">
        <v>36</v>
      </c>
      <c r="H1028">
        <v>2</v>
      </c>
      <c r="I1028" s="2">
        <v>44.34</v>
      </c>
      <c r="J1028" s="2">
        <v>88.68</v>
      </c>
      <c r="K1028" s="2">
        <f t="shared" si="49"/>
        <v>88.68</v>
      </c>
      <c r="L1028" s="2">
        <f t="shared" si="50"/>
        <v>0</v>
      </c>
      <c r="M1028" t="s">
        <v>57</v>
      </c>
      <c r="N1028" t="s">
        <v>16</v>
      </c>
    </row>
    <row r="1029" spans="1:14" x14ac:dyDescent="0.3">
      <c r="A1029">
        <v>2024002027</v>
      </c>
      <c r="B1029" s="1">
        <v>45625</v>
      </c>
      <c r="C1029" s="11">
        <f t="shared" si="48"/>
        <v>2024</v>
      </c>
      <c r="D1029" t="s">
        <v>109</v>
      </c>
      <c r="E1029" t="s">
        <v>28</v>
      </c>
      <c r="F1029" t="s">
        <v>29</v>
      </c>
      <c r="G1029" t="s">
        <v>30</v>
      </c>
      <c r="H1029">
        <v>1</v>
      </c>
      <c r="I1029" s="2">
        <v>25.34</v>
      </c>
      <c r="J1029" s="2">
        <v>25.34</v>
      </c>
      <c r="K1029" s="2">
        <f t="shared" si="49"/>
        <v>25.34</v>
      </c>
      <c r="L1029" s="2">
        <f t="shared" si="50"/>
        <v>0</v>
      </c>
      <c r="M1029" t="s">
        <v>25</v>
      </c>
      <c r="N1029" t="s">
        <v>21</v>
      </c>
    </row>
    <row r="1030" spans="1:14" x14ac:dyDescent="0.3">
      <c r="A1030">
        <v>2024002028</v>
      </c>
      <c r="B1030" s="1">
        <v>45637</v>
      </c>
      <c r="C1030" s="11">
        <f t="shared" si="48"/>
        <v>2024</v>
      </c>
      <c r="D1030" t="s">
        <v>197</v>
      </c>
      <c r="E1030" t="s">
        <v>53</v>
      </c>
      <c r="F1030" t="s">
        <v>54</v>
      </c>
      <c r="G1030" t="s">
        <v>36</v>
      </c>
      <c r="H1030">
        <v>1</v>
      </c>
      <c r="I1030" s="2">
        <v>120.38</v>
      </c>
      <c r="J1030" s="2">
        <v>120.38</v>
      </c>
      <c r="K1030" s="2">
        <f t="shared" si="49"/>
        <v>120.38</v>
      </c>
      <c r="L1030" s="2">
        <f t="shared" si="50"/>
        <v>0</v>
      </c>
      <c r="M1030" t="s">
        <v>38</v>
      </c>
      <c r="N1030" t="s">
        <v>32</v>
      </c>
    </row>
    <row r="1031" spans="1:14" x14ac:dyDescent="0.3">
      <c r="A1031">
        <v>2024002029</v>
      </c>
      <c r="B1031" s="1">
        <v>45308</v>
      </c>
      <c r="C1031" s="11">
        <f t="shared" si="48"/>
        <v>2024</v>
      </c>
      <c r="D1031" t="s">
        <v>125</v>
      </c>
      <c r="E1031" t="s">
        <v>23</v>
      </c>
      <c r="F1031" t="s">
        <v>24</v>
      </c>
      <c r="G1031" t="s">
        <v>14</v>
      </c>
      <c r="H1031">
        <v>1</v>
      </c>
      <c r="I1031" s="2">
        <v>75.45</v>
      </c>
      <c r="J1031" s="2">
        <v>75.45</v>
      </c>
      <c r="K1031" s="2">
        <f t="shared" si="49"/>
        <v>75.45</v>
      </c>
      <c r="L1031" s="2">
        <f t="shared" si="50"/>
        <v>0</v>
      </c>
      <c r="M1031" t="s">
        <v>57</v>
      </c>
      <c r="N1031" t="s">
        <v>32</v>
      </c>
    </row>
    <row r="1032" spans="1:14" x14ac:dyDescent="0.3">
      <c r="A1032">
        <v>2024002030</v>
      </c>
      <c r="B1032" s="1">
        <v>45522</v>
      </c>
      <c r="C1032" s="11">
        <f t="shared" si="48"/>
        <v>2024</v>
      </c>
      <c r="D1032" t="s">
        <v>297</v>
      </c>
      <c r="E1032" t="s">
        <v>40</v>
      </c>
      <c r="F1032" t="s">
        <v>41</v>
      </c>
      <c r="G1032" t="s">
        <v>36</v>
      </c>
      <c r="H1032">
        <v>1</v>
      </c>
      <c r="I1032" s="2">
        <v>45.92</v>
      </c>
      <c r="J1032" s="2">
        <v>45.92</v>
      </c>
      <c r="K1032" s="2">
        <f t="shared" si="49"/>
        <v>45.92</v>
      </c>
      <c r="L1032" s="2">
        <f t="shared" si="50"/>
        <v>0</v>
      </c>
      <c r="M1032" t="s">
        <v>48</v>
      </c>
      <c r="N1032" t="s">
        <v>26</v>
      </c>
    </row>
    <row r="1033" spans="1:14" x14ac:dyDescent="0.3">
      <c r="A1033">
        <v>2024002031</v>
      </c>
      <c r="B1033" s="1">
        <v>45558</v>
      </c>
      <c r="C1033" s="11">
        <f t="shared" si="48"/>
        <v>2024</v>
      </c>
      <c r="D1033" t="s">
        <v>97</v>
      </c>
      <c r="E1033" t="s">
        <v>34</v>
      </c>
      <c r="F1033" t="s">
        <v>35</v>
      </c>
      <c r="G1033" t="s">
        <v>36</v>
      </c>
      <c r="H1033">
        <v>2</v>
      </c>
      <c r="I1033" s="2">
        <v>15.27</v>
      </c>
      <c r="J1033" s="2">
        <v>30.54</v>
      </c>
      <c r="K1033" s="2">
        <f t="shared" si="49"/>
        <v>30.54</v>
      </c>
      <c r="L1033" s="2">
        <f t="shared" si="50"/>
        <v>0</v>
      </c>
      <c r="M1033" t="s">
        <v>55</v>
      </c>
      <c r="N1033" t="s">
        <v>32</v>
      </c>
    </row>
    <row r="1034" spans="1:14" x14ac:dyDescent="0.3">
      <c r="A1034">
        <v>2024002032</v>
      </c>
      <c r="B1034" s="1">
        <v>45452</v>
      </c>
      <c r="C1034" s="11">
        <f t="shared" si="48"/>
        <v>2024</v>
      </c>
      <c r="D1034" t="s">
        <v>270</v>
      </c>
      <c r="E1034" t="s">
        <v>18</v>
      </c>
      <c r="F1034" t="s">
        <v>19</v>
      </c>
      <c r="G1034" t="s">
        <v>14</v>
      </c>
      <c r="H1034">
        <v>5</v>
      </c>
      <c r="I1034" s="2">
        <v>606.98</v>
      </c>
      <c r="J1034" s="2">
        <v>3034.9</v>
      </c>
      <c r="K1034" s="2">
        <f t="shared" si="49"/>
        <v>3034.9</v>
      </c>
      <c r="L1034" s="2">
        <f t="shared" si="50"/>
        <v>0</v>
      </c>
      <c r="M1034" t="s">
        <v>48</v>
      </c>
      <c r="N1034" t="s">
        <v>16</v>
      </c>
    </row>
    <row r="1035" spans="1:14" x14ac:dyDescent="0.3">
      <c r="A1035">
        <v>2024002033</v>
      </c>
      <c r="B1035" s="1">
        <v>45396</v>
      </c>
      <c r="C1035" s="11">
        <f t="shared" si="48"/>
        <v>2024</v>
      </c>
      <c r="D1035" t="s">
        <v>154</v>
      </c>
      <c r="E1035" t="s">
        <v>34</v>
      </c>
      <c r="F1035" t="s">
        <v>35</v>
      </c>
      <c r="G1035" t="s">
        <v>36</v>
      </c>
      <c r="H1035">
        <v>1</v>
      </c>
      <c r="I1035" s="2">
        <v>17.420000000000002</v>
      </c>
      <c r="J1035" s="2">
        <v>17.420000000000002</v>
      </c>
      <c r="K1035" s="2">
        <f t="shared" si="49"/>
        <v>17.420000000000002</v>
      </c>
      <c r="L1035" s="2">
        <f t="shared" si="50"/>
        <v>0</v>
      </c>
      <c r="M1035" t="s">
        <v>25</v>
      </c>
      <c r="N1035" t="s">
        <v>26</v>
      </c>
    </row>
    <row r="1036" spans="1:14" x14ac:dyDescent="0.3">
      <c r="A1036">
        <v>2024002034</v>
      </c>
      <c r="B1036" s="1">
        <v>45349</v>
      </c>
      <c r="C1036" s="11">
        <f t="shared" si="48"/>
        <v>2024</v>
      </c>
      <c r="D1036" t="s">
        <v>210</v>
      </c>
      <c r="E1036" t="s">
        <v>18</v>
      </c>
      <c r="F1036" t="s">
        <v>19</v>
      </c>
      <c r="G1036" t="s">
        <v>14</v>
      </c>
      <c r="H1036">
        <v>1</v>
      </c>
      <c r="I1036" s="2">
        <v>576.29999999999995</v>
      </c>
      <c r="J1036" s="2">
        <v>576.29999999999995</v>
      </c>
      <c r="K1036" s="2">
        <f t="shared" si="49"/>
        <v>576.29999999999995</v>
      </c>
      <c r="L1036" s="2">
        <f t="shared" si="50"/>
        <v>0</v>
      </c>
      <c r="M1036" t="s">
        <v>55</v>
      </c>
      <c r="N1036" t="s">
        <v>26</v>
      </c>
    </row>
    <row r="1037" spans="1:14" x14ac:dyDescent="0.3">
      <c r="A1037">
        <v>2024002035</v>
      </c>
      <c r="B1037" s="1">
        <v>45412</v>
      </c>
      <c r="C1037" s="11">
        <f t="shared" si="48"/>
        <v>2024</v>
      </c>
      <c r="D1037" t="s">
        <v>11</v>
      </c>
      <c r="E1037" t="s">
        <v>46</v>
      </c>
      <c r="F1037" t="s">
        <v>47</v>
      </c>
      <c r="G1037" t="s">
        <v>36</v>
      </c>
      <c r="H1037">
        <v>1</v>
      </c>
      <c r="I1037" s="2">
        <v>89.99</v>
      </c>
      <c r="J1037" s="2">
        <v>89.99</v>
      </c>
      <c r="K1037" s="2">
        <f t="shared" si="49"/>
        <v>89.99</v>
      </c>
      <c r="L1037" s="2">
        <f t="shared" si="50"/>
        <v>0</v>
      </c>
      <c r="M1037" t="s">
        <v>48</v>
      </c>
      <c r="N1037" t="s">
        <v>21</v>
      </c>
    </row>
    <row r="1038" spans="1:14" x14ac:dyDescent="0.3">
      <c r="A1038">
        <v>2024002036</v>
      </c>
      <c r="B1038" s="1">
        <v>45516</v>
      </c>
      <c r="C1038" s="11">
        <f t="shared" si="48"/>
        <v>2024</v>
      </c>
      <c r="D1038" t="s">
        <v>114</v>
      </c>
      <c r="E1038" t="s">
        <v>34</v>
      </c>
      <c r="F1038" t="s">
        <v>35</v>
      </c>
      <c r="G1038" t="s">
        <v>36</v>
      </c>
      <c r="H1038">
        <v>3</v>
      </c>
      <c r="I1038" s="2">
        <v>15.37</v>
      </c>
      <c r="J1038" s="2">
        <v>46.11</v>
      </c>
      <c r="K1038" s="2">
        <f t="shared" si="49"/>
        <v>46.11</v>
      </c>
      <c r="L1038" s="2">
        <f t="shared" si="50"/>
        <v>0</v>
      </c>
      <c r="M1038" t="s">
        <v>48</v>
      </c>
      <c r="N1038" t="s">
        <v>21</v>
      </c>
    </row>
    <row r="1039" spans="1:14" x14ac:dyDescent="0.3">
      <c r="A1039">
        <v>2024002037</v>
      </c>
      <c r="B1039" s="1">
        <v>45582</v>
      </c>
      <c r="C1039" s="11">
        <f t="shared" si="48"/>
        <v>2024</v>
      </c>
      <c r="D1039" t="s">
        <v>11</v>
      </c>
      <c r="E1039" t="s">
        <v>18</v>
      </c>
      <c r="F1039" t="s">
        <v>19</v>
      </c>
      <c r="G1039" t="s">
        <v>14</v>
      </c>
      <c r="H1039">
        <v>2</v>
      </c>
      <c r="I1039" s="2">
        <v>560.71</v>
      </c>
      <c r="J1039" s="2">
        <v>1121.42</v>
      </c>
      <c r="K1039" s="2">
        <f t="shared" si="49"/>
        <v>1121.42</v>
      </c>
      <c r="L1039" s="2">
        <f t="shared" si="50"/>
        <v>0</v>
      </c>
      <c r="M1039" t="s">
        <v>15</v>
      </c>
      <c r="N1039" t="s">
        <v>26</v>
      </c>
    </row>
    <row r="1040" spans="1:14" x14ac:dyDescent="0.3">
      <c r="A1040">
        <v>2024002038</v>
      </c>
      <c r="B1040" s="1">
        <v>45476</v>
      </c>
      <c r="C1040" s="11">
        <f t="shared" si="48"/>
        <v>2024</v>
      </c>
      <c r="D1040" t="s">
        <v>11</v>
      </c>
      <c r="E1040" t="s">
        <v>67</v>
      </c>
      <c r="F1040" t="s">
        <v>68</v>
      </c>
      <c r="G1040" t="s">
        <v>36</v>
      </c>
      <c r="H1040">
        <v>3</v>
      </c>
      <c r="I1040" s="2">
        <v>400.03</v>
      </c>
      <c r="J1040" s="2">
        <v>1200.0899999999999</v>
      </c>
      <c r="K1040" s="2">
        <f t="shared" si="49"/>
        <v>1200.0899999999999</v>
      </c>
      <c r="L1040" s="2">
        <f t="shared" si="50"/>
        <v>0</v>
      </c>
      <c r="M1040" t="s">
        <v>20</v>
      </c>
      <c r="N1040" t="s">
        <v>32</v>
      </c>
    </row>
    <row r="1041" spans="1:14" x14ac:dyDescent="0.3">
      <c r="A1041">
        <v>2024001437</v>
      </c>
      <c r="B1041" s="1">
        <v>45537</v>
      </c>
      <c r="C1041" s="11">
        <f t="shared" si="48"/>
        <v>2024</v>
      </c>
      <c r="D1041" t="s">
        <v>184</v>
      </c>
      <c r="E1041" t="s">
        <v>23</v>
      </c>
      <c r="F1041" t="s">
        <v>24</v>
      </c>
      <c r="G1041" t="s">
        <v>14</v>
      </c>
      <c r="H1041">
        <v>2</v>
      </c>
      <c r="I1041" s="2">
        <v>81.66</v>
      </c>
      <c r="J1041" s="2">
        <v>163.32</v>
      </c>
      <c r="K1041" s="2">
        <f t="shared" si="49"/>
        <v>163.32</v>
      </c>
      <c r="L1041" s="2">
        <f t="shared" si="50"/>
        <v>0</v>
      </c>
      <c r="M1041" t="s">
        <v>38</v>
      </c>
      <c r="N1041" t="s">
        <v>32</v>
      </c>
    </row>
    <row r="1042" spans="1:14" x14ac:dyDescent="0.3">
      <c r="A1042">
        <v>2024002040</v>
      </c>
      <c r="B1042" s="1">
        <v>45307</v>
      </c>
      <c r="C1042" s="11">
        <f t="shared" si="48"/>
        <v>2024</v>
      </c>
      <c r="D1042" t="s">
        <v>328</v>
      </c>
      <c r="E1042" t="s">
        <v>46</v>
      </c>
      <c r="F1042" t="s">
        <v>47</v>
      </c>
      <c r="G1042" t="s">
        <v>36</v>
      </c>
      <c r="H1042">
        <v>3</v>
      </c>
      <c r="I1042" s="2">
        <v>92.63</v>
      </c>
      <c r="J1042" s="2">
        <v>277.89</v>
      </c>
      <c r="K1042" s="2">
        <f t="shared" si="49"/>
        <v>277.89</v>
      </c>
      <c r="L1042" s="2">
        <f t="shared" si="50"/>
        <v>0</v>
      </c>
      <c r="M1042" t="s">
        <v>48</v>
      </c>
      <c r="N1042" t="s">
        <v>32</v>
      </c>
    </row>
    <row r="1043" spans="1:14" x14ac:dyDescent="0.3">
      <c r="A1043">
        <v>2024002041</v>
      </c>
      <c r="B1043" s="1">
        <v>45469</v>
      </c>
      <c r="C1043" s="11">
        <f t="shared" si="48"/>
        <v>2024</v>
      </c>
      <c r="D1043" t="s">
        <v>207</v>
      </c>
      <c r="E1043" t="s">
        <v>40</v>
      </c>
      <c r="F1043" t="s">
        <v>41</v>
      </c>
      <c r="G1043" t="s">
        <v>36</v>
      </c>
      <c r="H1043">
        <v>2</v>
      </c>
      <c r="I1043" s="2">
        <v>44.17</v>
      </c>
      <c r="J1043" s="2">
        <v>88.34</v>
      </c>
      <c r="K1043" s="2">
        <f t="shared" si="49"/>
        <v>88.34</v>
      </c>
      <c r="L1043" s="2">
        <f t="shared" si="50"/>
        <v>0</v>
      </c>
      <c r="M1043" t="s">
        <v>61</v>
      </c>
      <c r="N1043" t="s">
        <v>21</v>
      </c>
    </row>
    <row r="1044" spans="1:14" x14ac:dyDescent="0.3">
      <c r="A1044">
        <v>2024002042</v>
      </c>
      <c r="B1044" s="1">
        <v>45616</v>
      </c>
      <c r="C1044" s="11">
        <f t="shared" si="48"/>
        <v>2024</v>
      </c>
      <c r="D1044" t="s">
        <v>183</v>
      </c>
      <c r="E1044" t="s">
        <v>28</v>
      </c>
      <c r="F1044" t="s">
        <v>29</v>
      </c>
      <c r="G1044" t="s">
        <v>30</v>
      </c>
      <c r="H1044">
        <v>3</v>
      </c>
      <c r="I1044" s="2">
        <v>24.41</v>
      </c>
      <c r="J1044" s="2">
        <v>73.23</v>
      </c>
      <c r="K1044" s="2">
        <f t="shared" si="49"/>
        <v>73.23</v>
      </c>
      <c r="L1044" s="2">
        <f t="shared" si="50"/>
        <v>0</v>
      </c>
      <c r="M1044" t="s">
        <v>38</v>
      </c>
      <c r="N1044" t="s">
        <v>16</v>
      </c>
    </row>
    <row r="1045" spans="1:14" x14ac:dyDescent="0.3">
      <c r="A1045">
        <v>2024002043</v>
      </c>
      <c r="B1045" s="1">
        <v>45351</v>
      </c>
      <c r="C1045" s="11">
        <f t="shared" si="48"/>
        <v>2024</v>
      </c>
      <c r="D1045" t="s">
        <v>336</v>
      </c>
      <c r="E1045" t="s">
        <v>34</v>
      </c>
      <c r="F1045" t="s">
        <v>35</v>
      </c>
      <c r="G1045" t="s">
        <v>36</v>
      </c>
      <c r="H1045">
        <v>1</v>
      </c>
      <c r="I1045" s="2">
        <v>15.93</v>
      </c>
      <c r="J1045" s="2">
        <v>15.93</v>
      </c>
      <c r="K1045" s="2">
        <f t="shared" si="49"/>
        <v>15.93</v>
      </c>
      <c r="L1045" s="2">
        <f t="shared" si="50"/>
        <v>0</v>
      </c>
      <c r="M1045" t="s">
        <v>55</v>
      </c>
      <c r="N1045" t="s">
        <v>26</v>
      </c>
    </row>
    <row r="1046" spans="1:14" x14ac:dyDescent="0.3">
      <c r="A1046">
        <v>2024002044</v>
      </c>
      <c r="B1046" s="1">
        <v>45442</v>
      </c>
      <c r="C1046" s="11">
        <f t="shared" si="48"/>
        <v>2024</v>
      </c>
      <c r="D1046" t="s">
        <v>166</v>
      </c>
      <c r="E1046" t="s">
        <v>43</v>
      </c>
      <c r="F1046" t="s">
        <v>44</v>
      </c>
      <c r="G1046" t="s">
        <v>36</v>
      </c>
      <c r="H1046">
        <v>1</v>
      </c>
      <c r="I1046" s="2">
        <v>1193.1600000000001</v>
      </c>
      <c r="J1046" s="2">
        <v>1193.1600000000001</v>
      </c>
      <c r="K1046" s="2">
        <f t="shared" si="49"/>
        <v>1193.1600000000001</v>
      </c>
      <c r="L1046" s="2">
        <f t="shared" si="50"/>
        <v>0</v>
      </c>
      <c r="M1046" t="s">
        <v>61</v>
      </c>
      <c r="N1046" t="s">
        <v>16</v>
      </c>
    </row>
    <row r="1047" spans="1:14" x14ac:dyDescent="0.3">
      <c r="A1047">
        <v>2024002045</v>
      </c>
      <c r="B1047" s="1">
        <v>45384</v>
      </c>
      <c r="C1047" s="11">
        <f t="shared" si="48"/>
        <v>2024</v>
      </c>
      <c r="D1047" t="s">
        <v>247</v>
      </c>
      <c r="E1047" t="s">
        <v>34</v>
      </c>
      <c r="F1047" t="s">
        <v>35</v>
      </c>
      <c r="G1047" t="s">
        <v>36</v>
      </c>
      <c r="H1047">
        <v>3</v>
      </c>
      <c r="I1047" s="2">
        <v>13.96</v>
      </c>
      <c r="J1047" s="2">
        <v>41.88</v>
      </c>
      <c r="K1047" s="2">
        <f t="shared" si="49"/>
        <v>41.88</v>
      </c>
      <c r="L1047" s="2">
        <f t="shared" si="50"/>
        <v>0</v>
      </c>
      <c r="M1047" t="s">
        <v>20</v>
      </c>
      <c r="N1047" t="s">
        <v>26</v>
      </c>
    </row>
    <row r="1048" spans="1:14" x14ac:dyDescent="0.3">
      <c r="A1048">
        <v>2024002046</v>
      </c>
      <c r="B1048" s="1">
        <v>45442</v>
      </c>
      <c r="C1048" s="11">
        <f t="shared" si="48"/>
        <v>2024</v>
      </c>
      <c r="D1048" t="s">
        <v>11</v>
      </c>
      <c r="E1048" t="s">
        <v>43</v>
      </c>
      <c r="F1048" t="s">
        <v>44</v>
      </c>
      <c r="G1048" t="s">
        <v>36</v>
      </c>
      <c r="H1048">
        <v>3</v>
      </c>
      <c r="I1048" s="2">
        <v>1098.56</v>
      </c>
      <c r="J1048" s="2">
        <v>3295.68</v>
      </c>
      <c r="K1048" s="2">
        <f t="shared" si="49"/>
        <v>3295.68</v>
      </c>
      <c r="L1048" s="2">
        <f t="shared" si="50"/>
        <v>0</v>
      </c>
      <c r="M1048" t="s">
        <v>64</v>
      </c>
      <c r="N1048" t="s">
        <v>26</v>
      </c>
    </row>
    <row r="1049" spans="1:14" x14ac:dyDescent="0.3">
      <c r="A1049">
        <v>2024002047</v>
      </c>
      <c r="B1049" s="1">
        <v>45310</v>
      </c>
      <c r="C1049" s="11">
        <f t="shared" si="48"/>
        <v>2024</v>
      </c>
      <c r="D1049" t="s">
        <v>216</v>
      </c>
      <c r="E1049" t="s">
        <v>67</v>
      </c>
      <c r="F1049" t="s">
        <v>68</v>
      </c>
      <c r="G1049" t="s">
        <v>36</v>
      </c>
      <c r="H1049">
        <v>3</v>
      </c>
      <c r="I1049" s="2">
        <v>380.43</v>
      </c>
      <c r="J1049" s="2">
        <v>1141.29</v>
      </c>
      <c r="K1049" s="2">
        <f t="shared" si="49"/>
        <v>1141.29</v>
      </c>
      <c r="L1049" s="2">
        <f t="shared" si="50"/>
        <v>0</v>
      </c>
      <c r="M1049" t="s">
        <v>25</v>
      </c>
      <c r="N1049" t="s">
        <v>16</v>
      </c>
    </row>
    <row r="1050" spans="1:14" x14ac:dyDescent="0.3">
      <c r="A1050">
        <v>2024002048</v>
      </c>
      <c r="B1050" s="1">
        <v>45375</v>
      </c>
      <c r="C1050" s="11">
        <f t="shared" si="48"/>
        <v>2024</v>
      </c>
      <c r="D1050" t="s">
        <v>176</v>
      </c>
      <c r="E1050" t="s">
        <v>46</v>
      </c>
      <c r="F1050" t="s">
        <v>47</v>
      </c>
      <c r="G1050" t="s">
        <v>36</v>
      </c>
      <c r="H1050">
        <v>1</v>
      </c>
      <c r="I1050" s="2">
        <v>89.48</v>
      </c>
      <c r="J1050" s="2">
        <v>89.48</v>
      </c>
      <c r="K1050" s="2">
        <f t="shared" si="49"/>
        <v>89.48</v>
      </c>
      <c r="L1050" s="2">
        <f t="shared" si="50"/>
        <v>0</v>
      </c>
      <c r="M1050" t="s">
        <v>31</v>
      </c>
      <c r="N1050" t="s">
        <v>26</v>
      </c>
    </row>
    <row r="1051" spans="1:14" x14ac:dyDescent="0.3">
      <c r="A1051">
        <v>2024001393</v>
      </c>
      <c r="B1051" s="1">
        <v>45544</v>
      </c>
      <c r="C1051" s="11">
        <f t="shared" si="48"/>
        <v>2024</v>
      </c>
      <c r="D1051" t="s">
        <v>269</v>
      </c>
      <c r="E1051" t="s">
        <v>43</v>
      </c>
      <c r="F1051" t="s">
        <v>44</v>
      </c>
      <c r="G1051" t="s">
        <v>36</v>
      </c>
      <c r="H1051">
        <v>1</v>
      </c>
      <c r="I1051" s="2">
        <v>1215.8599999999999</v>
      </c>
      <c r="J1051" s="2">
        <v>1215.8599999999999</v>
      </c>
      <c r="K1051" s="2">
        <f t="shared" si="49"/>
        <v>1215.8599999999999</v>
      </c>
      <c r="L1051" s="2">
        <f t="shared" si="50"/>
        <v>0</v>
      </c>
      <c r="M1051" t="s">
        <v>57</v>
      </c>
      <c r="N1051" t="s">
        <v>16</v>
      </c>
    </row>
    <row r="1052" spans="1:14" x14ac:dyDescent="0.3">
      <c r="A1052">
        <v>2024002050</v>
      </c>
      <c r="B1052" s="1">
        <v>45307</v>
      </c>
      <c r="C1052" s="11">
        <f t="shared" si="48"/>
        <v>2024</v>
      </c>
      <c r="D1052" t="s">
        <v>106</v>
      </c>
      <c r="E1052" t="s">
        <v>34</v>
      </c>
      <c r="F1052" t="s">
        <v>35</v>
      </c>
      <c r="G1052" t="s">
        <v>36</v>
      </c>
      <c r="H1052">
        <v>1</v>
      </c>
      <c r="I1052" s="2">
        <v>14.93</v>
      </c>
      <c r="J1052" s="2">
        <v>14.93</v>
      </c>
      <c r="K1052" s="2">
        <f t="shared" si="49"/>
        <v>14.93</v>
      </c>
      <c r="L1052" s="2">
        <f t="shared" si="50"/>
        <v>0</v>
      </c>
      <c r="M1052" t="s">
        <v>61</v>
      </c>
      <c r="N1052" t="s">
        <v>32</v>
      </c>
    </row>
    <row r="1053" spans="1:14" x14ac:dyDescent="0.3">
      <c r="A1053">
        <v>2024002051</v>
      </c>
      <c r="B1053" s="1">
        <v>45588</v>
      </c>
      <c r="C1053" s="11">
        <f t="shared" si="48"/>
        <v>2024</v>
      </c>
      <c r="D1053" t="s">
        <v>287</v>
      </c>
      <c r="E1053" t="s">
        <v>23</v>
      </c>
      <c r="F1053" t="s">
        <v>24</v>
      </c>
      <c r="G1053" t="s">
        <v>14</v>
      </c>
      <c r="H1053">
        <v>1</v>
      </c>
      <c r="I1053" s="2">
        <v>81.510000000000005</v>
      </c>
      <c r="J1053" s="2">
        <v>81.510000000000005</v>
      </c>
      <c r="K1053" s="2">
        <f t="shared" si="49"/>
        <v>81.510000000000005</v>
      </c>
      <c r="L1053" s="2">
        <f t="shared" si="50"/>
        <v>0</v>
      </c>
      <c r="M1053" t="s">
        <v>48</v>
      </c>
      <c r="N1053" t="s">
        <v>16</v>
      </c>
    </row>
    <row r="1054" spans="1:14" x14ac:dyDescent="0.3">
      <c r="A1054">
        <v>2024002052</v>
      </c>
      <c r="B1054" s="1">
        <v>45428</v>
      </c>
      <c r="C1054" s="11">
        <f t="shared" si="48"/>
        <v>2024</v>
      </c>
      <c r="D1054" t="s">
        <v>11</v>
      </c>
      <c r="E1054" t="s">
        <v>18</v>
      </c>
      <c r="F1054" t="s">
        <v>19</v>
      </c>
      <c r="G1054" t="s">
        <v>14</v>
      </c>
      <c r="H1054">
        <v>1</v>
      </c>
      <c r="I1054" s="2">
        <v>642.82000000000005</v>
      </c>
      <c r="J1054" s="2">
        <v>642.82000000000005</v>
      </c>
      <c r="K1054" s="2">
        <f t="shared" si="49"/>
        <v>642.82000000000005</v>
      </c>
      <c r="L1054" s="2">
        <f t="shared" si="50"/>
        <v>0</v>
      </c>
      <c r="M1054" t="s">
        <v>61</v>
      </c>
      <c r="N1054" t="s">
        <v>21</v>
      </c>
    </row>
    <row r="1055" spans="1:14" x14ac:dyDescent="0.3">
      <c r="A1055">
        <v>2024002053</v>
      </c>
      <c r="B1055" s="1">
        <v>45548</v>
      </c>
      <c r="C1055" s="11">
        <f t="shared" si="48"/>
        <v>2024</v>
      </c>
      <c r="D1055" t="s">
        <v>241</v>
      </c>
      <c r="E1055" t="s">
        <v>67</v>
      </c>
      <c r="F1055" t="s">
        <v>68</v>
      </c>
      <c r="G1055" t="s">
        <v>36</v>
      </c>
      <c r="H1055">
        <v>4</v>
      </c>
      <c r="I1055" s="2">
        <v>391.61</v>
      </c>
      <c r="J1055" s="2">
        <v>1566.44</v>
      </c>
      <c r="K1055" s="2">
        <f t="shared" si="49"/>
        <v>1566.44</v>
      </c>
      <c r="L1055" s="2">
        <f t="shared" si="50"/>
        <v>0</v>
      </c>
      <c r="M1055" t="s">
        <v>31</v>
      </c>
      <c r="N1055" t="s">
        <v>26</v>
      </c>
    </row>
    <row r="1056" spans="1:14" x14ac:dyDescent="0.3">
      <c r="A1056">
        <v>2024002054</v>
      </c>
      <c r="B1056" s="1">
        <v>45473</v>
      </c>
      <c r="C1056" s="11">
        <f t="shared" si="48"/>
        <v>2024</v>
      </c>
      <c r="D1056" t="s">
        <v>323</v>
      </c>
      <c r="E1056" t="s">
        <v>46</v>
      </c>
      <c r="F1056" t="s">
        <v>47</v>
      </c>
      <c r="G1056" t="s">
        <v>36</v>
      </c>
      <c r="H1056">
        <v>1</v>
      </c>
      <c r="I1056" s="2">
        <v>87.29</v>
      </c>
      <c r="J1056" s="2">
        <v>87.29</v>
      </c>
      <c r="K1056" s="2">
        <f t="shared" si="49"/>
        <v>87.29</v>
      </c>
      <c r="L1056" s="2">
        <f t="shared" si="50"/>
        <v>0</v>
      </c>
      <c r="M1056" t="s">
        <v>61</v>
      </c>
      <c r="N1056" t="s">
        <v>16</v>
      </c>
    </row>
    <row r="1057" spans="1:14" x14ac:dyDescent="0.3">
      <c r="A1057">
        <v>2024002055</v>
      </c>
      <c r="B1057" s="1">
        <v>45523</v>
      </c>
      <c r="C1057" s="11">
        <f t="shared" si="48"/>
        <v>2024</v>
      </c>
      <c r="D1057" t="s">
        <v>109</v>
      </c>
      <c r="E1057" t="s">
        <v>46</v>
      </c>
      <c r="F1057" t="s">
        <v>47</v>
      </c>
      <c r="G1057" t="s">
        <v>36</v>
      </c>
      <c r="H1057">
        <v>1</v>
      </c>
      <c r="I1057" s="2">
        <v>86.14</v>
      </c>
      <c r="J1057" s="2">
        <v>86.14</v>
      </c>
      <c r="K1057" s="2">
        <f t="shared" si="49"/>
        <v>86.14</v>
      </c>
      <c r="L1057" s="2">
        <f t="shared" si="50"/>
        <v>0</v>
      </c>
      <c r="M1057" t="s">
        <v>64</v>
      </c>
      <c r="N1057" t="s">
        <v>21</v>
      </c>
    </row>
    <row r="1058" spans="1:14" x14ac:dyDescent="0.3">
      <c r="A1058">
        <v>2024002056</v>
      </c>
      <c r="B1058" s="1">
        <v>45316</v>
      </c>
      <c r="C1058" s="11">
        <f t="shared" si="48"/>
        <v>2024</v>
      </c>
      <c r="D1058" t="s">
        <v>69</v>
      </c>
      <c r="E1058" t="s">
        <v>12</v>
      </c>
      <c r="F1058" t="s">
        <v>13</v>
      </c>
      <c r="G1058" t="s">
        <v>14</v>
      </c>
      <c r="H1058">
        <v>2</v>
      </c>
      <c r="I1058" s="2">
        <v>366.16</v>
      </c>
      <c r="J1058" s="2">
        <v>732.32</v>
      </c>
      <c r="K1058" s="2">
        <f t="shared" si="49"/>
        <v>732.32</v>
      </c>
      <c r="L1058" s="2">
        <f t="shared" si="50"/>
        <v>0</v>
      </c>
      <c r="M1058" t="s">
        <v>57</v>
      </c>
      <c r="N1058" t="s">
        <v>32</v>
      </c>
    </row>
    <row r="1059" spans="1:14" x14ac:dyDescent="0.3">
      <c r="A1059">
        <v>2024002057</v>
      </c>
      <c r="B1059" s="1">
        <v>45619</v>
      </c>
      <c r="C1059" s="11">
        <f t="shared" si="48"/>
        <v>2024</v>
      </c>
      <c r="D1059" t="s">
        <v>234</v>
      </c>
      <c r="E1059" t="s">
        <v>46</v>
      </c>
      <c r="F1059" t="s">
        <v>47</v>
      </c>
      <c r="G1059" t="s">
        <v>36</v>
      </c>
      <c r="H1059">
        <v>2</v>
      </c>
      <c r="I1059" s="2">
        <v>85.27</v>
      </c>
      <c r="J1059" s="2">
        <v>170.54</v>
      </c>
      <c r="K1059" s="2">
        <f t="shared" si="49"/>
        <v>170.54</v>
      </c>
      <c r="L1059" s="2">
        <f t="shared" si="50"/>
        <v>0</v>
      </c>
      <c r="M1059" t="s">
        <v>25</v>
      </c>
      <c r="N1059" t="s">
        <v>32</v>
      </c>
    </row>
    <row r="1060" spans="1:14" x14ac:dyDescent="0.3">
      <c r="A1060">
        <v>2024002058</v>
      </c>
      <c r="B1060" s="1">
        <v>45646</v>
      </c>
      <c r="C1060" s="11">
        <f t="shared" si="48"/>
        <v>2024</v>
      </c>
      <c r="D1060" t="s">
        <v>121</v>
      </c>
      <c r="E1060" t="s">
        <v>43</v>
      </c>
      <c r="F1060" t="s">
        <v>44</v>
      </c>
      <c r="G1060" t="s">
        <v>36</v>
      </c>
      <c r="H1060">
        <v>3</v>
      </c>
      <c r="I1060" s="2">
        <v>1085.32</v>
      </c>
      <c r="J1060" s="2">
        <v>3255.96</v>
      </c>
      <c r="K1060" s="2">
        <f t="shared" si="49"/>
        <v>3255.96</v>
      </c>
      <c r="L1060" s="2">
        <f t="shared" si="50"/>
        <v>0</v>
      </c>
      <c r="M1060" t="s">
        <v>25</v>
      </c>
      <c r="N1060" t="s">
        <v>26</v>
      </c>
    </row>
    <row r="1061" spans="1:14" x14ac:dyDescent="0.3">
      <c r="A1061">
        <v>2024002059</v>
      </c>
      <c r="B1061" s="1">
        <v>45320</v>
      </c>
      <c r="C1061" s="11">
        <f t="shared" si="48"/>
        <v>2024</v>
      </c>
      <c r="D1061" t="s">
        <v>172</v>
      </c>
      <c r="E1061" t="s">
        <v>46</v>
      </c>
      <c r="F1061" t="s">
        <v>47</v>
      </c>
      <c r="G1061" t="s">
        <v>36</v>
      </c>
      <c r="H1061">
        <v>1</v>
      </c>
      <c r="I1061" s="2">
        <v>90.42</v>
      </c>
      <c r="J1061" s="2">
        <v>90.42</v>
      </c>
      <c r="K1061" s="2">
        <f t="shared" si="49"/>
        <v>90.42</v>
      </c>
      <c r="L1061" s="2">
        <f t="shared" si="50"/>
        <v>0</v>
      </c>
      <c r="M1061" t="s">
        <v>38</v>
      </c>
      <c r="N1061" t="s">
        <v>21</v>
      </c>
    </row>
    <row r="1062" spans="1:14" x14ac:dyDescent="0.3">
      <c r="A1062">
        <v>2024002060</v>
      </c>
      <c r="B1062" s="1">
        <v>45535</v>
      </c>
      <c r="C1062" s="11">
        <f t="shared" si="48"/>
        <v>2024</v>
      </c>
      <c r="D1062" t="s">
        <v>11</v>
      </c>
      <c r="E1062" t="s">
        <v>12</v>
      </c>
      <c r="F1062" t="s">
        <v>13</v>
      </c>
      <c r="G1062" t="s">
        <v>14</v>
      </c>
      <c r="H1062">
        <v>2</v>
      </c>
      <c r="I1062" s="2">
        <v>314.05</v>
      </c>
      <c r="J1062" s="2">
        <v>628.1</v>
      </c>
      <c r="K1062" s="2">
        <f t="shared" si="49"/>
        <v>628.1</v>
      </c>
      <c r="L1062" s="2">
        <f t="shared" si="50"/>
        <v>0</v>
      </c>
      <c r="M1062" t="s">
        <v>55</v>
      </c>
      <c r="N1062" t="s">
        <v>21</v>
      </c>
    </row>
    <row r="1063" spans="1:14" x14ac:dyDescent="0.3">
      <c r="A1063">
        <v>2024002061</v>
      </c>
      <c r="B1063" s="1">
        <v>45427</v>
      </c>
      <c r="C1063" s="11">
        <f t="shared" si="48"/>
        <v>2024</v>
      </c>
      <c r="D1063" t="s">
        <v>256</v>
      </c>
      <c r="E1063" t="s">
        <v>18</v>
      </c>
      <c r="F1063" t="s">
        <v>19</v>
      </c>
      <c r="G1063" t="s">
        <v>14</v>
      </c>
      <c r="H1063">
        <v>3</v>
      </c>
      <c r="I1063" s="2">
        <v>670.59</v>
      </c>
      <c r="J1063" s="2">
        <v>2011.77</v>
      </c>
      <c r="K1063" s="2">
        <f t="shared" si="49"/>
        <v>2011.77</v>
      </c>
      <c r="L1063" s="2">
        <f t="shared" si="50"/>
        <v>0</v>
      </c>
      <c r="M1063" t="s">
        <v>55</v>
      </c>
      <c r="N1063" t="s">
        <v>16</v>
      </c>
    </row>
    <row r="1064" spans="1:14" x14ac:dyDescent="0.3">
      <c r="A1064">
        <v>2024002062</v>
      </c>
      <c r="B1064" s="1">
        <v>45409</v>
      </c>
      <c r="C1064" s="11">
        <f t="shared" si="48"/>
        <v>2024</v>
      </c>
      <c r="D1064" t="s">
        <v>102</v>
      </c>
      <c r="E1064" t="s">
        <v>34</v>
      </c>
      <c r="F1064" t="s">
        <v>35</v>
      </c>
      <c r="G1064" t="s">
        <v>36</v>
      </c>
      <c r="H1064">
        <v>5</v>
      </c>
      <c r="I1064" s="2">
        <v>15.39</v>
      </c>
      <c r="J1064" s="2">
        <v>76.95</v>
      </c>
      <c r="K1064" s="2">
        <f t="shared" si="49"/>
        <v>76.95</v>
      </c>
      <c r="L1064" s="2">
        <f t="shared" si="50"/>
        <v>0</v>
      </c>
      <c r="M1064" t="s">
        <v>57</v>
      </c>
      <c r="N1064" t="s">
        <v>26</v>
      </c>
    </row>
    <row r="1065" spans="1:14" x14ac:dyDescent="0.3">
      <c r="A1065">
        <v>2024002063</v>
      </c>
      <c r="B1065" s="1">
        <v>45369</v>
      </c>
      <c r="C1065" s="11">
        <f t="shared" si="48"/>
        <v>2024</v>
      </c>
      <c r="D1065" t="s">
        <v>117</v>
      </c>
      <c r="E1065" t="s">
        <v>53</v>
      </c>
      <c r="F1065" t="s">
        <v>54</v>
      </c>
      <c r="G1065" t="s">
        <v>36</v>
      </c>
      <c r="H1065">
        <v>1</v>
      </c>
      <c r="I1065" s="2">
        <v>114.14</v>
      </c>
      <c r="J1065" s="2">
        <v>114.14</v>
      </c>
      <c r="K1065" s="2">
        <f t="shared" si="49"/>
        <v>114.14</v>
      </c>
      <c r="L1065" s="2">
        <f t="shared" si="50"/>
        <v>0</v>
      </c>
      <c r="M1065" t="s">
        <v>31</v>
      </c>
      <c r="N1065" t="s">
        <v>21</v>
      </c>
    </row>
    <row r="1066" spans="1:14" x14ac:dyDescent="0.3">
      <c r="A1066">
        <v>2024002064</v>
      </c>
      <c r="B1066" s="1">
        <v>45306</v>
      </c>
      <c r="C1066" s="11">
        <f t="shared" si="48"/>
        <v>2024</v>
      </c>
      <c r="D1066" t="s">
        <v>242</v>
      </c>
      <c r="E1066" t="s">
        <v>67</v>
      </c>
      <c r="F1066" t="s">
        <v>68</v>
      </c>
      <c r="G1066" t="s">
        <v>36</v>
      </c>
      <c r="H1066">
        <v>1</v>
      </c>
      <c r="I1066" s="2">
        <v>410.98</v>
      </c>
      <c r="J1066" s="2">
        <v>410.98</v>
      </c>
      <c r="K1066" s="2">
        <f t="shared" si="49"/>
        <v>410.98</v>
      </c>
      <c r="L1066" s="2">
        <f t="shared" si="50"/>
        <v>0</v>
      </c>
      <c r="M1066" t="s">
        <v>20</v>
      </c>
      <c r="N1066" t="s">
        <v>26</v>
      </c>
    </row>
    <row r="1067" spans="1:14" x14ac:dyDescent="0.3">
      <c r="A1067">
        <v>2024002065</v>
      </c>
      <c r="B1067" s="1">
        <v>45412</v>
      </c>
      <c r="C1067" s="11">
        <f t="shared" si="48"/>
        <v>2024</v>
      </c>
      <c r="D1067" t="s">
        <v>241</v>
      </c>
      <c r="E1067" t="s">
        <v>18</v>
      </c>
      <c r="F1067" t="s">
        <v>19</v>
      </c>
      <c r="G1067" t="s">
        <v>14</v>
      </c>
      <c r="H1067">
        <v>1</v>
      </c>
      <c r="I1067" s="2">
        <v>609.74</v>
      </c>
      <c r="J1067" s="2">
        <v>609.74</v>
      </c>
      <c r="K1067" s="2">
        <f t="shared" si="49"/>
        <v>609.74</v>
      </c>
      <c r="L1067" s="2">
        <f t="shared" si="50"/>
        <v>0</v>
      </c>
      <c r="M1067" t="s">
        <v>61</v>
      </c>
      <c r="N1067" t="s">
        <v>32</v>
      </c>
    </row>
    <row r="1068" spans="1:14" x14ac:dyDescent="0.3">
      <c r="A1068">
        <v>2024002066</v>
      </c>
      <c r="B1068" s="1">
        <v>45534</v>
      </c>
      <c r="C1068" s="11">
        <f t="shared" si="48"/>
        <v>2024</v>
      </c>
      <c r="D1068" t="s">
        <v>208</v>
      </c>
      <c r="E1068" t="s">
        <v>43</v>
      </c>
      <c r="F1068" t="s">
        <v>44</v>
      </c>
      <c r="G1068" t="s">
        <v>36</v>
      </c>
      <c r="H1068">
        <v>3</v>
      </c>
      <c r="I1068" s="2">
        <v>1384.61</v>
      </c>
      <c r="J1068" s="2">
        <v>4153.83</v>
      </c>
      <c r="K1068" s="2">
        <f t="shared" si="49"/>
        <v>4153.83</v>
      </c>
      <c r="L1068" s="2">
        <f t="shared" si="50"/>
        <v>0</v>
      </c>
      <c r="M1068" t="s">
        <v>57</v>
      </c>
      <c r="N1068" t="s">
        <v>32</v>
      </c>
    </row>
    <row r="1069" spans="1:14" x14ac:dyDescent="0.3">
      <c r="A1069">
        <v>2024002067</v>
      </c>
      <c r="B1069" s="1">
        <v>45391</v>
      </c>
      <c r="C1069" s="11">
        <f t="shared" si="48"/>
        <v>2024</v>
      </c>
      <c r="D1069" t="s">
        <v>106</v>
      </c>
      <c r="E1069" t="s">
        <v>40</v>
      </c>
      <c r="F1069" t="s">
        <v>41</v>
      </c>
      <c r="G1069" t="s">
        <v>36</v>
      </c>
      <c r="H1069">
        <v>1</v>
      </c>
      <c r="I1069" s="2">
        <v>48.06</v>
      </c>
      <c r="J1069" s="2">
        <v>48.06</v>
      </c>
      <c r="K1069" s="2">
        <f t="shared" si="49"/>
        <v>48.06</v>
      </c>
      <c r="L1069" s="2">
        <f t="shared" si="50"/>
        <v>0</v>
      </c>
      <c r="M1069" t="s">
        <v>15</v>
      </c>
      <c r="N1069" t="s">
        <v>26</v>
      </c>
    </row>
    <row r="1070" spans="1:14" x14ac:dyDescent="0.3">
      <c r="A1070">
        <v>2024002068</v>
      </c>
      <c r="B1070" s="1">
        <v>45628</v>
      </c>
      <c r="C1070" s="11">
        <f t="shared" si="48"/>
        <v>2024</v>
      </c>
      <c r="D1070" t="s">
        <v>315</v>
      </c>
      <c r="E1070" t="s">
        <v>43</v>
      </c>
      <c r="F1070" t="s">
        <v>44</v>
      </c>
      <c r="G1070" t="s">
        <v>36</v>
      </c>
      <c r="H1070">
        <v>1</v>
      </c>
      <c r="I1070" s="2">
        <v>1157.05</v>
      </c>
      <c r="J1070" s="2">
        <v>1157.05</v>
      </c>
      <c r="K1070" s="2">
        <f t="shared" si="49"/>
        <v>1157.05</v>
      </c>
      <c r="L1070" s="2">
        <f t="shared" si="50"/>
        <v>0</v>
      </c>
      <c r="M1070" t="s">
        <v>55</v>
      </c>
      <c r="N1070" t="s">
        <v>32</v>
      </c>
    </row>
    <row r="1071" spans="1:14" x14ac:dyDescent="0.3">
      <c r="A1071">
        <v>2024002069</v>
      </c>
      <c r="B1071" s="1">
        <v>45520</v>
      </c>
      <c r="C1071" s="11">
        <f t="shared" si="48"/>
        <v>2024</v>
      </c>
      <c r="D1071" t="s">
        <v>337</v>
      </c>
      <c r="E1071" t="s">
        <v>67</v>
      </c>
      <c r="F1071" t="s">
        <v>68</v>
      </c>
      <c r="G1071" t="s">
        <v>36</v>
      </c>
      <c r="H1071">
        <v>3</v>
      </c>
      <c r="I1071" s="2">
        <v>395.12</v>
      </c>
      <c r="J1071" s="2">
        <v>1185.3599999999999</v>
      </c>
      <c r="K1071" s="2">
        <f t="shared" si="49"/>
        <v>1185.3600000000001</v>
      </c>
      <c r="L1071" s="2">
        <f t="shared" si="50"/>
        <v>0</v>
      </c>
      <c r="M1071" t="s">
        <v>64</v>
      </c>
      <c r="N1071" t="s">
        <v>16</v>
      </c>
    </row>
    <row r="1072" spans="1:14" x14ac:dyDescent="0.3">
      <c r="A1072">
        <v>2024002070</v>
      </c>
      <c r="B1072" s="1">
        <v>45315</v>
      </c>
      <c r="C1072" s="11">
        <f t="shared" si="48"/>
        <v>2024</v>
      </c>
      <c r="D1072" t="s">
        <v>179</v>
      </c>
      <c r="E1072" t="s">
        <v>28</v>
      </c>
      <c r="F1072" t="s">
        <v>29</v>
      </c>
      <c r="G1072" t="s">
        <v>30</v>
      </c>
      <c r="H1072">
        <v>4</v>
      </c>
      <c r="I1072" s="2">
        <v>25.07</v>
      </c>
      <c r="J1072" s="2">
        <v>100.28</v>
      </c>
      <c r="K1072" s="2">
        <f t="shared" si="49"/>
        <v>100.28</v>
      </c>
      <c r="L1072" s="2">
        <f t="shared" si="50"/>
        <v>0</v>
      </c>
      <c r="M1072" t="s">
        <v>31</v>
      </c>
      <c r="N1072" t="s">
        <v>21</v>
      </c>
    </row>
    <row r="1073" spans="1:14" x14ac:dyDescent="0.3">
      <c r="A1073">
        <v>2024002071</v>
      </c>
      <c r="B1073" s="1">
        <v>45407</v>
      </c>
      <c r="C1073" s="11">
        <f t="shared" si="48"/>
        <v>2024</v>
      </c>
      <c r="D1073" t="s">
        <v>190</v>
      </c>
      <c r="E1073" t="s">
        <v>46</v>
      </c>
      <c r="F1073" t="s">
        <v>47</v>
      </c>
      <c r="G1073" t="s">
        <v>36</v>
      </c>
      <c r="H1073">
        <v>1</v>
      </c>
      <c r="I1073" s="2">
        <v>94.37</v>
      </c>
      <c r="J1073" s="2">
        <v>94.37</v>
      </c>
      <c r="K1073" s="2">
        <f t="shared" si="49"/>
        <v>94.37</v>
      </c>
      <c r="L1073" s="2">
        <f t="shared" si="50"/>
        <v>0</v>
      </c>
      <c r="M1073" t="s">
        <v>55</v>
      </c>
      <c r="N1073" t="s">
        <v>16</v>
      </c>
    </row>
    <row r="1074" spans="1:14" x14ac:dyDescent="0.3">
      <c r="A1074">
        <v>2024002072</v>
      </c>
      <c r="B1074" s="1">
        <v>45511</v>
      </c>
      <c r="C1074" s="11">
        <f t="shared" si="48"/>
        <v>2024</v>
      </c>
      <c r="D1074" t="s">
        <v>11</v>
      </c>
      <c r="E1074" t="s">
        <v>23</v>
      </c>
      <c r="F1074" t="s">
        <v>24</v>
      </c>
      <c r="G1074" t="s">
        <v>14</v>
      </c>
      <c r="H1074">
        <v>2</v>
      </c>
      <c r="I1074" s="2">
        <v>81.34</v>
      </c>
      <c r="J1074" s="2">
        <v>162.68</v>
      </c>
      <c r="K1074" s="2">
        <f t="shared" si="49"/>
        <v>162.68</v>
      </c>
      <c r="L1074" s="2">
        <f t="shared" si="50"/>
        <v>0</v>
      </c>
      <c r="M1074" t="s">
        <v>38</v>
      </c>
      <c r="N1074" t="s">
        <v>21</v>
      </c>
    </row>
    <row r="1075" spans="1:14" x14ac:dyDescent="0.3">
      <c r="A1075">
        <v>2024002073</v>
      </c>
      <c r="B1075" s="1">
        <v>45391</v>
      </c>
      <c r="C1075" s="11">
        <f t="shared" si="48"/>
        <v>2024</v>
      </c>
      <c r="D1075" t="s">
        <v>195</v>
      </c>
      <c r="E1075" t="s">
        <v>43</v>
      </c>
      <c r="F1075" t="s">
        <v>44</v>
      </c>
      <c r="G1075" t="s">
        <v>36</v>
      </c>
      <c r="H1075">
        <v>3</v>
      </c>
      <c r="I1075" s="2">
        <v>1240.52</v>
      </c>
      <c r="J1075" s="2">
        <v>3721.56</v>
      </c>
      <c r="K1075" s="2">
        <f t="shared" si="49"/>
        <v>3721.56</v>
      </c>
      <c r="L1075" s="2">
        <f t="shared" si="50"/>
        <v>0</v>
      </c>
      <c r="M1075" t="s">
        <v>20</v>
      </c>
      <c r="N1075" t="s">
        <v>21</v>
      </c>
    </row>
    <row r="1076" spans="1:14" x14ac:dyDescent="0.3">
      <c r="A1076">
        <v>2024002074</v>
      </c>
      <c r="B1076" s="1">
        <v>45354</v>
      </c>
      <c r="C1076" s="11">
        <f t="shared" si="48"/>
        <v>2024</v>
      </c>
      <c r="D1076" t="s">
        <v>146</v>
      </c>
      <c r="E1076" t="s">
        <v>46</v>
      </c>
      <c r="F1076" t="s">
        <v>47</v>
      </c>
      <c r="G1076" t="s">
        <v>36</v>
      </c>
      <c r="H1076">
        <v>1</v>
      </c>
      <c r="I1076" s="2">
        <v>92.9</v>
      </c>
      <c r="J1076" s="2">
        <v>92.9</v>
      </c>
      <c r="K1076" s="2">
        <f t="shared" si="49"/>
        <v>92.9</v>
      </c>
      <c r="L1076" s="2">
        <f t="shared" si="50"/>
        <v>0</v>
      </c>
      <c r="M1076" t="s">
        <v>15</v>
      </c>
      <c r="N1076" t="s">
        <v>16</v>
      </c>
    </row>
    <row r="1077" spans="1:14" x14ac:dyDescent="0.3">
      <c r="A1077">
        <v>2024002075</v>
      </c>
      <c r="B1077" s="1">
        <v>45650</v>
      </c>
      <c r="C1077" s="11">
        <f t="shared" si="48"/>
        <v>2024</v>
      </c>
      <c r="D1077" t="s">
        <v>11</v>
      </c>
      <c r="E1077" t="s">
        <v>18</v>
      </c>
      <c r="F1077" t="s">
        <v>19</v>
      </c>
      <c r="G1077" t="s">
        <v>14</v>
      </c>
      <c r="H1077">
        <v>1</v>
      </c>
      <c r="I1077" s="2">
        <v>627.85</v>
      </c>
      <c r="J1077" s="2">
        <v>627.85</v>
      </c>
      <c r="K1077" s="2">
        <f t="shared" si="49"/>
        <v>627.85</v>
      </c>
      <c r="L1077" s="2">
        <f t="shared" si="50"/>
        <v>0</v>
      </c>
      <c r="M1077" t="s">
        <v>38</v>
      </c>
      <c r="N1077" t="s">
        <v>16</v>
      </c>
    </row>
    <row r="1078" spans="1:14" x14ac:dyDescent="0.3">
      <c r="A1078">
        <v>2024002076</v>
      </c>
      <c r="B1078" s="1">
        <v>45655</v>
      </c>
      <c r="C1078" s="11">
        <f t="shared" si="48"/>
        <v>2024</v>
      </c>
      <c r="D1078" t="s">
        <v>318</v>
      </c>
      <c r="E1078" t="s">
        <v>28</v>
      </c>
      <c r="F1078" t="s">
        <v>29</v>
      </c>
      <c r="G1078" t="s">
        <v>30</v>
      </c>
      <c r="H1078">
        <v>2</v>
      </c>
      <c r="I1078" s="2">
        <v>25.14</v>
      </c>
      <c r="J1078" s="2">
        <v>50.28</v>
      </c>
      <c r="K1078" s="2">
        <f t="shared" si="49"/>
        <v>50.28</v>
      </c>
      <c r="L1078" s="2">
        <f t="shared" si="50"/>
        <v>0</v>
      </c>
      <c r="M1078" t="s">
        <v>31</v>
      </c>
      <c r="N1078" t="s">
        <v>16</v>
      </c>
    </row>
    <row r="1079" spans="1:14" x14ac:dyDescent="0.3">
      <c r="A1079">
        <v>2024002077</v>
      </c>
      <c r="B1079" s="1">
        <v>45374</v>
      </c>
      <c r="C1079" s="11">
        <f t="shared" si="48"/>
        <v>2024</v>
      </c>
      <c r="D1079" t="s">
        <v>11</v>
      </c>
      <c r="E1079" t="s">
        <v>23</v>
      </c>
      <c r="F1079" t="s">
        <v>24</v>
      </c>
      <c r="G1079" t="s">
        <v>14</v>
      </c>
      <c r="H1079">
        <v>3</v>
      </c>
      <c r="I1079" s="2">
        <v>83.43</v>
      </c>
      <c r="J1079" s="2">
        <v>250.29</v>
      </c>
      <c r="K1079" s="2">
        <f t="shared" si="49"/>
        <v>250.29000000000002</v>
      </c>
      <c r="L1079" s="2">
        <f t="shared" si="50"/>
        <v>0</v>
      </c>
      <c r="M1079" t="s">
        <v>15</v>
      </c>
      <c r="N1079" t="s">
        <v>21</v>
      </c>
    </row>
    <row r="1080" spans="1:14" x14ac:dyDescent="0.3">
      <c r="A1080">
        <v>2024002078</v>
      </c>
      <c r="B1080" s="1">
        <v>45480</v>
      </c>
      <c r="C1080" s="11">
        <f t="shared" si="48"/>
        <v>2024</v>
      </c>
      <c r="D1080" t="s">
        <v>338</v>
      </c>
      <c r="E1080" t="s">
        <v>46</v>
      </c>
      <c r="F1080" t="s">
        <v>47</v>
      </c>
      <c r="G1080" t="s">
        <v>36</v>
      </c>
      <c r="H1080">
        <v>2</v>
      </c>
      <c r="I1080" s="2">
        <v>78.010000000000005</v>
      </c>
      <c r="J1080" s="2">
        <v>156.02000000000001</v>
      </c>
      <c r="K1080" s="2">
        <f t="shared" si="49"/>
        <v>156.02000000000001</v>
      </c>
      <c r="L1080" s="2">
        <f t="shared" si="50"/>
        <v>0</v>
      </c>
      <c r="M1080" t="s">
        <v>48</v>
      </c>
      <c r="N1080" t="s">
        <v>32</v>
      </c>
    </row>
    <row r="1081" spans="1:14" x14ac:dyDescent="0.3">
      <c r="A1081">
        <v>2024002079</v>
      </c>
      <c r="B1081" s="1">
        <v>45464</v>
      </c>
      <c r="C1081" s="11">
        <f t="shared" si="48"/>
        <v>2024</v>
      </c>
      <c r="D1081" t="s">
        <v>229</v>
      </c>
      <c r="E1081" t="s">
        <v>28</v>
      </c>
      <c r="F1081" t="s">
        <v>29</v>
      </c>
      <c r="G1081" t="s">
        <v>30</v>
      </c>
      <c r="H1081">
        <v>2</v>
      </c>
      <c r="I1081" s="2">
        <v>25.01</v>
      </c>
      <c r="J1081" s="2">
        <v>50.02</v>
      </c>
      <c r="K1081" s="2">
        <f t="shared" si="49"/>
        <v>50.02</v>
      </c>
      <c r="L1081" s="2">
        <f t="shared" si="50"/>
        <v>0</v>
      </c>
      <c r="M1081" t="s">
        <v>48</v>
      </c>
      <c r="N1081" t="s">
        <v>21</v>
      </c>
    </row>
    <row r="1082" spans="1:14" x14ac:dyDescent="0.3">
      <c r="A1082">
        <v>2024002080</v>
      </c>
      <c r="B1082" s="1">
        <v>45330</v>
      </c>
      <c r="C1082" s="11">
        <f t="shared" si="48"/>
        <v>2024</v>
      </c>
      <c r="D1082" t="s">
        <v>264</v>
      </c>
      <c r="E1082" t="s">
        <v>23</v>
      </c>
      <c r="F1082" t="s">
        <v>24</v>
      </c>
      <c r="G1082" t="s">
        <v>14</v>
      </c>
      <c r="H1082">
        <v>1</v>
      </c>
      <c r="I1082" s="2">
        <v>78.27</v>
      </c>
      <c r="J1082" s="2">
        <v>78.27</v>
      </c>
      <c r="K1082" s="2">
        <f t="shared" si="49"/>
        <v>78.27</v>
      </c>
      <c r="L1082" s="2">
        <f t="shared" si="50"/>
        <v>0</v>
      </c>
      <c r="M1082" t="s">
        <v>25</v>
      </c>
      <c r="N1082" t="s">
        <v>21</v>
      </c>
    </row>
    <row r="1083" spans="1:14" x14ac:dyDescent="0.3">
      <c r="A1083">
        <v>2024002081</v>
      </c>
      <c r="B1083" s="1">
        <v>45497</v>
      </c>
      <c r="C1083" s="11">
        <f t="shared" si="48"/>
        <v>2024</v>
      </c>
      <c r="D1083" t="s">
        <v>339</v>
      </c>
      <c r="E1083" t="s">
        <v>46</v>
      </c>
      <c r="F1083" t="s">
        <v>47</v>
      </c>
      <c r="G1083" t="s">
        <v>36</v>
      </c>
      <c r="H1083">
        <v>1</v>
      </c>
      <c r="I1083" s="2">
        <v>89.53</v>
      </c>
      <c r="J1083" s="2">
        <v>89.53</v>
      </c>
      <c r="K1083" s="2">
        <f t="shared" si="49"/>
        <v>89.53</v>
      </c>
      <c r="L1083" s="2">
        <f t="shared" si="50"/>
        <v>0</v>
      </c>
      <c r="M1083" t="s">
        <v>64</v>
      </c>
      <c r="N1083" t="s">
        <v>21</v>
      </c>
    </row>
    <row r="1084" spans="1:14" x14ac:dyDescent="0.3">
      <c r="A1084">
        <v>2024002082</v>
      </c>
      <c r="B1084" s="1">
        <v>45648</v>
      </c>
      <c r="C1084" s="11">
        <f t="shared" si="48"/>
        <v>2024</v>
      </c>
      <c r="D1084" t="s">
        <v>92</v>
      </c>
      <c r="E1084" t="s">
        <v>40</v>
      </c>
      <c r="F1084" t="s">
        <v>41</v>
      </c>
      <c r="G1084" t="s">
        <v>36</v>
      </c>
      <c r="H1084">
        <v>3</v>
      </c>
      <c r="I1084" s="2">
        <v>45.88</v>
      </c>
      <c r="J1084" s="2">
        <v>137.63999999999999</v>
      </c>
      <c r="K1084" s="2">
        <f t="shared" si="49"/>
        <v>137.64000000000001</v>
      </c>
      <c r="L1084" s="2">
        <f t="shared" si="50"/>
        <v>0</v>
      </c>
      <c r="M1084" t="s">
        <v>20</v>
      </c>
      <c r="N1084" t="s">
        <v>32</v>
      </c>
    </row>
    <row r="1085" spans="1:14" x14ac:dyDescent="0.3">
      <c r="A1085">
        <v>2024002083</v>
      </c>
      <c r="B1085" s="1">
        <v>45512</v>
      </c>
      <c r="C1085" s="11">
        <f t="shared" si="48"/>
        <v>2024</v>
      </c>
      <c r="D1085" t="s">
        <v>269</v>
      </c>
      <c r="E1085" t="s">
        <v>40</v>
      </c>
      <c r="F1085" t="s">
        <v>41</v>
      </c>
      <c r="G1085" t="s">
        <v>36</v>
      </c>
      <c r="H1085">
        <v>4</v>
      </c>
      <c r="I1085" s="2">
        <v>45</v>
      </c>
      <c r="J1085" s="2">
        <v>180</v>
      </c>
      <c r="K1085" s="2">
        <f t="shared" si="49"/>
        <v>180</v>
      </c>
      <c r="L1085" s="2">
        <f t="shared" si="50"/>
        <v>0</v>
      </c>
      <c r="M1085" t="s">
        <v>55</v>
      </c>
      <c r="N1085" t="s">
        <v>26</v>
      </c>
    </row>
    <row r="1086" spans="1:14" x14ac:dyDescent="0.3">
      <c r="A1086">
        <v>2024002084</v>
      </c>
      <c r="B1086" s="1">
        <v>45516</v>
      </c>
      <c r="C1086" s="11">
        <f t="shared" si="48"/>
        <v>2024</v>
      </c>
      <c r="D1086" t="s">
        <v>11</v>
      </c>
      <c r="E1086" t="s">
        <v>46</v>
      </c>
      <c r="F1086" t="s">
        <v>47</v>
      </c>
      <c r="G1086" t="s">
        <v>36</v>
      </c>
      <c r="H1086">
        <v>2</v>
      </c>
      <c r="I1086" s="2">
        <v>84.33</v>
      </c>
      <c r="J1086" s="2">
        <v>168.66</v>
      </c>
      <c r="K1086" s="2">
        <f t="shared" si="49"/>
        <v>168.66</v>
      </c>
      <c r="L1086" s="2">
        <f t="shared" si="50"/>
        <v>0</v>
      </c>
      <c r="M1086" t="s">
        <v>61</v>
      </c>
      <c r="N1086" t="s">
        <v>21</v>
      </c>
    </row>
    <row r="1087" spans="1:14" x14ac:dyDescent="0.3">
      <c r="A1087">
        <v>2024002085</v>
      </c>
      <c r="B1087" s="1">
        <v>45297</v>
      </c>
      <c r="C1087" s="11">
        <f t="shared" si="48"/>
        <v>2024</v>
      </c>
      <c r="D1087" t="s">
        <v>130</v>
      </c>
      <c r="E1087" t="s">
        <v>23</v>
      </c>
      <c r="F1087" t="s">
        <v>24</v>
      </c>
      <c r="G1087" t="s">
        <v>14</v>
      </c>
      <c r="H1087">
        <v>3</v>
      </c>
      <c r="I1087" s="2">
        <v>83.15</v>
      </c>
      <c r="J1087" s="2">
        <v>249.45</v>
      </c>
      <c r="K1087" s="2">
        <f t="shared" si="49"/>
        <v>249.45000000000002</v>
      </c>
      <c r="L1087" s="2">
        <f t="shared" si="50"/>
        <v>0</v>
      </c>
      <c r="M1087" t="s">
        <v>61</v>
      </c>
      <c r="N1087" t="s">
        <v>21</v>
      </c>
    </row>
    <row r="1088" spans="1:14" x14ac:dyDescent="0.3">
      <c r="A1088">
        <v>2024002086</v>
      </c>
      <c r="B1088" s="1">
        <v>45580</v>
      </c>
      <c r="C1088" s="11">
        <f t="shared" si="48"/>
        <v>2024</v>
      </c>
      <c r="D1088" t="s">
        <v>295</v>
      </c>
      <c r="E1088" t="s">
        <v>18</v>
      </c>
      <c r="F1088" t="s">
        <v>19</v>
      </c>
      <c r="G1088" t="s">
        <v>14</v>
      </c>
      <c r="H1088">
        <v>1</v>
      </c>
      <c r="I1088" s="2">
        <v>574.41999999999996</v>
      </c>
      <c r="J1088" s="2">
        <v>574.41999999999996</v>
      </c>
      <c r="K1088" s="2">
        <f t="shared" si="49"/>
        <v>574.41999999999996</v>
      </c>
      <c r="L1088" s="2">
        <f t="shared" si="50"/>
        <v>0</v>
      </c>
      <c r="M1088" t="s">
        <v>48</v>
      </c>
      <c r="N1088" t="s">
        <v>32</v>
      </c>
    </row>
    <row r="1089" spans="1:14" x14ac:dyDescent="0.3">
      <c r="A1089">
        <v>2024002087</v>
      </c>
      <c r="B1089" s="1">
        <v>45378</v>
      </c>
      <c r="C1089" s="11">
        <f t="shared" si="48"/>
        <v>2024</v>
      </c>
      <c r="D1089" t="s">
        <v>103</v>
      </c>
      <c r="E1089" t="s">
        <v>53</v>
      </c>
      <c r="F1089" t="s">
        <v>54</v>
      </c>
      <c r="G1089" t="s">
        <v>36</v>
      </c>
      <c r="H1089">
        <v>2</v>
      </c>
      <c r="I1089" s="2">
        <v>120.44</v>
      </c>
      <c r="J1089" s="2">
        <v>240.88</v>
      </c>
      <c r="K1089" s="2">
        <f t="shared" si="49"/>
        <v>240.88</v>
      </c>
      <c r="L1089" s="2">
        <f t="shared" si="50"/>
        <v>0</v>
      </c>
      <c r="M1089" t="s">
        <v>64</v>
      </c>
      <c r="N1089" t="s">
        <v>32</v>
      </c>
    </row>
    <row r="1090" spans="1:14" x14ac:dyDescent="0.3">
      <c r="A1090">
        <v>2024002088</v>
      </c>
      <c r="B1090" s="1">
        <v>45533</v>
      </c>
      <c r="C1090" s="11">
        <f t="shared" si="48"/>
        <v>2024</v>
      </c>
      <c r="D1090" t="s">
        <v>340</v>
      </c>
      <c r="E1090" t="s">
        <v>34</v>
      </c>
      <c r="F1090" t="s">
        <v>35</v>
      </c>
      <c r="G1090" t="s">
        <v>36</v>
      </c>
      <c r="H1090">
        <v>1</v>
      </c>
      <c r="I1090" s="2">
        <v>15.17</v>
      </c>
      <c r="J1090" s="2">
        <v>15.17</v>
      </c>
      <c r="K1090" s="2">
        <f t="shared" si="49"/>
        <v>15.17</v>
      </c>
      <c r="L1090" s="2">
        <f t="shared" si="50"/>
        <v>0</v>
      </c>
      <c r="M1090" t="s">
        <v>64</v>
      </c>
      <c r="N1090" t="s">
        <v>21</v>
      </c>
    </row>
    <row r="1091" spans="1:14" x14ac:dyDescent="0.3">
      <c r="A1091">
        <v>2024002089</v>
      </c>
      <c r="B1091" s="1">
        <v>45467</v>
      </c>
      <c r="C1091" s="11">
        <f t="shared" ref="C1091:C1154" si="51">YEAR(B1091)</f>
        <v>2024</v>
      </c>
      <c r="D1091" t="s">
        <v>221</v>
      </c>
      <c r="E1091" t="s">
        <v>53</v>
      </c>
      <c r="F1091" t="s">
        <v>54</v>
      </c>
      <c r="G1091" t="s">
        <v>36</v>
      </c>
      <c r="H1091">
        <v>1</v>
      </c>
      <c r="I1091" s="2">
        <v>117.53</v>
      </c>
      <c r="J1091" s="2">
        <v>117.53</v>
      </c>
      <c r="K1091" s="2">
        <f t="shared" ref="K1091:K1154" si="52">I1091*H1091</f>
        <v>117.53</v>
      </c>
      <c r="L1091" s="2">
        <f t="shared" ref="L1091:L1154" si="53">J1091-K1091</f>
        <v>0</v>
      </c>
      <c r="M1091" t="s">
        <v>61</v>
      </c>
      <c r="N1091" t="s">
        <v>16</v>
      </c>
    </row>
    <row r="1092" spans="1:14" x14ac:dyDescent="0.3">
      <c r="A1092">
        <v>2024002090</v>
      </c>
      <c r="B1092" s="1">
        <v>45329</v>
      </c>
      <c r="C1092" s="11">
        <f t="shared" si="51"/>
        <v>2024</v>
      </c>
      <c r="D1092" t="s">
        <v>101</v>
      </c>
      <c r="E1092" t="s">
        <v>67</v>
      </c>
      <c r="F1092" t="s">
        <v>68</v>
      </c>
      <c r="G1092" t="s">
        <v>36</v>
      </c>
      <c r="H1092">
        <v>2</v>
      </c>
      <c r="I1092" s="2">
        <v>421.74</v>
      </c>
      <c r="J1092" s="2">
        <v>843.48</v>
      </c>
      <c r="K1092" s="2">
        <f t="shared" si="52"/>
        <v>843.48</v>
      </c>
      <c r="L1092" s="2">
        <f t="shared" si="53"/>
        <v>0</v>
      </c>
      <c r="M1092" t="s">
        <v>61</v>
      </c>
      <c r="N1092" t="s">
        <v>21</v>
      </c>
    </row>
    <row r="1093" spans="1:14" x14ac:dyDescent="0.3">
      <c r="A1093">
        <v>2024002091</v>
      </c>
      <c r="B1093" s="1">
        <v>45657</v>
      </c>
      <c r="C1093" s="11">
        <f t="shared" si="51"/>
        <v>2024</v>
      </c>
      <c r="D1093" t="s">
        <v>322</v>
      </c>
      <c r="E1093" t="s">
        <v>28</v>
      </c>
      <c r="F1093" t="s">
        <v>29</v>
      </c>
      <c r="G1093" t="s">
        <v>30</v>
      </c>
      <c r="H1093">
        <v>1</v>
      </c>
      <c r="I1093" s="2">
        <v>25.39</v>
      </c>
      <c r="J1093" s="2">
        <v>25.39</v>
      </c>
      <c r="K1093" s="2">
        <f t="shared" si="52"/>
        <v>25.39</v>
      </c>
      <c r="L1093" s="2">
        <f t="shared" si="53"/>
        <v>0</v>
      </c>
      <c r="M1093" t="s">
        <v>61</v>
      </c>
      <c r="N1093" t="s">
        <v>26</v>
      </c>
    </row>
    <row r="1094" spans="1:14" x14ac:dyDescent="0.3">
      <c r="A1094">
        <v>2024002092</v>
      </c>
      <c r="B1094" s="1">
        <v>45496</v>
      </c>
      <c r="C1094" s="11">
        <f t="shared" si="51"/>
        <v>2024</v>
      </c>
      <c r="D1094" t="s">
        <v>230</v>
      </c>
      <c r="E1094" t="s">
        <v>18</v>
      </c>
      <c r="F1094" t="s">
        <v>19</v>
      </c>
      <c r="G1094" t="s">
        <v>14</v>
      </c>
      <c r="H1094">
        <v>1</v>
      </c>
      <c r="I1094" s="2">
        <v>634.30999999999995</v>
      </c>
      <c r="J1094" s="2">
        <v>634.30999999999995</v>
      </c>
      <c r="K1094" s="2">
        <f t="shared" si="52"/>
        <v>634.30999999999995</v>
      </c>
      <c r="L1094" s="2">
        <f t="shared" si="53"/>
        <v>0</v>
      </c>
      <c r="M1094" t="s">
        <v>61</v>
      </c>
      <c r="N1094" t="s">
        <v>32</v>
      </c>
    </row>
    <row r="1095" spans="1:14" x14ac:dyDescent="0.3">
      <c r="A1095">
        <v>2024002093</v>
      </c>
      <c r="B1095" s="1">
        <v>45604</v>
      </c>
      <c r="C1095" s="11">
        <f t="shared" si="51"/>
        <v>2024</v>
      </c>
      <c r="D1095" t="s">
        <v>11</v>
      </c>
      <c r="E1095" t="s">
        <v>23</v>
      </c>
      <c r="F1095" t="s">
        <v>24</v>
      </c>
      <c r="G1095" t="s">
        <v>14</v>
      </c>
      <c r="H1095">
        <v>1</v>
      </c>
      <c r="I1095" s="2">
        <v>84.07</v>
      </c>
      <c r="J1095" s="2">
        <v>84.07</v>
      </c>
      <c r="K1095" s="2">
        <f t="shared" si="52"/>
        <v>84.07</v>
      </c>
      <c r="L1095" s="2">
        <f t="shared" si="53"/>
        <v>0</v>
      </c>
      <c r="M1095" t="s">
        <v>61</v>
      </c>
      <c r="N1095" t="s">
        <v>26</v>
      </c>
    </row>
    <row r="1096" spans="1:14" x14ac:dyDescent="0.3">
      <c r="A1096">
        <v>2024002094</v>
      </c>
      <c r="B1096" s="1">
        <v>45486</v>
      </c>
      <c r="C1096" s="11">
        <f t="shared" si="51"/>
        <v>2024</v>
      </c>
      <c r="D1096" t="s">
        <v>106</v>
      </c>
      <c r="E1096" t="s">
        <v>46</v>
      </c>
      <c r="F1096" t="s">
        <v>47</v>
      </c>
      <c r="G1096" t="s">
        <v>36</v>
      </c>
      <c r="H1096">
        <v>1</v>
      </c>
      <c r="I1096" s="2">
        <v>93.2</v>
      </c>
      <c r="J1096" s="2">
        <v>93.2</v>
      </c>
      <c r="K1096" s="2">
        <f t="shared" si="52"/>
        <v>93.2</v>
      </c>
      <c r="L1096" s="2">
        <f t="shared" si="53"/>
        <v>0</v>
      </c>
      <c r="M1096" t="s">
        <v>31</v>
      </c>
      <c r="N1096" t="s">
        <v>16</v>
      </c>
    </row>
    <row r="1097" spans="1:14" x14ac:dyDescent="0.3">
      <c r="A1097">
        <v>2024002095</v>
      </c>
      <c r="B1097" s="1">
        <v>45603</v>
      </c>
      <c r="C1097" s="11">
        <f t="shared" si="51"/>
        <v>2024</v>
      </c>
      <c r="D1097" t="s">
        <v>252</v>
      </c>
      <c r="E1097" t="s">
        <v>67</v>
      </c>
      <c r="F1097" t="s">
        <v>68</v>
      </c>
      <c r="G1097" t="s">
        <v>36</v>
      </c>
      <c r="H1097">
        <v>1</v>
      </c>
      <c r="I1097" s="2">
        <v>462.26</v>
      </c>
      <c r="J1097" s="2">
        <v>462.26</v>
      </c>
      <c r="K1097" s="2">
        <f t="shared" si="52"/>
        <v>462.26</v>
      </c>
      <c r="L1097" s="2">
        <f t="shared" si="53"/>
        <v>0</v>
      </c>
      <c r="M1097" t="s">
        <v>20</v>
      </c>
      <c r="N1097" t="s">
        <v>21</v>
      </c>
    </row>
    <row r="1098" spans="1:14" x14ac:dyDescent="0.3">
      <c r="A1098">
        <v>2024002096</v>
      </c>
      <c r="B1098" s="1">
        <v>45624</v>
      </c>
      <c r="C1098" s="11">
        <f t="shared" si="51"/>
        <v>2024</v>
      </c>
      <c r="D1098" t="s">
        <v>210</v>
      </c>
      <c r="E1098" t="s">
        <v>67</v>
      </c>
      <c r="F1098" t="s">
        <v>68</v>
      </c>
      <c r="G1098" t="s">
        <v>36</v>
      </c>
      <c r="H1098">
        <v>3</v>
      </c>
      <c r="I1098" s="2">
        <v>385.32</v>
      </c>
      <c r="J1098" s="2">
        <v>1155.96</v>
      </c>
      <c r="K1098" s="2">
        <f t="shared" si="52"/>
        <v>1155.96</v>
      </c>
      <c r="L1098" s="2">
        <f t="shared" si="53"/>
        <v>0</v>
      </c>
      <c r="M1098" t="s">
        <v>64</v>
      </c>
      <c r="N1098" t="s">
        <v>26</v>
      </c>
    </row>
    <row r="1099" spans="1:14" x14ac:dyDescent="0.3">
      <c r="A1099">
        <v>2024002097</v>
      </c>
      <c r="B1099" s="1">
        <v>45622</v>
      </c>
      <c r="C1099" s="11">
        <f t="shared" si="51"/>
        <v>2024</v>
      </c>
      <c r="D1099" t="s">
        <v>321</v>
      </c>
      <c r="E1099" t="s">
        <v>46</v>
      </c>
      <c r="F1099" t="s">
        <v>47</v>
      </c>
      <c r="G1099" t="s">
        <v>36</v>
      </c>
      <c r="H1099">
        <v>2</v>
      </c>
      <c r="I1099" s="2">
        <v>89.36</v>
      </c>
      <c r="J1099" s="2">
        <v>178.72</v>
      </c>
      <c r="K1099" s="2">
        <f t="shared" si="52"/>
        <v>178.72</v>
      </c>
      <c r="L1099" s="2">
        <f t="shared" si="53"/>
        <v>0</v>
      </c>
      <c r="M1099" t="s">
        <v>15</v>
      </c>
      <c r="N1099" t="s">
        <v>32</v>
      </c>
    </row>
    <row r="1100" spans="1:14" x14ac:dyDescent="0.3">
      <c r="A1100">
        <v>2024002098</v>
      </c>
      <c r="B1100" s="1">
        <v>45298</v>
      </c>
      <c r="C1100" s="11">
        <f t="shared" si="51"/>
        <v>2024</v>
      </c>
      <c r="D1100" t="s">
        <v>60</v>
      </c>
      <c r="E1100" t="s">
        <v>53</v>
      </c>
      <c r="F1100" t="s">
        <v>54</v>
      </c>
      <c r="G1100" t="s">
        <v>36</v>
      </c>
      <c r="H1100">
        <v>3</v>
      </c>
      <c r="I1100" s="2">
        <v>108.38</v>
      </c>
      <c r="J1100" s="2">
        <v>325.14</v>
      </c>
      <c r="K1100" s="2">
        <f t="shared" si="52"/>
        <v>325.14</v>
      </c>
      <c r="L1100" s="2">
        <f t="shared" si="53"/>
        <v>0</v>
      </c>
      <c r="M1100" t="s">
        <v>48</v>
      </c>
      <c r="N1100" t="s">
        <v>26</v>
      </c>
    </row>
    <row r="1101" spans="1:14" x14ac:dyDescent="0.3">
      <c r="A1101">
        <v>2024002099</v>
      </c>
      <c r="B1101" s="1">
        <v>45645</v>
      </c>
      <c r="C1101" s="11">
        <f t="shared" si="51"/>
        <v>2024</v>
      </c>
      <c r="D1101" t="s">
        <v>156</v>
      </c>
      <c r="E1101" t="s">
        <v>28</v>
      </c>
      <c r="F1101" t="s">
        <v>29</v>
      </c>
      <c r="G1101" t="s">
        <v>30</v>
      </c>
      <c r="H1101">
        <v>1</v>
      </c>
      <c r="I1101" s="2">
        <v>22.55</v>
      </c>
      <c r="J1101" s="2">
        <v>22.55</v>
      </c>
      <c r="K1101" s="2">
        <f t="shared" si="52"/>
        <v>22.55</v>
      </c>
      <c r="L1101" s="2">
        <f t="shared" si="53"/>
        <v>0</v>
      </c>
      <c r="M1101" t="s">
        <v>61</v>
      </c>
      <c r="N1101" t="s">
        <v>16</v>
      </c>
    </row>
    <row r="1102" spans="1:14" x14ac:dyDescent="0.3">
      <c r="A1102">
        <v>2024002100</v>
      </c>
      <c r="B1102" s="1">
        <v>45432</v>
      </c>
      <c r="C1102" s="11">
        <f t="shared" si="51"/>
        <v>2024</v>
      </c>
      <c r="D1102" t="s">
        <v>190</v>
      </c>
      <c r="E1102" t="s">
        <v>40</v>
      </c>
      <c r="F1102" t="s">
        <v>41</v>
      </c>
      <c r="G1102" t="s">
        <v>36</v>
      </c>
      <c r="H1102">
        <v>2</v>
      </c>
      <c r="I1102" s="2">
        <v>42.68</v>
      </c>
      <c r="J1102" s="2">
        <v>85.36</v>
      </c>
      <c r="K1102" s="2">
        <f t="shared" si="52"/>
        <v>85.36</v>
      </c>
      <c r="L1102" s="2">
        <f t="shared" si="53"/>
        <v>0</v>
      </c>
      <c r="M1102" t="s">
        <v>61</v>
      </c>
      <c r="N1102" t="s">
        <v>32</v>
      </c>
    </row>
    <row r="1103" spans="1:14" x14ac:dyDescent="0.3">
      <c r="A1103">
        <v>2024002101</v>
      </c>
      <c r="B1103" s="1">
        <v>45461</v>
      </c>
      <c r="C1103" s="11">
        <f t="shared" si="51"/>
        <v>2024</v>
      </c>
      <c r="D1103" t="s">
        <v>133</v>
      </c>
      <c r="E1103" t="s">
        <v>18</v>
      </c>
      <c r="F1103" t="s">
        <v>19</v>
      </c>
      <c r="G1103" t="s">
        <v>14</v>
      </c>
      <c r="H1103">
        <v>1</v>
      </c>
      <c r="I1103" s="2">
        <v>586.79</v>
      </c>
      <c r="J1103" s="2">
        <v>586.79</v>
      </c>
      <c r="K1103" s="2">
        <f t="shared" si="52"/>
        <v>586.79</v>
      </c>
      <c r="L1103" s="2">
        <f t="shared" si="53"/>
        <v>0</v>
      </c>
      <c r="M1103" t="s">
        <v>20</v>
      </c>
      <c r="N1103" t="s">
        <v>32</v>
      </c>
    </row>
    <row r="1104" spans="1:14" x14ac:dyDescent="0.3">
      <c r="A1104">
        <v>2024002102</v>
      </c>
      <c r="B1104" s="1">
        <v>45561</v>
      </c>
      <c r="C1104" s="11">
        <f t="shared" si="51"/>
        <v>2024</v>
      </c>
      <c r="D1104" t="s">
        <v>224</v>
      </c>
      <c r="E1104" t="s">
        <v>53</v>
      </c>
      <c r="F1104" t="s">
        <v>54</v>
      </c>
      <c r="G1104" t="s">
        <v>36</v>
      </c>
      <c r="H1104">
        <v>2</v>
      </c>
      <c r="I1104" s="2">
        <v>121.39</v>
      </c>
      <c r="J1104" s="2">
        <v>242.78</v>
      </c>
      <c r="K1104" s="2">
        <f t="shared" si="52"/>
        <v>242.78</v>
      </c>
      <c r="L1104" s="2">
        <f t="shared" si="53"/>
        <v>0</v>
      </c>
      <c r="M1104" t="s">
        <v>48</v>
      </c>
      <c r="N1104" t="s">
        <v>21</v>
      </c>
    </row>
    <row r="1105" spans="1:14" x14ac:dyDescent="0.3">
      <c r="A1105">
        <v>2024002103</v>
      </c>
      <c r="B1105" s="1">
        <v>45390</v>
      </c>
      <c r="C1105" s="11">
        <f t="shared" si="51"/>
        <v>2024</v>
      </c>
      <c r="D1105" t="s">
        <v>84</v>
      </c>
      <c r="E1105" t="s">
        <v>53</v>
      </c>
      <c r="F1105" t="s">
        <v>54</v>
      </c>
      <c r="G1105" t="s">
        <v>36</v>
      </c>
      <c r="H1105">
        <v>2</v>
      </c>
      <c r="I1105" s="2">
        <v>125.41</v>
      </c>
      <c r="J1105" s="2">
        <v>250.82</v>
      </c>
      <c r="K1105" s="2">
        <f t="shared" si="52"/>
        <v>250.82</v>
      </c>
      <c r="L1105" s="2">
        <f t="shared" si="53"/>
        <v>0</v>
      </c>
      <c r="M1105" t="s">
        <v>57</v>
      </c>
      <c r="N1105" t="s">
        <v>16</v>
      </c>
    </row>
    <row r="1106" spans="1:14" x14ac:dyDescent="0.3">
      <c r="A1106">
        <v>2024002104</v>
      </c>
      <c r="B1106" s="1">
        <v>45400</v>
      </c>
      <c r="C1106" s="11">
        <f t="shared" si="51"/>
        <v>2024</v>
      </c>
      <c r="D1106" t="s">
        <v>205</v>
      </c>
      <c r="E1106" t="s">
        <v>18</v>
      </c>
      <c r="F1106" t="s">
        <v>19</v>
      </c>
      <c r="G1106" t="s">
        <v>14</v>
      </c>
      <c r="H1106">
        <v>3</v>
      </c>
      <c r="I1106" s="2">
        <v>656.56</v>
      </c>
      <c r="J1106" s="2">
        <v>1969.68</v>
      </c>
      <c r="K1106" s="2">
        <f t="shared" si="52"/>
        <v>1969.6799999999998</v>
      </c>
      <c r="L1106" s="2">
        <f t="shared" si="53"/>
        <v>0</v>
      </c>
      <c r="M1106" t="s">
        <v>38</v>
      </c>
      <c r="N1106" t="s">
        <v>21</v>
      </c>
    </row>
    <row r="1107" spans="1:14" x14ac:dyDescent="0.3">
      <c r="A1107">
        <v>2024002105</v>
      </c>
      <c r="B1107" s="1">
        <v>45580</v>
      </c>
      <c r="C1107" s="11">
        <f t="shared" si="51"/>
        <v>2024</v>
      </c>
      <c r="D1107" t="s">
        <v>316</v>
      </c>
      <c r="E1107" t="s">
        <v>23</v>
      </c>
      <c r="F1107" t="s">
        <v>24</v>
      </c>
      <c r="G1107" t="s">
        <v>14</v>
      </c>
      <c r="H1107">
        <v>1</v>
      </c>
      <c r="I1107" s="2">
        <v>76.290000000000006</v>
      </c>
      <c r="J1107" s="2">
        <v>76.290000000000006</v>
      </c>
      <c r="K1107" s="2">
        <f t="shared" si="52"/>
        <v>76.290000000000006</v>
      </c>
      <c r="L1107" s="2">
        <f t="shared" si="53"/>
        <v>0</v>
      </c>
      <c r="M1107" t="s">
        <v>31</v>
      </c>
      <c r="N1107" t="s">
        <v>26</v>
      </c>
    </row>
    <row r="1108" spans="1:14" x14ac:dyDescent="0.3">
      <c r="A1108">
        <v>2024002106</v>
      </c>
      <c r="B1108" s="1">
        <v>45355</v>
      </c>
      <c r="C1108" s="11">
        <f t="shared" si="51"/>
        <v>2024</v>
      </c>
      <c r="D1108" t="s">
        <v>11</v>
      </c>
      <c r="E1108" t="s">
        <v>40</v>
      </c>
      <c r="F1108" t="s">
        <v>41</v>
      </c>
      <c r="G1108" t="s">
        <v>36</v>
      </c>
      <c r="H1108">
        <v>3</v>
      </c>
      <c r="I1108" s="2">
        <v>42.26</v>
      </c>
      <c r="J1108" s="2">
        <v>126.78</v>
      </c>
      <c r="K1108" s="2">
        <f t="shared" si="52"/>
        <v>126.78</v>
      </c>
      <c r="L1108" s="2">
        <f t="shared" si="53"/>
        <v>0</v>
      </c>
      <c r="M1108" t="s">
        <v>25</v>
      </c>
      <c r="N1108" t="s">
        <v>26</v>
      </c>
    </row>
    <row r="1109" spans="1:14" x14ac:dyDescent="0.3">
      <c r="A1109">
        <v>2024002107</v>
      </c>
      <c r="B1109" s="1">
        <v>45396</v>
      </c>
      <c r="C1109" s="11">
        <f t="shared" si="51"/>
        <v>2024</v>
      </c>
      <c r="D1109" t="s">
        <v>11</v>
      </c>
      <c r="E1109" t="s">
        <v>12</v>
      </c>
      <c r="F1109" t="s">
        <v>13</v>
      </c>
      <c r="G1109" t="s">
        <v>14</v>
      </c>
      <c r="H1109">
        <v>1</v>
      </c>
      <c r="I1109" s="2">
        <v>330.37</v>
      </c>
      <c r="J1109" s="2">
        <v>330.37</v>
      </c>
      <c r="K1109" s="2">
        <f t="shared" si="52"/>
        <v>330.37</v>
      </c>
      <c r="L1109" s="2">
        <f t="shared" si="53"/>
        <v>0</v>
      </c>
      <c r="M1109" t="s">
        <v>15</v>
      </c>
      <c r="N1109" t="s">
        <v>26</v>
      </c>
    </row>
    <row r="1110" spans="1:14" x14ac:dyDescent="0.3">
      <c r="A1110">
        <v>2024002108</v>
      </c>
      <c r="B1110" s="1">
        <v>45370</v>
      </c>
      <c r="C1110" s="11">
        <f t="shared" si="51"/>
        <v>2024</v>
      </c>
      <c r="D1110" t="s">
        <v>245</v>
      </c>
      <c r="E1110" t="s">
        <v>53</v>
      </c>
      <c r="F1110" t="s">
        <v>54</v>
      </c>
      <c r="G1110" t="s">
        <v>36</v>
      </c>
      <c r="H1110">
        <v>1</v>
      </c>
      <c r="I1110" s="2">
        <v>124.46</v>
      </c>
      <c r="J1110" s="2">
        <v>124.46</v>
      </c>
      <c r="K1110" s="2">
        <f t="shared" si="52"/>
        <v>124.46</v>
      </c>
      <c r="L1110" s="2">
        <f t="shared" si="53"/>
        <v>0</v>
      </c>
      <c r="M1110" t="s">
        <v>55</v>
      </c>
      <c r="N1110" t="s">
        <v>21</v>
      </c>
    </row>
    <row r="1111" spans="1:14" x14ac:dyDescent="0.3">
      <c r="A1111">
        <v>2024002109</v>
      </c>
      <c r="B1111" s="1">
        <v>45515</v>
      </c>
      <c r="C1111" s="11">
        <f t="shared" si="51"/>
        <v>2024</v>
      </c>
      <c r="D1111" t="s">
        <v>11</v>
      </c>
      <c r="E1111" t="s">
        <v>67</v>
      </c>
      <c r="F1111" t="s">
        <v>68</v>
      </c>
      <c r="G1111" t="s">
        <v>36</v>
      </c>
      <c r="H1111">
        <v>5</v>
      </c>
      <c r="I1111" s="2">
        <v>395.9</v>
      </c>
      <c r="J1111" s="2">
        <v>1979.5</v>
      </c>
      <c r="K1111" s="2">
        <f t="shared" si="52"/>
        <v>1979.5</v>
      </c>
      <c r="L1111" s="2">
        <f t="shared" si="53"/>
        <v>0</v>
      </c>
      <c r="M1111" t="s">
        <v>38</v>
      </c>
      <c r="N1111" t="s">
        <v>21</v>
      </c>
    </row>
    <row r="1112" spans="1:14" x14ac:dyDescent="0.3">
      <c r="A1112">
        <v>2024002110</v>
      </c>
      <c r="B1112" s="1">
        <v>45517</v>
      </c>
      <c r="C1112" s="11">
        <f t="shared" si="51"/>
        <v>2024</v>
      </c>
      <c r="D1112" t="s">
        <v>311</v>
      </c>
      <c r="E1112" t="s">
        <v>23</v>
      </c>
      <c r="F1112" t="s">
        <v>24</v>
      </c>
      <c r="G1112" t="s">
        <v>14</v>
      </c>
      <c r="H1112">
        <v>1</v>
      </c>
      <c r="I1112" s="2">
        <v>76.91</v>
      </c>
      <c r="J1112" s="2">
        <v>76.91</v>
      </c>
      <c r="K1112" s="2">
        <f t="shared" si="52"/>
        <v>76.91</v>
      </c>
      <c r="L1112" s="2">
        <f t="shared" si="53"/>
        <v>0</v>
      </c>
      <c r="M1112" t="s">
        <v>31</v>
      </c>
      <c r="N1112" t="s">
        <v>32</v>
      </c>
    </row>
    <row r="1113" spans="1:14" x14ac:dyDescent="0.3">
      <c r="A1113">
        <v>2024002111</v>
      </c>
      <c r="B1113" s="1">
        <v>45377</v>
      </c>
      <c r="C1113" s="11">
        <f t="shared" si="51"/>
        <v>2024</v>
      </c>
      <c r="D1113" t="s">
        <v>305</v>
      </c>
      <c r="E1113" t="s">
        <v>28</v>
      </c>
      <c r="F1113" t="s">
        <v>29</v>
      </c>
      <c r="G1113" t="s">
        <v>30</v>
      </c>
      <c r="H1113">
        <v>2</v>
      </c>
      <c r="I1113" s="2">
        <v>26.11</v>
      </c>
      <c r="J1113" s="2">
        <v>52.22</v>
      </c>
      <c r="K1113" s="2">
        <f t="shared" si="52"/>
        <v>52.22</v>
      </c>
      <c r="L1113" s="2">
        <f t="shared" si="53"/>
        <v>0</v>
      </c>
      <c r="M1113" t="s">
        <v>64</v>
      </c>
      <c r="N1113" t="s">
        <v>21</v>
      </c>
    </row>
    <row r="1114" spans="1:14" x14ac:dyDescent="0.3">
      <c r="A1114">
        <v>2024002112</v>
      </c>
      <c r="B1114" s="1">
        <v>45424</v>
      </c>
      <c r="C1114" s="11">
        <f t="shared" si="51"/>
        <v>2024</v>
      </c>
      <c r="D1114" t="s">
        <v>11</v>
      </c>
      <c r="E1114" t="s">
        <v>53</v>
      </c>
      <c r="F1114" t="s">
        <v>54</v>
      </c>
      <c r="G1114" t="s">
        <v>36</v>
      </c>
      <c r="H1114">
        <v>1</v>
      </c>
      <c r="I1114" s="2">
        <v>120.51</v>
      </c>
      <c r="J1114" s="2">
        <v>120.51</v>
      </c>
      <c r="K1114" s="2">
        <f t="shared" si="52"/>
        <v>120.51</v>
      </c>
      <c r="L1114" s="2">
        <f t="shared" si="53"/>
        <v>0</v>
      </c>
      <c r="M1114" t="s">
        <v>64</v>
      </c>
      <c r="N1114" t="s">
        <v>32</v>
      </c>
    </row>
    <row r="1115" spans="1:14" x14ac:dyDescent="0.3">
      <c r="A1115">
        <v>2024002113</v>
      </c>
      <c r="B1115" s="1">
        <v>45299</v>
      </c>
      <c r="C1115" s="11">
        <f t="shared" si="51"/>
        <v>2024</v>
      </c>
      <c r="D1115" t="s">
        <v>247</v>
      </c>
      <c r="E1115" t="s">
        <v>34</v>
      </c>
      <c r="F1115" t="s">
        <v>35</v>
      </c>
      <c r="G1115" t="s">
        <v>36</v>
      </c>
      <c r="H1115">
        <v>1</v>
      </c>
      <c r="I1115" s="2">
        <v>14.2</v>
      </c>
      <c r="J1115" s="2">
        <v>14.2</v>
      </c>
      <c r="K1115" s="2">
        <f t="shared" si="52"/>
        <v>14.2</v>
      </c>
      <c r="L1115" s="2">
        <f t="shared" si="53"/>
        <v>0</v>
      </c>
      <c r="M1115" t="s">
        <v>25</v>
      </c>
      <c r="N1115" t="s">
        <v>16</v>
      </c>
    </row>
    <row r="1116" spans="1:14" x14ac:dyDescent="0.3">
      <c r="A1116">
        <v>2024002114</v>
      </c>
      <c r="B1116" s="1">
        <v>45453</v>
      </c>
      <c r="C1116" s="11">
        <f t="shared" si="51"/>
        <v>2024</v>
      </c>
      <c r="D1116" t="s">
        <v>79</v>
      </c>
      <c r="E1116" t="s">
        <v>43</v>
      </c>
      <c r="F1116" t="s">
        <v>44</v>
      </c>
      <c r="G1116" t="s">
        <v>36</v>
      </c>
      <c r="H1116">
        <v>1</v>
      </c>
      <c r="I1116" s="2">
        <v>1272.28</v>
      </c>
      <c r="J1116" s="2">
        <v>1272.28</v>
      </c>
      <c r="K1116" s="2">
        <f t="shared" si="52"/>
        <v>1272.28</v>
      </c>
      <c r="L1116" s="2">
        <f t="shared" si="53"/>
        <v>0</v>
      </c>
      <c r="M1116" t="s">
        <v>15</v>
      </c>
      <c r="N1116" t="s">
        <v>16</v>
      </c>
    </row>
    <row r="1117" spans="1:14" x14ac:dyDescent="0.3">
      <c r="A1117">
        <v>2024001043</v>
      </c>
      <c r="B1117" s="1">
        <v>45404</v>
      </c>
      <c r="C1117" s="11">
        <f t="shared" si="51"/>
        <v>2024</v>
      </c>
      <c r="D1117" t="s">
        <v>113</v>
      </c>
      <c r="E1117" t="s">
        <v>23</v>
      </c>
      <c r="F1117" t="s">
        <v>24</v>
      </c>
      <c r="G1117" t="s">
        <v>14</v>
      </c>
      <c r="H1117">
        <v>1</v>
      </c>
      <c r="I1117" s="2">
        <v>80.73</v>
      </c>
      <c r="J1117" s="2">
        <v>80.73</v>
      </c>
      <c r="K1117" s="2">
        <f t="shared" si="52"/>
        <v>80.73</v>
      </c>
      <c r="L1117" s="2">
        <f t="shared" si="53"/>
        <v>0</v>
      </c>
      <c r="M1117" t="s">
        <v>48</v>
      </c>
      <c r="N1117" t="s">
        <v>26</v>
      </c>
    </row>
    <row r="1118" spans="1:14" x14ac:dyDescent="0.3">
      <c r="A1118">
        <v>2024002116</v>
      </c>
      <c r="B1118" s="1">
        <v>45422</v>
      </c>
      <c r="C1118" s="11">
        <f t="shared" si="51"/>
        <v>2024</v>
      </c>
      <c r="D1118" t="s">
        <v>276</v>
      </c>
      <c r="E1118" t="s">
        <v>40</v>
      </c>
      <c r="F1118" t="s">
        <v>41</v>
      </c>
      <c r="G1118" t="s">
        <v>36</v>
      </c>
      <c r="H1118">
        <v>5</v>
      </c>
      <c r="I1118" s="2">
        <v>46.59</v>
      </c>
      <c r="J1118" s="2">
        <v>232.95</v>
      </c>
      <c r="K1118" s="2">
        <f t="shared" si="52"/>
        <v>232.95000000000002</v>
      </c>
      <c r="L1118" s="2">
        <f t="shared" si="53"/>
        <v>0</v>
      </c>
      <c r="M1118" t="s">
        <v>31</v>
      </c>
      <c r="N1118" t="s">
        <v>21</v>
      </c>
    </row>
    <row r="1119" spans="1:14" x14ac:dyDescent="0.3">
      <c r="A1119">
        <v>2024002117</v>
      </c>
      <c r="B1119" s="1">
        <v>45631</v>
      </c>
      <c r="C1119" s="11">
        <f t="shared" si="51"/>
        <v>2024</v>
      </c>
      <c r="D1119" t="s">
        <v>173</v>
      </c>
      <c r="E1119" t="s">
        <v>43</v>
      </c>
      <c r="F1119" t="s">
        <v>44</v>
      </c>
      <c r="G1119" t="s">
        <v>36</v>
      </c>
      <c r="H1119">
        <v>3</v>
      </c>
      <c r="I1119" s="2">
        <v>1221.0899999999999</v>
      </c>
      <c r="J1119" s="2">
        <v>3663.27</v>
      </c>
      <c r="K1119" s="2">
        <f t="shared" si="52"/>
        <v>3663.2699999999995</v>
      </c>
      <c r="L1119" s="2">
        <f t="shared" si="53"/>
        <v>0</v>
      </c>
      <c r="M1119" t="s">
        <v>15</v>
      </c>
      <c r="N1119" t="s">
        <v>32</v>
      </c>
    </row>
    <row r="1120" spans="1:14" x14ac:dyDescent="0.3">
      <c r="A1120">
        <v>2024002118</v>
      </c>
      <c r="B1120" s="1">
        <v>45558</v>
      </c>
      <c r="C1120" s="11">
        <f t="shared" si="51"/>
        <v>2024</v>
      </c>
      <c r="D1120" t="s">
        <v>83</v>
      </c>
      <c r="E1120" t="s">
        <v>40</v>
      </c>
      <c r="F1120" t="s">
        <v>41</v>
      </c>
      <c r="G1120" t="s">
        <v>36</v>
      </c>
      <c r="H1120">
        <v>3</v>
      </c>
      <c r="I1120" s="2">
        <v>46.64</v>
      </c>
      <c r="J1120" s="2">
        <v>139.91999999999999</v>
      </c>
      <c r="K1120" s="2">
        <f t="shared" si="52"/>
        <v>139.92000000000002</v>
      </c>
      <c r="L1120" s="2">
        <f t="shared" si="53"/>
        <v>0</v>
      </c>
      <c r="M1120" t="s">
        <v>25</v>
      </c>
      <c r="N1120" t="s">
        <v>32</v>
      </c>
    </row>
    <row r="1121" spans="1:14" x14ac:dyDescent="0.3">
      <c r="A1121">
        <v>2024002119</v>
      </c>
      <c r="B1121" s="1">
        <v>45566</v>
      </c>
      <c r="C1121" s="11">
        <f t="shared" si="51"/>
        <v>2024</v>
      </c>
      <c r="D1121" t="s">
        <v>211</v>
      </c>
      <c r="E1121" t="s">
        <v>18</v>
      </c>
      <c r="F1121" t="s">
        <v>19</v>
      </c>
      <c r="G1121" t="s">
        <v>14</v>
      </c>
      <c r="H1121">
        <v>2</v>
      </c>
      <c r="I1121" s="2">
        <v>666.46</v>
      </c>
      <c r="J1121" s="2">
        <v>1332.92</v>
      </c>
      <c r="K1121" s="2">
        <f t="shared" si="52"/>
        <v>1332.92</v>
      </c>
      <c r="L1121" s="2">
        <f t="shared" si="53"/>
        <v>0</v>
      </c>
      <c r="M1121" t="s">
        <v>57</v>
      </c>
      <c r="N1121" t="s">
        <v>21</v>
      </c>
    </row>
    <row r="1122" spans="1:14" x14ac:dyDescent="0.3">
      <c r="A1122">
        <v>2024002120</v>
      </c>
      <c r="B1122" s="1">
        <v>45553</v>
      </c>
      <c r="C1122" s="11">
        <f t="shared" si="51"/>
        <v>2024</v>
      </c>
      <c r="D1122" t="s">
        <v>277</v>
      </c>
      <c r="E1122" t="s">
        <v>23</v>
      </c>
      <c r="F1122" t="s">
        <v>24</v>
      </c>
      <c r="G1122" t="s">
        <v>14</v>
      </c>
      <c r="H1122">
        <v>1</v>
      </c>
      <c r="I1122" s="2">
        <v>85.03</v>
      </c>
      <c r="J1122" s="2">
        <v>85.03</v>
      </c>
      <c r="K1122" s="2">
        <f t="shared" si="52"/>
        <v>85.03</v>
      </c>
      <c r="L1122" s="2">
        <f t="shared" si="53"/>
        <v>0</v>
      </c>
      <c r="M1122" t="s">
        <v>61</v>
      </c>
      <c r="N1122" t="s">
        <v>26</v>
      </c>
    </row>
    <row r="1123" spans="1:14" x14ac:dyDescent="0.3">
      <c r="A1123">
        <v>2024002121</v>
      </c>
      <c r="B1123" s="1">
        <v>45528</v>
      </c>
      <c r="C1123" s="11">
        <f t="shared" si="51"/>
        <v>2024</v>
      </c>
      <c r="D1123" t="s">
        <v>120</v>
      </c>
      <c r="E1123" t="s">
        <v>53</v>
      </c>
      <c r="F1123" t="s">
        <v>54</v>
      </c>
      <c r="G1123" t="s">
        <v>36</v>
      </c>
      <c r="H1123">
        <v>1</v>
      </c>
      <c r="I1123" s="2">
        <v>119.83</v>
      </c>
      <c r="J1123" s="2">
        <v>119.83</v>
      </c>
      <c r="K1123" s="2">
        <f t="shared" si="52"/>
        <v>119.83</v>
      </c>
      <c r="L1123" s="2">
        <f t="shared" si="53"/>
        <v>0</v>
      </c>
      <c r="M1123" t="s">
        <v>61</v>
      </c>
      <c r="N1123" t="s">
        <v>26</v>
      </c>
    </row>
    <row r="1124" spans="1:14" x14ac:dyDescent="0.3">
      <c r="A1124">
        <v>2024002122</v>
      </c>
      <c r="B1124" s="1">
        <v>45455</v>
      </c>
      <c r="C1124" s="11">
        <f t="shared" si="51"/>
        <v>2024</v>
      </c>
      <c r="D1124" t="s">
        <v>201</v>
      </c>
      <c r="E1124" t="s">
        <v>18</v>
      </c>
      <c r="F1124" t="s">
        <v>19</v>
      </c>
      <c r="G1124" t="s">
        <v>14</v>
      </c>
      <c r="H1124">
        <v>3</v>
      </c>
      <c r="I1124" s="2">
        <v>567.44000000000005</v>
      </c>
      <c r="J1124" s="2">
        <v>1702.32</v>
      </c>
      <c r="K1124" s="2">
        <f t="shared" si="52"/>
        <v>1702.3200000000002</v>
      </c>
      <c r="L1124" s="2">
        <f t="shared" si="53"/>
        <v>0</v>
      </c>
      <c r="M1124" t="s">
        <v>31</v>
      </c>
      <c r="N1124" t="s">
        <v>26</v>
      </c>
    </row>
    <row r="1125" spans="1:14" x14ac:dyDescent="0.3">
      <c r="A1125">
        <v>2024002123</v>
      </c>
      <c r="B1125" s="1">
        <v>45384</v>
      </c>
      <c r="C1125" s="11">
        <f t="shared" si="51"/>
        <v>2024</v>
      </c>
      <c r="D1125" t="s">
        <v>270</v>
      </c>
      <c r="E1125" t="s">
        <v>53</v>
      </c>
      <c r="F1125" t="s">
        <v>54</v>
      </c>
      <c r="G1125" t="s">
        <v>36</v>
      </c>
      <c r="H1125">
        <v>1</v>
      </c>
      <c r="I1125" s="2">
        <v>118.37</v>
      </c>
      <c r="J1125" s="2">
        <v>118.37</v>
      </c>
      <c r="K1125" s="2">
        <f t="shared" si="52"/>
        <v>118.37</v>
      </c>
      <c r="L1125" s="2">
        <f t="shared" si="53"/>
        <v>0</v>
      </c>
      <c r="M1125" t="s">
        <v>31</v>
      </c>
      <c r="N1125" t="s">
        <v>32</v>
      </c>
    </row>
    <row r="1126" spans="1:14" x14ac:dyDescent="0.3">
      <c r="A1126">
        <v>2024002124</v>
      </c>
      <c r="B1126" s="1">
        <v>45302</v>
      </c>
      <c r="C1126" s="11">
        <f t="shared" si="51"/>
        <v>2024</v>
      </c>
      <c r="D1126" t="s">
        <v>106</v>
      </c>
      <c r="E1126" t="s">
        <v>34</v>
      </c>
      <c r="F1126" t="s">
        <v>35</v>
      </c>
      <c r="G1126" t="s">
        <v>36</v>
      </c>
      <c r="H1126">
        <v>3</v>
      </c>
      <c r="I1126" s="2">
        <v>15.11</v>
      </c>
      <c r="J1126" s="2">
        <v>45.33</v>
      </c>
      <c r="K1126" s="2">
        <f t="shared" si="52"/>
        <v>45.33</v>
      </c>
      <c r="L1126" s="2">
        <f t="shared" si="53"/>
        <v>0</v>
      </c>
      <c r="M1126" t="s">
        <v>15</v>
      </c>
      <c r="N1126" t="s">
        <v>21</v>
      </c>
    </row>
    <row r="1127" spans="1:14" x14ac:dyDescent="0.3">
      <c r="A1127">
        <v>2024002125</v>
      </c>
      <c r="B1127" s="1">
        <v>45520</v>
      </c>
      <c r="C1127" s="11">
        <f t="shared" si="51"/>
        <v>2024</v>
      </c>
      <c r="D1127" t="s">
        <v>281</v>
      </c>
      <c r="E1127" t="s">
        <v>43</v>
      </c>
      <c r="F1127" t="s">
        <v>44</v>
      </c>
      <c r="G1127" t="s">
        <v>36</v>
      </c>
      <c r="H1127">
        <v>3</v>
      </c>
      <c r="I1127" s="2">
        <v>1205.8699999999999</v>
      </c>
      <c r="J1127" s="2">
        <v>3617.61</v>
      </c>
      <c r="K1127" s="2">
        <f t="shared" si="52"/>
        <v>3617.6099999999997</v>
      </c>
      <c r="L1127" s="2">
        <f t="shared" si="53"/>
        <v>0</v>
      </c>
      <c r="M1127" t="s">
        <v>15</v>
      </c>
      <c r="N1127" t="s">
        <v>21</v>
      </c>
    </row>
    <row r="1128" spans="1:14" x14ac:dyDescent="0.3">
      <c r="A1128">
        <v>2024002126</v>
      </c>
      <c r="B1128" s="1">
        <v>45450</v>
      </c>
      <c r="C1128" s="11">
        <f t="shared" si="51"/>
        <v>2024</v>
      </c>
      <c r="D1128" t="s">
        <v>60</v>
      </c>
      <c r="E1128" t="s">
        <v>40</v>
      </c>
      <c r="F1128" t="s">
        <v>41</v>
      </c>
      <c r="G1128" t="s">
        <v>36</v>
      </c>
      <c r="H1128">
        <v>1</v>
      </c>
      <c r="I1128" s="2">
        <v>48.81</v>
      </c>
      <c r="J1128" s="2">
        <v>48.81</v>
      </c>
      <c r="K1128" s="2">
        <f t="shared" si="52"/>
        <v>48.81</v>
      </c>
      <c r="L1128" s="2">
        <f t="shared" si="53"/>
        <v>0</v>
      </c>
      <c r="M1128" t="s">
        <v>38</v>
      </c>
      <c r="N1128" t="s">
        <v>21</v>
      </c>
    </row>
    <row r="1129" spans="1:14" x14ac:dyDescent="0.3">
      <c r="A1129">
        <v>2024002127</v>
      </c>
      <c r="B1129" s="1">
        <v>45320</v>
      </c>
      <c r="C1129" s="11">
        <f t="shared" si="51"/>
        <v>2024</v>
      </c>
      <c r="D1129" t="s">
        <v>74</v>
      </c>
      <c r="E1129" t="s">
        <v>53</v>
      </c>
      <c r="F1129" t="s">
        <v>54</v>
      </c>
      <c r="G1129" t="s">
        <v>36</v>
      </c>
      <c r="H1129">
        <v>1</v>
      </c>
      <c r="I1129" s="2">
        <v>121.59</v>
      </c>
      <c r="J1129" s="2">
        <v>121.59</v>
      </c>
      <c r="K1129" s="2">
        <f t="shared" si="52"/>
        <v>121.59</v>
      </c>
      <c r="L1129" s="2">
        <f t="shared" si="53"/>
        <v>0</v>
      </c>
      <c r="M1129" t="s">
        <v>61</v>
      </c>
      <c r="N1129" t="s">
        <v>26</v>
      </c>
    </row>
    <row r="1130" spans="1:14" x14ac:dyDescent="0.3">
      <c r="A1130">
        <v>2024002025</v>
      </c>
      <c r="B1130" s="1">
        <v>45415</v>
      </c>
      <c r="C1130" s="11">
        <f t="shared" si="51"/>
        <v>2024</v>
      </c>
      <c r="D1130" t="s">
        <v>293</v>
      </c>
      <c r="E1130" t="s">
        <v>53</v>
      </c>
      <c r="F1130" t="s">
        <v>54</v>
      </c>
      <c r="G1130" t="s">
        <v>36</v>
      </c>
      <c r="H1130">
        <v>1</v>
      </c>
      <c r="I1130" s="2">
        <v>121.15</v>
      </c>
      <c r="J1130" s="2">
        <v>121.15</v>
      </c>
      <c r="K1130" s="2">
        <f t="shared" si="52"/>
        <v>121.15</v>
      </c>
      <c r="L1130" s="2">
        <f t="shared" si="53"/>
        <v>0</v>
      </c>
      <c r="M1130" t="s">
        <v>20</v>
      </c>
      <c r="N1130" t="s">
        <v>16</v>
      </c>
    </row>
    <row r="1131" spans="1:14" x14ac:dyDescent="0.3">
      <c r="A1131">
        <v>2024002129</v>
      </c>
      <c r="B1131" s="1">
        <v>45352</v>
      </c>
      <c r="C1131" s="11">
        <f t="shared" si="51"/>
        <v>2024</v>
      </c>
      <c r="D1131" t="s">
        <v>161</v>
      </c>
      <c r="E1131" t="s">
        <v>53</v>
      </c>
      <c r="F1131" t="s">
        <v>54</v>
      </c>
      <c r="G1131" t="s">
        <v>36</v>
      </c>
      <c r="H1131">
        <v>4</v>
      </c>
      <c r="I1131" s="2">
        <v>127.19</v>
      </c>
      <c r="J1131" s="2">
        <v>508.76</v>
      </c>
      <c r="K1131" s="2">
        <f t="shared" si="52"/>
        <v>508.76</v>
      </c>
      <c r="L1131" s="2">
        <f t="shared" si="53"/>
        <v>0</v>
      </c>
      <c r="M1131" t="s">
        <v>57</v>
      </c>
      <c r="N1131" t="s">
        <v>16</v>
      </c>
    </row>
    <row r="1132" spans="1:14" x14ac:dyDescent="0.3">
      <c r="A1132">
        <v>2024002130</v>
      </c>
      <c r="B1132" s="1">
        <v>45654</v>
      </c>
      <c r="C1132" s="11">
        <f t="shared" si="51"/>
        <v>2024</v>
      </c>
      <c r="D1132" t="s">
        <v>138</v>
      </c>
      <c r="E1132" t="s">
        <v>53</v>
      </c>
      <c r="F1132" t="s">
        <v>54</v>
      </c>
      <c r="G1132" t="s">
        <v>36</v>
      </c>
      <c r="H1132">
        <v>2</v>
      </c>
      <c r="I1132" s="2">
        <v>121.92</v>
      </c>
      <c r="J1132" s="2">
        <v>243.84</v>
      </c>
      <c r="K1132" s="2">
        <f t="shared" si="52"/>
        <v>243.84</v>
      </c>
      <c r="L1132" s="2">
        <f t="shared" si="53"/>
        <v>0</v>
      </c>
      <c r="M1132" t="s">
        <v>48</v>
      </c>
      <c r="N1132" t="s">
        <v>26</v>
      </c>
    </row>
    <row r="1133" spans="1:14" x14ac:dyDescent="0.3">
      <c r="A1133">
        <v>2024002131</v>
      </c>
      <c r="B1133" s="1">
        <v>45352</v>
      </c>
      <c r="C1133" s="11">
        <f t="shared" si="51"/>
        <v>2024</v>
      </c>
      <c r="D1133" t="s">
        <v>82</v>
      </c>
      <c r="E1133" t="s">
        <v>53</v>
      </c>
      <c r="F1133" t="s">
        <v>54</v>
      </c>
      <c r="G1133" t="s">
        <v>36</v>
      </c>
      <c r="H1133">
        <v>5</v>
      </c>
      <c r="I1133" s="2">
        <v>120.5</v>
      </c>
      <c r="J1133" s="2">
        <v>602.5</v>
      </c>
      <c r="K1133" s="2">
        <f t="shared" si="52"/>
        <v>602.5</v>
      </c>
      <c r="L1133" s="2">
        <f t="shared" si="53"/>
        <v>0</v>
      </c>
      <c r="M1133" t="s">
        <v>61</v>
      </c>
      <c r="N1133" t="s">
        <v>21</v>
      </c>
    </row>
    <row r="1134" spans="1:14" x14ac:dyDescent="0.3">
      <c r="A1134">
        <v>2024002132</v>
      </c>
      <c r="B1134" s="1">
        <v>45484</v>
      </c>
      <c r="C1134" s="11">
        <f t="shared" si="51"/>
        <v>2024</v>
      </c>
      <c r="D1134" t="s">
        <v>141</v>
      </c>
      <c r="E1134" t="s">
        <v>67</v>
      </c>
      <c r="F1134" t="s">
        <v>68</v>
      </c>
      <c r="G1134" t="s">
        <v>36</v>
      </c>
      <c r="H1134">
        <v>1</v>
      </c>
      <c r="I1134" s="2">
        <v>361.38</v>
      </c>
      <c r="J1134" s="2">
        <v>361.38</v>
      </c>
      <c r="K1134" s="2">
        <f t="shared" si="52"/>
        <v>361.38</v>
      </c>
      <c r="L1134" s="2">
        <f t="shared" si="53"/>
        <v>0</v>
      </c>
      <c r="M1134" t="s">
        <v>25</v>
      </c>
      <c r="N1134" t="s">
        <v>32</v>
      </c>
    </row>
    <row r="1135" spans="1:14" x14ac:dyDescent="0.3">
      <c r="A1135">
        <v>2024002133</v>
      </c>
      <c r="B1135" s="1">
        <v>45343</v>
      </c>
      <c r="C1135" s="11">
        <f t="shared" si="51"/>
        <v>2024</v>
      </c>
      <c r="D1135" t="s">
        <v>75</v>
      </c>
      <c r="E1135" t="s">
        <v>40</v>
      </c>
      <c r="F1135" t="s">
        <v>41</v>
      </c>
      <c r="G1135" t="s">
        <v>36</v>
      </c>
      <c r="H1135">
        <v>1</v>
      </c>
      <c r="I1135" s="2">
        <v>43.48</v>
      </c>
      <c r="J1135" s="2">
        <v>43.48</v>
      </c>
      <c r="K1135" s="2">
        <f t="shared" si="52"/>
        <v>43.48</v>
      </c>
      <c r="L1135" s="2">
        <f t="shared" si="53"/>
        <v>0</v>
      </c>
      <c r="M1135" t="s">
        <v>61</v>
      </c>
      <c r="N1135" t="s">
        <v>21</v>
      </c>
    </row>
    <row r="1136" spans="1:14" x14ac:dyDescent="0.3">
      <c r="A1136">
        <v>2024002134</v>
      </c>
      <c r="B1136" s="1">
        <v>45657</v>
      </c>
      <c r="C1136" s="11">
        <f t="shared" si="51"/>
        <v>2024</v>
      </c>
      <c r="D1136" t="s">
        <v>11</v>
      </c>
      <c r="E1136" t="s">
        <v>12</v>
      </c>
      <c r="F1136" t="s">
        <v>13</v>
      </c>
      <c r="G1136" t="s">
        <v>14</v>
      </c>
      <c r="H1136">
        <v>4</v>
      </c>
      <c r="I1136" s="2">
        <v>336.59</v>
      </c>
      <c r="J1136" s="2">
        <v>1346.36</v>
      </c>
      <c r="K1136" s="2">
        <f t="shared" si="52"/>
        <v>1346.36</v>
      </c>
      <c r="L1136" s="2">
        <f t="shared" si="53"/>
        <v>0</v>
      </c>
      <c r="M1136" t="s">
        <v>48</v>
      </c>
      <c r="N1136" t="s">
        <v>16</v>
      </c>
    </row>
    <row r="1137" spans="1:14" x14ac:dyDescent="0.3">
      <c r="A1137">
        <v>2024002135</v>
      </c>
      <c r="B1137" s="1">
        <v>45633</v>
      </c>
      <c r="C1137" s="11">
        <f t="shared" si="51"/>
        <v>2024</v>
      </c>
      <c r="D1137" t="s">
        <v>231</v>
      </c>
      <c r="E1137" t="s">
        <v>12</v>
      </c>
      <c r="F1137" t="s">
        <v>13</v>
      </c>
      <c r="G1137" t="s">
        <v>14</v>
      </c>
      <c r="H1137">
        <v>3</v>
      </c>
      <c r="I1137" s="2">
        <v>330.26</v>
      </c>
      <c r="J1137" s="2">
        <v>990.78</v>
      </c>
      <c r="K1137" s="2">
        <f t="shared" si="52"/>
        <v>990.78</v>
      </c>
      <c r="L1137" s="2">
        <f t="shared" si="53"/>
        <v>0</v>
      </c>
      <c r="M1137" t="s">
        <v>25</v>
      </c>
      <c r="N1137" t="s">
        <v>26</v>
      </c>
    </row>
    <row r="1138" spans="1:14" x14ac:dyDescent="0.3">
      <c r="A1138">
        <v>2024002136</v>
      </c>
      <c r="B1138" s="1">
        <v>45409</v>
      </c>
      <c r="C1138" s="11">
        <f t="shared" si="51"/>
        <v>2024</v>
      </c>
      <c r="D1138" t="s">
        <v>137</v>
      </c>
      <c r="E1138" t="s">
        <v>46</v>
      </c>
      <c r="F1138" t="s">
        <v>47</v>
      </c>
      <c r="G1138" t="s">
        <v>36</v>
      </c>
      <c r="H1138">
        <v>2</v>
      </c>
      <c r="I1138" s="2">
        <v>92.07</v>
      </c>
      <c r="J1138" s="2">
        <v>184.14</v>
      </c>
      <c r="K1138" s="2">
        <f t="shared" si="52"/>
        <v>184.14</v>
      </c>
      <c r="L1138" s="2">
        <f t="shared" si="53"/>
        <v>0</v>
      </c>
      <c r="M1138" t="s">
        <v>38</v>
      </c>
      <c r="N1138" t="s">
        <v>26</v>
      </c>
    </row>
    <row r="1139" spans="1:14" x14ac:dyDescent="0.3">
      <c r="A1139">
        <v>2024002137</v>
      </c>
      <c r="B1139" s="1">
        <v>45511</v>
      </c>
      <c r="C1139" s="11">
        <f t="shared" si="51"/>
        <v>2024</v>
      </c>
      <c r="D1139" t="s">
        <v>221</v>
      </c>
      <c r="E1139" t="s">
        <v>23</v>
      </c>
      <c r="F1139" t="s">
        <v>24</v>
      </c>
      <c r="G1139" t="s">
        <v>14</v>
      </c>
      <c r="H1139">
        <v>2</v>
      </c>
      <c r="I1139" s="2">
        <v>80.91</v>
      </c>
      <c r="J1139" s="2">
        <v>161.82</v>
      </c>
      <c r="K1139" s="2">
        <f t="shared" si="52"/>
        <v>161.82</v>
      </c>
      <c r="L1139" s="2">
        <f t="shared" si="53"/>
        <v>0</v>
      </c>
      <c r="M1139" t="s">
        <v>57</v>
      </c>
      <c r="N1139" t="s">
        <v>26</v>
      </c>
    </row>
    <row r="1140" spans="1:14" x14ac:dyDescent="0.3">
      <c r="A1140">
        <v>2024001344</v>
      </c>
      <c r="B1140" s="1">
        <v>45357</v>
      </c>
      <c r="C1140" s="11">
        <f t="shared" si="51"/>
        <v>2024</v>
      </c>
      <c r="D1140" t="s">
        <v>214</v>
      </c>
      <c r="E1140" t="s">
        <v>67</v>
      </c>
      <c r="F1140" t="s">
        <v>68</v>
      </c>
      <c r="G1140" t="s">
        <v>36</v>
      </c>
      <c r="H1140">
        <v>1</v>
      </c>
      <c r="I1140" s="2">
        <v>381.64</v>
      </c>
      <c r="J1140" s="2">
        <v>381.64</v>
      </c>
      <c r="K1140" s="2">
        <f t="shared" si="52"/>
        <v>381.64</v>
      </c>
      <c r="L1140" s="2">
        <f t="shared" si="53"/>
        <v>0</v>
      </c>
      <c r="M1140" t="s">
        <v>61</v>
      </c>
      <c r="N1140" t="s">
        <v>26</v>
      </c>
    </row>
    <row r="1141" spans="1:14" x14ac:dyDescent="0.3">
      <c r="A1141">
        <v>2024002139</v>
      </c>
      <c r="B1141" s="1">
        <v>45509</v>
      </c>
      <c r="C1141" s="11">
        <f t="shared" si="51"/>
        <v>2024</v>
      </c>
      <c r="D1141" t="s">
        <v>207</v>
      </c>
      <c r="E1141" t="s">
        <v>28</v>
      </c>
      <c r="F1141" t="s">
        <v>29</v>
      </c>
      <c r="G1141" t="s">
        <v>30</v>
      </c>
      <c r="H1141">
        <v>1</v>
      </c>
      <c r="I1141" s="2">
        <v>27.16</v>
      </c>
      <c r="J1141" s="2">
        <v>27.16</v>
      </c>
      <c r="K1141" s="2">
        <f t="shared" si="52"/>
        <v>27.16</v>
      </c>
      <c r="L1141" s="2">
        <f t="shared" si="53"/>
        <v>0</v>
      </c>
      <c r="M1141" t="s">
        <v>20</v>
      </c>
      <c r="N1141" t="s">
        <v>21</v>
      </c>
    </row>
    <row r="1142" spans="1:14" x14ac:dyDescent="0.3">
      <c r="A1142">
        <v>2024002140</v>
      </c>
      <c r="B1142" s="1">
        <v>45530</v>
      </c>
      <c r="C1142" s="11">
        <f t="shared" si="51"/>
        <v>2024</v>
      </c>
      <c r="D1142" t="s">
        <v>141</v>
      </c>
      <c r="E1142" t="s">
        <v>43</v>
      </c>
      <c r="F1142" t="s">
        <v>44</v>
      </c>
      <c r="G1142" t="s">
        <v>36</v>
      </c>
      <c r="H1142">
        <v>2</v>
      </c>
      <c r="I1142" s="2">
        <v>1164.8499999999999</v>
      </c>
      <c r="J1142" s="2">
        <v>2329.6999999999998</v>
      </c>
      <c r="K1142" s="2">
        <f t="shared" si="52"/>
        <v>2329.6999999999998</v>
      </c>
      <c r="L1142" s="2">
        <f t="shared" si="53"/>
        <v>0</v>
      </c>
      <c r="M1142" t="s">
        <v>61</v>
      </c>
      <c r="N1142" t="s">
        <v>32</v>
      </c>
    </row>
    <row r="1143" spans="1:14" x14ac:dyDescent="0.3">
      <c r="A1143">
        <v>2024002141</v>
      </c>
      <c r="B1143" s="1">
        <v>45468</v>
      </c>
      <c r="C1143" s="11">
        <f t="shared" si="51"/>
        <v>2024</v>
      </c>
      <c r="D1143" t="s">
        <v>159</v>
      </c>
      <c r="E1143" t="s">
        <v>53</v>
      </c>
      <c r="F1143" t="s">
        <v>54</v>
      </c>
      <c r="G1143" t="s">
        <v>36</v>
      </c>
      <c r="H1143">
        <v>1</v>
      </c>
      <c r="I1143" s="2">
        <v>117.91</v>
      </c>
      <c r="J1143" s="2">
        <v>117.91</v>
      </c>
      <c r="K1143" s="2">
        <f t="shared" si="52"/>
        <v>117.91</v>
      </c>
      <c r="L1143" s="2">
        <f t="shared" si="53"/>
        <v>0</v>
      </c>
      <c r="M1143" t="s">
        <v>48</v>
      </c>
      <c r="N1143" t="s">
        <v>26</v>
      </c>
    </row>
    <row r="1144" spans="1:14" x14ac:dyDescent="0.3">
      <c r="A1144">
        <v>2024002142</v>
      </c>
      <c r="B1144" s="1">
        <v>45517</v>
      </c>
      <c r="C1144" s="11">
        <f t="shared" si="51"/>
        <v>2024</v>
      </c>
      <c r="D1144" t="s">
        <v>102</v>
      </c>
      <c r="E1144" t="s">
        <v>46</v>
      </c>
      <c r="F1144" t="s">
        <v>47</v>
      </c>
      <c r="G1144" t="s">
        <v>36</v>
      </c>
      <c r="H1144">
        <v>1</v>
      </c>
      <c r="I1144" s="2">
        <v>93.26</v>
      </c>
      <c r="J1144" s="2">
        <v>93.26</v>
      </c>
      <c r="K1144" s="2">
        <f t="shared" si="52"/>
        <v>93.26</v>
      </c>
      <c r="L1144" s="2">
        <f t="shared" si="53"/>
        <v>0</v>
      </c>
      <c r="M1144" t="s">
        <v>15</v>
      </c>
      <c r="N1144" t="s">
        <v>21</v>
      </c>
    </row>
    <row r="1145" spans="1:14" x14ac:dyDescent="0.3">
      <c r="A1145">
        <v>2024002143</v>
      </c>
      <c r="B1145" s="1">
        <v>45446</v>
      </c>
      <c r="C1145" s="11">
        <f t="shared" si="51"/>
        <v>2024</v>
      </c>
      <c r="D1145" t="s">
        <v>230</v>
      </c>
      <c r="E1145" t="s">
        <v>28</v>
      </c>
      <c r="F1145" t="s">
        <v>29</v>
      </c>
      <c r="G1145" t="s">
        <v>30</v>
      </c>
      <c r="H1145">
        <v>1</v>
      </c>
      <c r="I1145" s="2">
        <v>25.08</v>
      </c>
      <c r="J1145" s="2">
        <v>25.08</v>
      </c>
      <c r="K1145" s="2">
        <f t="shared" si="52"/>
        <v>25.08</v>
      </c>
      <c r="L1145" s="2">
        <f t="shared" si="53"/>
        <v>0</v>
      </c>
      <c r="M1145" t="s">
        <v>64</v>
      </c>
      <c r="N1145" t="s">
        <v>26</v>
      </c>
    </row>
    <row r="1146" spans="1:14" x14ac:dyDescent="0.3">
      <c r="A1146">
        <v>2024002065</v>
      </c>
      <c r="B1146" s="1">
        <v>45313</v>
      </c>
      <c r="C1146" s="11">
        <f t="shared" si="51"/>
        <v>2024</v>
      </c>
      <c r="D1146" t="s">
        <v>17</v>
      </c>
      <c r="E1146" t="s">
        <v>28</v>
      </c>
      <c r="F1146" t="s">
        <v>29</v>
      </c>
      <c r="G1146" t="s">
        <v>30</v>
      </c>
      <c r="H1146">
        <v>1</v>
      </c>
      <c r="I1146" s="2">
        <v>27.23</v>
      </c>
      <c r="J1146" s="2">
        <v>27.23</v>
      </c>
      <c r="K1146" s="2">
        <f t="shared" si="52"/>
        <v>27.23</v>
      </c>
      <c r="L1146" s="2">
        <f t="shared" si="53"/>
        <v>0</v>
      </c>
      <c r="M1146" t="s">
        <v>64</v>
      </c>
      <c r="N1146" t="s">
        <v>26</v>
      </c>
    </row>
    <row r="1147" spans="1:14" x14ac:dyDescent="0.3">
      <c r="A1147">
        <v>2024002145</v>
      </c>
      <c r="B1147" s="1">
        <v>45537</v>
      </c>
      <c r="C1147" s="11">
        <f t="shared" si="51"/>
        <v>2024</v>
      </c>
      <c r="D1147" t="s">
        <v>165</v>
      </c>
      <c r="E1147" t="s">
        <v>46</v>
      </c>
      <c r="F1147" t="s">
        <v>47</v>
      </c>
      <c r="G1147" t="s">
        <v>36</v>
      </c>
      <c r="H1147">
        <v>3</v>
      </c>
      <c r="I1147" s="2">
        <v>90.06</v>
      </c>
      <c r="J1147" s="2">
        <v>270.18</v>
      </c>
      <c r="K1147" s="2">
        <f t="shared" si="52"/>
        <v>270.18</v>
      </c>
      <c r="L1147" s="2">
        <f t="shared" si="53"/>
        <v>0</v>
      </c>
      <c r="M1147" t="s">
        <v>38</v>
      </c>
      <c r="N1147" t="s">
        <v>16</v>
      </c>
    </row>
    <row r="1148" spans="1:14" x14ac:dyDescent="0.3">
      <c r="A1148">
        <v>2024002146</v>
      </c>
      <c r="B1148" s="1">
        <v>45495</v>
      </c>
      <c r="C1148" s="11">
        <f t="shared" si="51"/>
        <v>2024</v>
      </c>
      <c r="D1148" t="s">
        <v>239</v>
      </c>
      <c r="E1148" t="s">
        <v>46</v>
      </c>
      <c r="F1148" t="s">
        <v>47</v>
      </c>
      <c r="G1148" t="s">
        <v>36</v>
      </c>
      <c r="H1148">
        <v>2</v>
      </c>
      <c r="I1148" s="2">
        <v>95.82</v>
      </c>
      <c r="J1148" s="2">
        <v>191.64</v>
      </c>
      <c r="K1148" s="2">
        <f t="shared" si="52"/>
        <v>191.64</v>
      </c>
      <c r="L1148" s="2">
        <f t="shared" si="53"/>
        <v>0</v>
      </c>
      <c r="M1148" t="s">
        <v>61</v>
      </c>
      <c r="N1148" t="s">
        <v>26</v>
      </c>
    </row>
    <row r="1149" spans="1:14" x14ac:dyDescent="0.3">
      <c r="A1149">
        <v>2024002147</v>
      </c>
      <c r="B1149" s="1">
        <v>45437</v>
      </c>
      <c r="C1149" s="11">
        <f t="shared" si="51"/>
        <v>2024</v>
      </c>
      <c r="D1149" t="s">
        <v>11</v>
      </c>
      <c r="E1149" t="s">
        <v>28</v>
      </c>
      <c r="F1149" t="s">
        <v>29</v>
      </c>
      <c r="G1149" t="s">
        <v>30</v>
      </c>
      <c r="H1149">
        <v>2</v>
      </c>
      <c r="I1149" s="2">
        <v>24.68</v>
      </c>
      <c r="J1149" s="2">
        <v>49.36</v>
      </c>
      <c r="K1149" s="2">
        <f t="shared" si="52"/>
        <v>49.36</v>
      </c>
      <c r="L1149" s="2">
        <f t="shared" si="53"/>
        <v>0</v>
      </c>
      <c r="M1149" t="s">
        <v>20</v>
      </c>
      <c r="N1149" t="s">
        <v>26</v>
      </c>
    </row>
    <row r="1150" spans="1:14" x14ac:dyDescent="0.3">
      <c r="A1150">
        <v>2024002148</v>
      </c>
      <c r="B1150" s="1">
        <v>45419</v>
      </c>
      <c r="C1150" s="11">
        <f t="shared" si="51"/>
        <v>2024</v>
      </c>
      <c r="D1150" t="s">
        <v>143</v>
      </c>
      <c r="E1150" t="s">
        <v>53</v>
      </c>
      <c r="F1150" t="s">
        <v>54</v>
      </c>
      <c r="G1150" t="s">
        <v>36</v>
      </c>
      <c r="H1150">
        <v>1</v>
      </c>
      <c r="I1150" s="2">
        <v>130.16</v>
      </c>
      <c r="J1150" s="2">
        <v>130.16</v>
      </c>
      <c r="K1150" s="2">
        <f t="shared" si="52"/>
        <v>130.16</v>
      </c>
      <c r="L1150" s="2">
        <f t="shared" si="53"/>
        <v>0</v>
      </c>
      <c r="M1150" t="s">
        <v>57</v>
      </c>
      <c r="N1150" t="s">
        <v>21</v>
      </c>
    </row>
    <row r="1151" spans="1:14" x14ac:dyDescent="0.3">
      <c r="A1151">
        <v>2024002149</v>
      </c>
      <c r="B1151" s="1">
        <v>45489</v>
      </c>
      <c r="C1151" s="11">
        <f t="shared" si="51"/>
        <v>2024</v>
      </c>
      <c r="D1151" t="s">
        <v>252</v>
      </c>
      <c r="E1151" t="s">
        <v>12</v>
      </c>
      <c r="F1151" t="s">
        <v>13</v>
      </c>
      <c r="G1151" t="s">
        <v>14</v>
      </c>
      <c r="H1151">
        <v>2</v>
      </c>
      <c r="I1151" s="2">
        <v>334.5</v>
      </c>
      <c r="J1151" s="2">
        <v>669</v>
      </c>
      <c r="K1151" s="2">
        <f t="shared" si="52"/>
        <v>669</v>
      </c>
      <c r="L1151" s="2">
        <f t="shared" si="53"/>
        <v>0</v>
      </c>
      <c r="M1151" t="s">
        <v>64</v>
      </c>
      <c r="N1151" t="s">
        <v>21</v>
      </c>
    </row>
    <row r="1152" spans="1:14" x14ac:dyDescent="0.3">
      <c r="A1152">
        <v>2024002150</v>
      </c>
      <c r="B1152" s="1">
        <v>45348</v>
      </c>
      <c r="C1152" s="11">
        <f t="shared" si="51"/>
        <v>2024</v>
      </c>
      <c r="D1152" t="s">
        <v>191</v>
      </c>
      <c r="E1152" t="s">
        <v>40</v>
      </c>
      <c r="F1152" t="s">
        <v>41</v>
      </c>
      <c r="G1152" t="s">
        <v>36</v>
      </c>
      <c r="H1152">
        <v>1</v>
      </c>
      <c r="I1152" s="2">
        <v>44.1</v>
      </c>
      <c r="J1152" s="2">
        <v>44.1</v>
      </c>
      <c r="K1152" s="2">
        <f t="shared" si="52"/>
        <v>44.1</v>
      </c>
      <c r="L1152" s="2">
        <f t="shared" si="53"/>
        <v>0</v>
      </c>
      <c r="M1152" t="s">
        <v>20</v>
      </c>
      <c r="N1152" t="s">
        <v>16</v>
      </c>
    </row>
    <row r="1153" spans="1:14" x14ac:dyDescent="0.3">
      <c r="A1153">
        <v>2024002151</v>
      </c>
      <c r="B1153" s="1">
        <v>45651</v>
      </c>
      <c r="C1153" s="11">
        <f t="shared" si="51"/>
        <v>2024</v>
      </c>
      <c r="D1153" t="s">
        <v>145</v>
      </c>
      <c r="E1153" t="s">
        <v>40</v>
      </c>
      <c r="F1153" t="s">
        <v>41</v>
      </c>
      <c r="G1153" t="s">
        <v>36</v>
      </c>
      <c r="H1153">
        <v>2</v>
      </c>
      <c r="I1153" s="2">
        <v>46.84</v>
      </c>
      <c r="J1153" s="2">
        <v>93.68</v>
      </c>
      <c r="K1153" s="2">
        <f t="shared" si="52"/>
        <v>93.68</v>
      </c>
      <c r="L1153" s="2">
        <f t="shared" si="53"/>
        <v>0</v>
      </c>
      <c r="M1153" t="s">
        <v>15</v>
      </c>
      <c r="N1153" t="s">
        <v>16</v>
      </c>
    </row>
    <row r="1154" spans="1:14" x14ac:dyDescent="0.3">
      <c r="A1154">
        <v>2024002152</v>
      </c>
      <c r="B1154" s="1">
        <v>45385</v>
      </c>
      <c r="C1154" s="11">
        <f t="shared" si="51"/>
        <v>2024</v>
      </c>
      <c r="D1154" t="s">
        <v>316</v>
      </c>
      <c r="E1154" t="s">
        <v>18</v>
      </c>
      <c r="F1154" t="s">
        <v>19</v>
      </c>
      <c r="G1154" t="s">
        <v>14</v>
      </c>
      <c r="H1154">
        <v>1</v>
      </c>
      <c r="I1154" s="2">
        <v>551.19000000000005</v>
      </c>
      <c r="J1154" s="2">
        <v>551.19000000000005</v>
      </c>
      <c r="K1154" s="2">
        <f t="shared" si="52"/>
        <v>551.19000000000005</v>
      </c>
      <c r="L1154" s="2">
        <f t="shared" si="53"/>
        <v>0</v>
      </c>
      <c r="M1154" t="s">
        <v>55</v>
      </c>
      <c r="N1154" t="s">
        <v>26</v>
      </c>
    </row>
    <row r="1155" spans="1:14" x14ac:dyDescent="0.3">
      <c r="A1155">
        <v>2024002153</v>
      </c>
      <c r="B1155" s="1">
        <v>45439</v>
      </c>
      <c r="C1155" s="11">
        <f t="shared" ref="C1155:C1218" si="54">YEAR(B1155)</f>
        <v>2024</v>
      </c>
      <c r="D1155" t="s">
        <v>308</v>
      </c>
      <c r="E1155" t="s">
        <v>53</v>
      </c>
      <c r="F1155" t="s">
        <v>54</v>
      </c>
      <c r="G1155" t="s">
        <v>36</v>
      </c>
      <c r="H1155">
        <v>1</v>
      </c>
      <c r="I1155" s="2">
        <v>132.13999999999999</v>
      </c>
      <c r="J1155" s="2">
        <v>132.13999999999999</v>
      </c>
      <c r="K1155" s="2">
        <f t="shared" ref="K1155:K1218" si="55">I1155*H1155</f>
        <v>132.13999999999999</v>
      </c>
      <c r="L1155" s="2">
        <f t="shared" ref="L1155:L1218" si="56">J1155-K1155</f>
        <v>0</v>
      </c>
      <c r="M1155" t="s">
        <v>38</v>
      </c>
      <c r="N1155" t="s">
        <v>21</v>
      </c>
    </row>
    <row r="1156" spans="1:14" x14ac:dyDescent="0.3">
      <c r="A1156">
        <v>2024002154</v>
      </c>
      <c r="B1156" s="1">
        <v>45569</v>
      </c>
      <c r="C1156" s="11">
        <f t="shared" si="54"/>
        <v>2024</v>
      </c>
      <c r="D1156" t="s">
        <v>211</v>
      </c>
      <c r="E1156" t="s">
        <v>43</v>
      </c>
      <c r="F1156" t="s">
        <v>44</v>
      </c>
      <c r="G1156" t="s">
        <v>36</v>
      </c>
      <c r="H1156">
        <v>1</v>
      </c>
      <c r="I1156" s="2">
        <v>1265.53</v>
      </c>
      <c r="J1156" s="2">
        <v>1265.53</v>
      </c>
      <c r="K1156" s="2">
        <f t="shared" si="55"/>
        <v>1265.53</v>
      </c>
      <c r="L1156" s="2">
        <f t="shared" si="56"/>
        <v>0</v>
      </c>
      <c r="M1156" t="s">
        <v>25</v>
      </c>
      <c r="N1156" t="s">
        <v>21</v>
      </c>
    </row>
    <row r="1157" spans="1:14" x14ac:dyDescent="0.3">
      <c r="A1157">
        <v>2024002155</v>
      </c>
      <c r="B1157" s="1">
        <v>45315</v>
      </c>
      <c r="C1157" s="11">
        <f t="shared" si="54"/>
        <v>2024</v>
      </c>
      <c r="D1157" t="s">
        <v>204</v>
      </c>
      <c r="E1157" t="s">
        <v>23</v>
      </c>
      <c r="F1157" t="s">
        <v>24</v>
      </c>
      <c r="G1157" t="s">
        <v>14</v>
      </c>
      <c r="H1157">
        <v>2</v>
      </c>
      <c r="I1157" s="2">
        <v>77.81</v>
      </c>
      <c r="J1157" s="2">
        <v>155.62</v>
      </c>
      <c r="K1157" s="2">
        <f t="shared" si="55"/>
        <v>155.62</v>
      </c>
      <c r="L1157" s="2">
        <f t="shared" si="56"/>
        <v>0</v>
      </c>
      <c r="M1157" t="s">
        <v>64</v>
      </c>
      <c r="N1157" t="s">
        <v>16</v>
      </c>
    </row>
    <row r="1158" spans="1:14" x14ac:dyDescent="0.3">
      <c r="A1158">
        <v>2024002156</v>
      </c>
      <c r="B1158" s="1">
        <v>45485</v>
      </c>
      <c r="C1158" s="11">
        <f t="shared" si="54"/>
        <v>2024</v>
      </c>
      <c r="D1158" t="s">
        <v>76</v>
      </c>
      <c r="E1158" t="s">
        <v>43</v>
      </c>
      <c r="F1158" t="s">
        <v>44</v>
      </c>
      <c r="G1158" t="s">
        <v>36</v>
      </c>
      <c r="H1158">
        <v>1</v>
      </c>
      <c r="I1158" s="2">
        <v>1175.4100000000001</v>
      </c>
      <c r="J1158" s="2">
        <v>1175.4100000000001</v>
      </c>
      <c r="K1158" s="2">
        <f t="shared" si="55"/>
        <v>1175.4100000000001</v>
      </c>
      <c r="L1158" s="2">
        <f t="shared" si="56"/>
        <v>0</v>
      </c>
      <c r="M1158" t="s">
        <v>25</v>
      </c>
      <c r="N1158" t="s">
        <v>26</v>
      </c>
    </row>
    <row r="1159" spans="1:14" x14ac:dyDescent="0.3">
      <c r="A1159">
        <v>2024002157</v>
      </c>
      <c r="B1159" s="1">
        <v>45477</v>
      </c>
      <c r="C1159" s="11">
        <f t="shared" si="54"/>
        <v>2024</v>
      </c>
      <c r="D1159" t="s">
        <v>45</v>
      </c>
      <c r="E1159" t="s">
        <v>53</v>
      </c>
      <c r="F1159" t="s">
        <v>54</v>
      </c>
      <c r="G1159" t="s">
        <v>36</v>
      </c>
      <c r="H1159">
        <v>1</v>
      </c>
      <c r="I1159" s="2">
        <v>124.7</v>
      </c>
      <c r="J1159" s="2">
        <v>124.7</v>
      </c>
      <c r="K1159" s="2">
        <f t="shared" si="55"/>
        <v>124.7</v>
      </c>
      <c r="L1159" s="2">
        <f t="shared" si="56"/>
        <v>0</v>
      </c>
      <c r="M1159" t="s">
        <v>57</v>
      </c>
      <c r="N1159" t="s">
        <v>32</v>
      </c>
    </row>
    <row r="1160" spans="1:14" x14ac:dyDescent="0.3">
      <c r="A1160">
        <v>2024002158</v>
      </c>
      <c r="B1160" s="1">
        <v>45429</v>
      </c>
      <c r="C1160" s="11">
        <f t="shared" si="54"/>
        <v>2024</v>
      </c>
      <c r="D1160" t="s">
        <v>69</v>
      </c>
      <c r="E1160" t="s">
        <v>46</v>
      </c>
      <c r="F1160" t="s">
        <v>47</v>
      </c>
      <c r="G1160" t="s">
        <v>36</v>
      </c>
      <c r="H1160">
        <v>1</v>
      </c>
      <c r="I1160" s="2">
        <v>94.62</v>
      </c>
      <c r="J1160" s="2">
        <v>94.62</v>
      </c>
      <c r="K1160" s="2">
        <f t="shared" si="55"/>
        <v>94.62</v>
      </c>
      <c r="L1160" s="2">
        <f t="shared" si="56"/>
        <v>0</v>
      </c>
      <c r="M1160" t="s">
        <v>31</v>
      </c>
      <c r="N1160" t="s">
        <v>32</v>
      </c>
    </row>
    <row r="1161" spans="1:14" x14ac:dyDescent="0.3">
      <c r="A1161">
        <v>2024002159</v>
      </c>
      <c r="B1161" s="1">
        <v>45317</v>
      </c>
      <c r="C1161" s="11">
        <f t="shared" si="54"/>
        <v>2024</v>
      </c>
      <c r="D1161" t="s">
        <v>11</v>
      </c>
      <c r="E1161" t="s">
        <v>34</v>
      </c>
      <c r="F1161" t="s">
        <v>35</v>
      </c>
      <c r="G1161" t="s">
        <v>36</v>
      </c>
      <c r="H1161">
        <v>1</v>
      </c>
      <c r="I1161" s="2">
        <v>15.45</v>
      </c>
      <c r="J1161" s="2">
        <v>15.45</v>
      </c>
      <c r="K1161" s="2">
        <f t="shared" si="55"/>
        <v>15.45</v>
      </c>
      <c r="L1161" s="2">
        <f t="shared" si="56"/>
        <v>0</v>
      </c>
      <c r="M1161" t="s">
        <v>31</v>
      </c>
      <c r="N1161" t="s">
        <v>16</v>
      </c>
    </row>
    <row r="1162" spans="1:14" x14ac:dyDescent="0.3">
      <c r="A1162">
        <v>2024002160</v>
      </c>
      <c r="B1162" s="1">
        <v>45657</v>
      </c>
      <c r="C1162" s="11">
        <f t="shared" si="54"/>
        <v>2024</v>
      </c>
      <c r="D1162" t="s">
        <v>152</v>
      </c>
      <c r="E1162" t="s">
        <v>23</v>
      </c>
      <c r="F1162" t="s">
        <v>24</v>
      </c>
      <c r="G1162" t="s">
        <v>14</v>
      </c>
      <c r="H1162">
        <v>2</v>
      </c>
      <c r="I1162" s="2">
        <v>74.02</v>
      </c>
      <c r="J1162" s="2">
        <v>148.04</v>
      </c>
      <c r="K1162" s="2">
        <f t="shared" si="55"/>
        <v>148.04</v>
      </c>
      <c r="L1162" s="2">
        <f t="shared" si="56"/>
        <v>0</v>
      </c>
      <c r="M1162" t="s">
        <v>55</v>
      </c>
      <c r="N1162" t="s">
        <v>16</v>
      </c>
    </row>
    <row r="1163" spans="1:14" x14ac:dyDescent="0.3">
      <c r="A1163">
        <v>2024002161</v>
      </c>
      <c r="B1163" s="1">
        <v>45340</v>
      </c>
      <c r="C1163" s="11">
        <f t="shared" si="54"/>
        <v>2024</v>
      </c>
      <c r="D1163" t="s">
        <v>71</v>
      </c>
      <c r="E1163" t="s">
        <v>28</v>
      </c>
      <c r="F1163" t="s">
        <v>29</v>
      </c>
      <c r="G1163" t="s">
        <v>30</v>
      </c>
      <c r="H1163">
        <v>1</v>
      </c>
      <c r="I1163" s="2">
        <v>23.85</v>
      </c>
      <c r="J1163" s="2">
        <v>23.85</v>
      </c>
      <c r="K1163" s="2">
        <f t="shared" si="55"/>
        <v>23.85</v>
      </c>
      <c r="L1163" s="2">
        <f t="shared" si="56"/>
        <v>0</v>
      </c>
      <c r="M1163" t="s">
        <v>57</v>
      </c>
      <c r="N1163" t="s">
        <v>32</v>
      </c>
    </row>
    <row r="1164" spans="1:14" x14ac:dyDescent="0.3">
      <c r="A1164">
        <v>2024002162</v>
      </c>
      <c r="B1164" s="1">
        <v>45459</v>
      </c>
      <c r="C1164" s="11">
        <f t="shared" si="54"/>
        <v>2024</v>
      </c>
      <c r="D1164" t="s">
        <v>173</v>
      </c>
      <c r="E1164" t="s">
        <v>12</v>
      </c>
      <c r="F1164" t="s">
        <v>13</v>
      </c>
      <c r="G1164" t="s">
        <v>14</v>
      </c>
      <c r="H1164">
        <v>1</v>
      </c>
      <c r="I1164" s="2">
        <v>324.63</v>
      </c>
      <c r="J1164" s="2">
        <v>324.63</v>
      </c>
      <c r="K1164" s="2">
        <f t="shared" si="55"/>
        <v>324.63</v>
      </c>
      <c r="L1164" s="2">
        <f t="shared" si="56"/>
        <v>0</v>
      </c>
      <c r="M1164" t="s">
        <v>31</v>
      </c>
      <c r="N1164" t="s">
        <v>21</v>
      </c>
    </row>
    <row r="1165" spans="1:14" x14ac:dyDescent="0.3">
      <c r="A1165">
        <v>2024002163</v>
      </c>
      <c r="B1165" s="1">
        <v>45458</v>
      </c>
      <c r="C1165" s="11">
        <f t="shared" si="54"/>
        <v>2024</v>
      </c>
      <c r="D1165" t="s">
        <v>108</v>
      </c>
      <c r="E1165" t="s">
        <v>67</v>
      </c>
      <c r="F1165" t="s">
        <v>68</v>
      </c>
      <c r="G1165" t="s">
        <v>36</v>
      </c>
      <c r="H1165">
        <v>1</v>
      </c>
      <c r="I1165" s="2">
        <v>393.69</v>
      </c>
      <c r="J1165" s="2">
        <v>393.69</v>
      </c>
      <c r="K1165" s="2">
        <f t="shared" si="55"/>
        <v>393.69</v>
      </c>
      <c r="L1165" s="2">
        <f t="shared" si="56"/>
        <v>0</v>
      </c>
      <c r="M1165" t="s">
        <v>15</v>
      </c>
      <c r="N1165" t="s">
        <v>32</v>
      </c>
    </row>
    <row r="1166" spans="1:14" x14ac:dyDescent="0.3">
      <c r="A1166">
        <v>2024002164</v>
      </c>
      <c r="B1166" s="1">
        <v>45563</v>
      </c>
      <c r="C1166" s="11">
        <f t="shared" si="54"/>
        <v>2024</v>
      </c>
      <c r="D1166" t="s">
        <v>341</v>
      </c>
      <c r="E1166" t="s">
        <v>53</v>
      </c>
      <c r="F1166" t="s">
        <v>54</v>
      </c>
      <c r="G1166" t="s">
        <v>36</v>
      </c>
      <c r="H1166">
        <v>3</v>
      </c>
      <c r="I1166" s="2">
        <v>131.44</v>
      </c>
      <c r="J1166" s="2">
        <v>394.32</v>
      </c>
      <c r="K1166" s="2">
        <f t="shared" si="55"/>
        <v>394.32</v>
      </c>
      <c r="L1166" s="2">
        <f t="shared" si="56"/>
        <v>0</v>
      </c>
      <c r="M1166" t="s">
        <v>31</v>
      </c>
      <c r="N1166" t="s">
        <v>16</v>
      </c>
    </row>
    <row r="1167" spans="1:14" x14ac:dyDescent="0.3">
      <c r="A1167">
        <v>2024002165</v>
      </c>
      <c r="B1167" s="1">
        <v>45353</v>
      </c>
      <c r="C1167" s="11">
        <f t="shared" si="54"/>
        <v>2024</v>
      </c>
      <c r="D1167" t="s">
        <v>184</v>
      </c>
      <c r="E1167" t="s">
        <v>40</v>
      </c>
      <c r="F1167" t="s">
        <v>41</v>
      </c>
      <c r="G1167" t="s">
        <v>36</v>
      </c>
      <c r="H1167">
        <v>3</v>
      </c>
      <c r="I1167" s="2">
        <v>41.77</v>
      </c>
      <c r="J1167" s="2">
        <v>125.31</v>
      </c>
      <c r="K1167" s="2">
        <f t="shared" si="55"/>
        <v>125.31</v>
      </c>
      <c r="L1167" s="2">
        <f t="shared" si="56"/>
        <v>0</v>
      </c>
      <c r="M1167" t="s">
        <v>38</v>
      </c>
      <c r="N1167" t="s">
        <v>32</v>
      </c>
    </row>
    <row r="1168" spans="1:14" x14ac:dyDescent="0.3">
      <c r="A1168">
        <v>2024002166</v>
      </c>
      <c r="B1168" s="1">
        <v>45373</v>
      </c>
      <c r="C1168" s="11">
        <f t="shared" si="54"/>
        <v>2024</v>
      </c>
      <c r="D1168" t="s">
        <v>102</v>
      </c>
      <c r="E1168" t="s">
        <v>23</v>
      </c>
      <c r="F1168" t="s">
        <v>24</v>
      </c>
      <c r="G1168" t="s">
        <v>14</v>
      </c>
      <c r="H1168">
        <v>1</v>
      </c>
      <c r="I1168" s="2">
        <v>85</v>
      </c>
      <c r="J1168" s="2">
        <v>85</v>
      </c>
      <c r="K1168" s="2">
        <f t="shared" si="55"/>
        <v>85</v>
      </c>
      <c r="L1168" s="2">
        <f t="shared" si="56"/>
        <v>0</v>
      </c>
      <c r="M1168" t="s">
        <v>55</v>
      </c>
      <c r="N1168" t="s">
        <v>26</v>
      </c>
    </row>
    <row r="1169" spans="1:14" x14ac:dyDescent="0.3">
      <c r="A1169">
        <v>2024002167</v>
      </c>
      <c r="B1169" s="1">
        <v>45635</v>
      </c>
      <c r="C1169" s="11">
        <f t="shared" si="54"/>
        <v>2024</v>
      </c>
      <c r="D1169" t="s">
        <v>74</v>
      </c>
      <c r="E1169" t="s">
        <v>43</v>
      </c>
      <c r="F1169" t="s">
        <v>44</v>
      </c>
      <c r="G1169" t="s">
        <v>36</v>
      </c>
      <c r="H1169">
        <v>3</v>
      </c>
      <c r="I1169" s="2">
        <v>1259.02</v>
      </c>
      <c r="J1169" s="2">
        <v>3777.06</v>
      </c>
      <c r="K1169" s="2">
        <f t="shared" si="55"/>
        <v>3777.06</v>
      </c>
      <c r="L1169" s="2">
        <f t="shared" si="56"/>
        <v>0</v>
      </c>
      <c r="M1169" t="s">
        <v>48</v>
      </c>
      <c r="N1169" t="s">
        <v>32</v>
      </c>
    </row>
    <row r="1170" spans="1:14" x14ac:dyDescent="0.3">
      <c r="A1170">
        <v>2024002168</v>
      </c>
      <c r="B1170" s="1">
        <v>45326</v>
      </c>
      <c r="C1170" s="11">
        <f t="shared" si="54"/>
        <v>2024</v>
      </c>
      <c r="D1170" t="s">
        <v>192</v>
      </c>
      <c r="E1170" t="s">
        <v>46</v>
      </c>
      <c r="F1170" t="s">
        <v>47</v>
      </c>
      <c r="G1170" t="s">
        <v>36</v>
      </c>
      <c r="H1170">
        <v>5</v>
      </c>
      <c r="I1170" s="2">
        <v>87.67</v>
      </c>
      <c r="J1170" s="2">
        <v>438.35</v>
      </c>
      <c r="K1170" s="2">
        <f t="shared" si="55"/>
        <v>438.35</v>
      </c>
      <c r="L1170" s="2">
        <f t="shared" si="56"/>
        <v>0</v>
      </c>
      <c r="M1170" t="s">
        <v>57</v>
      </c>
      <c r="N1170" t="s">
        <v>26</v>
      </c>
    </row>
    <row r="1171" spans="1:14" x14ac:dyDescent="0.3">
      <c r="A1171">
        <v>2024002169</v>
      </c>
      <c r="B1171" s="1">
        <v>45616</v>
      </c>
      <c r="C1171" s="11">
        <f t="shared" si="54"/>
        <v>2024</v>
      </c>
      <c r="D1171" t="s">
        <v>92</v>
      </c>
      <c r="E1171" t="s">
        <v>46</v>
      </c>
      <c r="F1171" t="s">
        <v>47</v>
      </c>
      <c r="G1171" t="s">
        <v>36</v>
      </c>
      <c r="H1171">
        <v>2</v>
      </c>
      <c r="I1171" s="2">
        <v>90.98</v>
      </c>
      <c r="J1171" s="2">
        <v>181.96</v>
      </c>
      <c r="K1171" s="2">
        <f t="shared" si="55"/>
        <v>181.96</v>
      </c>
      <c r="L1171" s="2">
        <f t="shared" si="56"/>
        <v>0</v>
      </c>
      <c r="M1171" t="s">
        <v>48</v>
      </c>
      <c r="N1171" t="s">
        <v>21</v>
      </c>
    </row>
    <row r="1172" spans="1:14" x14ac:dyDescent="0.3">
      <c r="A1172">
        <v>2024002170</v>
      </c>
      <c r="B1172" s="1">
        <v>45362</v>
      </c>
      <c r="C1172" s="11">
        <f t="shared" si="54"/>
        <v>2024</v>
      </c>
      <c r="D1172" t="s">
        <v>252</v>
      </c>
      <c r="E1172" t="s">
        <v>53</v>
      </c>
      <c r="F1172" t="s">
        <v>54</v>
      </c>
      <c r="G1172" t="s">
        <v>36</v>
      </c>
      <c r="H1172">
        <v>4</v>
      </c>
      <c r="I1172" s="2">
        <v>117.48</v>
      </c>
      <c r="J1172" s="2">
        <v>469.92</v>
      </c>
      <c r="K1172" s="2">
        <f t="shared" si="55"/>
        <v>469.92</v>
      </c>
      <c r="L1172" s="2">
        <f t="shared" si="56"/>
        <v>0</v>
      </c>
      <c r="M1172" t="s">
        <v>55</v>
      </c>
      <c r="N1172" t="s">
        <v>21</v>
      </c>
    </row>
    <row r="1173" spans="1:14" x14ac:dyDescent="0.3">
      <c r="A1173">
        <v>2024002171</v>
      </c>
      <c r="B1173" s="1">
        <v>45300</v>
      </c>
      <c r="C1173" s="11">
        <f t="shared" si="54"/>
        <v>2024</v>
      </c>
      <c r="D1173" t="s">
        <v>136</v>
      </c>
      <c r="E1173" t="s">
        <v>43</v>
      </c>
      <c r="F1173" t="s">
        <v>44</v>
      </c>
      <c r="G1173" t="s">
        <v>36</v>
      </c>
      <c r="H1173">
        <v>2</v>
      </c>
      <c r="I1173" s="2">
        <v>1174.5999999999999</v>
      </c>
      <c r="J1173" s="2">
        <v>2349.1999999999998</v>
      </c>
      <c r="K1173" s="2">
        <f t="shared" si="55"/>
        <v>2349.1999999999998</v>
      </c>
      <c r="L1173" s="2">
        <f t="shared" si="56"/>
        <v>0</v>
      </c>
      <c r="M1173" t="s">
        <v>64</v>
      </c>
      <c r="N1173" t="s">
        <v>26</v>
      </c>
    </row>
    <row r="1174" spans="1:14" x14ac:dyDescent="0.3">
      <c r="A1174">
        <v>2024001208</v>
      </c>
      <c r="B1174" s="1">
        <v>45578</v>
      </c>
      <c r="C1174" s="11">
        <f t="shared" si="54"/>
        <v>2024</v>
      </c>
      <c r="D1174" t="s">
        <v>278</v>
      </c>
      <c r="E1174" t="s">
        <v>46</v>
      </c>
      <c r="F1174" t="s">
        <v>47</v>
      </c>
      <c r="G1174" t="s">
        <v>36</v>
      </c>
      <c r="H1174">
        <v>5</v>
      </c>
      <c r="I1174" s="2">
        <v>91.96</v>
      </c>
      <c r="J1174" s="2">
        <v>459.8</v>
      </c>
      <c r="K1174" s="2">
        <f t="shared" si="55"/>
        <v>459.79999999999995</v>
      </c>
      <c r="L1174" s="2">
        <f t="shared" si="56"/>
        <v>0</v>
      </c>
      <c r="M1174" t="s">
        <v>31</v>
      </c>
      <c r="N1174" t="s">
        <v>32</v>
      </c>
    </row>
    <row r="1175" spans="1:14" x14ac:dyDescent="0.3">
      <c r="A1175">
        <v>2024002173</v>
      </c>
      <c r="B1175" s="1">
        <v>45339</v>
      </c>
      <c r="C1175" s="11">
        <f t="shared" si="54"/>
        <v>2024</v>
      </c>
      <c r="D1175" t="s">
        <v>11</v>
      </c>
      <c r="E1175" t="s">
        <v>18</v>
      </c>
      <c r="F1175" t="s">
        <v>19</v>
      </c>
      <c r="G1175" t="s">
        <v>14</v>
      </c>
      <c r="H1175">
        <v>3</v>
      </c>
      <c r="I1175" s="2">
        <v>590.84</v>
      </c>
      <c r="J1175" s="2">
        <v>1772.52</v>
      </c>
      <c r="K1175" s="2">
        <f t="shared" si="55"/>
        <v>1772.52</v>
      </c>
      <c r="L1175" s="2">
        <f t="shared" si="56"/>
        <v>0</v>
      </c>
      <c r="M1175" t="s">
        <v>64</v>
      </c>
      <c r="N1175" t="s">
        <v>32</v>
      </c>
    </row>
    <row r="1176" spans="1:14" x14ac:dyDescent="0.3">
      <c r="A1176">
        <v>2024002174</v>
      </c>
      <c r="B1176" s="1">
        <v>45598</v>
      </c>
      <c r="C1176" s="11">
        <f t="shared" si="54"/>
        <v>2024</v>
      </c>
      <c r="D1176" t="s">
        <v>79</v>
      </c>
      <c r="E1176" t="s">
        <v>67</v>
      </c>
      <c r="F1176" t="s">
        <v>68</v>
      </c>
      <c r="G1176" t="s">
        <v>36</v>
      </c>
      <c r="H1176">
        <v>2</v>
      </c>
      <c r="I1176" s="2">
        <v>405.22</v>
      </c>
      <c r="J1176" s="2">
        <v>810.44</v>
      </c>
      <c r="K1176" s="2">
        <f t="shared" si="55"/>
        <v>810.44</v>
      </c>
      <c r="L1176" s="2">
        <f t="shared" si="56"/>
        <v>0</v>
      </c>
      <c r="M1176" t="s">
        <v>31</v>
      </c>
      <c r="N1176" t="s">
        <v>21</v>
      </c>
    </row>
    <row r="1177" spans="1:14" x14ac:dyDescent="0.3">
      <c r="A1177">
        <v>2024002175</v>
      </c>
      <c r="B1177" s="1">
        <v>45548</v>
      </c>
      <c r="C1177" s="11">
        <f t="shared" si="54"/>
        <v>2024</v>
      </c>
      <c r="D1177" t="s">
        <v>261</v>
      </c>
      <c r="E1177" t="s">
        <v>18</v>
      </c>
      <c r="F1177" t="s">
        <v>19</v>
      </c>
      <c r="G1177" t="s">
        <v>14</v>
      </c>
      <c r="H1177">
        <v>2</v>
      </c>
      <c r="I1177" s="2">
        <v>599.26</v>
      </c>
      <c r="J1177" s="2">
        <v>1198.52</v>
      </c>
      <c r="K1177" s="2">
        <f t="shared" si="55"/>
        <v>1198.52</v>
      </c>
      <c r="L1177" s="2">
        <f t="shared" si="56"/>
        <v>0</v>
      </c>
      <c r="M1177" t="s">
        <v>38</v>
      </c>
      <c r="N1177" t="s">
        <v>32</v>
      </c>
    </row>
    <row r="1178" spans="1:14" x14ac:dyDescent="0.3">
      <c r="A1178">
        <v>2024002176</v>
      </c>
      <c r="B1178" s="1">
        <v>45608</v>
      </c>
      <c r="C1178" s="11">
        <f t="shared" si="54"/>
        <v>2024</v>
      </c>
      <c r="D1178" t="s">
        <v>120</v>
      </c>
      <c r="E1178" t="s">
        <v>53</v>
      </c>
      <c r="F1178" t="s">
        <v>54</v>
      </c>
      <c r="G1178" t="s">
        <v>36</v>
      </c>
      <c r="H1178">
        <v>4</v>
      </c>
      <c r="I1178" s="2">
        <v>122.45</v>
      </c>
      <c r="J1178" s="2">
        <v>489.8</v>
      </c>
      <c r="K1178" s="2">
        <f t="shared" si="55"/>
        <v>489.8</v>
      </c>
      <c r="L1178" s="2">
        <f t="shared" si="56"/>
        <v>0</v>
      </c>
      <c r="M1178" t="s">
        <v>55</v>
      </c>
      <c r="N1178" t="s">
        <v>21</v>
      </c>
    </row>
    <row r="1179" spans="1:14" x14ac:dyDescent="0.3">
      <c r="A1179">
        <v>2024002177</v>
      </c>
      <c r="B1179" s="1">
        <v>45608</v>
      </c>
      <c r="C1179" s="11">
        <f t="shared" si="54"/>
        <v>2024</v>
      </c>
      <c r="D1179" t="s">
        <v>148</v>
      </c>
      <c r="E1179" t="s">
        <v>67</v>
      </c>
      <c r="F1179" t="s">
        <v>68</v>
      </c>
      <c r="G1179" t="s">
        <v>36</v>
      </c>
      <c r="H1179">
        <v>1</v>
      </c>
      <c r="I1179" s="2">
        <v>407.1</v>
      </c>
      <c r="J1179" s="2">
        <v>407.1</v>
      </c>
      <c r="K1179" s="2">
        <f t="shared" si="55"/>
        <v>407.1</v>
      </c>
      <c r="L1179" s="2">
        <f t="shared" si="56"/>
        <v>0</v>
      </c>
      <c r="M1179" t="s">
        <v>61</v>
      </c>
      <c r="N1179" t="s">
        <v>26</v>
      </c>
    </row>
    <row r="1180" spans="1:14" x14ac:dyDescent="0.3">
      <c r="A1180">
        <v>2024002178</v>
      </c>
      <c r="B1180" s="1">
        <v>45371</v>
      </c>
      <c r="C1180" s="11">
        <f t="shared" si="54"/>
        <v>2024</v>
      </c>
      <c r="D1180" t="s">
        <v>33</v>
      </c>
      <c r="E1180" t="s">
        <v>43</v>
      </c>
      <c r="F1180" t="s">
        <v>44</v>
      </c>
      <c r="G1180" t="s">
        <v>36</v>
      </c>
      <c r="H1180">
        <v>1</v>
      </c>
      <c r="I1180" s="2">
        <v>1311.48</v>
      </c>
      <c r="J1180" s="2">
        <v>1311.48</v>
      </c>
      <c r="K1180" s="2">
        <f t="shared" si="55"/>
        <v>1311.48</v>
      </c>
      <c r="L1180" s="2">
        <f t="shared" si="56"/>
        <v>0</v>
      </c>
      <c r="M1180" t="s">
        <v>57</v>
      </c>
      <c r="N1180" t="s">
        <v>26</v>
      </c>
    </row>
    <row r="1181" spans="1:14" x14ac:dyDescent="0.3">
      <c r="A1181">
        <v>2024002179</v>
      </c>
      <c r="B1181" s="1">
        <v>45414</v>
      </c>
      <c r="C1181" s="11">
        <f t="shared" si="54"/>
        <v>2024</v>
      </c>
      <c r="D1181" t="s">
        <v>11</v>
      </c>
      <c r="E1181" t="s">
        <v>43</v>
      </c>
      <c r="F1181" t="s">
        <v>44</v>
      </c>
      <c r="G1181" t="s">
        <v>36</v>
      </c>
      <c r="H1181">
        <v>2</v>
      </c>
      <c r="I1181" s="2">
        <v>1269.58</v>
      </c>
      <c r="J1181" s="2">
        <v>2539.16</v>
      </c>
      <c r="K1181" s="2">
        <f t="shared" si="55"/>
        <v>2539.16</v>
      </c>
      <c r="L1181" s="2">
        <f t="shared" si="56"/>
        <v>0</v>
      </c>
      <c r="M1181" t="s">
        <v>31</v>
      </c>
      <c r="N1181" t="s">
        <v>32</v>
      </c>
    </row>
    <row r="1182" spans="1:14" x14ac:dyDescent="0.3">
      <c r="A1182">
        <v>2024002180</v>
      </c>
      <c r="B1182" s="1">
        <v>45496</v>
      </c>
      <c r="C1182" s="11">
        <f t="shared" si="54"/>
        <v>2024</v>
      </c>
      <c r="D1182" t="s">
        <v>151</v>
      </c>
      <c r="E1182" t="s">
        <v>67</v>
      </c>
      <c r="F1182" t="s">
        <v>68</v>
      </c>
      <c r="G1182" t="s">
        <v>36</v>
      </c>
      <c r="H1182">
        <v>1</v>
      </c>
      <c r="I1182" s="2">
        <v>378.08</v>
      </c>
      <c r="J1182" s="2">
        <v>378.08</v>
      </c>
      <c r="K1182" s="2">
        <f t="shared" si="55"/>
        <v>378.08</v>
      </c>
      <c r="L1182" s="2">
        <f t="shared" si="56"/>
        <v>0</v>
      </c>
      <c r="M1182" t="s">
        <v>38</v>
      </c>
      <c r="N1182" t="s">
        <v>32</v>
      </c>
    </row>
    <row r="1183" spans="1:14" x14ac:dyDescent="0.3">
      <c r="A1183">
        <v>2024002181</v>
      </c>
      <c r="B1183" s="1">
        <v>45345</v>
      </c>
      <c r="C1183" s="11">
        <f t="shared" si="54"/>
        <v>2024</v>
      </c>
      <c r="D1183" t="s">
        <v>340</v>
      </c>
      <c r="E1183" t="s">
        <v>34</v>
      </c>
      <c r="F1183" t="s">
        <v>35</v>
      </c>
      <c r="G1183" t="s">
        <v>36</v>
      </c>
      <c r="H1183">
        <v>2</v>
      </c>
      <c r="I1183" s="2">
        <v>14.95</v>
      </c>
      <c r="J1183" s="2">
        <v>29.9</v>
      </c>
      <c r="K1183" s="2">
        <f t="shared" si="55"/>
        <v>29.9</v>
      </c>
      <c r="L1183" s="2">
        <f t="shared" si="56"/>
        <v>0</v>
      </c>
      <c r="M1183" t="s">
        <v>15</v>
      </c>
      <c r="N1183" t="s">
        <v>32</v>
      </c>
    </row>
    <row r="1184" spans="1:14" x14ac:dyDescent="0.3">
      <c r="A1184">
        <v>2024002182</v>
      </c>
      <c r="B1184" s="1">
        <v>45581</v>
      </c>
      <c r="C1184" s="11">
        <f t="shared" si="54"/>
        <v>2024</v>
      </c>
      <c r="D1184" t="s">
        <v>279</v>
      </c>
      <c r="E1184" t="s">
        <v>46</v>
      </c>
      <c r="F1184" t="s">
        <v>47</v>
      </c>
      <c r="G1184" t="s">
        <v>36</v>
      </c>
      <c r="H1184">
        <v>4</v>
      </c>
      <c r="I1184" s="2">
        <v>92.74</v>
      </c>
      <c r="J1184" s="2">
        <v>370.96</v>
      </c>
      <c r="K1184" s="2">
        <f t="shared" si="55"/>
        <v>370.96</v>
      </c>
      <c r="L1184" s="2">
        <f t="shared" si="56"/>
        <v>0</v>
      </c>
      <c r="M1184" t="s">
        <v>55</v>
      </c>
      <c r="N1184" t="s">
        <v>32</v>
      </c>
    </row>
    <row r="1185" spans="1:14" x14ac:dyDescent="0.3">
      <c r="A1185">
        <v>2024002183</v>
      </c>
      <c r="B1185" s="1">
        <v>45397</v>
      </c>
      <c r="C1185" s="11">
        <f t="shared" si="54"/>
        <v>2024</v>
      </c>
      <c r="D1185" t="s">
        <v>297</v>
      </c>
      <c r="E1185" t="s">
        <v>43</v>
      </c>
      <c r="F1185" t="s">
        <v>44</v>
      </c>
      <c r="G1185" t="s">
        <v>36</v>
      </c>
      <c r="H1185">
        <v>1</v>
      </c>
      <c r="I1185" s="2">
        <v>1166.57</v>
      </c>
      <c r="J1185" s="2">
        <v>1166.57</v>
      </c>
      <c r="K1185" s="2">
        <f t="shared" si="55"/>
        <v>1166.57</v>
      </c>
      <c r="L1185" s="2">
        <f t="shared" si="56"/>
        <v>0</v>
      </c>
      <c r="M1185" t="s">
        <v>55</v>
      </c>
      <c r="N1185" t="s">
        <v>26</v>
      </c>
    </row>
    <row r="1186" spans="1:14" x14ac:dyDescent="0.3">
      <c r="A1186">
        <v>2024002184</v>
      </c>
      <c r="B1186" s="1">
        <v>45306</v>
      </c>
      <c r="C1186" s="11">
        <f t="shared" si="54"/>
        <v>2024</v>
      </c>
      <c r="D1186" t="s">
        <v>262</v>
      </c>
      <c r="E1186" t="s">
        <v>23</v>
      </c>
      <c r="F1186" t="s">
        <v>24</v>
      </c>
      <c r="G1186" t="s">
        <v>14</v>
      </c>
      <c r="H1186">
        <v>4</v>
      </c>
      <c r="I1186" s="2">
        <v>74.87</v>
      </c>
      <c r="J1186" s="2">
        <v>299.48</v>
      </c>
      <c r="K1186" s="2">
        <f t="shared" si="55"/>
        <v>299.48</v>
      </c>
      <c r="L1186" s="2">
        <f t="shared" si="56"/>
        <v>0</v>
      </c>
      <c r="M1186" t="s">
        <v>64</v>
      </c>
      <c r="N1186" t="s">
        <v>21</v>
      </c>
    </row>
    <row r="1187" spans="1:14" x14ac:dyDescent="0.3">
      <c r="A1187">
        <v>2024002185</v>
      </c>
      <c r="B1187" s="1">
        <v>45430</v>
      </c>
      <c r="C1187" s="11">
        <f t="shared" si="54"/>
        <v>2024</v>
      </c>
      <c r="D1187" t="s">
        <v>104</v>
      </c>
      <c r="E1187" t="s">
        <v>12</v>
      </c>
      <c r="F1187" t="s">
        <v>13</v>
      </c>
      <c r="G1187" t="s">
        <v>14</v>
      </c>
      <c r="H1187">
        <v>2</v>
      </c>
      <c r="I1187" s="2">
        <v>322.05</v>
      </c>
      <c r="J1187" s="2">
        <v>644.1</v>
      </c>
      <c r="K1187" s="2">
        <f t="shared" si="55"/>
        <v>644.1</v>
      </c>
      <c r="L1187" s="2">
        <f t="shared" si="56"/>
        <v>0</v>
      </c>
      <c r="M1187" t="s">
        <v>55</v>
      </c>
      <c r="N1187" t="s">
        <v>26</v>
      </c>
    </row>
    <row r="1188" spans="1:14" x14ac:dyDescent="0.3">
      <c r="A1188">
        <v>2024002186</v>
      </c>
      <c r="B1188" s="1">
        <v>45469</v>
      </c>
      <c r="C1188" s="11">
        <f t="shared" si="54"/>
        <v>2024</v>
      </c>
      <c r="D1188" t="s">
        <v>126</v>
      </c>
      <c r="E1188" t="s">
        <v>28</v>
      </c>
      <c r="F1188" t="s">
        <v>29</v>
      </c>
      <c r="G1188" t="s">
        <v>30</v>
      </c>
      <c r="H1188">
        <v>1</v>
      </c>
      <c r="I1188" s="2">
        <v>24.38</v>
      </c>
      <c r="J1188" s="2">
        <v>24.38</v>
      </c>
      <c r="K1188" s="2">
        <f t="shared" si="55"/>
        <v>24.38</v>
      </c>
      <c r="L1188" s="2">
        <f t="shared" si="56"/>
        <v>0</v>
      </c>
      <c r="M1188" t="s">
        <v>64</v>
      </c>
      <c r="N1188" t="s">
        <v>16</v>
      </c>
    </row>
    <row r="1189" spans="1:14" x14ac:dyDescent="0.3">
      <c r="A1189">
        <v>2024002187</v>
      </c>
      <c r="B1189" s="1">
        <v>45487</v>
      </c>
      <c r="C1189" s="11">
        <f t="shared" si="54"/>
        <v>2024</v>
      </c>
      <c r="D1189" t="s">
        <v>185</v>
      </c>
      <c r="E1189" t="s">
        <v>53</v>
      </c>
      <c r="F1189" t="s">
        <v>54</v>
      </c>
      <c r="G1189" t="s">
        <v>36</v>
      </c>
      <c r="H1189">
        <v>4</v>
      </c>
      <c r="I1189" s="2">
        <v>125.28</v>
      </c>
      <c r="J1189" s="2">
        <v>501.12</v>
      </c>
      <c r="K1189" s="2">
        <f t="shared" si="55"/>
        <v>501.12</v>
      </c>
      <c r="L1189" s="2">
        <f t="shared" si="56"/>
        <v>0</v>
      </c>
      <c r="M1189" t="s">
        <v>57</v>
      </c>
      <c r="N1189" t="s">
        <v>26</v>
      </c>
    </row>
    <row r="1190" spans="1:14" x14ac:dyDescent="0.3">
      <c r="A1190">
        <v>2024002188</v>
      </c>
      <c r="B1190" s="1">
        <v>45617</v>
      </c>
      <c r="C1190" s="11">
        <f t="shared" si="54"/>
        <v>2024</v>
      </c>
      <c r="D1190" t="s">
        <v>11</v>
      </c>
      <c r="E1190" t="s">
        <v>28</v>
      </c>
      <c r="F1190" t="s">
        <v>29</v>
      </c>
      <c r="G1190" t="s">
        <v>30</v>
      </c>
      <c r="H1190">
        <v>4</v>
      </c>
      <c r="I1190" s="2">
        <v>24.21</v>
      </c>
      <c r="J1190" s="2">
        <v>96.84</v>
      </c>
      <c r="K1190" s="2">
        <f t="shared" si="55"/>
        <v>96.84</v>
      </c>
      <c r="L1190" s="2">
        <f t="shared" si="56"/>
        <v>0</v>
      </c>
      <c r="M1190" t="s">
        <v>64</v>
      </c>
      <c r="N1190" t="s">
        <v>26</v>
      </c>
    </row>
    <row r="1191" spans="1:14" x14ac:dyDescent="0.3">
      <c r="A1191">
        <v>2024002189</v>
      </c>
      <c r="B1191" s="1">
        <v>45310</v>
      </c>
      <c r="C1191" s="11">
        <f t="shared" si="54"/>
        <v>2024</v>
      </c>
      <c r="D1191" t="s">
        <v>140</v>
      </c>
      <c r="E1191" t="s">
        <v>46</v>
      </c>
      <c r="F1191" t="s">
        <v>47</v>
      </c>
      <c r="G1191" t="s">
        <v>36</v>
      </c>
      <c r="H1191">
        <v>1</v>
      </c>
      <c r="I1191" s="2">
        <v>90.89</v>
      </c>
      <c r="J1191" s="2">
        <v>90.89</v>
      </c>
      <c r="K1191" s="2">
        <f t="shared" si="55"/>
        <v>90.89</v>
      </c>
      <c r="L1191" s="2">
        <f t="shared" si="56"/>
        <v>0</v>
      </c>
      <c r="M1191" t="s">
        <v>38</v>
      </c>
      <c r="N1191" t="s">
        <v>21</v>
      </c>
    </row>
    <row r="1192" spans="1:14" x14ac:dyDescent="0.3">
      <c r="A1192">
        <v>2024002190</v>
      </c>
      <c r="B1192" s="1">
        <v>45338</v>
      </c>
      <c r="C1192" s="11">
        <f t="shared" si="54"/>
        <v>2024</v>
      </c>
      <c r="D1192" t="s">
        <v>174</v>
      </c>
      <c r="E1192" t="s">
        <v>28</v>
      </c>
      <c r="F1192" t="s">
        <v>29</v>
      </c>
      <c r="G1192" t="s">
        <v>30</v>
      </c>
      <c r="H1192">
        <v>1</v>
      </c>
      <c r="I1192" s="2">
        <v>25.67</v>
      </c>
      <c r="J1192" s="2">
        <v>25.67</v>
      </c>
      <c r="K1192" s="2">
        <f t="shared" si="55"/>
        <v>25.67</v>
      </c>
      <c r="L1192" s="2">
        <f t="shared" si="56"/>
        <v>0</v>
      </c>
      <c r="M1192" t="s">
        <v>57</v>
      </c>
      <c r="N1192" t="s">
        <v>26</v>
      </c>
    </row>
    <row r="1193" spans="1:14" x14ac:dyDescent="0.3">
      <c r="A1193">
        <v>2024002191</v>
      </c>
      <c r="B1193" s="1">
        <v>45578</v>
      </c>
      <c r="C1193" s="11">
        <f t="shared" si="54"/>
        <v>2024</v>
      </c>
      <c r="D1193" t="s">
        <v>334</v>
      </c>
      <c r="E1193" t="s">
        <v>67</v>
      </c>
      <c r="F1193" t="s">
        <v>68</v>
      </c>
      <c r="G1193" t="s">
        <v>36</v>
      </c>
      <c r="H1193">
        <v>1</v>
      </c>
      <c r="I1193" s="2">
        <v>401.82</v>
      </c>
      <c r="J1193" s="2">
        <v>401.82</v>
      </c>
      <c r="K1193" s="2">
        <f t="shared" si="55"/>
        <v>401.82</v>
      </c>
      <c r="L1193" s="2">
        <f t="shared" si="56"/>
        <v>0</v>
      </c>
      <c r="M1193" t="s">
        <v>48</v>
      </c>
      <c r="N1193" t="s">
        <v>32</v>
      </c>
    </row>
    <row r="1194" spans="1:14" x14ac:dyDescent="0.3">
      <c r="A1194">
        <v>2024002192</v>
      </c>
      <c r="B1194" s="1">
        <v>45521</v>
      </c>
      <c r="C1194" s="11">
        <f t="shared" si="54"/>
        <v>2024</v>
      </c>
      <c r="D1194" t="s">
        <v>317</v>
      </c>
      <c r="E1194" t="s">
        <v>67</v>
      </c>
      <c r="F1194" t="s">
        <v>68</v>
      </c>
      <c r="G1194" t="s">
        <v>36</v>
      </c>
      <c r="H1194">
        <v>3</v>
      </c>
      <c r="I1194" s="2">
        <v>417.56</v>
      </c>
      <c r="J1194" s="2">
        <v>1252.68</v>
      </c>
      <c r="K1194" s="2">
        <f t="shared" si="55"/>
        <v>1252.68</v>
      </c>
      <c r="L1194" s="2">
        <f t="shared" si="56"/>
        <v>0</v>
      </c>
      <c r="M1194" t="s">
        <v>48</v>
      </c>
      <c r="N1194" t="s">
        <v>16</v>
      </c>
    </row>
    <row r="1195" spans="1:14" x14ac:dyDescent="0.3">
      <c r="A1195">
        <v>2024002193</v>
      </c>
      <c r="B1195" s="1">
        <v>45423</v>
      </c>
      <c r="C1195" s="11">
        <f t="shared" si="54"/>
        <v>2024</v>
      </c>
      <c r="D1195" t="s">
        <v>120</v>
      </c>
      <c r="E1195" t="s">
        <v>67</v>
      </c>
      <c r="F1195" t="s">
        <v>68</v>
      </c>
      <c r="G1195" t="s">
        <v>36</v>
      </c>
      <c r="H1195">
        <v>1</v>
      </c>
      <c r="I1195" s="2">
        <v>384.59</v>
      </c>
      <c r="J1195" s="2">
        <v>384.59</v>
      </c>
      <c r="K1195" s="2">
        <f t="shared" si="55"/>
        <v>384.59</v>
      </c>
      <c r="L1195" s="2">
        <f t="shared" si="56"/>
        <v>0</v>
      </c>
      <c r="M1195" t="s">
        <v>61</v>
      </c>
      <c r="N1195" t="s">
        <v>32</v>
      </c>
    </row>
    <row r="1196" spans="1:14" x14ac:dyDescent="0.3">
      <c r="A1196">
        <v>2024002194</v>
      </c>
      <c r="B1196" s="1">
        <v>45454</v>
      </c>
      <c r="C1196" s="11">
        <f t="shared" si="54"/>
        <v>2024</v>
      </c>
      <c r="D1196" t="s">
        <v>298</v>
      </c>
      <c r="E1196" t="s">
        <v>28</v>
      </c>
      <c r="F1196" t="s">
        <v>29</v>
      </c>
      <c r="G1196" t="s">
        <v>30</v>
      </c>
      <c r="H1196">
        <v>4</v>
      </c>
      <c r="I1196" s="2">
        <v>24.78</v>
      </c>
      <c r="J1196" s="2">
        <v>99.12</v>
      </c>
      <c r="K1196" s="2">
        <f t="shared" si="55"/>
        <v>99.12</v>
      </c>
      <c r="L1196" s="2">
        <f t="shared" si="56"/>
        <v>0</v>
      </c>
      <c r="M1196" t="s">
        <v>55</v>
      </c>
      <c r="N1196" t="s">
        <v>26</v>
      </c>
    </row>
    <row r="1197" spans="1:14" x14ac:dyDescent="0.3">
      <c r="A1197">
        <v>2024002195</v>
      </c>
      <c r="B1197" s="1">
        <v>45601</v>
      </c>
      <c r="C1197" s="11">
        <f t="shared" si="54"/>
        <v>2024</v>
      </c>
      <c r="D1197" t="s">
        <v>254</v>
      </c>
      <c r="E1197" t="s">
        <v>46</v>
      </c>
      <c r="F1197" t="s">
        <v>47</v>
      </c>
      <c r="G1197" t="s">
        <v>36</v>
      </c>
      <c r="H1197">
        <v>1</v>
      </c>
      <c r="I1197" s="2">
        <v>92.95</v>
      </c>
      <c r="J1197" s="2">
        <v>92.95</v>
      </c>
      <c r="K1197" s="2">
        <f t="shared" si="55"/>
        <v>92.95</v>
      </c>
      <c r="L1197" s="2">
        <f t="shared" si="56"/>
        <v>0</v>
      </c>
      <c r="M1197" t="s">
        <v>31</v>
      </c>
      <c r="N1197" t="s">
        <v>32</v>
      </c>
    </row>
    <row r="1198" spans="1:14" x14ac:dyDescent="0.3">
      <c r="A1198">
        <v>2024002196</v>
      </c>
      <c r="B1198" s="1">
        <v>45501</v>
      </c>
      <c r="C1198" s="11">
        <f t="shared" si="54"/>
        <v>2024</v>
      </c>
      <c r="D1198" t="s">
        <v>340</v>
      </c>
      <c r="E1198" t="s">
        <v>34</v>
      </c>
      <c r="F1198" t="s">
        <v>35</v>
      </c>
      <c r="G1198" t="s">
        <v>36</v>
      </c>
      <c r="H1198">
        <v>3</v>
      </c>
      <c r="I1198" s="2">
        <v>15.99</v>
      </c>
      <c r="J1198" s="2">
        <v>47.97</v>
      </c>
      <c r="K1198" s="2">
        <f t="shared" si="55"/>
        <v>47.97</v>
      </c>
      <c r="L1198" s="2">
        <f t="shared" si="56"/>
        <v>0</v>
      </c>
      <c r="M1198" t="s">
        <v>64</v>
      </c>
      <c r="N1198" t="s">
        <v>26</v>
      </c>
    </row>
    <row r="1199" spans="1:14" x14ac:dyDescent="0.3">
      <c r="A1199">
        <v>2024002197</v>
      </c>
      <c r="B1199" s="1">
        <v>45519</v>
      </c>
      <c r="C1199" s="11">
        <f t="shared" si="54"/>
        <v>2024</v>
      </c>
      <c r="D1199" t="s">
        <v>11</v>
      </c>
      <c r="E1199" t="s">
        <v>43</v>
      </c>
      <c r="F1199" t="s">
        <v>44</v>
      </c>
      <c r="G1199" t="s">
        <v>36</v>
      </c>
      <c r="H1199">
        <v>3</v>
      </c>
      <c r="I1199" s="2">
        <v>1252.6099999999999</v>
      </c>
      <c r="J1199" s="2">
        <v>3757.83</v>
      </c>
      <c r="K1199" s="2">
        <f t="shared" si="55"/>
        <v>3757.83</v>
      </c>
      <c r="L1199" s="2">
        <f t="shared" si="56"/>
        <v>0</v>
      </c>
      <c r="M1199" t="s">
        <v>25</v>
      </c>
      <c r="N1199" t="s">
        <v>32</v>
      </c>
    </row>
    <row r="1200" spans="1:14" x14ac:dyDescent="0.3">
      <c r="A1200">
        <v>2024002198</v>
      </c>
      <c r="B1200" s="1">
        <v>45456</v>
      </c>
      <c r="C1200" s="11">
        <f t="shared" si="54"/>
        <v>2024</v>
      </c>
      <c r="D1200" t="s">
        <v>11</v>
      </c>
      <c r="E1200" t="s">
        <v>12</v>
      </c>
      <c r="F1200" t="s">
        <v>13</v>
      </c>
      <c r="G1200" t="s">
        <v>14</v>
      </c>
      <c r="H1200">
        <v>1</v>
      </c>
      <c r="I1200" s="2">
        <v>335.11</v>
      </c>
      <c r="J1200" s="2">
        <v>335.11</v>
      </c>
      <c r="K1200" s="2">
        <f t="shared" si="55"/>
        <v>335.11</v>
      </c>
      <c r="L1200" s="2">
        <f t="shared" si="56"/>
        <v>0</v>
      </c>
      <c r="M1200" t="s">
        <v>20</v>
      </c>
      <c r="N1200" t="s">
        <v>32</v>
      </c>
    </row>
    <row r="1201" spans="1:14" x14ac:dyDescent="0.3">
      <c r="A1201">
        <v>2024002199</v>
      </c>
      <c r="B1201" s="1">
        <v>45446</v>
      </c>
      <c r="C1201" s="11">
        <f t="shared" si="54"/>
        <v>2024</v>
      </c>
      <c r="D1201" t="s">
        <v>225</v>
      </c>
      <c r="E1201" t="s">
        <v>23</v>
      </c>
      <c r="F1201" t="s">
        <v>24</v>
      </c>
      <c r="G1201" t="s">
        <v>14</v>
      </c>
      <c r="H1201">
        <v>1</v>
      </c>
      <c r="I1201" s="2">
        <v>77.84</v>
      </c>
      <c r="J1201" s="2">
        <v>77.84</v>
      </c>
      <c r="K1201" s="2">
        <f t="shared" si="55"/>
        <v>77.84</v>
      </c>
      <c r="L1201" s="2">
        <f t="shared" si="56"/>
        <v>0</v>
      </c>
      <c r="M1201" t="s">
        <v>25</v>
      </c>
      <c r="N1201" t="s">
        <v>32</v>
      </c>
    </row>
    <row r="1202" spans="1:14" x14ac:dyDescent="0.3">
      <c r="A1202">
        <v>2024002200</v>
      </c>
      <c r="B1202" s="1">
        <v>45631</v>
      </c>
      <c r="C1202" s="11">
        <f t="shared" si="54"/>
        <v>2024</v>
      </c>
      <c r="D1202" t="s">
        <v>256</v>
      </c>
      <c r="E1202" t="s">
        <v>28</v>
      </c>
      <c r="F1202" t="s">
        <v>29</v>
      </c>
      <c r="G1202" t="s">
        <v>30</v>
      </c>
      <c r="H1202">
        <v>1</v>
      </c>
      <c r="I1202" s="2">
        <v>26.23</v>
      </c>
      <c r="J1202" s="2">
        <v>26.23</v>
      </c>
      <c r="K1202" s="2">
        <f t="shared" si="55"/>
        <v>26.23</v>
      </c>
      <c r="L1202" s="2">
        <f t="shared" si="56"/>
        <v>0</v>
      </c>
      <c r="M1202" t="s">
        <v>31</v>
      </c>
      <c r="N1202" t="s">
        <v>16</v>
      </c>
    </row>
    <row r="1203" spans="1:14" x14ac:dyDescent="0.3">
      <c r="A1203">
        <v>2024002201</v>
      </c>
      <c r="B1203" s="1">
        <v>45397</v>
      </c>
      <c r="C1203" s="11">
        <f t="shared" si="54"/>
        <v>2024</v>
      </c>
      <c r="D1203" t="s">
        <v>11</v>
      </c>
      <c r="E1203" t="s">
        <v>53</v>
      </c>
      <c r="F1203" t="s">
        <v>54</v>
      </c>
      <c r="G1203" t="s">
        <v>36</v>
      </c>
      <c r="H1203">
        <v>1</v>
      </c>
      <c r="I1203" s="2">
        <v>114.21</v>
      </c>
      <c r="J1203" s="2">
        <v>114.21</v>
      </c>
      <c r="K1203" s="2">
        <f t="shared" si="55"/>
        <v>114.21</v>
      </c>
      <c r="L1203" s="2">
        <f t="shared" si="56"/>
        <v>0</v>
      </c>
      <c r="M1203" t="s">
        <v>57</v>
      </c>
      <c r="N1203" t="s">
        <v>32</v>
      </c>
    </row>
    <row r="1204" spans="1:14" x14ac:dyDescent="0.3">
      <c r="A1204">
        <v>2024002202</v>
      </c>
      <c r="B1204" s="1">
        <v>45502</v>
      </c>
      <c r="C1204" s="11">
        <f t="shared" si="54"/>
        <v>2024</v>
      </c>
      <c r="D1204" t="s">
        <v>207</v>
      </c>
      <c r="E1204" t="s">
        <v>46</v>
      </c>
      <c r="F1204" t="s">
        <v>47</v>
      </c>
      <c r="G1204" t="s">
        <v>36</v>
      </c>
      <c r="H1204">
        <v>2</v>
      </c>
      <c r="I1204" s="2">
        <v>96.18</v>
      </c>
      <c r="J1204" s="2">
        <v>192.36</v>
      </c>
      <c r="K1204" s="2">
        <f t="shared" si="55"/>
        <v>192.36</v>
      </c>
      <c r="L1204" s="2">
        <f t="shared" si="56"/>
        <v>0</v>
      </c>
      <c r="M1204" t="s">
        <v>31</v>
      </c>
      <c r="N1204" t="s">
        <v>26</v>
      </c>
    </row>
    <row r="1205" spans="1:14" x14ac:dyDescent="0.3">
      <c r="A1205">
        <v>2024002203</v>
      </c>
      <c r="B1205" s="1">
        <v>45516</v>
      </c>
      <c r="C1205" s="11">
        <f t="shared" si="54"/>
        <v>2024</v>
      </c>
      <c r="D1205" t="s">
        <v>342</v>
      </c>
      <c r="E1205" t="s">
        <v>12</v>
      </c>
      <c r="F1205" t="s">
        <v>13</v>
      </c>
      <c r="G1205" t="s">
        <v>14</v>
      </c>
      <c r="H1205">
        <v>1</v>
      </c>
      <c r="I1205" s="2">
        <v>339.03</v>
      </c>
      <c r="J1205" s="2">
        <v>339.03</v>
      </c>
      <c r="K1205" s="2">
        <f t="shared" si="55"/>
        <v>339.03</v>
      </c>
      <c r="L1205" s="2">
        <f t="shared" si="56"/>
        <v>0</v>
      </c>
      <c r="M1205" t="s">
        <v>61</v>
      </c>
      <c r="N1205" t="s">
        <v>26</v>
      </c>
    </row>
    <row r="1206" spans="1:14" x14ac:dyDescent="0.3">
      <c r="A1206">
        <v>2024002204</v>
      </c>
      <c r="B1206" s="1">
        <v>45443</v>
      </c>
      <c r="C1206" s="11">
        <f t="shared" si="54"/>
        <v>2024</v>
      </c>
      <c r="D1206" t="s">
        <v>152</v>
      </c>
      <c r="E1206" t="s">
        <v>40</v>
      </c>
      <c r="F1206" t="s">
        <v>41</v>
      </c>
      <c r="G1206" t="s">
        <v>36</v>
      </c>
      <c r="H1206">
        <v>1</v>
      </c>
      <c r="I1206" s="2">
        <v>47.25</v>
      </c>
      <c r="J1206" s="2">
        <v>47.25</v>
      </c>
      <c r="K1206" s="2">
        <f t="shared" si="55"/>
        <v>47.25</v>
      </c>
      <c r="L1206" s="2">
        <f t="shared" si="56"/>
        <v>0</v>
      </c>
      <c r="M1206" t="s">
        <v>25</v>
      </c>
      <c r="N1206" t="s">
        <v>26</v>
      </c>
    </row>
    <row r="1207" spans="1:14" x14ac:dyDescent="0.3">
      <c r="A1207">
        <v>2024002205</v>
      </c>
      <c r="B1207" s="1">
        <v>45354</v>
      </c>
      <c r="C1207" s="11">
        <f t="shared" si="54"/>
        <v>2024</v>
      </c>
      <c r="D1207" t="s">
        <v>332</v>
      </c>
      <c r="E1207" t="s">
        <v>34</v>
      </c>
      <c r="F1207" t="s">
        <v>35</v>
      </c>
      <c r="G1207" t="s">
        <v>36</v>
      </c>
      <c r="H1207">
        <v>1</v>
      </c>
      <c r="I1207" s="2">
        <v>14.94</v>
      </c>
      <c r="J1207" s="2">
        <v>14.94</v>
      </c>
      <c r="K1207" s="2">
        <f t="shared" si="55"/>
        <v>14.94</v>
      </c>
      <c r="L1207" s="2">
        <f t="shared" si="56"/>
        <v>0</v>
      </c>
      <c r="M1207" t="s">
        <v>55</v>
      </c>
      <c r="N1207" t="s">
        <v>21</v>
      </c>
    </row>
    <row r="1208" spans="1:14" x14ac:dyDescent="0.3">
      <c r="A1208">
        <v>2024002206</v>
      </c>
      <c r="B1208" s="1">
        <v>45383</v>
      </c>
      <c r="C1208" s="11">
        <f t="shared" si="54"/>
        <v>2024</v>
      </c>
      <c r="D1208" t="s">
        <v>86</v>
      </c>
      <c r="E1208" t="s">
        <v>43</v>
      </c>
      <c r="F1208" t="s">
        <v>44</v>
      </c>
      <c r="G1208" t="s">
        <v>36</v>
      </c>
      <c r="H1208">
        <v>3</v>
      </c>
      <c r="I1208" s="2">
        <v>1143.71</v>
      </c>
      <c r="J1208" s="2">
        <v>3431.13</v>
      </c>
      <c r="K1208" s="2">
        <f t="shared" si="55"/>
        <v>3431.13</v>
      </c>
      <c r="L1208" s="2">
        <f t="shared" si="56"/>
        <v>0</v>
      </c>
      <c r="M1208" t="s">
        <v>31</v>
      </c>
      <c r="N1208" t="s">
        <v>16</v>
      </c>
    </row>
    <row r="1209" spans="1:14" x14ac:dyDescent="0.3">
      <c r="A1209">
        <v>2024002207</v>
      </c>
      <c r="B1209" s="1">
        <v>45355</v>
      </c>
      <c r="C1209" s="11">
        <f t="shared" si="54"/>
        <v>2024</v>
      </c>
      <c r="D1209" t="s">
        <v>311</v>
      </c>
      <c r="E1209" t="s">
        <v>23</v>
      </c>
      <c r="F1209" t="s">
        <v>24</v>
      </c>
      <c r="G1209" t="s">
        <v>14</v>
      </c>
      <c r="H1209">
        <v>3</v>
      </c>
      <c r="I1209" s="2">
        <v>79.17</v>
      </c>
      <c r="J1209" s="2">
        <v>237.51</v>
      </c>
      <c r="K1209" s="2">
        <f t="shared" si="55"/>
        <v>237.51</v>
      </c>
      <c r="L1209" s="2">
        <f t="shared" si="56"/>
        <v>0</v>
      </c>
      <c r="M1209" t="s">
        <v>48</v>
      </c>
      <c r="N1209" t="s">
        <v>32</v>
      </c>
    </row>
    <row r="1210" spans="1:14" x14ac:dyDescent="0.3">
      <c r="A1210">
        <v>2024002208</v>
      </c>
      <c r="B1210" s="1">
        <v>45379</v>
      </c>
      <c r="C1210" s="11">
        <f t="shared" si="54"/>
        <v>2024</v>
      </c>
      <c r="D1210" t="s">
        <v>306</v>
      </c>
      <c r="E1210" t="s">
        <v>67</v>
      </c>
      <c r="F1210" t="s">
        <v>68</v>
      </c>
      <c r="G1210" t="s">
        <v>36</v>
      </c>
      <c r="H1210">
        <v>2</v>
      </c>
      <c r="I1210" s="2">
        <v>390.33</v>
      </c>
      <c r="J1210" s="2">
        <v>780.66</v>
      </c>
      <c r="K1210" s="2">
        <f t="shared" si="55"/>
        <v>780.66</v>
      </c>
      <c r="L1210" s="2">
        <f t="shared" si="56"/>
        <v>0</v>
      </c>
      <c r="M1210" t="s">
        <v>15</v>
      </c>
      <c r="N1210" t="s">
        <v>26</v>
      </c>
    </row>
    <row r="1211" spans="1:14" x14ac:dyDescent="0.3">
      <c r="A1211">
        <v>2024002209</v>
      </c>
      <c r="B1211" s="1">
        <v>45636</v>
      </c>
      <c r="C1211" s="11">
        <f t="shared" si="54"/>
        <v>2024</v>
      </c>
      <c r="D1211" t="s">
        <v>221</v>
      </c>
      <c r="E1211" t="s">
        <v>67</v>
      </c>
      <c r="F1211" t="s">
        <v>68</v>
      </c>
      <c r="G1211" t="s">
        <v>36</v>
      </c>
      <c r="H1211">
        <v>1</v>
      </c>
      <c r="I1211" s="2">
        <v>416.84</v>
      </c>
      <c r="J1211" s="2">
        <v>416.84</v>
      </c>
      <c r="K1211" s="2">
        <f t="shared" si="55"/>
        <v>416.84</v>
      </c>
      <c r="L1211" s="2">
        <f t="shared" si="56"/>
        <v>0</v>
      </c>
      <c r="M1211" t="s">
        <v>38</v>
      </c>
      <c r="N1211" t="s">
        <v>26</v>
      </c>
    </row>
    <row r="1212" spans="1:14" x14ac:dyDescent="0.3">
      <c r="A1212">
        <v>2024002210</v>
      </c>
      <c r="B1212" s="1">
        <v>45562</v>
      </c>
      <c r="C1212" s="11">
        <f t="shared" si="54"/>
        <v>2024</v>
      </c>
      <c r="D1212" t="s">
        <v>280</v>
      </c>
      <c r="E1212" t="s">
        <v>67</v>
      </c>
      <c r="F1212" t="s">
        <v>68</v>
      </c>
      <c r="G1212" t="s">
        <v>36</v>
      </c>
      <c r="H1212">
        <v>2</v>
      </c>
      <c r="I1212" s="2">
        <v>378.96</v>
      </c>
      <c r="J1212" s="2">
        <v>757.92</v>
      </c>
      <c r="K1212" s="2">
        <f t="shared" si="55"/>
        <v>757.92</v>
      </c>
      <c r="L1212" s="2">
        <f t="shared" si="56"/>
        <v>0</v>
      </c>
      <c r="M1212" t="s">
        <v>31</v>
      </c>
      <c r="N1212" t="s">
        <v>26</v>
      </c>
    </row>
    <row r="1213" spans="1:14" x14ac:dyDescent="0.3">
      <c r="A1213">
        <v>2024002211</v>
      </c>
      <c r="B1213" s="1">
        <v>45402</v>
      </c>
      <c r="C1213" s="11">
        <f t="shared" si="54"/>
        <v>2024</v>
      </c>
      <c r="D1213" t="s">
        <v>11</v>
      </c>
      <c r="E1213" t="s">
        <v>43</v>
      </c>
      <c r="F1213" t="s">
        <v>44</v>
      </c>
      <c r="G1213" t="s">
        <v>36</v>
      </c>
      <c r="H1213">
        <v>1</v>
      </c>
      <c r="I1213" s="2">
        <v>1064.18</v>
      </c>
      <c r="J1213" s="2">
        <v>1064.18</v>
      </c>
      <c r="K1213" s="2">
        <f t="shared" si="55"/>
        <v>1064.18</v>
      </c>
      <c r="L1213" s="2">
        <f t="shared" si="56"/>
        <v>0</v>
      </c>
      <c r="M1213" t="s">
        <v>61</v>
      </c>
      <c r="N1213" t="s">
        <v>26</v>
      </c>
    </row>
    <row r="1214" spans="1:14" x14ac:dyDescent="0.3">
      <c r="A1214">
        <v>2024002212</v>
      </c>
      <c r="B1214" s="1">
        <v>45362</v>
      </c>
      <c r="C1214" s="11">
        <f t="shared" si="54"/>
        <v>2024</v>
      </c>
      <c r="D1214" t="s">
        <v>260</v>
      </c>
      <c r="E1214" t="s">
        <v>28</v>
      </c>
      <c r="F1214" t="s">
        <v>29</v>
      </c>
      <c r="G1214" t="s">
        <v>30</v>
      </c>
      <c r="H1214">
        <v>1</v>
      </c>
      <c r="I1214" s="2">
        <v>26.25</v>
      </c>
      <c r="J1214" s="2">
        <v>26.25</v>
      </c>
      <c r="K1214" s="2">
        <f t="shared" si="55"/>
        <v>26.25</v>
      </c>
      <c r="L1214" s="2">
        <f t="shared" si="56"/>
        <v>0</v>
      </c>
      <c r="M1214" t="s">
        <v>15</v>
      </c>
      <c r="N1214" t="s">
        <v>32</v>
      </c>
    </row>
    <row r="1215" spans="1:14" x14ac:dyDescent="0.3">
      <c r="A1215">
        <v>2024002213</v>
      </c>
      <c r="B1215" s="1">
        <v>45449</v>
      </c>
      <c r="C1215" s="11">
        <f t="shared" si="54"/>
        <v>2024</v>
      </c>
      <c r="D1215" t="s">
        <v>333</v>
      </c>
      <c r="E1215" t="s">
        <v>18</v>
      </c>
      <c r="F1215" t="s">
        <v>19</v>
      </c>
      <c r="G1215" t="s">
        <v>14</v>
      </c>
      <c r="H1215">
        <v>1</v>
      </c>
      <c r="I1215" s="2">
        <v>586.25</v>
      </c>
      <c r="J1215" s="2">
        <v>586.25</v>
      </c>
      <c r="K1215" s="2">
        <f t="shared" si="55"/>
        <v>586.25</v>
      </c>
      <c r="L1215" s="2">
        <f t="shared" si="56"/>
        <v>0</v>
      </c>
      <c r="M1215" t="s">
        <v>31</v>
      </c>
      <c r="N1215" t="s">
        <v>26</v>
      </c>
    </row>
    <row r="1216" spans="1:14" x14ac:dyDescent="0.3">
      <c r="A1216">
        <v>2024002214</v>
      </c>
      <c r="B1216" s="1">
        <v>45458</v>
      </c>
      <c r="C1216" s="11">
        <f t="shared" si="54"/>
        <v>2024</v>
      </c>
      <c r="D1216" t="s">
        <v>194</v>
      </c>
      <c r="E1216" t="s">
        <v>53</v>
      </c>
      <c r="F1216" t="s">
        <v>54</v>
      </c>
      <c r="G1216" t="s">
        <v>36</v>
      </c>
      <c r="H1216">
        <v>2</v>
      </c>
      <c r="I1216" s="2">
        <v>117.7</v>
      </c>
      <c r="J1216" s="2">
        <v>235.4</v>
      </c>
      <c r="K1216" s="2">
        <f t="shared" si="55"/>
        <v>235.4</v>
      </c>
      <c r="L1216" s="2">
        <f t="shared" si="56"/>
        <v>0</v>
      </c>
      <c r="M1216" t="s">
        <v>57</v>
      </c>
      <c r="N1216" t="s">
        <v>32</v>
      </c>
    </row>
    <row r="1217" spans="1:14" x14ac:dyDescent="0.3">
      <c r="A1217">
        <v>2024002215</v>
      </c>
      <c r="B1217" s="1">
        <v>45343</v>
      </c>
      <c r="C1217" s="11">
        <f t="shared" si="54"/>
        <v>2024</v>
      </c>
      <c r="D1217" t="s">
        <v>291</v>
      </c>
      <c r="E1217" t="s">
        <v>67</v>
      </c>
      <c r="F1217" t="s">
        <v>68</v>
      </c>
      <c r="G1217" t="s">
        <v>36</v>
      </c>
      <c r="H1217">
        <v>2</v>
      </c>
      <c r="I1217" s="2">
        <v>410.83</v>
      </c>
      <c r="J1217" s="2">
        <v>821.66</v>
      </c>
      <c r="K1217" s="2">
        <f t="shared" si="55"/>
        <v>821.66</v>
      </c>
      <c r="L1217" s="2">
        <f t="shared" si="56"/>
        <v>0</v>
      </c>
      <c r="M1217" t="s">
        <v>55</v>
      </c>
      <c r="N1217" t="s">
        <v>21</v>
      </c>
    </row>
    <row r="1218" spans="1:14" x14ac:dyDescent="0.3">
      <c r="A1218">
        <v>2024002216</v>
      </c>
      <c r="B1218" s="1">
        <v>45342</v>
      </c>
      <c r="C1218" s="11">
        <f t="shared" si="54"/>
        <v>2024</v>
      </c>
      <c r="D1218" t="s">
        <v>213</v>
      </c>
      <c r="E1218" t="s">
        <v>23</v>
      </c>
      <c r="F1218" t="s">
        <v>24</v>
      </c>
      <c r="G1218" t="s">
        <v>14</v>
      </c>
      <c r="H1218">
        <v>1</v>
      </c>
      <c r="I1218" s="2">
        <v>80.709999999999994</v>
      </c>
      <c r="J1218" s="2">
        <v>80.709999999999994</v>
      </c>
      <c r="K1218" s="2">
        <f t="shared" si="55"/>
        <v>80.709999999999994</v>
      </c>
      <c r="L1218" s="2">
        <f t="shared" si="56"/>
        <v>0</v>
      </c>
      <c r="M1218" t="s">
        <v>38</v>
      </c>
      <c r="N1218" t="s">
        <v>26</v>
      </c>
    </row>
    <row r="1219" spans="1:14" x14ac:dyDescent="0.3">
      <c r="A1219">
        <v>2024002217</v>
      </c>
      <c r="B1219" s="1">
        <v>45443</v>
      </c>
      <c r="C1219" s="11">
        <f t="shared" ref="C1219:C1282" si="57">YEAR(B1219)</f>
        <v>2024</v>
      </c>
      <c r="D1219" t="s">
        <v>331</v>
      </c>
      <c r="E1219" t="s">
        <v>28</v>
      </c>
      <c r="F1219" t="s">
        <v>29</v>
      </c>
      <c r="G1219" t="s">
        <v>30</v>
      </c>
      <c r="H1219">
        <v>1</v>
      </c>
      <c r="I1219" s="2">
        <v>24.6</v>
      </c>
      <c r="J1219" s="2">
        <v>24.6</v>
      </c>
      <c r="K1219" s="2">
        <f t="shared" ref="K1219:K1282" si="58">I1219*H1219</f>
        <v>24.6</v>
      </c>
      <c r="L1219" s="2">
        <f t="shared" ref="L1219:L1282" si="59">J1219-K1219</f>
        <v>0</v>
      </c>
      <c r="M1219" t="s">
        <v>38</v>
      </c>
      <c r="N1219" t="s">
        <v>16</v>
      </c>
    </row>
    <row r="1220" spans="1:14" x14ac:dyDescent="0.3">
      <c r="A1220">
        <v>2024002218</v>
      </c>
      <c r="B1220" s="1">
        <v>45656</v>
      </c>
      <c r="C1220" s="11">
        <f t="shared" si="57"/>
        <v>2024</v>
      </c>
      <c r="D1220" t="s">
        <v>11</v>
      </c>
      <c r="E1220" t="s">
        <v>40</v>
      </c>
      <c r="F1220" t="s">
        <v>41</v>
      </c>
      <c r="G1220" t="s">
        <v>36</v>
      </c>
      <c r="H1220">
        <v>5</v>
      </c>
      <c r="I1220" s="2">
        <v>46.35</v>
      </c>
      <c r="J1220" s="2">
        <v>231.75</v>
      </c>
      <c r="K1220" s="2">
        <f t="shared" si="58"/>
        <v>231.75</v>
      </c>
      <c r="L1220" s="2">
        <f t="shared" si="59"/>
        <v>0</v>
      </c>
      <c r="M1220" t="s">
        <v>48</v>
      </c>
      <c r="N1220" t="s">
        <v>16</v>
      </c>
    </row>
    <row r="1221" spans="1:14" x14ac:dyDescent="0.3">
      <c r="A1221">
        <v>2024002219</v>
      </c>
      <c r="B1221" s="1">
        <v>45597</v>
      </c>
      <c r="C1221" s="11">
        <f t="shared" si="57"/>
        <v>2024</v>
      </c>
      <c r="D1221" t="s">
        <v>83</v>
      </c>
      <c r="E1221" t="s">
        <v>28</v>
      </c>
      <c r="F1221" t="s">
        <v>29</v>
      </c>
      <c r="G1221" t="s">
        <v>30</v>
      </c>
      <c r="H1221">
        <v>2</v>
      </c>
      <c r="I1221" s="2">
        <v>23.07</v>
      </c>
      <c r="J1221" s="2">
        <v>46.14</v>
      </c>
      <c r="K1221" s="2">
        <f t="shared" si="58"/>
        <v>46.14</v>
      </c>
      <c r="L1221" s="2">
        <f t="shared" si="59"/>
        <v>0</v>
      </c>
      <c r="M1221" t="s">
        <v>61</v>
      </c>
      <c r="N1221" t="s">
        <v>16</v>
      </c>
    </row>
    <row r="1222" spans="1:14" x14ac:dyDescent="0.3">
      <c r="A1222">
        <v>2024002220</v>
      </c>
      <c r="B1222" s="1">
        <v>45548</v>
      </c>
      <c r="C1222" s="11">
        <f t="shared" si="57"/>
        <v>2024</v>
      </c>
      <c r="D1222" t="s">
        <v>291</v>
      </c>
      <c r="E1222" t="s">
        <v>28</v>
      </c>
      <c r="F1222" t="s">
        <v>29</v>
      </c>
      <c r="G1222" t="s">
        <v>30</v>
      </c>
      <c r="H1222">
        <v>1</v>
      </c>
      <c r="I1222" s="2">
        <v>24.34</v>
      </c>
      <c r="J1222" s="2">
        <v>24.34</v>
      </c>
      <c r="K1222" s="2">
        <f t="shared" si="58"/>
        <v>24.34</v>
      </c>
      <c r="L1222" s="2">
        <f t="shared" si="59"/>
        <v>0</v>
      </c>
      <c r="M1222" t="s">
        <v>57</v>
      </c>
      <c r="N1222" t="s">
        <v>21</v>
      </c>
    </row>
    <row r="1223" spans="1:14" x14ac:dyDescent="0.3">
      <c r="A1223">
        <v>2024002221</v>
      </c>
      <c r="B1223" s="1">
        <v>45300</v>
      </c>
      <c r="C1223" s="11">
        <f t="shared" si="57"/>
        <v>2024</v>
      </c>
      <c r="D1223" t="s">
        <v>292</v>
      </c>
      <c r="E1223" t="s">
        <v>40</v>
      </c>
      <c r="F1223" t="s">
        <v>41</v>
      </c>
      <c r="G1223" t="s">
        <v>36</v>
      </c>
      <c r="H1223">
        <v>3</v>
      </c>
      <c r="I1223" s="2">
        <v>46.98</v>
      </c>
      <c r="J1223" s="2">
        <v>140.94</v>
      </c>
      <c r="K1223" s="2">
        <f t="shared" si="58"/>
        <v>140.94</v>
      </c>
      <c r="L1223" s="2">
        <f t="shared" si="59"/>
        <v>0</v>
      </c>
      <c r="M1223" t="s">
        <v>55</v>
      </c>
      <c r="N1223" t="s">
        <v>16</v>
      </c>
    </row>
    <row r="1224" spans="1:14" x14ac:dyDescent="0.3">
      <c r="A1224">
        <v>2024002222</v>
      </c>
      <c r="B1224" s="1">
        <v>45548</v>
      </c>
      <c r="C1224" s="11">
        <f t="shared" si="57"/>
        <v>2024</v>
      </c>
      <c r="D1224" t="s">
        <v>230</v>
      </c>
      <c r="E1224" t="s">
        <v>28</v>
      </c>
      <c r="F1224" t="s">
        <v>29</v>
      </c>
      <c r="G1224" t="s">
        <v>30</v>
      </c>
      <c r="H1224">
        <v>4</v>
      </c>
      <c r="I1224" s="2">
        <v>27.52</v>
      </c>
      <c r="J1224" s="2">
        <v>110.08</v>
      </c>
      <c r="K1224" s="2">
        <f t="shared" si="58"/>
        <v>110.08</v>
      </c>
      <c r="L1224" s="2">
        <f t="shared" si="59"/>
        <v>0</v>
      </c>
      <c r="M1224" t="s">
        <v>20</v>
      </c>
      <c r="N1224" t="s">
        <v>21</v>
      </c>
    </row>
    <row r="1225" spans="1:14" x14ac:dyDescent="0.3">
      <c r="A1225">
        <v>2024002223</v>
      </c>
      <c r="B1225" s="1">
        <v>45474</v>
      </c>
      <c r="C1225" s="11">
        <f t="shared" si="57"/>
        <v>2024</v>
      </c>
      <c r="D1225" t="s">
        <v>11</v>
      </c>
      <c r="E1225" t="s">
        <v>34</v>
      </c>
      <c r="F1225" t="s">
        <v>35</v>
      </c>
      <c r="G1225" t="s">
        <v>36</v>
      </c>
      <c r="H1225">
        <v>1</v>
      </c>
      <c r="I1225" s="2">
        <v>15.17</v>
      </c>
      <c r="J1225" s="2">
        <v>15.17</v>
      </c>
      <c r="K1225" s="2">
        <f t="shared" si="58"/>
        <v>15.17</v>
      </c>
      <c r="L1225" s="2">
        <f t="shared" si="59"/>
        <v>0</v>
      </c>
      <c r="M1225" t="s">
        <v>55</v>
      </c>
      <c r="N1225" t="s">
        <v>21</v>
      </c>
    </row>
    <row r="1226" spans="1:14" x14ac:dyDescent="0.3">
      <c r="A1226">
        <v>2024002224</v>
      </c>
      <c r="B1226" s="1">
        <v>45365</v>
      </c>
      <c r="C1226" s="11">
        <f t="shared" si="57"/>
        <v>2024</v>
      </c>
      <c r="D1226" t="s">
        <v>285</v>
      </c>
      <c r="E1226" t="s">
        <v>43</v>
      </c>
      <c r="F1226" t="s">
        <v>44</v>
      </c>
      <c r="G1226" t="s">
        <v>36</v>
      </c>
      <c r="H1226">
        <v>1</v>
      </c>
      <c r="I1226" s="2">
        <v>1238.6500000000001</v>
      </c>
      <c r="J1226" s="2">
        <v>1238.6500000000001</v>
      </c>
      <c r="K1226" s="2">
        <f t="shared" si="58"/>
        <v>1238.6500000000001</v>
      </c>
      <c r="L1226" s="2">
        <f t="shared" si="59"/>
        <v>0</v>
      </c>
      <c r="M1226" t="s">
        <v>38</v>
      </c>
      <c r="N1226" t="s">
        <v>32</v>
      </c>
    </row>
    <row r="1227" spans="1:14" x14ac:dyDescent="0.3">
      <c r="A1227">
        <v>2024002225</v>
      </c>
      <c r="B1227" s="1">
        <v>45354</v>
      </c>
      <c r="C1227" s="11">
        <f t="shared" si="57"/>
        <v>2024</v>
      </c>
      <c r="D1227" t="s">
        <v>110</v>
      </c>
      <c r="E1227" t="s">
        <v>43</v>
      </c>
      <c r="F1227" t="s">
        <v>44</v>
      </c>
      <c r="G1227" t="s">
        <v>36</v>
      </c>
      <c r="H1227">
        <v>2</v>
      </c>
      <c r="I1227" s="2">
        <v>1164.77</v>
      </c>
      <c r="J1227" s="2">
        <v>2329.54</v>
      </c>
      <c r="K1227" s="2">
        <f t="shared" si="58"/>
        <v>2329.54</v>
      </c>
      <c r="L1227" s="2">
        <f t="shared" si="59"/>
        <v>0</v>
      </c>
      <c r="M1227" t="s">
        <v>61</v>
      </c>
      <c r="N1227" t="s">
        <v>21</v>
      </c>
    </row>
    <row r="1228" spans="1:14" x14ac:dyDescent="0.3">
      <c r="A1228">
        <v>2024002226</v>
      </c>
      <c r="B1228" s="1">
        <v>45506</v>
      </c>
      <c r="C1228" s="11">
        <f t="shared" si="57"/>
        <v>2024</v>
      </c>
      <c r="D1228" t="s">
        <v>11</v>
      </c>
      <c r="E1228" t="s">
        <v>12</v>
      </c>
      <c r="F1228" t="s">
        <v>13</v>
      </c>
      <c r="G1228" t="s">
        <v>14</v>
      </c>
      <c r="H1228">
        <v>1</v>
      </c>
      <c r="I1228" s="2">
        <v>388.3</v>
      </c>
      <c r="J1228" s="2">
        <v>388.3</v>
      </c>
      <c r="K1228" s="2">
        <f t="shared" si="58"/>
        <v>388.3</v>
      </c>
      <c r="L1228" s="2">
        <f t="shared" si="59"/>
        <v>0</v>
      </c>
      <c r="M1228" t="s">
        <v>20</v>
      </c>
      <c r="N1228" t="s">
        <v>26</v>
      </c>
    </row>
    <row r="1229" spans="1:14" x14ac:dyDescent="0.3">
      <c r="A1229">
        <v>2024002227</v>
      </c>
      <c r="B1229" s="1">
        <v>45379</v>
      </c>
      <c r="C1229" s="11">
        <f t="shared" si="57"/>
        <v>2024</v>
      </c>
      <c r="D1229" t="s">
        <v>11</v>
      </c>
      <c r="E1229" t="s">
        <v>67</v>
      </c>
      <c r="F1229" t="s">
        <v>68</v>
      </c>
      <c r="G1229" t="s">
        <v>36</v>
      </c>
      <c r="H1229">
        <v>1</v>
      </c>
      <c r="I1229" s="2">
        <v>395.33</v>
      </c>
      <c r="J1229" s="2">
        <v>395.33</v>
      </c>
      <c r="K1229" s="2">
        <f t="shared" si="58"/>
        <v>395.33</v>
      </c>
      <c r="L1229" s="2">
        <f t="shared" si="59"/>
        <v>0</v>
      </c>
      <c r="M1229" t="s">
        <v>48</v>
      </c>
      <c r="N1229" t="s">
        <v>21</v>
      </c>
    </row>
    <row r="1230" spans="1:14" x14ac:dyDescent="0.3">
      <c r="A1230">
        <v>2024002130</v>
      </c>
      <c r="B1230" s="1">
        <v>45364</v>
      </c>
      <c r="C1230" s="11">
        <f t="shared" si="57"/>
        <v>2024</v>
      </c>
      <c r="D1230" t="s">
        <v>300</v>
      </c>
      <c r="E1230" t="s">
        <v>43</v>
      </c>
      <c r="F1230" t="s">
        <v>44</v>
      </c>
      <c r="G1230" t="s">
        <v>36</v>
      </c>
      <c r="H1230">
        <v>1</v>
      </c>
      <c r="I1230" s="2">
        <v>1267.5</v>
      </c>
      <c r="J1230" s="2">
        <v>1267.5</v>
      </c>
      <c r="K1230" s="2">
        <f t="shared" si="58"/>
        <v>1267.5</v>
      </c>
      <c r="L1230" s="2">
        <f t="shared" si="59"/>
        <v>0</v>
      </c>
      <c r="M1230" t="s">
        <v>55</v>
      </c>
      <c r="N1230" t="s">
        <v>21</v>
      </c>
    </row>
    <row r="1231" spans="1:14" x14ac:dyDescent="0.3">
      <c r="A1231">
        <v>2024002229</v>
      </c>
      <c r="B1231" s="1">
        <v>45585</v>
      </c>
      <c r="C1231" s="11">
        <f t="shared" si="57"/>
        <v>2024</v>
      </c>
      <c r="D1231" t="s">
        <v>228</v>
      </c>
      <c r="E1231" t="s">
        <v>43</v>
      </c>
      <c r="F1231" t="s">
        <v>44</v>
      </c>
      <c r="G1231" t="s">
        <v>36</v>
      </c>
      <c r="H1231">
        <v>4</v>
      </c>
      <c r="I1231" s="2">
        <v>1095.43</v>
      </c>
      <c r="J1231" s="2">
        <v>4381.72</v>
      </c>
      <c r="K1231" s="2">
        <f t="shared" si="58"/>
        <v>4381.72</v>
      </c>
      <c r="L1231" s="2">
        <f t="shared" si="59"/>
        <v>0</v>
      </c>
      <c r="M1231" t="s">
        <v>25</v>
      </c>
      <c r="N1231" t="s">
        <v>16</v>
      </c>
    </row>
    <row r="1232" spans="1:14" x14ac:dyDescent="0.3">
      <c r="A1232">
        <v>2024002230</v>
      </c>
      <c r="B1232" s="1">
        <v>45621</v>
      </c>
      <c r="C1232" s="11">
        <f t="shared" si="57"/>
        <v>2024</v>
      </c>
      <c r="D1232" t="s">
        <v>11</v>
      </c>
      <c r="E1232" t="s">
        <v>67</v>
      </c>
      <c r="F1232" t="s">
        <v>68</v>
      </c>
      <c r="G1232" t="s">
        <v>36</v>
      </c>
      <c r="H1232">
        <v>1</v>
      </c>
      <c r="I1232" s="2">
        <v>409.72</v>
      </c>
      <c r="J1232" s="2">
        <v>409.72</v>
      </c>
      <c r="K1232" s="2">
        <f t="shared" si="58"/>
        <v>409.72</v>
      </c>
      <c r="L1232" s="2">
        <f t="shared" si="59"/>
        <v>0</v>
      </c>
      <c r="M1232" t="s">
        <v>15</v>
      </c>
      <c r="N1232" t="s">
        <v>32</v>
      </c>
    </row>
    <row r="1233" spans="1:14" x14ac:dyDescent="0.3">
      <c r="A1233">
        <v>2024002231</v>
      </c>
      <c r="B1233" s="1">
        <v>45449</v>
      </c>
      <c r="C1233" s="11">
        <f t="shared" si="57"/>
        <v>2024</v>
      </c>
      <c r="D1233" t="s">
        <v>341</v>
      </c>
      <c r="E1233" t="s">
        <v>53</v>
      </c>
      <c r="F1233" t="s">
        <v>54</v>
      </c>
      <c r="G1233" t="s">
        <v>36</v>
      </c>
      <c r="H1233">
        <v>1</v>
      </c>
      <c r="I1233" s="2">
        <v>118.05</v>
      </c>
      <c r="J1233" s="2">
        <v>118.05</v>
      </c>
      <c r="K1233" s="2">
        <f t="shared" si="58"/>
        <v>118.05</v>
      </c>
      <c r="L1233" s="2">
        <f t="shared" si="59"/>
        <v>0</v>
      </c>
      <c r="M1233" t="s">
        <v>25</v>
      </c>
      <c r="N1233" t="s">
        <v>32</v>
      </c>
    </row>
    <row r="1234" spans="1:14" x14ac:dyDescent="0.3">
      <c r="A1234">
        <v>2024002232</v>
      </c>
      <c r="B1234" s="1">
        <v>45392</v>
      </c>
      <c r="C1234" s="11">
        <f t="shared" si="57"/>
        <v>2024</v>
      </c>
      <c r="D1234" t="s">
        <v>11</v>
      </c>
      <c r="E1234" t="s">
        <v>23</v>
      </c>
      <c r="F1234" t="s">
        <v>24</v>
      </c>
      <c r="G1234" t="s">
        <v>14</v>
      </c>
      <c r="H1234">
        <v>1</v>
      </c>
      <c r="I1234" s="2">
        <v>77.37</v>
      </c>
      <c r="J1234" s="2">
        <v>77.37</v>
      </c>
      <c r="K1234" s="2">
        <f t="shared" si="58"/>
        <v>77.37</v>
      </c>
      <c r="L1234" s="2">
        <f t="shared" si="59"/>
        <v>0</v>
      </c>
      <c r="M1234" t="s">
        <v>20</v>
      </c>
      <c r="N1234" t="s">
        <v>32</v>
      </c>
    </row>
    <row r="1235" spans="1:14" x14ac:dyDescent="0.3">
      <c r="A1235">
        <v>2024002233</v>
      </c>
      <c r="B1235" s="1">
        <v>45509</v>
      </c>
      <c r="C1235" s="11">
        <f t="shared" si="57"/>
        <v>2024</v>
      </c>
      <c r="D1235" t="s">
        <v>269</v>
      </c>
      <c r="E1235" t="s">
        <v>43</v>
      </c>
      <c r="F1235" t="s">
        <v>44</v>
      </c>
      <c r="G1235" t="s">
        <v>36</v>
      </c>
      <c r="H1235">
        <v>1</v>
      </c>
      <c r="I1235" s="2">
        <v>1220.51</v>
      </c>
      <c r="J1235" s="2">
        <v>1220.51</v>
      </c>
      <c r="K1235" s="2">
        <f t="shared" si="58"/>
        <v>1220.51</v>
      </c>
      <c r="L1235" s="2">
        <f t="shared" si="59"/>
        <v>0</v>
      </c>
      <c r="M1235" t="s">
        <v>61</v>
      </c>
      <c r="N1235" t="s">
        <v>26</v>
      </c>
    </row>
    <row r="1236" spans="1:14" x14ac:dyDescent="0.3">
      <c r="A1236">
        <v>2024002234</v>
      </c>
      <c r="B1236" s="1">
        <v>45353</v>
      </c>
      <c r="C1236" s="11">
        <f t="shared" si="57"/>
        <v>2024</v>
      </c>
      <c r="D1236" t="s">
        <v>103</v>
      </c>
      <c r="E1236" t="s">
        <v>46</v>
      </c>
      <c r="F1236" t="s">
        <v>47</v>
      </c>
      <c r="G1236" t="s">
        <v>36</v>
      </c>
      <c r="H1236">
        <v>2</v>
      </c>
      <c r="I1236" s="2">
        <v>97.13</v>
      </c>
      <c r="J1236" s="2">
        <v>194.26</v>
      </c>
      <c r="K1236" s="2">
        <f t="shared" si="58"/>
        <v>194.26</v>
      </c>
      <c r="L1236" s="2">
        <f t="shared" si="59"/>
        <v>0</v>
      </c>
      <c r="M1236" t="s">
        <v>64</v>
      </c>
      <c r="N1236" t="s">
        <v>16</v>
      </c>
    </row>
    <row r="1237" spans="1:14" x14ac:dyDescent="0.3">
      <c r="A1237">
        <v>2024002235</v>
      </c>
      <c r="B1237" s="1">
        <v>45526</v>
      </c>
      <c r="C1237" s="11">
        <f t="shared" si="57"/>
        <v>2024</v>
      </c>
      <c r="D1237" t="s">
        <v>11</v>
      </c>
      <c r="E1237" t="s">
        <v>28</v>
      </c>
      <c r="F1237" t="s">
        <v>29</v>
      </c>
      <c r="G1237" t="s">
        <v>30</v>
      </c>
      <c r="H1237">
        <v>1</v>
      </c>
      <c r="I1237" s="2">
        <v>25.2</v>
      </c>
      <c r="J1237" s="2">
        <v>25.2</v>
      </c>
      <c r="K1237" s="2">
        <f t="shared" si="58"/>
        <v>25.2</v>
      </c>
      <c r="L1237" s="2">
        <f t="shared" si="59"/>
        <v>0</v>
      </c>
      <c r="M1237" t="s">
        <v>15</v>
      </c>
      <c r="N1237" t="s">
        <v>26</v>
      </c>
    </row>
    <row r="1238" spans="1:14" x14ac:dyDescent="0.3">
      <c r="A1238">
        <v>2024002236</v>
      </c>
      <c r="B1238" s="1">
        <v>45560</v>
      </c>
      <c r="C1238" s="11">
        <f t="shared" si="57"/>
        <v>2024</v>
      </c>
      <c r="D1238" t="s">
        <v>11</v>
      </c>
      <c r="E1238" t="s">
        <v>46</v>
      </c>
      <c r="F1238" t="s">
        <v>47</v>
      </c>
      <c r="G1238" t="s">
        <v>36</v>
      </c>
      <c r="H1238">
        <v>4</v>
      </c>
      <c r="I1238" s="2">
        <v>91.58</v>
      </c>
      <c r="J1238" s="2">
        <v>366.32</v>
      </c>
      <c r="K1238" s="2">
        <f t="shared" si="58"/>
        <v>366.32</v>
      </c>
      <c r="L1238" s="2">
        <f t="shared" si="59"/>
        <v>0</v>
      </c>
      <c r="M1238" t="s">
        <v>38</v>
      </c>
      <c r="N1238" t="s">
        <v>16</v>
      </c>
    </row>
    <row r="1239" spans="1:14" x14ac:dyDescent="0.3">
      <c r="A1239">
        <v>2024002237</v>
      </c>
      <c r="B1239" s="1">
        <v>45454</v>
      </c>
      <c r="C1239" s="11">
        <f t="shared" si="57"/>
        <v>2024</v>
      </c>
      <c r="D1239" t="s">
        <v>11</v>
      </c>
      <c r="E1239" t="s">
        <v>23</v>
      </c>
      <c r="F1239" t="s">
        <v>24</v>
      </c>
      <c r="G1239" t="s">
        <v>14</v>
      </c>
      <c r="H1239">
        <v>3</v>
      </c>
      <c r="I1239" s="2">
        <v>78.12</v>
      </c>
      <c r="J1239" s="2">
        <v>234.36</v>
      </c>
      <c r="K1239" s="2">
        <f t="shared" si="58"/>
        <v>234.36</v>
      </c>
      <c r="L1239" s="2">
        <f t="shared" si="59"/>
        <v>0</v>
      </c>
      <c r="M1239" t="s">
        <v>25</v>
      </c>
      <c r="N1239" t="s">
        <v>26</v>
      </c>
    </row>
    <row r="1240" spans="1:14" x14ac:dyDescent="0.3">
      <c r="A1240">
        <v>2024002238</v>
      </c>
      <c r="B1240" s="1">
        <v>45579</v>
      </c>
      <c r="C1240" s="11">
        <f t="shared" si="57"/>
        <v>2024</v>
      </c>
      <c r="D1240" t="s">
        <v>260</v>
      </c>
      <c r="E1240" t="s">
        <v>43</v>
      </c>
      <c r="F1240" t="s">
        <v>44</v>
      </c>
      <c r="G1240" t="s">
        <v>36</v>
      </c>
      <c r="H1240">
        <v>1</v>
      </c>
      <c r="I1240" s="2">
        <v>1249.75</v>
      </c>
      <c r="J1240" s="2">
        <v>1249.75</v>
      </c>
      <c r="K1240" s="2">
        <f t="shared" si="58"/>
        <v>1249.75</v>
      </c>
      <c r="L1240" s="2">
        <f t="shared" si="59"/>
        <v>0</v>
      </c>
      <c r="M1240" t="s">
        <v>57</v>
      </c>
      <c r="N1240" t="s">
        <v>21</v>
      </c>
    </row>
    <row r="1241" spans="1:14" x14ac:dyDescent="0.3">
      <c r="A1241">
        <v>2024002239</v>
      </c>
      <c r="B1241" s="1">
        <v>45562</v>
      </c>
      <c r="C1241" s="11">
        <f t="shared" si="57"/>
        <v>2024</v>
      </c>
      <c r="D1241" t="s">
        <v>319</v>
      </c>
      <c r="E1241" t="s">
        <v>28</v>
      </c>
      <c r="F1241" t="s">
        <v>29</v>
      </c>
      <c r="G1241" t="s">
        <v>30</v>
      </c>
      <c r="H1241">
        <v>2</v>
      </c>
      <c r="I1241" s="2">
        <v>24.29</v>
      </c>
      <c r="J1241" s="2">
        <v>48.58</v>
      </c>
      <c r="K1241" s="2">
        <f t="shared" si="58"/>
        <v>48.58</v>
      </c>
      <c r="L1241" s="2">
        <f t="shared" si="59"/>
        <v>0</v>
      </c>
      <c r="M1241" t="s">
        <v>55</v>
      </c>
      <c r="N1241" t="s">
        <v>16</v>
      </c>
    </row>
    <row r="1242" spans="1:14" x14ac:dyDescent="0.3">
      <c r="A1242">
        <v>2024002240</v>
      </c>
      <c r="B1242" s="1">
        <v>45317</v>
      </c>
      <c r="C1242" s="11">
        <f t="shared" si="57"/>
        <v>2024</v>
      </c>
      <c r="D1242" t="s">
        <v>11</v>
      </c>
      <c r="E1242" t="s">
        <v>40</v>
      </c>
      <c r="F1242" t="s">
        <v>41</v>
      </c>
      <c r="G1242" t="s">
        <v>36</v>
      </c>
      <c r="H1242">
        <v>2</v>
      </c>
      <c r="I1242" s="2">
        <v>47.41</v>
      </c>
      <c r="J1242" s="2">
        <v>94.82</v>
      </c>
      <c r="K1242" s="2">
        <f t="shared" si="58"/>
        <v>94.82</v>
      </c>
      <c r="L1242" s="2">
        <f t="shared" si="59"/>
        <v>0</v>
      </c>
      <c r="M1242" t="s">
        <v>25</v>
      </c>
      <c r="N1242" t="s">
        <v>32</v>
      </c>
    </row>
    <row r="1243" spans="1:14" x14ac:dyDescent="0.3">
      <c r="A1243">
        <v>2024002241</v>
      </c>
      <c r="B1243" s="1">
        <v>45478</v>
      </c>
      <c r="C1243" s="11">
        <f t="shared" si="57"/>
        <v>2024</v>
      </c>
      <c r="D1243" t="s">
        <v>343</v>
      </c>
      <c r="E1243" t="s">
        <v>46</v>
      </c>
      <c r="F1243" t="s">
        <v>47</v>
      </c>
      <c r="G1243" t="s">
        <v>36</v>
      </c>
      <c r="H1243">
        <v>1</v>
      </c>
      <c r="I1243" s="2">
        <v>94.56</v>
      </c>
      <c r="J1243" s="2">
        <v>94.56</v>
      </c>
      <c r="K1243" s="2">
        <f t="shared" si="58"/>
        <v>94.56</v>
      </c>
      <c r="L1243" s="2">
        <f t="shared" si="59"/>
        <v>0</v>
      </c>
      <c r="M1243" t="s">
        <v>57</v>
      </c>
      <c r="N1243" t="s">
        <v>21</v>
      </c>
    </row>
    <row r="1244" spans="1:14" x14ac:dyDescent="0.3">
      <c r="A1244">
        <v>2024002242</v>
      </c>
      <c r="B1244" s="1">
        <v>45440</v>
      </c>
      <c r="C1244" s="11">
        <f t="shared" si="57"/>
        <v>2024</v>
      </c>
      <c r="D1244" t="s">
        <v>216</v>
      </c>
      <c r="E1244" t="s">
        <v>46</v>
      </c>
      <c r="F1244" t="s">
        <v>47</v>
      </c>
      <c r="G1244" t="s">
        <v>36</v>
      </c>
      <c r="H1244">
        <v>1</v>
      </c>
      <c r="I1244" s="2">
        <v>91.12</v>
      </c>
      <c r="J1244" s="2">
        <v>91.12</v>
      </c>
      <c r="K1244" s="2">
        <f t="shared" si="58"/>
        <v>91.12</v>
      </c>
      <c r="L1244" s="2">
        <f t="shared" si="59"/>
        <v>0</v>
      </c>
      <c r="M1244" t="s">
        <v>20</v>
      </c>
      <c r="N1244" t="s">
        <v>16</v>
      </c>
    </row>
    <row r="1245" spans="1:14" x14ac:dyDescent="0.3">
      <c r="A1245">
        <v>2024002243</v>
      </c>
      <c r="B1245" s="1">
        <v>45647</v>
      </c>
      <c r="C1245" s="11">
        <f t="shared" si="57"/>
        <v>2024</v>
      </c>
      <c r="D1245" t="s">
        <v>265</v>
      </c>
      <c r="E1245" t="s">
        <v>12</v>
      </c>
      <c r="F1245" t="s">
        <v>13</v>
      </c>
      <c r="G1245" t="s">
        <v>14</v>
      </c>
      <c r="H1245">
        <v>1</v>
      </c>
      <c r="I1245" s="2">
        <v>349.79</v>
      </c>
      <c r="J1245" s="2">
        <v>349.79</v>
      </c>
      <c r="K1245" s="2">
        <f t="shared" si="58"/>
        <v>349.79</v>
      </c>
      <c r="L1245" s="2">
        <f t="shared" si="59"/>
        <v>0</v>
      </c>
      <c r="M1245" t="s">
        <v>38</v>
      </c>
      <c r="N1245" t="s">
        <v>16</v>
      </c>
    </row>
    <row r="1246" spans="1:14" x14ac:dyDescent="0.3">
      <c r="A1246">
        <v>2024002244</v>
      </c>
      <c r="B1246" s="1">
        <v>45614</v>
      </c>
      <c r="C1246" s="11">
        <f t="shared" si="57"/>
        <v>2024</v>
      </c>
      <c r="D1246" t="s">
        <v>157</v>
      </c>
      <c r="E1246" t="s">
        <v>40</v>
      </c>
      <c r="F1246" t="s">
        <v>41</v>
      </c>
      <c r="G1246" t="s">
        <v>36</v>
      </c>
      <c r="H1246">
        <v>1</v>
      </c>
      <c r="I1246" s="2">
        <v>50.62</v>
      </c>
      <c r="J1246" s="2">
        <v>50.62</v>
      </c>
      <c r="K1246" s="2">
        <f t="shared" si="58"/>
        <v>50.62</v>
      </c>
      <c r="L1246" s="2">
        <f t="shared" si="59"/>
        <v>0</v>
      </c>
      <c r="M1246" t="s">
        <v>57</v>
      </c>
      <c r="N1246" t="s">
        <v>21</v>
      </c>
    </row>
    <row r="1247" spans="1:14" x14ac:dyDescent="0.3">
      <c r="A1247">
        <v>2024002245</v>
      </c>
      <c r="B1247" s="1">
        <v>45380</v>
      </c>
      <c r="C1247" s="11">
        <f t="shared" si="57"/>
        <v>2024</v>
      </c>
      <c r="D1247" t="s">
        <v>129</v>
      </c>
      <c r="E1247" t="s">
        <v>67</v>
      </c>
      <c r="F1247" t="s">
        <v>68</v>
      </c>
      <c r="G1247" t="s">
        <v>36</v>
      </c>
      <c r="H1247">
        <v>3</v>
      </c>
      <c r="I1247" s="2">
        <v>400.92</v>
      </c>
      <c r="J1247" s="2">
        <v>1202.76</v>
      </c>
      <c r="K1247" s="2">
        <f t="shared" si="58"/>
        <v>1202.76</v>
      </c>
      <c r="L1247" s="2">
        <f t="shared" si="59"/>
        <v>0</v>
      </c>
      <c r="M1247" t="s">
        <v>15</v>
      </c>
      <c r="N1247" t="s">
        <v>21</v>
      </c>
    </row>
    <row r="1248" spans="1:14" x14ac:dyDescent="0.3">
      <c r="A1248">
        <v>2024002246</v>
      </c>
      <c r="B1248" s="1">
        <v>45487</v>
      </c>
      <c r="C1248" s="11">
        <f t="shared" si="57"/>
        <v>2024</v>
      </c>
      <c r="D1248" t="s">
        <v>320</v>
      </c>
      <c r="E1248" t="s">
        <v>18</v>
      </c>
      <c r="F1248" t="s">
        <v>19</v>
      </c>
      <c r="G1248" t="s">
        <v>14</v>
      </c>
      <c r="H1248">
        <v>3</v>
      </c>
      <c r="I1248" s="2">
        <v>571.46</v>
      </c>
      <c r="J1248" s="2">
        <v>1714.38</v>
      </c>
      <c r="K1248" s="2">
        <f t="shared" si="58"/>
        <v>1714.38</v>
      </c>
      <c r="L1248" s="2">
        <f t="shared" si="59"/>
        <v>0</v>
      </c>
      <c r="M1248" t="s">
        <v>31</v>
      </c>
      <c r="N1248" t="s">
        <v>16</v>
      </c>
    </row>
    <row r="1249" spans="1:14" x14ac:dyDescent="0.3">
      <c r="A1249">
        <v>2024002247</v>
      </c>
      <c r="B1249" s="1">
        <v>45625</v>
      </c>
      <c r="C1249" s="11">
        <f t="shared" si="57"/>
        <v>2024</v>
      </c>
      <c r="D1249" t="s">
        <v>94</v>
      </c>
      <c r="E1249" t="s">
        <v>28</v>
      </c>
      <c r="F1249" t="s">
        <v>29</v>
      </c>
      <c r="G1249" t="s">
        <v>30</v>
      </c>
      <c r="H1249">
        <v>1</v>
      </c>
      <c r="I1249" s="2">
        <v>24.57</v>
      </c>
      <c r="J1249" s="2">
        <v>24.57</v>
      </c>
      <c r="K1249" s="2">
        <f t="shared" si="58"/>
        <v>24.57</v>
      </c>
      <c r="L1249" s="2">
        <f t="shared" si="59"/>
        <v>0</v>
      </c>
      <c r="M1249" t="s">
        <v>25</v>
      </c>
      <c r="N1249" t="s">
        <v>21</v>
      </c>
    </row>
    <row r="1250" spans="1:14" x14ac:dyDescent="0.3">
      <c r="A1250">
        <v>2024002248</v>
      </c>
      <c r="B1250" s="1">
        <v>45514</v>
      </c>
      <c r="C1250" s="11">
        <f t="shared" si="57"/>
        <v>2024</v>
      </c>
      <c r="D1250" t="s">
        <v>323</v>
      </c>
      <c r="E1250" t="s">
        <v>34</v>
      </c>
      <c r="F1250" t="s">
        <v>35</v>
      </c>
      <c r="G1250" t="s">
        <v>36</v>
      </c>
      <c r="H1250">
        <v>1</v>
      </c>
      <c r="I1250" s="2">
        <v>14.84</v>
      </c>
      <c r="J1250" s="2">
        <v>14.84</v>
      </c>
      <c r="K1250" s="2">
        <f t="shared" si="58"/>
        <v>14.84</v>
      </c>
      <c r="L1250" s="2">
        <f t="shared" si="59"/>
        <v>0</v>
      </c>
      <c r="M1250" t="s">
        <v>48</v>
      </c>
      <c r="N1250" t="s">
        <v>21</v>
      </c>
    </row>
    <row r="1251" spans="1:14" x14ac:dyDescent="0.3">
      <c r="A1251">
        <v>2024002249</v>
      </c>
      <c r="B1251" s="1">
        <v>45339</v>
      </c>
      <c r="C1251" s="11">
        <f t="shared" si="57"/>
        <v>2024</v>
      </c>
      <c r="D1251" t="s">
        <v>248</v>
      </c>
      <c r="E1251" t="s">
        <v>23</v>
      </c>
      <c r="F1251" t="s">
        <v>24</v>
      </c>
      <c r="G1251" t="s">
        <v>14</v>
      </c>
      <c r="H1251">
        <v>3</v>
      </c>
      <c r="I1251" s="2">
        <v>85.7</v>
      </c>
      <c r="J1251" s="2">
        <v>257.10000000000002</v>
      </c>
      <c r="K1251" s="2">
        <f t="shared" si="58"/>
        <v>257.10000000000002</v>
      </c>
      <c r="L1251" s="2">
        <f t="shared" si="59"/>
        <v>0</v>
      </c>
      <c r="M1251" t="s">
        <v>48</v>
      </c>
      <c r="N1251" t="s">
        <v>32</v>
      </c>
    </row>
    <row r="1252" spans="1:14" x14ac:dyDescent="0.3">
      <c r="A1252">
        <v>2024002250</v>
      </c>
      <c r="B1252" s="1">
        <v>45574</v>
      </c>
      <c r="C1252" s="11">
        <f t="shared" si="57"/>
        <v>2024</v>
      </c>
      <c r="D1252" t="s">
        <v>11</v>
      </c>
      <c r="E1252" t="s">
        <v>18</v>
      </c>
      <c r="F1252" t="s">
        <v>19</v>
      </c>
      <c r="G1252" t="s">
        <v>14</v>
      </c>
      <c r="H1252">
        <v>2</v>
      </c>
      <c r="I1252" s="2">
        <v>588</v>
      </c>
      <c r="J1252" s="2">
        <v>1176</v>
      </c>
      <c r="K1252" s="2">
        <f t="shared" si="58"/>
        <v>1176</v>
      </c>
      <c r="L1252" s="2">
        <f t="shared" si="59"/>
        <v>0</v>
      </c>
      <c r="M1252" t="s">
        <v>64</v>
      </c>
      <c r="N1252" t="s">
        <v>32</v>
      </c>
    </row>
    <row r="1253" spans="1:14" x14ac:dyDescent="0.3">
      <c r="A1253">
        <v>2024002251</v>
      </c>
      <c r="B1253" s="1">
        <v>45571</v>
      </c>
      <c r="C1253" s="11">
        <f t="shared" si="57"/>
        <v>2024</v>
      </c>
      <c r="D1253" t="s">
        <v>322</v>
      </c>
      <c r="E1253" t="s">
        <v>28</v>
      </c>
      <c r="F1253" t="s">
        <v>29</v>
      </c>
      <c r="G1253" t="s">
        <v>30</v>
      </c>
      <c r="H1253">
        <v>2</v>
      </c>
      <c r="I1253" s="2">
        <v>24.07</v>
      </c>
      <c r="J1253" s="2">
        <v>48.14</v>
      </c>
      <c r="K1253" s="2">
        <f t="shared" si="58"/>
        <v>48.14</v>
      </c>
      <c r="L1253" s="2">
        <f t="shared" si="59"/>
        <v>0</v>
      </c>
      <c r="M1253" t="s">
        <v>61</v>
      </c>
      <c r="N1253" t="s">
        <v>16</v>
      </c>
    </row>
    <row r="1254" spans="1:14" x14ac:dyDescent="0.3">
      <c r="A1254">
        <v>2024002252</v>
      </c>
      <c r="B1254" s="1">
        <v>45565</v>
      </c>
      <c r="C1254" s="11">
        <f t="shared" si="57"/>
        <v>2024</v>
      </c>
      <c r="D1254" t="s">
        <v>11</v>
      </c>
      <c r="E1254" t="s">
        <v>43</v>
      </c>
      <c r="F1254" t="s">
        <v>44</v>
      </c>
      <c r="G1254" t="s">
        <v>36</v>
      </c>
      <c r="H1254">
        <v>1</v>
      </c>
      <c r="I1254" s="2">
        <v>1203.5</v>
      </c>
      <c r="J1254" s="2">
        <v>1203.5</v>
      </c>
      <c r="K1254" s="2">
        <f t="shared" si="58"/>
        <v>1203.5</v>
      </c>
      <c r="L1254" s="2">
        <f t="shared" si="59"/>
        <v>0</v>
      </c>
      <c r="M1254" t="s">
        <v>48</v>
      </c>
      <c r="N1254" t="s">
        <v>21</v>
      </c>
    </row>
    <row r="1255" spans="1:14" x14ac:dyDescent="0.3">
      <c r="A1255">
        <v>2024002253</v>
      </c>
      <c r="B1255" s="1">
        <v>45561</v>
      </c>
      <c r="C1255" s="11">
        <f t="shared" si="57"/>
        <v>2024</v>
      </c>
      <c r="D1255" t="s">
        <v>93</v>
      </c>
      <c r="E1255" t="s">
        <v>40</v>
      </c>
      <c r="F1255" t="s">
        <v>41</v>
      </c>
      <c r="G1255" t="s">
        <v>36</v>
      </c>
      <c r="H1255">
        <v>3</v>
      </c>
      <c r="I1255" s="2">
        <v>43.64</v>
      </c>
      <c r="J1255" s="2">
        <v>130.91999999999999</v>
      </c>
      <c r="K1255" s="2">
        <f t="shared" si="58"/>
        <v>130.92000000000002</v>
      </c>
      <c r="L1255" s="2">
        <f t="shared" si="59"/>
        <v>0</v>
      </c>
      <c r="M1255" t="s">
        <v>15</v>
      </c>
      <c r="N1255" t="s">
        <v>32</v>
      </c>
    </row>
    <row r="1256" spans="1:14" x14ac:dyDescent="0.3">
      <c r="A1256">
        <v>2024002254</v>
      </c>
      <c r="B1256" s="1">
        <v>45405</v>
      </c>
      <c r="C1256" s="11">
        <f t="shared" si="57"/>
        <v>2024</v>
      </c>
      <c r="D1256" t="s">
        <v>11</v>
      </c>
      <c r="E1256" t="s">
        <v>23</v>
      </c>
      <c r="F1256" t="s">
        <v>24</v>
      </c>
      <c r="G1256" t="s">
        <v>14</v>
      </c>
      <c r="H1256">
        <v>0</v>
      </c>
      <c r="I1256" s="2">
        <v>80.510000000000005</v>
      </c>
      <c r="J1256" s="2">
        <v>0</v>
      </c>
      <c r="K1256" s="2">
        <f t="shared" si="58"/>
        <v>0</v>
      </c>
      <c r="L1256" s="2">
        <f t="shared" si="59"/>
        <v>0</v>
      </c>
      <c r="M1256" t="s">
        <v>31</v>
      </c>
      <c r="N1256" t="s">
        <v>26</v>
      </c>
    </row>
    <row r="1257" spans="1:14" x14ac:dyDescent="0.3">
      <c r="A1257">
        <v>2024002255</v>
      </c>
      <c r="B1257" s="1">
        <v>45295</v>
      </c>
      <c r="C1257" s="11">
        <f t="shared" si="57"/>
        <v>2024</v>
      </c>
      <c r="D1257" t="s">
        <v>138</v>
      </c>
      <c r="E1257" t="s">
        <v>28</v>
      </c>
      <c r="F1257" t="s">
        <v>29</v>
      </c>
      <c r="G1257" t="s">
        <v>30</v>
      </c>
      <c r="H1257">
        <v>4</v>
      </c>
      <c r="I1257" s="2">
        <v>24.57</v>
      </c>
      <c r="J1257" s="2">
        <v>98.28</v>
      </c>
      <c r="K1257" s="2">
        <f t="shared" si="58"/>
        <v>98.28</v>
      </c>
      <c r="L1257" s="2">
        <f t="shared" si="59"/>
        <v>0</v>
      </c>
      <c r="M1257" t="s">
        <v>55</v>
      </c>
      <c r="N1257" t="s">
        <v>16</v>
      </c>
    </row>
    <row r="1258" spans="1:14" x14ac:dyDescent="0.3">
      <c r="A1258">
        <v>2024002256</v>
      </c>
      <c r="B1258" s="1">
        <v>45365</v>
      </c>
      <c r="C1258" s="11">
        <f t="shared" si="57"/>
        <v>2024</v>
      </c>
      <c r="D1258" t="s">
        <v>69</v>
      </c>
      <c r="E1258" t="s">
        <v>43</v>
      </c>
      <c r="F1258" t="s">
        <v>44</v>
      </c>
      <c r="G1258" t="s">
        <v>36</v>
      </c>
      <c r="H1258">
        <v>1</v>
      </c>
      <c r="I1258" s="2">
        <v>1102.58</v>
      </c>
      <c r="J1258" s="2">
        <v>1102.58</v>
      </c>
      <c r="K1258" s="2">
        <f t="shared" si="58"/>
        <v>1102.58</v>
      </c>
      <c r="L1258" s="2">
        <f t="shared" si="59"/>
        <v>0</v>
      </c>
      <c r="M1258" t="s">
        <v>64</v>
      </c>
      <c r="N1258" t="s">
        <v>26</v>
      </c>
    </row>
    <row r="1259" spans="1:14" x14ac:dyDescent="0.3">
      <c r="A1259">
        <v>2024002257</v>
      </c>
      <c r="B1259" s="1">
        <v>45409</v>
      </c>
      <c r="C1259" s="11">
        <f t="shared" si="57"/>
        <v>2024</v>
      </c>
      <c r="D1259" t="s">
        <v>343</v>
      </c>
      <c r="E1259" t="s">
        <v>67</v>
      </c>
      <c r="F1259" t="s">
        <v>68</v>
      </c>
      <c r="G1259" t="s">
        <v>36</v>
      </c>
      <c r="H1259">
        <v>3</v>
      </c>
      <c r="I1259" s="2">
        <v>392.6</v>
      </c>
      <c r="J1259" s="2">
        <v>1177.8</v>
      </c>
      <c r="K1259" s="2">
        <f t="shared" si="58"/>
        <v>1177.8000000000002</v>
      </c>
      <c r="L1259" s="2">
        <f t="shared" si="59"/>
        <v>0</v>
      </c>
      <c r="M1259" t="s">
        <v>64</v>
      </c>
      <c r="N1259" t="s">
        <v>26</v>
      </c>
    </row>
    <row r="1260" spans="1:14" x14ac:dyDescent="0.3">
      <c r="A1260">
        <v>2024002258</v>
      </c>
      <c r="B1260" s="1">
        <v>45466</v>
      </c>
      <c r="C1260" s="11">
        <f t="shared" si="57"/>
        <v>2024</v>
      </c>
      <c r="D1260" t="s">
        <v>60</v>
      </c>
      <c r="E1260" t="s">
        <v>46</v>
      </c>
      <c r="F1260" t="s">
        <v>47</v>
      </c>
      <c r="G1260" t="s">
        <v>36</v>
      </c>
      <c r="H1260">
        <v>1</v>
      </c>
      <c r="I1260" s="2">
        <v>90.46</v>
      </c>
      <c r="J1260" s="2">
        <v>90.46</v>
      </c>
      <c r="K1260" s="2">
        <f t="shared" si="58"/>
        <v>90.46</v>
      </c>
      <c r="L1260" s="2">
        <f t="shared" si="59"/>
        <v>0</v>
      </c>
      <c r="M1260" t="s">
        <v>15</v>
      </c>
      <c r="N1260" t="s">
        <v>16</v>
      </c>
    </row>
    <row r="1261" spans="1:14" x14ac:dyDescent="0.3">
      <c r="A1261">
        <v>2024002259</v>
      </c>
      <c r="B1261" s="1">
        <v>45339</v>
      </c>
      <c r="C1261" s="11">
        <f t="shared" si="57"/>
        <v>2024</v>
      </c>
      <c r="D1261" t="s">
        <v>102</v>
      </c>
      <c r="E1261" t="s">
        <v>40</v>
      </c>
      <c r="F1261" t="s">
        <v>41</v>
      </c>
      <c r="G1261" t="s">
        <v>36</v>
      </c>
      <c r="H1261">
        <v>2</v>
      </c>
      <c r="I1261" s="2">
        <v>45.75</v>
      </c>
      <c r="J1261" s="2">
        <v>91.5</v>
      </c>
      <c r="K1261" s="2">
        <f t="shared" si="58"/>
        <v>91.5</v>
      </c>
      <c r="L1261" s="2">
        <f t="shared" si="59"/>
        <v>0</v>
      </c>
      <c r="M1261" t="s">
        <v>25</v>
      </c>
      <c r="N1261" t="s">
        <v>32</v>
      </c>
    </row>
    <row r="1262" spans="1:14" x14ac:dyDescent="0.3">
      <c r="A1262">
        <v>2024002260</v>
      </c>
      <c r="B1262" s="1">
        <v>45548</v>
      </c>
      <c r="C1262" s="11">
        <f t="shared" si="57"/>
        <v>2024</v>
      </c>
      <c r="D1262" t="s">
        <v>50</v>
      </c>
      <c r="E1262" t="s">
        <v>43</v>
      </c>
      <c r="F1262" t="s">
        <v>44</v>
      </c>
      <c r="G1262" t="s">
        <v>36</v>
      </c>
      <c r="H1262">
        <v>2</v>
      </c>
      <c r="I1262" s="2">
        <v>1125.26</v>
      </c>
      <c r="J1262" s="2">
        <v>2250.52</v>
      </c>
      <c r="K1262" s="2">
        <f t="shared" si="58"/>
        <v>2250.52</v>
      </c>
      <c r="L1262" s="2">
        <f t="shared" si="59"/>
        <v>0</v>
      </c>
      <c r="M1262" t="s">
        <v>48</v>
      </c>
      <c r="N1262" t="s">
        <v>26</v>
      </c>
    </row>
    <row r="1263" spans="1:14" x14ac:dyDescent="0.3">
      <c r="A1263">
        <v>2024002261</v>
      </c>
      <c r="B1263" s="1">
        <v>45339</v>
      </c>
      <c r="C1263" s="11">
        <f t="shared" si="57"/>
        <v>2024</v>
      </c>
      <c r="D1263" t="s">
        <v>252</v>
      </c>
      <c r="E1263" t="s">
        <v>43</v>
      </c>
      <c r="F1263" t="s">
        <v>44</v>
      </c>
      <c r="G1263" t="s">
        <v>36</v>
      </c>
      <c r="H1263">
        <v>1</v>
      </c>
      <c r="I1263" s="2">
        <v>1231.3499999999999</v>
      </c>
      <c r="J1263" s="2">
        <v>1231.3499999999999</v>
      </c>
      <c r="K1263" s="2">
        <f t="shared" si="58"/>
        <v>1231.3499999999999</v>
      </c>
      <c r="L1263" s="2">
        <f t="shared" si="59"/>
        <v>0</v>
      </c>
      <c r="M1263" t="s">
        <v>20</v>
      </c>
      <c r="N1263" t="s">
        <v>32</v>
      </c>
    </row>
    <row r="1264" spans="1:14" x14ac:dyDescent="0.3">
      <c r="A1264">
        <v>2024002262</v>
      </c>
      <c r="B1264" s="1">
        <v>45380</v>
      </c>
      <c r="C1264" s="11">
        <f t="shared" si="57"/>
        <v>2024</v>
      </c>
      <c r="D1264" t="s">
        <v>11</v>
      </c>
      <c r="E1264" t="s">
        <v>43</v>
      </c>
      <c r="F1264" t="s">
        <v>44</v>
      </c>
      <c r="G1264" t="s">
        <v>36</v>
      </c>
      <c r="H1264">
        <v>1</v>
      </c>
      <c r="I1264" s="2">
        <v>1197.28</v>
      </c>
      <c r="J1264" s="2">
        <v>1197.28</v>
      </c>
      <c r="K1264" s="2">
        <f t="shared" si="58"/>
        <v>1197.28</v>
      </c>
      <c r="L1264" s="2">
        <f t="shared" si="59"/>
        <v>0</v>
      </c>
      <c r="M1264" t="s">
        <v>55</v>
      </c>
      <c r="N1264" t="s">
        <v>16</v>
      </c>
    </row>
    <row r="1265" spans="1:14" x14ac:dyDescent="0.3">
      <c r="A1265">
        <v>2024002263</v>
      </c>
      <c r="B1265" s="1">
        <v>45620</v>
      </c>
      <c r="C1265" s="11">
        <f t="shared" si="57"/>
        <v>2024</v>
      </c>
      <c r="D1265" t="s">
        <v>169</v>
      </c>
      <c r="E1265" t="s">
        <v>12</v>
      </c>
      <c r="F1265" t="s">
        <v>13</v>
      </c>
      <c r="G1265" t="s">
        <v>14</v>
      </c>
      <c r="H1265">
        <v>1</v>
      </c>
      <c r="I1265" s="2">
        <v>328.42</v>
      </c>
      <c r="J1265" s="2">
        <v>328.42</v>
      </c>
      <c r="K1265" s="2">
        <f t="shared" si="58"/>
        <v>328.42</v>
      </c>
      <c r="L1265" s="2">
        <f t="shared" si="59"/>
        <v>0</v>
      </c>
      <c r="M1265" t="s">
        <v>61</v>
      </c>
      <c r="N1265" t="s">
        <v>32</v>
      </c>
    </row>
    <row r="1266" spans="1:14" x14ac:dyDescent="0.3">
      <c r="A1266">
        <v>2024002264</v>
      </c>
      <c r="B1266" s="1">
        <v>45422</v>
      </c>
      <c r="C1266" s="11">
        <f t="shared" si="57"/>
        <v>2024</v>
      </c>
      <c r="D1266" t="s">
        <v>279</v>
      </c>
      <c r="E1266" t="s">
        <v>28</v>
      </c>
      <c r="F1266" t="s">
        <v>29</v>
      </c>
      <c r="G1266" t="s">
        <v>30</v>
      </c>
      <c r="H1266">
        <v>1</v>
      </c>
      <c r="I1266" s="2">
        <v>23.63</v>
      </c>
      <c r="J1266" s="2">
        <v>23.63</v>
      </c>
      <c r="K1266" s="2">
        <f t="shared" si="58"/>
        <v>23.63</v>
      </c>
      <c r="L1266" s="2">
        <f t="shared" si="59"/>
        <v>0</v>
      </c>
      <c r="M1266" t="s">
        <v>31</v>
      </c>
      <c r="N1266" t="s">
        <v>21</v>
      </c>
    </row>
    <row r="1267" spans="1:14" x14ac:dyDescent="0.3">
      <c r="A1267">
        <v>2024002265</v>
      </c>
      <c r="B1267" s="1">
        <v>45627</v>
      </c>
      <c r="C1267" s="11">
        <f t="shared" si="57"/>
        <v>2024</v>
      </c>
      <c r="D1267" t="s">
        <v>256</v>
      </c>
      <c r="E1267" t="s">
        <v>53</v>
      </c>
      <c r="F1267" t="s">
        <v>54</v>
      </c>
      <c r="G1267" t="s">
        <v>36</v>
      </c>
      <c r="H1267">
        <v>1</v>
      </c>
      <c r="I1267" s="2">
        <v>118.16</v>
      </c>
      <c r="J1267" s="2">
        <v>118.16</v>
      </c>
      <c r="K1267" s="2">
        <f t="shared" si="58"/>
        <v>118.16</v>
      </c>
      <c r="L1267" s="2">
        <f t="shared" si="59"/>
        <v>0</v>
      </c>
      <c r="M1267" t="s">
        <v>20</v>
      </c>
      <c r="N1267" t="s">
        <v>26</v>
      </c>
    </row>
    <row r="1268" spans="1:14" x14ac:dyDescent="0.3">
      <c r="A1268">
        <v>2024002266</v>
      </c>
      <c r="B1268" s="1">
        <v>45483</v>
      </c>
      <c r="C1268" s="11">
        <f t="shared" si="57"/>
        <v>2024</v>
      </c>
      <c r="D1268" t="s">
        <v>281</v>
      </c>
      <c r="E1268" t="s">
        <v>40</v>
      </c>
      <c r="F1268" t="s">
        <v>41</v>
      </c>
      <c r="G1268" t="s">
        <v>36</v>
      </c>
      <c r="H1268">
        <v>1</v>
      </c>
      <c r="I1268" s="2">
        <v>41.49</v>
      </c>
      <c r="J1268" s="2">
        <v>41.49</v>
      </c>
      <c r="K1268" s="2">
        <f t="shared" si="58"/>
        <v>41.49</v>
      </c>
      <c r="L1268" s="2">
        <f t="shared" si="59"/>
        <v>0</v>
      </c>
      <c r="M1268" t="s">
        <v>57</v>
      </c>
      <c r="N1268" t="s">
        <v>21</v>
      </c>
    </row>
    <row r="1269" spans="1:14" x14ac:dyDescent="0.3">
      <c r="A1269">
        <v>2024002267</v>
      </c>
      <c r="B1269" s="1">
        <v>45505</v>
      </c>
      <c r="C1269" s="11">
        <f t="shared" si="57"/>
        <v>2024</v>
      </c>
      <c r="D1269" t="s">
        <v>11</v>
      </c>
      <c r="E1269" t="s">
        <v>46</v>
      </c>
      <c r="F1269" t="s">
        <v>47</v>
      </c>
      <c r="G1269" t="s">
        <v>36</v>
      </c>
      <c r="H1269">
        <v>2</v>
      </c>
      <c r="I1269" s="2">
        <v>102.75</v>
      </c>
      <c r="J1269" s="2">
        <v>205.5</v>
      </c>
      <c r="K1269" s="2">
        <f t="shared" si="58"/>
        <v>205.5</v>
      </c>
      <c r="L1269" s="2">
        <f t="shared" si="59"/>
        <v>0</v>
      </c>
      <c r="M1269" t="s">
        <v>48</v>
      </c>
      <c r="N1269" t="s">
        <v>21</v>
      </c>
    </row>
    <row r="1270" spans="1:14" x14ac:dyDescent="0.3">
      <c r="A1270">
        <v>2024002268</v>
      </c>
      <c r="B1270" s="1">
        <v>45528</v>
      </c>
      <c r="C1270" s="11">
        <f t="shared" si="57"/>
        <v>2024</v>
      </c>
      <c r="D1270" t="s">
        <v>165</v>
      </c>
      <c r="E1270" t="s">
        <v>18</v>
      </c>
      <c r="F1270" t="s">
        <v>19</v>
      </c>
      <c r="G1270" t="s">
        <v>14</v>
      </c>
      <c r="H1270">
        <v>1</v>
      </c>
      <c r="I1270" s="2">
        <v>638.69000000000005</v>
      </c>
      <c r="J1270" s="2">
        <v>638.69000000000005</v>
      </c>
      <c r="K1270" s="2">
        <f t="shared" si="58"/>
        <v>638.69000000000005</v>
      </c>
      <c r="L1270" s="2">
        <f t="shared" si="59"/>
        <v>0</v>
      </c>
      <c r="M1270" t="s">
        <v>15</v>
      </c>
      <c r="N1270" t="s">
        <v>21</v>
      </c>
    </row>
    <row r="1271" spans="1:14" x14ac:dyDescent="0.3">
      <c r="A1271">
        <v>2024002269</v>
      </c>
      <c r="B1271" s="1">
        <v>45308</v>
      </c>
      <c r="C1271" s="11">
        <f t="shared" si="57"/>
        <v>2024</v>
      </c>
      <c r="D1271" t="s">
        <v>165</v>
      </c>
      <c r="E1271" t="s">
        <v>28</v>
      </c>
      <c r="F1271" t="s">
        <v>29</v>
      </c>
      <c r="G1271" t="s">
        <v>30</v>
      </c>
      <c r="H1271">
        <v>2</v>
      </c>
      <c r="I1271" s="2">
        <v>25.04</v>
      </c>
      <c r="J1271" s="2">
        <v>50.08</v>
      </c>
      <c r="K1271" s="2">
        <f t="shared" si="58"/>
        <v>50.08</v>
      </c>
      <c r="L1271" s="2">
        <f t="shared" si="59"/>
        <v>0</v>
      </c>
      <c r="M1271" t="s">
        <v>25</v>
      </c>
      <c r="N1271" t="s">
        <v>21</v>
      </c>
    </row>
    <row r="1272" spans="1:14" x14ac:dyDescent="0.3">
      <c r="A1272">
        <v>2024002270</v>
      </c>
      <c r="B1272" s="1">
        <v>45406</v>
      </c>
      <c r="C1272" s="11">
        <f t="shared" si="57"/>
        <v>2024</v>
      </c>
      <c r="D1272" t="s">
        <v>11</v>
      </c>
      <c r="E1272" t="s">
        <v>18</v>
      </c>
      <c r="F1272" t="s">
        <v>19</v>
      </c>
      <c r="G1272" t="s">
        <v>14</v>
      </c>
      <c r="H1272">
        <v>2</v>
      </c>
      <c r="I1272" s="2">
        <v>571.16999999999996</v>
      </c>
      <c r="J1272" s="2">
        <v>1142.3399999999999</v>
      </c>
      <c r="K1272" s="2">
        <f t="shared" si="58"/>
        <v>1142.3399999999999</v>
      </c>
      <c r="L1272" s="2">
        <f t="shared" si="59"/>
        <v>0</v>
      </c>
      <c r="M1272" t="s">
        <v>31</v>
      </c>
      <c r="N1272" t="s">
        <v>16</v>
      </c>
    </row>
    <row r="1273" spans="1:14" x14ac:dyDescent="0.3">
      <c r="A1273">
        <v>2024002271</v>
      </c>
      <c r="B1273" s="1">
        <v>45349</v>
      </c>
      <c r="C1273" s="11">
        <f t="shared" si="57"/>
        <v>2024</v>
      </c>
      <c r="D1273" t="s">
        <v>51</v>
      </c>
      <c r="E1273" t="s">
        <v>23</v>
      </c>
      <c r="F1273" t="s">
        <v>24</v>
      </c>
      <c r="G1273" t="s">
        <v>14</v>
      </c>
      <c r="H1273">
        <v>1</v>
      </c>
      <c r="I1273" s="2">
        <v>82.12</v>
      </c>
      <c r="J1273" s="2">
        <v>82.12</v>
      </c>
      <c r="K1273" s="2">
        <f t="shared" si="58"/>
        <v>82.12</v>
      </c>
      <c r="L1273" s="2">
        <f t="shared" si="59"/>
        <v>0</v>
      </c>
      <c r="M1273" t="s">
        <v>38</v>
      </c>
      <c r="N1273" t="s">
        <v>21</v>
      </c>
    </row>
    <row r="1274" spans="1:14" x14ac:dyDescent="0.3">
      <c r="A1274">
        <v>2024002272</v>
      </c>
      <c r="B1274" s="1">
        <v>45613</v>
      </c>
      <c r="C1274" s="11">
        <f t="shared" si="57"/>
        <v>2024</v>
      </c>
      <c r="D1274" t="s">
        <v>134</v>
      </c>
      <c r="E1274" t="s">
        <v>67</v>
      </c>
      <c r="F1274" t="s">
        <v>68</v>
      </c>
      <c r="G1274" t="s">
        <v>36</v>
      </c>
      <c r="H1274">
        <v>1</v>
      </c>
      <c r="I1274" s="2">
        <v>400.96</v>
      </c>
      <c r="J1274" s="2">
        <v>400.96</v>
      </c>
      <c r="K1274" s="2">
        <f t="shared" si="58"/>
        <v>400.96</v>
      </c>
      <c r="L1274" s="2">
        <f t="shared" si="59"/>
        <v>0</v>
      </c>
      <c r="M1274" t="s">
        <v>55</v>
      </c>
      <c r="N1274" t="s">
        <v>16</v>
      </c>
    </row>
    <row r="1275" spans="1:14" x14ac:dyDescent="0.3">
      <c r="A1275">
        <v>2024002273</v>
      </c>
      <c r="B1275" s="1">
        <v>45655</v>
      </c>
      <c r="C1275" s="11">
        <f t="shared" si="57"/>
        <v>2024</v>
      </c>
      <c r="D1275" t="s">
        <v>182</v>
      </c>
      <c r="E1275" t="s">
        <v>46</v>
      </c>
      <c r="F1275" t="s">
        <v>47</v>
      </c>
      <c r="G1275" t="s">
        <v>36</v>
      </c>
      <c r="H1275">
        <v>1</v>
      </c>
      <c r="I1275" s="2">
        <v>95.24</v>
      </c>
      <c r="J1275" s="2">
        <v>95.24</v>
      </c>
      <c r="K1275" s="2">
        <f t="shared" si="58"/>
        <v>95.24</v>
      </c>
      <c r="L1275" s="2">
        <f t="shared" si="59"/>
        <v>0</v>
      </c>
      <c r="M1275" t="s">
        <v>61</v>
      </c>
      <c r="N1275" t="s">
        <v>21</v>
      </c>
    </row>
    <row r="1276" spans="1:14" x14ac:dyDescent="0.3">
      <c r="A1276">
        <v>2024002274</v>
      </c>
      <c r="B1276" s="1">
        <v>45486</v>
      </c>
      <c r="C1276" s="11">
        <f t="shared" si="57"/>
        <v>2024</v>
      </c>
      <c r="D1276" t="s">
        <v>152</v>
      </c>
      <c r="E1276" t="s">
        <v>12</v>
      </c>
      <c r="F1276" t="s">
        <v>13</v>
      </c>
      <c r="G1276" t="s">
        <v>14</v>
      </c>
      <c r="H1276">
        <v>1</v>
      </c>
      <c r="I1276" s="2">
        <v>370.05</v>
      </c>
      <c r="J1276" s="2">
        <v>370.05</v>
      </c>
      <c r="K1276" s="2">
        <f t="shared" si="58"/>
        <v>370.05</v>
      </c>
      <c r="L1276" s="2">
        <f t="shared" si="59"/>
        <v>0</v>
      </c>
      <c r="M1276" t="s">
        <v>64</v>
      </c>
      <c r="N1276" t="s">
        <v>32</v>
      </c>
    </row>
    <row r="1277" spans="1:14" x14ac:dyDescent="0.3">
      <c r="A1277">
        <v>2024002275</v>
      </c>
      <c r="B1277" s="1">
        <v>45633</v>
      </c>
      <c r="C1277" s="11">
        <f t="shared" si="57"/>
        <v>2024</v>
      </c>
      <c r="D1277" t="s">
        <v>308</v>
      </c>
      <c r="E1277" t="s">
        <v>53</v>
      </c>
      <c r="F1277" t="s">
        <v>54</v>
      </c>
      <c r="G1277" t="s">
        <v>36</v>
      </c>
      <c r="H1277">
        <v>2</v>
      </c>
      <c r="I1277" s="2">
        <v>126.86</v>
      </c>
      <c r="J1277" s="2">
        <v>253.72</v>
      </c>
      <c r="K1277" s="2">
        <f t="shared" si="58"/>
        <v>253.72</v>
      </c>
      <c r="L1277" s="2">
        <f t="shared" si="59"/>
        <v>0</v>
      </c>
      <c r="M1277" t="s">
        <v>55</v>
      </c>
      <c r="N1277" t="s">
        <v>21</v>
      </c>
    </row>
    <row r="1278" spans="1:14" x14ac:dyDescent="0.3">
      <c r="A1278">
        <v>2024002276</v>
      </c>
      <c r="B1278" s="1">
        <v>45322</v>
      </c>
      <c r="C1278" s="11">
        <f t="shared" si="57"/>
        <v>2024</v>
      </c>
      <c r="D1278" t="s">
        <v>198</v>
      </c>
      <c r="E1278" t="s">
        <v>43</v>
      </c>
      <c r="F1278" t="s">
        <v>44</v>
      </c>
      <c r="G1278" t="s">
        <v>36</v>
      </c>
      <c r="H1278">
        <v>1</v>
      </c>
      <c r="I1278" s="2">
        <v>1175.9100000000001</v>
      </c>
      <c r="J1278" s="2">
        <v>1175.9100000000001</v>
      </c>
      <c r="K1278" s="2">
        <f t="shared" si="58"/>
        <v>1175.9100000000001</v>
      </c>
      <c r="L1278" s="2">
        <f t="shared" si="59"/>
        <v>0</v>
      </c>
      <c r="M1278" t="s">
        <v>25</v>
      </c>
      <c r="N1278" t="s">
        <v>21</v>
      </c>
    </row>
    <row r="1279" spans="1:14" x14ac:dyDescent="0.3">
      <c r="A1279">
        <v>2024002277</v>
      </c>
      <c r="B1279" s="1">
        <v>45566</v>
      </c>
      <c r="C1279" s="11">
        <f t="shared" si="57"/>
        <v>2024</v>
      </c>
      <c r="D1279" t="s">
        <v>11</v>
      </c>
      <c r="E1279" t="s">
        <v>43</v>
      </c>
      <c r="F1279" t="s">
        <v>44</v>
      </c>
      <c r="G1279" t="s">
        <v>36</v>
      </c>
      <c r="H1279">
        <v>3</v>
      </c>
      <c r="I1279" s="2">
        <v>1212.72</v>
      </c>
      <c r="J1279" s="2">
        <v>3638.16</v>
      </c>
      <c r="K1279" s="2">
        <f t="shared" si="58"/>
        <v>3638.16</v>
      </c>
      <c r="L1279" s="2">
        <f t="shared" si="59"/>
        <v>0</v>
      </c>
      <c r="M1279" t="s">
        <v>64</v>
      </c>
      <c r="N1279" t="s">
        <v>21</v>
      </c>
    </row>
    <row r="1280" spans="1:14" x14ac:dyDescent="0.3">
      <c r="A1280">
        <v>2024002278</v>
      </c>
      <c r="B1280" s="1">
        <v>45596</v>
      </c>
      <c r="C1280" s="11">
        <f t="shared" si="57"/>
        <v>2024</v>
      </c>
      <c r="D1280" t="s">
        <v>191</v>
      </c>
      <c r="E1280" t="s">
        <v>43</v>
      </c>
      <c r="F1280" t="s">
        <v>44</v>
      </c>
      <c r="G1280" t="s">
        <v>36</v>
      </c>
      <c r="H1280">
        <v>2</v>
      </c>
      <c r="I1280" s="2">
        <v>1085.72</v>
      </c>
      <c r="J1280" s="2">
        <v>2171.44</v>
      </c>
      <c r="K1280" s="2">
        <f t="shared" si="58"/>
        <v>2171.44</v>
      </c>
      <c r="L1280" s="2">
        <f t="shared" si="59"/>
        <v>0</v>
      </c>
      <c r="M1280" t="s">
        <v>25</v>
      </c>
      <c r="N1280" t="s">
        <v>21</v>
      </c>
    </row>
    <row r="1281" spans="1:14" x14ac:dyDescent="0.3">
      <c r="A1281">
        <v>2024002279</v>
      </c>
      <c r="B1281" s="1">
        <v>45350</v>
      </c>
      <c r="C1281" s="11">
        <f t="shared" si="57"/>
        <v>2024</v>
      </c>
      <c r="D1281" t="s">
        <v>217</v>
      </c>
      <c r="E1281" t="s">
        <v>34</v>
      </c>
      <c r="F1281" t="s">
        <v>35</v>
      </c>
      <c r="G1281" t="s">
        <v>36</v>
      </c>
      <c r="H1281">
        <v>5</v>
      </c>
      <c r="I1281" s="2">
        <v>16.079999999999998</v>
      </c>
      <c r="J1281" s="2">
        <v>80.400000000000006</v>
      </c>
      <c r="K1281" s="2">
        <f t="shared" si="58"/>
        <v>80.399999999999991</v>
      </c>
      <c r="L1281" s="2">
        <f t="shared" si="59"/>
        <v>0</v>
      </c>
      <c r="M1281" t="s">
        <v>15</v>
      </c>
      <c r="N1281" t="s">
        <v>26</v>
      </c>
    </row>
    <row r="1282" spans="1:14" x14ac:dyDescent="0.3">
      <c r="A1282">
        <v>2024002280</v>
      </c>
      <c r="B1282" s="1">
        <v>45436</v>
      </c>
      <c r="C1282" s="11">
        <f t="shared" si="57"/>
        <v>2024</v>
      </c>
      <c r="D1282" t="s">
        <v>185</v>
      </c>
      <c r="E1282" t="s">
        <v>12</v>
      </c>
      <c r="F1282" t="s">
        <v>13</v>
      </c>
      <c r="G1282" t="s">
        <v>14</v>
      </c>
      <c r="H1282">
        <v>1</v>
      </c>
      <c r="I1282" s="2">
        <v>362.62</v>
      </c>
      <c r="J1282" s="2">
        <v>362.62</v>
      </c>
      <c r="K1282" s="2">
        <f t="shared" si="58"/>
        <v>362.62</v>
      </c>
      <c r="L1282" s="2">
        <f t="shared" si="59"/>
        <v>0</v>
      </c>
      <c r="M1282" t="s">
        <v>25</v>
      </c>
      <c r="N1282" t="s">
        <v>32</v>
      </c>
    </row>
    <row r="1283" spans="1:14" x14ac:dyDescent="0.3">
      <c r="A1283">
        <v>2024002281</v>
      </c>
      <c r="B1283" s="1">
        <v>45629</v>
      </c>
      <c r="C1283" s="11">
        <f t="shared" ref="C1283:C1346" si="60">YEAR(B1283)</f>
        <v>2024</v>
      </c>
      <c r="D1283" t="s">
        <v>259</v>
      </c>
      <c r="E1283" t="s">
        <v>12</v>
      </c>
      <c r="F1283" t="s">
        <v>13</v>
      </c>
      <c r="G1283" t="s">
        <v>14</v>
      </c>
      <c r="H1283">
        <v>1</v>
      </c>
      <c r="I1283" s="2">
        <v>340.46</v>
      </c>
      <c r="J1283" s="2">
        <v>340.46</v>
      </c>
      <c r="K1283" s="2">
        <f t="shared" ref="K1283:K1346" si="61">I1283*H1283</f>
        <v>340.46</v>
      </c>
      <c r="L1283" s="2">
        <f t="shared" ref="L1283:L1346" si="62">J1283-K1283</f>
        <v>0</v>
      </c>
      <c r="M1283" t="s">
        <v>61</v>
      </c>
      <c r="N1283" t="s">
        <v>32</v>
      </c>
    </row>
    <row r="1284" spans="1:14" x14ac:dyDescent="0.3">
      <c r="A1284">
        <v>2024002282</v>
      </c>
      <c r="B1284" s="1">
        <v>45451</v>
      </c>
      <c r="C1284" s="11">
        <f t="shared" si="60"/>
        <v>2024</v>
      </c>
      <c r="D1284" t="s">
        <v>148</v>
      </c>
      <c r="E1284" t="s">
        <v>23</v>
      </c>
      <c r="F1284" t="s">
        <v>24</v>
      </c>
      <c r="G1284" t="s">
        <v>14</v>
      </c>
      <c r="H1284">
        <v>1</v>
      </c>
      <c r="I1284" s="2">
        <v>82.13</v>
      </c>
      <c r="J1284" s="2">
        <v>82.13</v>
      </c>
      <c r="K1284" s="2">
        <f t="shared" si="61"/>
        <v>82.13</v>
      </c>
      <c r="L1284" s="2">
        <f t="shared" si="62"/>
        <v>0</v>
      </c>
      <c r="M1284" t="s">
        <v>38</v>
      </c>
      <c r="N1284" t="s">
        <v>21</v>
      </c>
    </row>
    <row r="1285" spans="1:14" x14ac:dyDescent="0.3">
      <c r="A1285">
        <v>2024002283</v>
      </c>
      <c r="B1285" s="1">
        <v>45472</v>
      </c>
      <c r="C1285" s="11">
        <f t="shared" si="60"/>
        <v>2024</v>
      </c>
      <c r="D1285" t="s">
        <v>231</v>
      </c>
      <c r="E1285" t="s">
        <v>43</v>
      </c>
      <c r="F1285" t="s">
        <v>44</v>
      </c>
      <c r="G1285" t="s">
        <v>36</v>
      </c>
      <c r="H1285">
        <v>2</v>
      </c>
      <c r="I1285" s="2">
        <v>1135.03</v>
      </c>
      <c r="J1285" s="2">
        <v>2270.06</v>
      </c>
      <c r="K1285" s="2">
        <f t="shared" si="61"/>
        <v>2270.06</v>
      </c>
      <c r="L1285" s="2">
        <f t="shared" si="62"/>
        <v>0</v>
      </c>
      <c r="M1285" t="s">
        <v>31</v>
      </c>
      <c r="N1285" t="s">
        <v>21</v>
      </c>
    </row>
    <row r="1286" spans="1:14" x14ac:dyDescent="0.3">
      <c r="A1286">
        <v>2024002284</v>
      </c>
      <c r="B1286" s="1">
        <v>45475</v>
      </c>
      <c r="C1286" s="11">
        <f t="shared" si="60"/>
        <v>2024</v>
      </c>
      <c r="D1286" t="s">
        <v>113</v>
      </c>
      <c r="E1286" t="s">
        <v>40</v>
      </c>
      <c r="F1286" t="s">
        <v>41</v>
      </c>
      <c r="G1286" t="s">
        <v>36</v>
      </c>
      <c r="H1286">
        <v>1</v>
      </c>
      <c r="I1286" s="2">
        <v>44.37</v>
      </c>
      <c r="J1286" s="2">
        <v>44.37</v>
      </c>
      <c r="K1286" s="2">
        <f t="shared" si="61"/>
        <v>44.37</v>
      </c>
      <c r="L1286" s="2">
        <f t="shared" si="62"/>
        <v>0</v>
      </c>
      <c r="M1286" t="s">
        <v>61</v>
      </c>
      <c r="N1286" t="s">
        <v>21</v>
      </c>
    </row>
    <row r="1287" spans="1:14" x14ac:dyDescent="0.3">
      <c r="A1287">
        <v>2024002285</v>
      </c>
      <c r="B1287" s="1">
        <v>45358</v>
      </c>
      <c r="C1287" s="11">
        <f t="shared" si="60"/>
        <v>2024</v>
      </c>
      <c r="D1287" t="s">
        <v>344</v>
      </c>
      <c r="E1287" t="s">
        <v>34</v>
      </c>
      <c r="F1287" t="s">
        <v>35</v>
      </c>
      <c r="G1287" t="s">
        <v>36</v>
      </c>
      <c r="H1287">
        <v>1</v>
      </c>
      <c r="I1287" s="2">
        <v>14.03</v>
      </c>
      <c r="J1287" s="2">
        <v>14.03</v>
      </c>
      <c r="K1287" s="2">
        <f t="shared" si="61"/>
        <v>14.03</v>
      </c>
      <c r="L1287" s="2">
        <f t="shared" si="62"/>
        <v>0</v>
      </c>
      <c r="M1287" t="s">
        <v>61</v>
      </c>
      <c r="N1287" t="s">
        <v>32</v>
      </c>
    </row>
    <row r="1288" spans="1:14" x14ac:dyDescent="0.3">
      <c r="A1288">
        <v>2024002286</v>
      </c>
      <c r="B1288" s="1">
        <v>45480</v>
      </c>
      <c r="C1288" s="11">
        <f t="shared" si="60"/>
        <v>2024</v>
      </c>
      <c r="D1288" t="s">
        <v>208</v>
      </c>
      <c r="E1288" t="s">
        <v>40</v>
      </c>
      <c r="F1288" t="s">
        <v>41</v>
      </c>
      <c r="G1288" t="s">
        <v>36</v>
      </c>
      <c r="H1288">
        <v>2</v>
      </c>
      <c r="I1288" s="2">
        <v>47.86</v>
      </c>
      <c r="J1288" s="2">
        <v>95.72</v>
      </c>
      <c r="K1288" s="2">
        <f t="shared" si="61"/>
        <v>95.72</v>
      </c>
      <c r="L1288" s="2">
        <f t="shared" si="62"/>
        <v>0</v>
      </c>
      <c r="M1288" t="s">
        <v>25</v>
      </c>
      <c r="N1288" t="s">
        <v>26</v>
      </c>
    </row>
    <row r="1289" spans="1:14" x14ac:dyDescent="0.3">
      <c r="A1289">
        <v>2024002287</v>
      </c>
      <c r="B1289" s="1">
        <v>45442</v>
      </c>
      <c r="C1289" s="11">
        <f t="shared" si="60"/>
        <v>2024</v>
      </c>
      <c r="D1289" t="s">
        <v>201</v>
      </c>
      <c r="E1289" t="s">
        <v>18</v>
      </c>
      <c r="F1289" t="s">
        <v>19</v>
      </c>
      <c r="G1289" t="s">
        <v>14</v>
      </c>
      <c r="H1289">
        <v>1</v>
      </c>
      <c r="I1289" s="2">
        <v>570.6</v>
      </c>
      <c r="J1289" s="2">
        <v>570.6</v>
      </c>
      <c r="K1289" s="2">
        <f t="shared" si="61"/>
        <v>570.6</v>
      </c>
      <c r="L1289" s="2">
        <f t="shared" si="62"/>
        <v>0</v>
      </c>
      <c r="M1289" t="s">
        <v>25</v>
      </c>
      <c r="N1289" t="s">
        <v>16</v>
      </c>
    </row>
    <row r="1290" spans="1:14" x14ac:dyDescent="0.3">
      <c r="A1290">
        <v>2024001633</v>
      </c>
      <c r="B1290" s="1">
        <v>45332</v>
      </c>
      <c r="C1290" s="11">
        <f t="shared" si="60"/>
        <v>2024</v>
      </c>
      <c r="D1290" t="s">
        <v>155</v>
      </c>
      <c r="E1290" t="s">
        <v>34</v>
      </c>
      <c r="F1290" t="s">
        <v>35</v>
      </c>
      <c r="G1290" t="s">
        <v>36</v>
      </c>
      <c r="H1290">
        <v>2</v>
      </c>
      <c r="I1290" s="2">
        <v>14.32</v>
      </c>
      <c r="J1290" s="2">
        <v>28.64</v>
      </c>
      <c r="K1290" s="2">
        <f t="shared" si="61"/>
        <v>28.64</v>
      </c>
      <c r="L1290" s="2">
        <f t="shared" si="62"/>
        <v>0</v>
      </c>
      <c r="M1290" t="s">
        <v>15</v>
      </c>
      <c r="N1290" t="s">
        <v>32</v>
      </c>
    </row>
    <row r="1291" spans="1:14" x14ac:dyDescent="0.3">
      <c r="A1291">
        <v>2024002289</v>
      </c>
      <c r="B1291" s="1">
        <v>45535</v>
      </c>
      <c r="C1291" s="11">
        <f t="shared" si="60"/>
        <v>2024</v>
      </c>
      <c r="D1291" t="s">
        <v>308</v>
      </c>
      <c r="E1291" t="s">
        <v>67</v>
      </c>
      <c r="F1291" t="s">
        <v>68</v>
      </c>
      <c r="G1291" t="s">
        <v>36</v>
      </c>
      <c r="H1291">
        <v>1</v>
      </c>
      <c r="I1291" s="2">
        <v>399.88</v>
      </c>
      <c r="J1291" s="2">
        <v>399.88</v>
      </c>
      <c r="K1291" s="2">
        <f t="shared" si="61"/>
        <v>399.88</v>
      </c>
      <c r="L1291" s="2">
        <f t="shared" si="62"/>
        <v>0</v>
      </c>
      <c r="M1291" t="s">
        <v>61</v>
      </c>
      <c r="N1291" t="s">
        <v>16</v>
      </c>
    </row>
    <row r="1292" spans="1:14" x14ac:dyDescent="0.3">
      <c r="A1292">
        <v>2024002290</v>
      </c>
      <c r="B1292" s="1">
        <v>45625</v>
      </c>
      <c r="C1292" s="11">
        <f t="shared" si="60"/>
        <v>2024</v>
      </c>
      <c r="D1292" t="s">
        <v>342</v>
      </c>
      <c r="E1292" t="s">
        <v>43</v>
      </c>
      <c r="F1292" t="s">
        <v>44</v>
      </c>
      <c r="G1292" t="s">
        <v>36</v>
      </c>
      <c r="H1292">
        <v>1</v>
      </c>
      <c r="I1292" s="2">
        <v>1227.06</v>
      </c>
      <c r="J1292" s="2">
        <v>1227.06</v>
      </c>
      <c r="K1292" s="2">
        <f t="shared" si="61"/>
        <v>1227.06</v>
      </c>
      <c r="L1292" s="2">
        <f t="shared" si="62"/>
        <v>0</v>
      </c>
      <c r="M1292" t="s">
        <v>64</v>
      </c>
      <c r="N1292" t="s">
        <v>21</v>
      </c>
    </row>
    <row r="1293" spans="1:14" x14ac:dyDescent="0.3">
      <c r="A1293">
        <v>2024002291</v>
      </c>
      <c r="B1293" s="1">
        <v>45452</v>
      </c>
      <c r="C1293" s="11">
        <f t="shared" si="60"/>
        <v>2024</v>
      </c>
      <c r="D1293" t="s">
        <v>11</v>
      </c>
      <c r="E1293" t="s">
        <v>18</v>
      </c>
      <c r="F1293" t="s">
        <v>19</v>
      </c>
      <c r="G1293" t="s">
        <v>14</v>
      </c>
      <c r="H1293">
        <v>1</v>
      </c>
      <c r="I1293" s="2">
        <v>630.20000000000005</v>
      </c>
      <c r="J1293" s="2">
        <v>630.20000000000005</v>
      </c>
      <c r="K1293" s="2">
        <f t="shared" si="61"/>
        <v>630.20000000000005</v>
      </c>
      <c r="L1293" s="2">
        <f t="shared" si="62"/>
        <v>0</v>
      </c>
      <c r="M1293" t="s">
        <v>48</v>
      </c>
      <c r="N1293" t="s">
        <v>32</v>
      </c>
    </row>
    <row r="1294" spans="1:14" x14ac:dyDescent="0.3">
      <c r="A1294">
        <v>2024002292</v>
      </c>
      <c r="B1294" s="1">
        <v>45337</v>
      </c>
      <c r="C1294" s="11">
        <f t="shared" si="60"/>
        <v>2024</v>
      </c>
      <c r="D1294" t="s">
        <v>328</v>
      </c>
      <c r="E1294" t="s">
        <v>12</v>
      </c>
      <c r="F1294" t="s">
        <v>13</v>
      </c>
      <c r="G1294" t="s">
        <v>14</v>
      </c>
      <c r="H1294">
        <v>2</v>
      </c>
      <c r="I1294" s="2">
        <v>315.18</v>
      </c>
      <c r="J1294" s="2">
        <v>630.36</v>
      </c>
      <c r="K1294" s="2">
        <f t="shared" si="61"/>
        <v>630.36</v>
      </c>
      <c r="L1294" s="2">
        <f t="shared" si="62"/>
        <v>0</v>
      </c>
      <c r="M1294" t="s">
        <v>55</v>
      </c>
      <c r="N1294" t="s">
        <v>26</v>
      </c>
    </row>
    <row r="1295" spans="1:14" x14ac:dyDescent="0.3">
      <c r="A1295">
        <v>2024002293</v>
      </c>
      <c r="B1295" s="1">
        <v>45378</v>
      </c>
      <c r="C1295" s="11">
        <f t="shared" si="60"/>
        <v>2024</v>
      </c>
      <c r="D1295" t="s">
        <v>248</v>
      </c>
      <c r="E1295" t="s">
        <v>43</v>
      </c>
      <c r="F1295" t="s">
        <v>44</v>
      </c>
      <c r="G1295" t="s">
        <v>36</v>
      </c>
      <c r="H1295">
        <v>3</v>
      </c>
      <c r="I1295" s="2">
        <v>1159.51</v>
      </c>
      <c r="J1295" s="2">
        <v>3478.53</v>
      </c>
      <c r="K1295" s="2">
        <f t="shared" si="61"/>
        <v>3478.5299999999997</v>
      </c>
      <c r="L1295" s="2">
        <f t="shared" si="62"/>
        <v>0</v>
      </c>
      <c r="M1295" t="s">
        <v>20</v>
      </c>
      <c r="N1295" t="s">
        <v>26</v>
      </c>
    </row>
    <row r="1296" spans="1:14" x14ac:dyDescent="0.3">
      <c r="A1296">
        <v>2024001215</v>
      </c>
      <c r="B1296" s="1">
        <v>45411</v>
      </c>
      <c r="C1296" s="11">
        <f t="shared" si="60"/>
        <v>2024</v>
      </c>
      <c r="D1296" t="s">
        <v>212</v>
      </c>
      <c r="E1296" t="s">
        <v>53</v>
      </c>
      <c r="F1296" t="s">
        <v>54</v>
      </c>
      <c r="G1296" t="s">
        <v>36</v>
      </c>
      <c r="H1296">
        <v>1</v>
      </c>
      <c r="I1296" s="2">
        <v>110.09</v>
      </c>
      <c r="J1296" s="2">
        <v>110.09</v>
      </c>
      <c r="K1296" s="2">
        <f t="shared" si="61"/>
        <v>110.09</v>
      </c>
      <c r="L1296" s="2">
        <f t="shared" si="62"/>
        <v>0</v>
      </c>
      <c r="M1296" t="s">
        <v>55</v>
      </c>
      <c r="N1296" t="s">
        <v>32</v>
      </c>
    </row>
    <row r="1297" spans="1:14" x14ac:dyDescent="0.3">
      <c r="A1297">
        <v>2024002295</v>
      </c>
      <c r="B1297" s="1">
        <v>45603</v>
      </c>
      <c r="C1297" s="11">
        <f t="shared" si="60"/>
        <v>2024</v>
      </c>
      <c r="D1297" t="s">
        <v>150</v>
      </c>
      <c r="E1297" t="s">
        <v>43</v>
      </c>
      <c r="F1297" t="s">
        <v>44</v>
      </c>
      <c r="G1297" t="s">
        <v>36</v>
      </c>
      <c r="H1297">
        <v>3</v>
      </c>
      <c r="I1297" s="2">
        <v>1137.5899999999999</v>
      </c>
      <c r="J1297" s="2">
        <v>3412.77</v>
      </c>
      <c r="K1297" s="2">
        <f t="shared" si="61"/>
        <v>3412.7699999999995</v>
      </c>
      <c r="L1297" s="2">
        <f t="shared" si="62"/>
        <v>0</v>
      </c>
      <c r="M1297" t="s">
        <v>20</v>
      </c>
      <c r="N1297" t="s">
        <v>21</v>
      </c>
    </row>
    <row r="1298" spans="1:14" x14ac:dyDescent="0.3">
      <c r="A1298">
        <v>2024002296</v>
      </c>
      <c r="B1298" s="1">
        <v>45423</v>
      </c>
      <c r="C1298" s="11">
        <f t="shared" si="60"/>
        <v>2024</v>
      </c>
      <c r="D1298" t="s">
        <v>62</v>
      </c>
      <c r="E1298" t="s">
        <v>18</v>
      </c>
      <c r="F1298" t="s">
        <v>19</v>
      </c>
      <c r="G1298" t="s">
        <v>14</v>
      </c>
      <c r="H1298">
        <v>3</v>
      </c>
      <c r="I1298" s="2">
        <v>621.37</v>
      </c>
      <c r="J1298" s="2">
        <v>1864.11</v>
      </c>
      <c r="K1298" s="2">
        <f t="shared" si="61"/>
        <v>1864.1100000000001</v>
      </c>
      <c r="L1298" s="2">
        <f t="shared" si="62"/>
        <v>0</v>
      </c>
      <c r="M1298" t="s">
        <v>15</v>
      </c>
      <c r="N1298" t="s">
        <v>16</v>
      </c>
    </row>
    <row r="1299" spans="1:14" x14ac:dyDescent="0.3">
      <c r="A1299">
        <v>2024002297</v>
      </c>
      <c r="B1299" s="1">
        <v>45452</v>
      </c>
      <c r="C1299" s="11">
        <f t="shared" si="60"/>
        <v>2024</v>
      </c>
      <c r="D1299" t="s">
        <v>198</v>
      </c>
      <c r="E1299" t="s">
        <v>23</v>
      </c>
      <c r="F1299" t="s">
        <v>24</v>
      </c>
      <c r="G1299" t="s">
        <v>14</v>
      </c>
      <c r="H1299">
        <v>3</v>
      </c>
      <c r="I1299" s="2">
        <v>75.69</v>
      </c>
      <c r="J1299" s="2">
        <v>227.07</v>
      </c>
      <c r="K1299" s="2">
        <f t="shared" si="61"/>
        <v>227.07</v>
      </c>
      <c r="L1299" s="2">
        <f t="shared" si="62"/>
        <v>0</v>
      </c>
      <c r="M1299" t="s">
        <v>25</v>
      </c>
      <c r="N1299" t="s">
        <v>26</v>
      </c>
    </row>
    <row r="1300" spans="1:14" x14ac:dyDescent="0.3">
      <c r="A1300">
        <v>2024002298</v>
      </c>
      <c r="B1300" s="1">
        <v>45539</v>
      </c>
      <c r="C1300" s="11">
        <f t="shared" si="60"/>
        <v>2024</v>
      </c>
      <c r="D1300" t="s">
        <v>58</v>
      </c>
      <c r="E1300" t="s">
        <v>53</v>
      </c>
      <c r="F1300" t="s">
        <v>54</v>
      </c>
      <c r="G1300" t="s">
        <v>36</v>
      </c>
      <c r="H1300">
        <v>1</v>
      </c>
      <c r="I1300" s="2">
        <v>123.62</v>
      </c>
      <c r="J1300" s="2">
        <v>123.62</v>
      </c>
      <c r="K1300" s="2">
        <f t="shared" si="61"/>
        <v>123.62</v>
      </c>
      <c r="L1300" s="2">
        <f t="shared" si="62"/>
        <v>0</v>
      </c>
      <c r="M1300" t="s">
        <v>61</v>
      </c>
      <c r="N1300" t="s">
        <v>16</v>
      </c>
    </row>
    <row r="1301" spans="1:14" x14ac:dyDescent="0.3">
      <c r="A1301">
        <v>2024002299</v>
      </c>
      <c r="B1301" s="1">
        <v>45620</v>
      </c>
      <c r="C1301" s="11">
        <f t="shared" si="60"/>
        <v>2024</v>
      </c>
      <c r="D1301" t="s">
        <v>325</v>
      </c>
      <c r="E1301" t="s">
        <v>34</v>
      </c>
      <c r="F1301" t="s">
        <v>35</v>
      </c>
      <c r="G1301" t="s">
        <v>36</v>
      </c>
      <c r="H1301">
        <v>2</v>
      </c>
      <c r="I1301" s="2">
        <v>13.51</v>
      </c>
      <c r="J1301" s="2">
        <v>27.02</v>
      </c>
      <c r="K1301" s="2">
        <f t="shared" si="61"/>
        <v>27.02</v>
      </c>
      <c r="L1301" s="2">
        <f t="shared" si="62"/>
        <v>0</v>
      </c>
      <c r="M1301" t="s">
        <v>31</v>
      </c>
      <c r="N1301" t="s">
        <v>21</v>
      </c>
    </row>
    <row r="1302" spans="1:14" x14ac:dyDescent="0.3">
      <c r="A1302">
        <v>2024002300</v>
      </c>
      <c r="B1302" s="1">
        <v>45307</v>
      </c>
      <c r="C1302" s="11">
        <f t="shared" si="60"/>
        <v>2024</v>
      </c>
      <c r="D1302" t="s">
        <v>11</v>
      </c>
      <c r="E1302" t="s">
        <v>23</v>
      </c>
      <c r="F1302" t="s">
        <v>24</v>
      </c>
      <c r="G1302" t="s">
        <v>14</v>
      </c>
      <c r="H1302">
        <v>4</v>
      </c>
      <c r="I1302" s="2">
        <v>82.74</v>
      </c>
      <c r="J1302" s="2">
        <v>330.96</v>
      </c>
      <c r="K1302" s="2">
        <f t="shared" si="61"/>
        <v>330.96</v>
      </c>
      <c r="L1302" s="2">
        <f t="shared" si="62"/>
        <v>0</v>
      </c>
      <c r="M1302" t="s">
        <v>55</v>
      </c>
      <c r="N1302" t="s">
        <v>32</v>
      </c>
    </row>
    <row r="1303" spans="1:14" x14ac:dyDescent="0.3">
      <c r="A1303">
        <v>2024002301</v>
      </c>
      <c r="B1303" s="1">
        <v>45432</v>
      </c>
      <c r="C1303" s="11">
        <f t="shared" si="60"/>
        <v>2024</v>
      </c>
      <c r="D1303" t="s">
        <v>323</v>
      </c>
      <c r="E1303" t="s">
        <v>18</v>
      </c>
      <c r="F1303" t="s">
        <v>19</v>
      </c>
      <c r="G1303" t="s">
        <v>14</v>
      </c>
      <c r="H1303">
        <v>1</v>
      </c>
      <c r="I1303" s="2">
        <v>626.58000000000004</v>
      </c>
      <c r="J1303" s="2">
        <v>626.58000000000004</v>
      </c>
      <c r="K1303" s="2">
        <f t="shared" si="61"/>
        <v>626.58000000000004</v>
      </c>
      <c r="L1303" s="2">
        <f t="shared" si="62"/>
        <v>0</v>
      </c>
      <c r="M1303" t="s">
        <v>64</v>
      </c>
      <c r="N1303" t="s">
        <v>21</v>
      </c>
    </row>
    <row r="1304" spans="1:14" x14ac:dyDescent="0.3">
      <c r="A1304">
        <v>2024002302</v>
      </c>
      <c r="B1304" s="1">
        <v>45376</v>
      </c>
      <c r="C1304" s="11">
        <f t="shared" si="60"/>
        <v>2024</v>
      </c>
      <c r="D1304" t="s">
        <v>205</v>
      </c>
      <c r="E1304" t="s">
        <v>12</v>
      </c>
      <c r="F1304" t="s">
        <v>13</v>
      </c>
      <c r="G1304" t="s">
        <v>14</v>
      </c>
      <c r="H1304">
        <v>3</v>
      </c>
      <c r="I1304" s="2">
        <v>340.75</v>
      </c>
      <c r="J1304" s="2">
        <v>1022.25</v>
      </c>
      <c r="K1304" s="2">
        <f t="shared" si="61"/>
        <v>1022.25</v>
      </c>
      <c r="L1304" s="2">
        <f t="shared" si="62"/>
        <v>0</v>
      </c>
      <c r="M1304" t="s">
        <v>61</v>
      </c>
      <c r="N1304" t="s">
        <v>16</v>
      </c>
    </row>
    <row r="1305" spans="1:14" x14ac:dyDescent="0.3">
      <c r="A1305">
        <v>2024002303</v>
      </c>
      <c r="B1305" s="1">
        <v>45566</v>
      </c>
      <c r="C1305" s="11">
        <f t="shared" si="60"/>
        <v>2024</v>
      </c>
      <c r="D1305" t="s">
        <v>76</v>
      </c>
      <c r="E1305" t="s">
        <v>12</v>
      </c>
      <c r="F1305" t="s">
        <v>13</v>
      </c>
      <c r="G1305" t="s">
        <v>14</v>
      </c>
      <c r="H1305">
        <v>5</v>
      </c>
      <c r="I1305" s="2">
        <v>364.74</v>
      </c>
      <c r="J1305" s="2">
        <v>1823.7</v>
      </c>
      <c r="K1305" s="2">
        <f t="shared" si="61"/>
        <v>1823.7</v>
      </c>
      <c r="L1305" s="2">
        <f t="shared" si="62"/>
        <v>0</v>
      </c>
      <c r="M1305" t="s">
        <v>31</v>
      </c>
      <c r="N1305" t="s">
        <v>26</v>
      </c>
    </row>
    <row r="1306" spans="1:14" x14ac:dyDescent="0.3">
      <c r="A1306">
        <v>2024002304</v>
      </c>
      <c r="B1306" s="1">
        <v>45617</v>
      </c>
      <c r="C1306" s="11">
        <f t="shared" si="60"/>
        <v>2024</v>
      </c>
      <c r="D1306" t="s">
        <v>144</v>
      </c>
      <c r="E1306" t="s">
        <v>28</v>
      </c>
      <c r="F1306" t="s">
        <v>29</v>
      </c>
      <c r="G1306" t="s">
        <v>30</v>
      </c>
      <c r="H1306">
        <v>1</v>
      </c>
      <c r="I1306" s="2">
        <v>25.66</v>
      </c>
      <c r="J1306" s="2">
        <v>25.66</v>
      </c>
      <c r="K1306" s="2">
        <f t="shared" si="61"/>
        <v>25.66</v>
      </c>
      <c r="L1306" s="2">
        <f t="shared" si="62"/>
        <v>0</v>
      </c>
      <c r="M1306" t="s">
        <v>57</v>
      </c>
      <c r="N1306" t="s">
        <v>16</v>
      </c>
    </row>
    <row r="1307" spans="1:14" x14ac:dyDescent="0.3">
      <c r="A1307">
        <v>2024002305</v>
      </c>
      <c r="B1307" s="1">
        <v>45445</v>
      </c>
      <c r="C1307" s="11">
        <f t="shared" si="60"/>
        <v>2024</v>
      </c>
      <c r="D1307" t="s">
        <v>222</v>
      </c>
      <c r="E1307" t="s">
        <v>23</v>
      </c>
      <c r="F1307" t="s">
        <v>24</v>
      </c>
      <c r="G1307" t="s">
        <v>14</v>
      </c>
      <c r="H1307">
        <v>2</v>
      </c>
      <c r="I1307" s="2">
        <v>83.43</v>
      </c>
      <c r="J1307" s="2">
        <v>166.86</v>
      </c>
      <c r="K1307" s="2">
        <f t="shared" si="61"/>
        <v>166.86</v>
      </c>
      <c r="L1307" s="2">
        <f t="shared" si="62"/>
        <v>0</v>
      </c>
      <c r="M1307" t="s">
        <v>25</v>
      </c>
      <c r="N1307" t="s">
        <v>26</v>
      </c>
    </row>
    <row r="1308" spans="1:14" x14ac:dyDescent="0.3">
      <c r="A1308">
        <v>2024002306</v>
      </c>
      <c r="B1308" s="1">
        <v>45412</v>
      </c>
      <c r="C1308" s="11">
        <f t="shared" si="60"/>
        <v>2024</v>
      </c>
      <c r="D1308" t="s">
        <v>203</v>
      </c>
      <c r="E1308" t="s">
        <v>12</v>
      </c>
      <c r="F1308" t="s">
        <v>13</v>
      </c>
      <c r="G1308" t="s">
        <v>14</v>
      </c>
      <c r="H1308">
        <v>2</v>
      </c>
      <c r="I1308" s="2">
        <v>360.55</v>
      </c>
      <c r="J1308" s="2">
        <v>721.1</v>
      </c>
      <c r="K1308" s="2">
        <f t="shared" si="61"/>
        <v>721.1</v>
      </c>
      <c r="L1308" s="2">
        <f t="shared" si="62"/>
        <v>0</v>
      </c>
      <c r="M1308" t="s">
        <v>57</v>
      </c>
      <c r="N1308" t="s">
        <v>26</v>
      </c>
    </row>
    <row r="1309" spans="1:14" x14ac:dyDescent="0.3">
      <c r="A1309">
        <v>2024002307</v>
      </c>
      <c r="B1309" s="1">
        <v>45362</v>
      </c>
      <c r="C1309" s="11">
        <f t="shared" si="60"/>
        <v>2024</v>
      </c>
      <c r="D1309" t="s">
        <v>198</v>
      </c>
      <c r="E1309" t="s">
        <v>53</v>
      </c>
      <c r="F1309" t="s">
        <v>54</v>
      </c>
      <c r="G1309" t="s">
        <v>36</v>
      </c>
      <c r="H1309">
        <v>1</v>
      </c>
      <c r="I1309" s="2">
        <v>124.77</v>
      </c>
      <c r="J1309" s="2">
        <v>124.77</v>
      </c>
      <c r="K1309" s="2">
        <f t="shared" si="61"/>
        <v>124.77</v>
      </c>
      <c r="L1309" s="2">
        <f t="shared" si="62"/>
        <v>0</v>
      </c>
      <c r="M1309" t="s">
        <v>20</v>
      </c>
      <c r="N1309" t="s">
        <v>32</v>
      </c>
    </row>
    <row r="1310" spans="1:14" x14ac:dyDescent="0.3">
      <c r="A1310">
        <v>2024002308</v>
      </c>
      <c r="B1310" s="1">
        <v>45323</v>
      </c>
      <c r="C1310" s="11">
        <f t="shared" si="60"/>
        <v>2024</v>
      </c>
      <c r="D1310" t="s">
        <v>159</v>
      </c>
      <c r="E1310" t="s">
        <v>67</v>
      </c>
      <c r="F1310" t="s">
        <v>68</v>
      </c>
      <c r="G1310" t="s">
        <v>36</v>
      </c>
      <c r="H1310">
        <v>2</v>
      </c>
      <c r="I1310" s="2">
        <v>429.48</v>
      </c>
      <c r="J1310" s="2">
        <v>858.96</v>
      </c>
      <c r="K1310" s="2">
        <f t="shared" si="61"/>
        <v>858.96</v>
      </c>
      <c r="L1310" s="2">
        <f t="shared" si="62"/>
        <v>0</v>
      </c>
      <c r="M1310" t="s">
        <v>38</v>
      </c>
      <c r="N1310" t="s">
        <v>21</v>
      </c>
    </row>
    <row r="1311" spans="1:14" x14ac:dyDescent="0.3">
      <c r="A1311">
        <v>2024002309</v>
      </c>
      <c r="B1311" s="1">
        <v>45639</v>
      </c>
      <c r="C1311" s="11">
        <f t="shared" si="60"/>
        <v>2024</v>
      </c>
      <c r="D1311" t="s">
        <v>11</v>
      </c>
      <c r="E1311" t="s">
        <v>12</v>
      </c>
      <c r="F1311" t="s">
        <v>13</v>
      </c>
      <c r="G1311" t="s">
        <v>14</v>
      </c>
      <c r="H1311">
        <v>2</v>
      </c>
      <c r="I1311" s="2">
        <v>365.26</v>
      </c>
      <c r="J1311" s="2">
        <v>730.52</v>
      </c>
      <c r="K1311" s="2">
        <f t="shared" si="61"/>
        <v>730.52</v>
      </c>
      <c r="L1311" s="2">
        <f t="shared" si="62"/>
        <v>0</v>
      </c>
      <c r="M1311" t="s">
        <v>57</v>
      </c>
      <c r="N1311" t="s">
        <v>26</v>
      </c>
    </row>
    <row r="1312" spans="1:14" x14ac:dyDescent="0.3">
      <c r="A1312">
        <v>2024002310</v>
      </c>
      <c r="B1312" s="1">
        <v>45569</v>
      </c>
      <c r="C1312" s="11">
        <f t="shared" si="60"/>
        <v>2024</v>
      </c>
      <c r="D1312" t="s">
        <v>135</v>
      </c>
      <c r="E1312" t="s">
        <v>28</v>
      </c>
      <c r="F1312" t="s">
        <v>29</v>
      </c>
      <c r="G1312" t="s">
        <v>30</v>
      </c>
      <c r="H1312">
        <v>1</v>
      </c>
      <c r="I1312" s="2">
        <v>27.49</v>
      </c>
      <c r="J1312" s="2">
        <v>27.49</v>
      </c>
      <c r="K1312" s="2">
        <f t="shared" si="61"/>
        <v>27.49</v>
      </c>
      <c r="L1312" s="2">
        <f t="shared" si="62"/>
        <v>0</v>
      </c>
      <c r="M1312" t="s">
        <v>20</v>
      </c>
      <c r="N1312" t="s">
        <v>32</v>
      </c>
    </row>
    <row r="1313" spans="1:14" x14ac:dyDescent="0.3">
      <c r="A1313">
        <v>2024002311</v>
      </c>
      <c r="B1313" s="1">
        <v>45416</v>
      </c>
      <c r="C1313" s="11">
        <f t="shared" si="60"/>
        <v>2024</v>
      </c>
      <c r="D1313" t="s">
        <v>171</v>
      </c>
      <c r="E1313" t="s">
        <v>43</v>
      </c>
      <c r="F1313" t="s">
        <v>44</v>
      </c>
      <c r="G1313" t="s">
        <v>36</v>
      </c>
      <c r="H1313">
        <v>1</v>
      </c>
      <c r="I1313" s="2">
        <v>1223.57</v>
      </c>
      <c r="J1313" s="2">
        <v>1223.57</v>
      </c>
      <c r="K1313" s="2">
        <f t="shared" si="61"/>
        <v>1223.57</v>
      </c>
      <c r="L1313" s="2">
        <f t="shared" si="62"/>
        <v>0</v>
      </c>
      <c r="M1313" t="s">
        <v>64</v>
      </c>
      <c r="N1313" t="s">
        <v>26</v>
      </c>
    </row>
    <row r="1314" spans="1:14" x14ac:dyDescent="0.3">
      <c r="A1314">
        <v>2024002312</v>
      </c>
      <c r="B1314" s="1">
        <v>45296</v>
      </c>
      <c r="C1314" s="11">
        <f t="shared" si="60"/>
        <v>2024</v>
      </c>
      <c r="D1314" t="s">
        <v>281</v>
      </c>
      <c r="E1314" t="s">
        <v>40</v>
      </c>
      <c r="F1314" t="s">
        <v>41</v>
      </c>
      <c r="G1314" t="s">
        <v>36</v>
      </c>
      <c r="H1314">
        <v>5</v>
      </c>
      <c r="I1314" s="2">
        <v>45.25</v>
      </c>
      <c r="J1314" s="2">
        <v>226.25</v>
      </c>
      <c r="K1314" s="2">
        <f t="shared" si="61"/>
        <v>226.25</v>
      </c>
      <c r="L1314" s="2">
        <f t="shared" si="62"/>
        <v>0</v>
      </c>
      <c r="M1314" t="s">
        <v>20</v>
      </c>
      <c r="N1314" t="s">
        <v>21</v>
      </c>
    </row>
    <row r="1315" spans="1:14" x14ac:dyDescent="0.3">
      <c r="A1315">
        <v>2024002313</v>
      </c>
      <c r="B1315" s="1">
        <v>45316</v>
      </c>
      <c r="C1315" s="11">
        <f t="shared" si="60"/>
        <v>2024</v>
      </c>
      <c r="D1315" t="s">
        <v>11</v>
      </c>
      <c r="E1315" t="s">
        <v>46</v>
      </c>
      <c r="F1315" t="s">
        <v>47</v>
      </c>
      <c r="G1315" t="s">
        <v>36</v>
      </c>
      <c r="H1315">
        <v>1</v>
      </c>
      <c r="I1315" s="2">
        <v>90.62</v>
      </c>
      <c r="J1315" s="2">
        <v>90.62</v>
      </c>
      <c r="K1315" s="2">
        <f t="shared" si="61"/>
        <v>90.62</v>
      </c>
      <c r="L1315" s="2">
        <f t="shared" si="62"/>
        <v>0</v>
      </c>
      <c r="M1315" t="s">
        <v>20</v>
      </c>
      <c r="N1315" t="s">
        <v>21</v>
      </c>
    </row>
    <row r="1316" spans="1:14" x14ac:dyDescent="0.3">
      <c r="A1316">
        <v>2024002314</v>
      </c>
      <c r="B1316" s="1">
        <v>45629</v>
      </c>
      <c r="C1316" s="11">
        <f t="shared" si="60"/>
        <v>2024</v>
      </c>
      <c r="D1316" t="s">
        <v>11</v>
      </c>
      <c r="E1316" t="s">
        <v>40</v>
      </c>
      <c r="F1316" t="s">
        <v>41</v>
      </c>
      <c r="G1316" t="s">
        <v>36</v>
      </c>
      <c r="H1316">
        <v>2</v>
      </c>
      <c r="I1316" s="2">
        <v>44.36</v>
      </c>
      <c r="J1316" s="2">
        <v>88.72</v>
      </c>
      <c r="K1316" s="2">
        <f t="shared" si="61"/>
        <v>88.72</v>
      </c>
      <c r="L1316" s="2">
        <f t="shared" si="62"/>
        <v>0</v>
      </c>
      <c r="M1316" t="s">
        <v>48</v>
      </c>
      <c r="N1316" t="s">
        <v>21</v>
      </c>
    </row>
    <row r="1317" spans="1:14" x14ac:dyDescent="0.3">
      <c r="A1317">
        <v>2024002315</v>
      </c>
      <c r="B1317" s="1">
        <v>45563</v>
      </c>
      <c r="C1317" s="11">
        <f t="shared" si="60"/>
        <v>2024</v>
      </c>
      <c r="D1317" t="s">
        <v>139</v>
      </c>
      <c r="E1317" t="s">
        <v>28</v>
      </c>
      <c r="F1317" t="s">
        <v>29</v>
      </c>
      <c r="G1317" t="s">
        <v>30</v>
      </c>
      <c r="H1317">
        <v>1</v>
      </c>
      <c r="I1317" s="2">
        <v>25.8</v>
      </c>
      <c r="J1317" s="2">
        <v>25.8</v>
      </c>
      <c r="K1317" s="2">
        <f t="shared" si="61"/>
        <v>25.8</v>
      </c>
      <c r="L1317" s="2">
        <f t="shared" si="62"/>
        <v>0</v>
      </c>
      <c r="M1317" t="s">
        <v>25</v>
      </c>
      <c r="N1317" t="s">
        <v>21</v>
      </c>
    </row>
    <row r="1318" spans="1:14" x14ac:dyDescent="0.3">
      <c r="A1318">
        <v>2024002316</v>
      </c>
      <c r="B1318" s="1">
        <v>45657</v>
      </c>
      <c r="C1318" s="11">
        <f t="shared" si="60"/>
        <v>2024</v>
      </c>
      <c r="D1318" t="s">
        <v>215</v>
      </c>
      <c r="E1318" t="s">
        <v>67</v>
      </c>
      <c r="F1318" t="s">
        <v>68</v>
      </c>
      <c r="G1318" t="s">
        <v>36</v>
      </c>
      <c r="H1318">
        <v>1</v>
      </c>
      <c r="I1318" s="2">
        <v>402.25</v>
      </c>
      <c r="J1318" s="2">
        <v>402.25</v>
      </c>
      <c r="K1318" s="2">
        <f t="shared" si="61"/>
        <v>402.25</v>
      </c>
      <c r="L1318" s="2">
        <f t="shared" si="62"/>
        <v>0</v>
      </c>
      <c r="M1318" t="s">
        <v>61</v>
      </c>
      <c r="N1318" t="s">
        <v>26</v>
      </c>
    </row>
    <row r="1319" spans="1:14" x14ac:dyDescent="0.3">
      <c r="A1319">
        <v>2024002317</v>
      </c>
      <c r="B1319" s="1">
        <v>45355</v>
      </c>
      <c r="C1319" s="11">
        <f t="shared" si="60"/>
        <v>2024</v>
      </c>
      <c r="D1319" t="s">
        <v>296</v>
      </c>
      <c r="E1319" t="s">
        <v>23</v>
      </c>
      <c r="F1319" t="s">
        <v>24</v>
      </c>
      <c r="G1319" t="s">
        <v>14</v>
      </c>
      <c r="H1319">
        <v>2</v>
      </c>
      <c r="I1319" s="2">
        <v>78.5</v>
      </c>
      <c r="J1319" s="2">
        <v>157</v>
      </c>
      <c r="K1319" s="2">
        <f t="shared" si="61"/>
        <v>157</v>
      </c>
      <c r="L1319" s="2">
        <f t="shared" si="62"/>
        <v>0</v>
      </c>
      <c r="M1319" t="s">
        <v>48</v>
      </c>
      <c r="N1319" t="s">
        <v>21</v>
      </c>
    </row>
    <row r="1320" spans="1:14" x14ac:dyDescent="0.3">
      <c r="A1320">
        <v>2024002318</v>
      </c>
      <c r="B1320" s="1">
        <v>45518</v>
      </c>
      <c r="C1320" s="11">
        <f t="shared" si="60"/>
        <v>2024</v>
      </c>
      <c r="D1320" t="s">
        <v>284</v>
      </c>
      <c r="E1320" t="s">
        <v>28</v>
      </c>
      <c r="F1320" t="s">
        <v>29</v>
      </c>
      <c r="G1320" t="s">
        <v>30</v>
      </c>
      <c r="H1320">
        <v>2</v>
      </c>
      <c r="I1320" s="2">
        <v>23.75</v>
      </c>
      <c r="J1320" s="2">
        <v>47.5</v>
      </c>
      <c r="K1320" s="2">
        <f t="shared" si="61"/>
        <v>47.5</v>
      </c>
      <c r="L1320" s="2">
        <f t="shared" si="62"/>
        <v>0</v>
      </c>
      <c r="M1320" t="s">
        <v>55</v>
      </c>
      <c r="N1320" t="s">
        <v>16</v>
      </c>
    </row>
    <row r="1321" spans="1:14" x14ac:dyDescent="0.3">
      <c r="A1321">
        <v>2024002319</v>
      </c>
      <c r="B1321" s="1">
        <v>45320</v>
      </c>
      <c r="C1321" s="11">
        <f t="shared" si="60"/>
        <v>2024</v>
      </c>
      <c r="D1321" t="s">
        <v>158</v>
      </c>
      <c r="E1321" t="s">
        <v>12</v>
      </c>
      <c r="F1321" t="s">
        <v>13</v>
      </c>
      <c r="G1321" t="s">
        <v>14</v>
      </c>
      <c r="H1321">
        <v>1</v>
      </c>
      <c r="I1321" s="2">
        <v>343.71</v>
      </c>
      <c r="J1321" s="2">
        <v>343.71</v>
      </c>
      <c r="K1321" s="2">
        <f t="shared" si="61"/>
        <v>343.71</v>
      </c>
      <c r="L1321" s="2">
        <f t="shared" si="62"/>
        <v>0</v>
      </c>
      <c r="M1321" t="s">
        <v>20</v>
      </c>
      <c r="N1321" t="s">
        <v>16</v>
      </c>
    </row>
    <row r="1322" spans="1:14" x14ac:dyDescent="0.3">
      <c r="A1322">
        <v>2024002320</v>
      </c>
      <c r="B1322" s="1">
        <v>45337</v>
      </c>
      <c r="C1322" s="11">
        <f t="shared" si="60"/>
        <v>2024</v>
      </c>
      <c r="D1322" t="s">
        <v>212</v>
      </c>
      <c r="E1322" t="s">
        <v>18</v>
      </c>
      <c r="F1322" t="s">
        <v>19</v>
      </c>
      <c r="G1322" t="s">
        <v>14</v>
      </c>
      <c r="H1322">
        <v>2</v>
      </c>
      <c r="I1322" s="2">
        <v>596.67999999999995</v>
      </c>
      <c r="J1322" s="2">
        <v>1193.3599999999999</v>
      </c>
      <c r="K1322" s="2">
        <f t="shared" si="61"/>
        <v>1193.3599999999999</v>
      </c>
      <c r="L1322" s="2">
        <f t="shared" si="62"/>
        <v>0</v>
      </c>
      <c r="M1322" t="s">
        <v>15</v>
      </c>
      <c r="N1322" t="s">
        <v>21</v>
      </c>
    </row>
    <row r="1323" spans="1:14" x14ac:dyDescent="0.3">
      <c r="A1323">
        <v>2024002321</v>
      </c>
      <c r="B1323" s="1">
        <v>45345</v>
      </c>
      <c r="C1323" s="11">
        <f t="shared" si="60"/>
        <v>2024</v>
      </c>
      <c r="D1323" t="s">
        <v>120</v>
      </c>
      <c r="E1323" t="s">
        <v>28</v>
      </c>
      <c r="F1323" t="s">
        <v>29</v>
      </c>
      <c r="G1323" t="s">
        <v>30</v>
      </c>
      <c r="H1323">
        <v>5</v>
      </c>
      <c r="I1323" s="2">
        <v>24.64</v>
      </c>
      <c r="J1323" s="2">
        <v>123.2</v>
      </c>
      <c r="K1323" s="2">
        <f t="shared" si="61"/>
        <v>123.2</v>
      </c>
      <c r="L1323" s="2">
        <f t="shared" si="62"/>
        <v>0</v>
      </c>
      <c r="M1323" t="s">
        <v>48</v>
      </c>
      <c r="N1323" t="s">
        <v>16</v>
      </c>
    </row>
    <row r="1324" spans="1:14" x14ac:dyDescent="0.3">
      <c r="A1324">
        <v>2024002322</v>
      </c>
      <c r="B1324" s="1">
        <v>45474</v>
      </c>
      <c r="C1324" s="11">
        <f t="shared" si="60"/>
        <v>2024</v>
      </c>
      <c r="D1324" t="s">
        <v>60</v>
      </c>
      <c r="E1324" t="s">
        <v>18</v>
      </c>
      <c r="F1324" t="s">
        <v>19</v>
      </c>
      <c r="G1324" t="s">
        <v>14</v>
      </c>
      <c r="H1324">
        <v>1</v>
      </c>
      <c r="I1324" s="2">
        <v>604.54</v>
      </c>
      <c r="J1324" s="2">
        <v>604.54</v>
      </c>
      <c r="K1324" s="2">
        <f t="shared" si="61"/>
        <v>604.54</v>
      </c>
      <c r="L1324" s="2">
        <f t="shared" si="62"/>
        <v>0</v>
      </c>
      <c r="M1324" t="s">
        <v>38</v>
      </c>
      <c r="N1324" t="s">
        <v>26</v>
      </c>
    </row>
    <row r="1325" spans="1:14" x14ac:dyDescent="0.3">
      <c r="A1325">
        <v>2024002323</v>
      </c>
      <c r="B1325" s="1">
        <v>45492</v>
      </c>
      <c r="C1325" s="11">
        <f t="shared" si="60"/>
        <v>2024</v>
      </c>
      <c r="D1325" t="s">
        <v>22</v>
      </c>
      <c r="E1325" t="s">
        <v>23</v>
      </c>
      <c r="F1325" t="s">
        <v>24</v>
      </c>
      <c r="G1325" t="s">
        <v>14</v>
      </c>
      <c r="H1325">
        <v>1</v>
      </c>
      <c r="I1325" s="2">
        <v>87.85</v>
      </c>
      <c r="J1325" s="2">
        <v>87.85</v>
      </c>
      <c r="K1325" s="2">
        <f t="shared" si="61"/>
        <v>87.85</v>
      </c>
      <c r="L1325" s="2">
        <f t="shared" si="62"/>
        <v>0</v>
      </c>
      <c r="M1325" t="s">
        <v>64</v>
      </c>
      <c r="N1325" t="s">
        <v>21</v>
      </c>
    </row>
    <row r="1326" spans="1:14" x14ac:dyDescent="0.3">
      <c r="A1326">
        <v>2024002324</v>
      </c>
      <c r="B1326" s="1">
        <v>45624</v>
      </c>
      <c r="C1326" s="11">
        <f t="shared" si="60"/>
        <v>2024</v>
      </c>
      <c r="D1326" t="s">
        <v>101</v>
      </c>
      <c r="E1326" t="s">
        <v>43</v>
      </c>
      <c r="F1326" t="s">
        <v>44</v>
      </c>
      <c r="G1326" t="s">
        <v>36</v>
      </c>
      <c r="H1326">
        <v>3</v>
      </c>
      <c r="I1326" s="2">
        <v>1257.25</v>
      </c>
      <c r="J1326" s="2">
        <v>3771.75</v>
      </c>
      <c r="K1326" s="2">
        <f t="shared" si="61"/>
        <v>3771.75</v>
      </c>
      <c r="L1326" s="2">
        <f t="shared" si="62"/>
        <v>0</v>
      </c>
      <c r="M1326" t="s">
        <v>48</v>
      </c>
      <c r="N1326" t="s">
        <v>21</v>
      </c>
    </row>
    <row r="1327" spans="1:14" x14ac:dyDescent="0.3">
      <c r="A1327">
        <v>2024002325</v>
      </c>
      <c r="B1327" s="1">
        <v>45545</v>
      </c>
      <c r="C1327" s="11">
        <f t="shared" si="60"/>
        <v>2024</v>
      </c>
      <c r="D1327" t="s">
        <v>100</v>
      </c>
      <c r="E1327" t="s">
        <v>53</v>
      </c>
      <c r="F1327" t="s">
        <v>54</v>
      </c>
      <c r="G1327" t="s">
        <v>36</v>
      </c>
      <c r="H1327">
        <v>2</v>
      </c>
      <c r="I1327" s="2">
        <v>127.31</v>
      </c>
      <c r="J1327" s="2">
        <v>254.62</v>
      </c>
      <c r="K1327" s="2">
        <f t="shared" si="61"/>
        <v>254.62</v>
      </c>
      <c r="L1327" s="2">
        <f t="shared" si="62"/>
        <v>0</v>
      </c>
      <c r="M1327" t="s">
        <v>25</v>
      </c>
      <c r="N1327" t="s">
        <v>26</v>
      </c>
    </row>
    <row r="1328" spans="1:14" x14ac:dyDescent="0.3">
      <c r="A1328">
        <v>2024002326</v>
      </c>
      <c r="B1328" s="1">
        <v>45372</v>
      </c>
      <c r="C1328" s="11">
        <f t="shared" si="60"/>
        <v>2024</v>
      </c>
      <c r="D1328" t="s">
        <v>119</v>
      </c>
      <c r="E1328" t="s">
        <v>28</v>
      </c>
      <c r="F1328" t="s">
        <v>29</v>
      </c>
      <c r="G1328" t="s">
        <v>30</v>
      </c>
      <c r="H1328">
        <v>2</v>
      </c>
      <c r="I1328" s="2">
        <v>24.63</v>
      </c>
      <c r="J1328" s="2">
        <v>49.26</v>
      </c>
      <c r="K1328" s="2">
        <f t="shared" si="61"/>
        <v>49.26</v>
      </c>
      <c r="L1328" s="2">
        <f t="shared" si="62"/>
        <v>0</v>
      </c>
      <c r="M1328" t="s">
        <v>20</v>
      </c>
      <c r="N1328" t="s">
        <v>21</v>
      </c>
    </row>
    <row r="1329" spans="1:14" x14ac:dyDescent="0.3">
      <c r="A1329">
        <v>2024002327</v>
      </c>
      <c r="B1329" s="1">
        <v>45501</v>
      </c>
      <c r="C1329" s="11">
        <f t="shared" si="60"/>
        <v>2024</v>
      </c>
      <c r="D1329" t="s">
        <v>126</v>
      </c>
      <c r="E1329" t="s">
        <v>46</v>
      </c>
      <c r="F1329" t="s">
        <v>47</v>
      </c>
      <c r="G1329" t="s">
        <v>36</v>
      </c>
      <c r="H1329">
        <v>2</v>
      </c>
      <c r="I1329" s="2">
        <v>95.29</v>
      </c>
      <c r="J1329" s="2">
        <v>190.58</v>
      </c>
      <c r="K1329" s="2">
        <f t="shared" si="61"/>
        <v>190.58</v>
      </c>
      <c r="L1329" s="2">
        <f t="shared" si="62"/>
        <v>0</v>
      </c>
      <c r="M1329" t="s">
        <v>25</v>
      </c>
      <c r="N1329" t="s">
        <v>26</v>
      </c>
    </row>
    <row r="1330" spans="1:14" x14ac:dyDescent="0.3">
      <c r="A1330">
        <v>2024002328</v>
      </c>
      <c r="B1330" s="1">
        <v>45548</v>
      </c>
      <c r="C1330" s="11">
        <f t="shared" si="60"/>
        <v>2024</v>
      </c>
      <c r="D1330" t="s">
        <v>11</v>
      </c>
      <c r="E1330" t="s">
        <v>53</v>
      </c>
      <c r="F1330" t="s">
        <v>54</v>
      </c>
      <c r="G1330" t="s">
        <v>36</v>
      </c>
      <c r="H1330">
        <v>4</v>
      </c>
      <c r="I1330" s="2">
        <v>121.78</v>
      </c>
      <c r="J1330" s="2">
        <v>487.12</v>
      </c>
      <c r="K1330" s="2">
        <f t="shared" si="61"/>
        <v>487.12</v>
      </c>
      <c r="L1330" s="2">
        <f t="shared" si="62"/>
        <v>0</v>
      </c>
      <c r="M1330" t="s">
        <v>20</v>
      </c>
      <c r="N1330" t="s">
        <v>21</v>
      </c>
    </row>
    <row r="1331" spans="1:14" x14ac:dyDescent="0.3">
      <c r="A1331">
        <v>2024002329</v>
      </c>
      <c r="B1331" s="1">
        <v>45640</v>
      </c>
      <c r="C1331" s="11">
        <f t="shared" si="60"/>
        <v>2024</v>
      </c>
      <c r="D1331" t="s">
        <v>11</v>
      </c>
      <c r="E1331" t="s">
        <v>53</v>
      </c>
      <c r="F1331" t="s">
        <v>54</v>
      </c>
      <c r="G1331" t="s">
        <v>36</v>
      </c>
      <c r="H1331">
        <v>1</v>
      </c>
      <c r="I1331" s="2">
        <v>112.68</v>
      </c>
      <c r="J1331" s="2">
        <v>112.68</v>
      </c>
      <c r="K1331" s="2">
        <f t="shared" si="61"/>
        <v>112.68</v>
      </c>
      <c r="L1331" s="2">
        <f t="shared" si="62"/>
        <v>0</v>
      </c>
      <c r="M1331" t="s">
        <v>61</v>
      </c>
      <c r="N1331" t="s">
        <v>32</v>
      </c>
    </row>
    <row r="1332" spans="1:14" x14ac:dyDescent="0.3">
      <c r="A1332">
        <v>2024002330</v>
      </c>
      <c r="B1332" s="1">
        <v>45587</v>
      </c>
      <c r="C1332" s="11">
        <f t="shared" si="60"/>
        <v>2024</v>
      </c>
      <c r="D1332" t="s">
        <v>233</v>
      </c>
      <c r="E1332" t="s">
        <v>28</v>
      </c>
      <c r="F1332" t="s">
        <v>29</v>
      </c>
      <c r="G1332" t="s">
        <v>30</v>
      </c>
      <c r="H1332">
        <v>1</v>
      </c>
      <c r="I1332" s="2">
        <v>25.26</v>
      </c>
      <c r="J1332" s="2">
        <v>25.26</v>
      </c>
      <c r="K1332" s="2">
        <f t="shared" si="61"/>
        <v>25.26</v>
      </c>
      <c r="L1332" s="2">
        <f t="shared" si="62"/>
        <v>0</v>
      </c>
      <c r="M1332" t="s">
        <v>61</v>
      </c>
      <c r="N1332" t="s">
        <v>26</v>
      </c>
    </row>
    <row r="1333" spans="1:14" x14ac:dyDescent="0.3">
      <c r="A1333">
        <v>2024002331</v>
      </c>
      <c r="B1333" s="1">
        <v>45526</v>
      </c>
      <c r="C1333" s="11">
        <f t="shared" si="60"/>
        <v>2024</v>
      </c>
      <c r="D1333" t="s">
        <v>141</v>
      </c>
      <c r="E1333" t="s">
        <v>46</v>
      </c>
      <c r="F1333" t="s">
        <v>47</v>
      </c>
      <c r="G1333" t="s">
        <v>36</v>
      </c>
      <c r="H1333">
        <v>3</v>
      </c>
      <c r="I1333" s="2">
        <v>94.36</v>
      </c>
      <c r="J1333" s="2">
        <v>283.08</v>
      </c>
      <c r="K1333" s="2">
        <f t="shared" si="61"/>
        <v>283.08</v>
      </c>
      <c r="L1333" s="2">
        <f t="shared" si="62"/>
        <v>0</v>
      </c>
      <c r="M1333" t="s">
        <v>61</v>
      </c>
      <c r="N1333" t="s">
        <v>32</v>
      </c>
    </row>
    <row r="1334" spans="1:14" x14ac:dyDescent="0.3">
      <c r="A1334">
        <v>2024002332</v>
      </c>
      <c r="B1334" s="1">
        <v>45368</v>
      </c>
      <c r="C1334" s="11">
        <f t="shared" si="60"/>
        <v>2024</v>
      </c>
      <c r="D1334" t="s">
        <v>184</v>
      </c>
      <c r="E1334" t="s">
        <v>18</v>
      </c>
      <c r="F1334" t="s">
        <v>19</v>
      </c>
      <c r="G1334" t="s">
        <v>14</v>
      </c>
      <c r="H1334">
        <v>3</v>
      </c>
      <c r="I1334" s="2">
        <v>559.9</v>
      </c>
      <c r="J1334" s="2">
        <v>1679.7</v>
      </c>
      <c r="K1334" s="2">
        <f t="shared" si="61"/>
        <v>1679.6999999999998</v>
      </c>
      <c r="L1334" s="2">
        <f t="shared" si="62"/>
        <v>0</v>
      </c>
      <c r="M1334" t="s">
        <v>38</v>
      </c>
      <c r="N1334" t="s">
        <v>21</v>
      </c>
    </row>
    <row r="1335" spans="1:14" x14ac:dyDescent="0.3">
      <c r="A1335">
        <v>2024002333</v>
      </c>
      <c r="B1335" s="1">
        <v>45630</v>
      </c>
      <c r="C1335" s="11">
        <f t="shared" si="60"/>
        <v>2024</v>
      </c>
      <c r="D1335" t="s">
        <v>11</v>
      </c>
      <c r="E1335" t="s">
        <v>67</v>
      </c>
      <c r="F1335" t="s">
        <v>68</v>
      </c>
      <c r="G1335" t="s">
        <v>36</v>
      </c>
      <c r="H1335">
        <v>3</v>
      </c>
      <c r="I1335" s="2">
        <v>426.73</v>
      </c>
      <c r="J1335" s="2">
        <v>1280.19</v>
      </c>
      <c r="K1335" s="2">
        <f t="shared" si="61"/>
        <v>1280.19</v>
      </c>
      <c r="L1335" s="2">
        <f t="shared" si="62"/>
        <v>0</v>
      </c>
      <c r="M1335" t="s">
        <v>57</v>
      </c>
      <c r="N1335" t="s">
        <v>21</v>
      </c>
    </row>
    <row r="1336" spans="1:14" x14ac:dyDescent="0.3">
      <c r="A1336">
        <v>2024002334</v>
      </c>
      <c r="B1336" s="1">
        <v>45514</v>
      </c>
      <c r="C1336" s="11">
        <f t="shared" si="60"/>
        <v>2024</v>
      </c>
      <c r="D1336" t="s">
        <v>99</v>
      </c>
      <c r="E1336" t="s">
        <v>18</v>
      </c>
      <c r="F1336" t="s">
        <v>19</v>
      </c>
      <c r="G1336" t="s">
        <v>14</v>
      </c>
      <c r="H1336">
        <v>1</v>
      </c>
      <c r="I1336" s="2">
        <v>549.04999999999995</v>
      </c>
      <c r="J1336" s="2">
        <v>549.04999999999995</v>
      </c>
      <c r="K1336" s="2">
        <f t="shared" si="61"/>
        <v>549.04999999999995</v>
      </c>
      <c r="L1336" s="2">
        <f t="shared" si="62"/>
        <v>0</v>
      </c>
      <c r="M1336" t="s">
        <v>31</v>
      </c>
      <c r="N1336" t="s">
        <v>32</v>
      </c>
    </row>
    <row r="1337" spans="1:14" x14ac:dyDescent="0.3">
      <c r="A1337">
        <v>2024002335</v>
      </c>
      <c r="B1337" s="1">
        <v>45642</v>
      </c>
      <c r="C1337" s="11">
        <f t="shared" si="60"/>
        <v>2024</v>
      </c>
      <c r="D1337" t="s">
        <v>236</v>
      </c>
      <c r="E1337" t="s">
        <v>53</v>
      </c>
      <c r="F1337" t="s">
        <v>54</v>
      </c>
      <c r="G1337" t="s">
        <v>36</v>
      </c>
      <c r="H1337">
        <v>1</v>
      </c>
      <c r="I1337" s="2">
        <v>117.1</v>
      </c>
      <c r="J1337" s="2">
        <v>117.1</v>
      </c>
      <c r="K1337" s="2">
        <f t="shared" si="61"/>
        <v>117.1</v>
      </c>
      <c r="L1337" s="2">
        <f t="shared" si="62"/>
        <v>0</v>
      </c>
      <c r="M1337" t="s">
        <v>31</v>
      </c>
      <c r="N1337" t="s">
        <v>16</v>
      </c>
    </row>
    <row r="1338" spans="1:14" x14ac:dyDescent="0.3">
      <c r="A1338">
        <v>2024002336</v>
      </c>
      <c r="B1338" s="1">
        <v>45656</v>
      </c>
      <c r="C1338" s="11">
        <f t="shared" si="60"/>
        <v>2024</v>
      </c>
      <c r="D1338" t="s">
        <v>345</v>
      </c>
      <c r="E1338" t="s">
        <v>34</v>
      </c>
      <c r="F1338" t="s">
        <v>35</v>
      </c>
      <c r="G1338" t="s">
        <v>36</v>
      </c>
      <c r="H1338">
        <v>2</v>
      </c>
      <c r="I1338" s="2">
        <v>15.3</v>
      </c>
      <c r="J1338" s="2">
        <v>30.6</v>
      </c>
      <c r="K1338" s="2">
        <f t="shared" si="61"/>
        <v>30.6</v>
      </c>
      <c r="L1338" s="2">
        <f t="shared" si="62"/>
        <v>0</v>
      </c>
      <c r="M1338" t="s">
        <v>20</v>
      </c>
      <c r="N1338" t="s">
        <v>16</v>
      </c>
    </row>
    <row r="1339" spans="1:14" x14ac:dyDescent="0.3">
      <c r="A1339">
        <v>2024002337</v>
      </c>
      <c r="B1339" s="1">
        <v>45339</v>
      </c>
      <c r="C1339" s="11">
        <f t="shared" si="60"/>
        <v>2024</v>
      </c>
      <c r="D1339" t="s">
        <v>218</v>
      </c>
      <c r="E1339" t="s">
        <v>43</v>
      </c>
      <c r="F1339" t="s">
        <v>44</v>
      </c>
      <c r="G1339" t="s">
        <v>36</v>
      </c>
      <c r="H1339">
        <v>4</v>
      </c>
      <c r="I1339" s="2">
        <v>1214.72</v>
      </c>
      <c r="J1339" s="2">
        <v>4858.88</v>
      </c>
      <c r="K1339" s="2">
        <f t="shared" si="61"/>
        <v>4858.88</v>
      </c>
      <c r="L1339" s="2">
        <f t="shared" si="62"/>
        <v>0</v>
      </c>
      <c r="M1339" t="s">
        <v>20</v>
      </c>
      <c r="N1339" t="s">
        <v>16</v>
      </c>
    </row>
    <row r="1340" spans="1:14" x14ac:dyDescent="0.3">
      <c r="A1340">
        <v>2024002338</v>
      </c>
      <c r="B1340" s="1">
        <v>45615</v>
      </c>
      <c r="C1340" s="11">
        <f t="shared" si="60"/>
        <v>2024</v>
      </c>
      <c r="D1340" t="s">
        <v>63</v>
      </c>
      <c r="E1340" t="s">
        <v>46</v>
      </c>
      <c r="F1340" t="s">
        <v>47</v>
      </c>
      <c r="G1340" t="s">
        <v>36</v>
      </c>
      <c r="H1340">
        <v>1</v>
      </c>
      <c r="I1340" s="2">
        <v>90.79</v>
      </c>
      <c r="J1340" s="2">
        <v>90.79</v>
      </c>
      <c r="K1340" s="2">
        <f t="shared" si="61"/>
        <v>90.79</v>
      </c>
      <c r="L1340" s="2">
        <f t="shared" si="62"/>
        <v>0</v>
      </c>
      <c r="M1340" t="s">
        <v>31</v>
      </c>
      <c r="N1340" t="s">
        <v>21</v>
      </c>
    </row>
    <row r="1341" spans="1:14" x14ac:dyDescent="0.3">
      <c r="A1341">
        <v>2024002339</v>
      </c>
      <c r="B1341" s="1">
        <v>45319</v>
      </c>
      <c r="C1341" s="11">
        <f t="shared" si="60"/>
        <v>2024</v>
      </c>
      <c r="D1341" t="s">
        <v>182</v>
      </c>
      <c r="E1341" t="s">
        <v>23</v>
      </c>
      <c r="F1341" t="s">
        <v>24</v>
      </c>
      <c r="G1341" t="s">
        <v>14</v>
      </c>
      <c r="H1341">
        <v>2</v>
      </c>
      <c r="I1341" s="2">
        <v>84.13</v>
      </c>
      <c r="J1341" s="2">
        <v>168.26</v>
      </c>
      <c r="K1341" s="2">
        <f t="shared" si="61"/>
        <v>168.26</v>
      </c>
      <c r="L1341" s="2">
        <f t="shared" si="62"/>
        <v>0</v>
      </c>
      <c r="M1341" t="s">
        <v>25</v>
      </c>
      <c r="N1341" t="s">
        <v>32</v>
      </c>
    </row>
    <row r="1342" spans="1:14" x14ac:dyDescent="0.3">
      <c r="A1342">
        <v>2024002340</v>
      </c>
      <c r="B1342" s="1">
        <v>45514</v>
      </c>
      <c r="C1342" s="11">
        <f t="shared" si="60"/>
        <v>2024</v>
      </c>
      <c r="D1342" t="s">
        <v>170</v>
      </c>
      <c r="E1342" t="s">
        <v>34</v>
      </c>
      <c r="F1342" t="s">
        <v>35</v>
      </c>
      <c r="G1342" t="s">
        <v>36</v>
      </c>
      <c r="H1342">
        <v>1</v>
      </c>
      <c r="I1342" s="2">
        <v>14.12</v>
      </c>
      <c r="J1342" s="2">
        <v>14.12</v>
      </c>
      <c r="K1342" s="2">
        <f t="shared" si="61"/>
        <v>14.12</v>
      </c>
      <c r="L1342" s="2">
        <f t="shared" si="62"/>
        <v>0</v>
      </c>
      <c r="M1342" t="s">
        <v>55</v>
      </c>
      <c r="N1342" t="s">
        <v>16</v>
      </c>
    </row>
    <row r="1343" spans="1:14" x14ac:dyDescent="0.3">
      <c r="A1343">
        <v>2024002341</v>
      </c>
      <c r="B1343" s="1">
        <v>45540</v>
      </c>
      <c r="C1343" s="11">
        <f t="shared" si="60"/>
        <v>2024</v>
      </c>
      <c r="D1343" t="s">
        <v>246</v>
      </c>
      <c r="E1343" t="s">
        <v>28</v>
      </c>
      <c r="F1343" t="s">
        <v>29</v>
      </c>
      <c r="G1343" t="s">
        <v>30</v>
      </c>
      <c r="H1343">
        <v>3</v>
      </c>
      <c r="I1343" s="2">
        <v>25.44</v>
      </c>
      <c r="J1343" s="2">
        <v>76.319999999999993</v>
      </c>
      <c r="K1343" s="2">
        <f t="shared" si="61"/>
        <v>76.320000000000007</v>
      </c>
      <c r="L1343" s="2">
        <f t="shared" si="62"/>
        <v>0</v>
      </c>
      <c r="M1343" t="s">
        <v>64</v>
      </c>
      <c r="N1343" t="s">
        <v>26</v>
      </c>
    </row>
    <row r="1344" spans="1:14" x14ac:dyDescent="0.3">
      <c r="A1344">
        <v>2024002342</v>
      </c>
      <c r="B1344" s="1">
        <v>45461</v>
      </c>
      <c r="C1344" s="11">
        <f t="shared" si="60"/>
        <v>2024</v>
      </c>
      <c r="D1344" t="s">
        <v>78</v>
      </c>
      <c r="E1344" t="s">
        <v>67</v>
      </c>
      <c r="F1344" t="s">
        <v>68</v>
      </c>
      <c r="G1344" t="s">
        <v>36</v>
      </c>
      <c r="H1344">
        <v>4</v>
      </c>
      <c r="I1344" s="2">
        <v>424.05</v>
      </c>
      <c r="J1344" s="2">
        <v>1696.2</v>
      </c>
      <c r="K1344" s="2">
        <f t="shared" si="61"/>
        <v>1696.2</v>
      </c>
      <c r="L1344" s="2">
        <f t="shared" si="62"/>
        <v>0</v>
      </c>
      <c r="M1344" t="s">
        <v>20</v>
      </c>
      <c r="N1344" t="s">
        <v>26</v>
      </c>
    </row>
    <row r="1345" spans="1:14" x14ac:dyDescent="0.3">
      <c r="A1345">
        <v>2024002343</v>
      </c>
      <c r="B1345" s="1">
        <v>45410</v>
      </c>
      <c r="C1345" s="11">
        <f t="shared" si="60"/>
        <v>2024</v>
      </c>
      <c r="D1345" t="s">
        <v>304</v>
      </c>
      <c r="E1345" t="s">
        <v>28</v>
      </c>
      <c r="F1345" t="s">
        <v>29</v>
      </c>
      <c r="G1345" t="s">
        <v>30</v>
      </c>
      <c r="H1345">
        <v>5</v>
      </c>
      <c r="I1345" s="2">
        <v>27.59</v>
      </c>
      <c r="J1345" s="2">
        <v>137.94999999999999</v>
      </c>
      <c r="K1345" s="2">
        <f t="shared" si="61"/>
        <v>137.94999999999999</v>
      </c>
      <c r="L1345" s="2">
        <f t="shared" si="62"/>
        <v>0</v>
      </c>
      <c r="M1345" t="s">
        <v>55</v>
      </c>
      <c r="N1345" t="s">
        <v>32</v>
      </c>
    </row>
    <row r="1346" spans="1:14" x14ac:dyDescent="0.3">
      <c r="A1346">
        <v>2024002344</v>
      </c>
      <c r="B1346" s="1">
        <v>45346</v>
      </c>
      <c r="C1346" s="11">
        <f t="shared" si="60"/>
        <v>2024</v>
      </c>
      <c r="D1346" t="s">
        <v>296</v>
      </c>
      <c r="E1346" t="s">
        <v>53</v>
      </c>
      <c r="F1346" t="s">
        <v>54</v>
      </c>
      <c r="G1346" t="s">
        <v>36</v>
      </c>
      <c r="H1346">
        <v>2</v>
      </c>
      <c r="I1346" s="2">
        <v>113.98</v>
      </c>
      <c r="J1346" s="2">
        <v>227.96</v>
      </c>
      <c r="K1346" s="2">
        <f t="shared" si="61"/>
        <v>227.96</v>
      </c>
      <c r="L1346" s="2">
        <f t="shared" si="62"/>
        <v>0</v>
      </c>
      <c r="M1346" t="s">
        <v>25</v>
      </c>
      <c r="N1346" t="s">
        <v>16</v>
      </c>
    </row>
    <row r="1347" spans="1:14" x14ac:dyDescent="0.3">
      <c r="A1347">
        <v>2024002345</v>
      </c>
      <c r="B1347" s="1">
        <v>45454</v>
      </c>
      <c r="C1347" s="11">
        <f t="shared" ref="C1347:C1410" si="63">YEAR(B1347)</f>
        <v>2024</v>
      </c>
      <c r="D1347" t="s">
        <v>11</v>
      </c>
      <c r="E1347" t="s">
        <v>53</v>
      </c>
      <c r="F1347" t="s">
        <v>54</v>
      </c>
      <c r="G1347" t="s">
        <v>36</v>
      </c>
      <c r="H1347">
        <v>2</v>
      </c>
      <c r="I1347" s="2">
        <v>125.01</v>
      </c>
      <c r="J1347" s="2">
        <v>250.02</v>
      </c>
      <c r="K1347" s="2">
        <f t="shared" ref="K1347:K1410" si="64">I1347*H1347</f>
        <v>250.02</v>
      </c>
      <c r="L1347" s="2">
        <f t="shared" ref="L1347:L1410" si="65">J1347-K1347</f>
        <v>0</v>
      </c>
      <c r="M1347" t="s">
        <v>25</v>
      </c>
      <c r="N1347" t="s">
        <v>21</v>
      </c>
    </row>
    <row r="1348" spans="1:14" x14ac:dyDescent="0.3">
      <c r="A1348">
        <v>2024002346</v>
      </c>
      <c r="B1348" s="1">
        <v>45454</v>
      </c>
      <c r="C1348" s="11">
        <f t="shared" si="63"/>
        <v>2024</v>
      </c>
      <c r="D1348" t="s">
        <v>203</v>
      </c>
      <c r="E1348" t="s">
        <v>46</v>
      </c>
      <c r="F1348" t="s">
        <v>47</v>
      </c>
      <c r="G1348" t="s">
        <v>36</v>
      </c>
      <c r="H1348">
        <v>1</v>
      </c>
      <c r="I1348" s="2">
        <v>80.37</v>
      </c>
      <c r="J1348" s="2">
        <v>80.37</v>
      </c>
      <c r="K1348" s="2">
        <f t="shared" si="64"/>
        <v>80.37</v>
      </c>
      <c r="L1348" s="2">
        <f t="shared" si="65"/>
        <v>0</v>
      </c>
      <c r="M1348" t="s">
        <v>64</v>
      </c>
      <c r="N1348" t="s">
        <v>26</v>
      </c>
    </row>
    <row r="1349" spans="1:14" x14ac:dyDescent="0.3">
      <c r="A1349">
        <v>2024002347</v>
      </c>
      <c r="B1349" s="1">
        <v>45544</v>
      </c>
      <c r="C1349" s="11">
        <f t="shared" si="63"/>
        <v>2024</v>
      </c>
      <c r="D1349" t="s">
        <v>37</v>
      </c>
      <c r="E1349" t="s">
        <v>43</v>
      </c>
      <c r="F1349" t="s">
        <v>44</v>
      </c>
      <c r="G1349" t="s">
        <v>36</v>
      </c>
      <c r="H1349">
        <v>1</v>
      </c>
      <c r="I1349" s="2">
        <v>1191.24</v>
      </c>
      <c r="J1349" s="2">
        <v>1191.24</v>
      </c>
      <c r="K1349" s="2">
        <f t="shared" si="64"/>
        <v>1191.24</v>
      </c>
      <c r="L1349" s="2">
        <f t="shared" si="65"/>
        <v>0</v>
      </c>
      <c r="M1349" t="s">
        <v>61</v>
      </c>
      <c r="N1349" t="s">
        <v>32</v>
      </c>
    </row>
    <row r="1350" spans="1:14" x14ac:dyDescent="0.3">
      <c r="A1350">
        <v>2024002348</v>
      </c>
      <c r="B1350" s="1">
        <v>45525</v>
      </c>
      <c r="C1350" s="11">
        <f t="shared" si="63"/>
        <v>2024</v>
      </c>
      <c r="D1350" t="s">
        <v>312</v>
      </c>
      <c r="E1350" t="s">
        <v>12</v>
      </c>
      <c r="F1350" t="s">
        <v>13</v>
      </c>
      <c r="G1350" t="s">
        <v>14</v>
      </c>
      <c r="H1350">
        <v>1</v>
      </c>
      <c r="I1350" s="2">
        <v>332.77</v>
      </c>
      <c r="J1350" s="2">
        <v>332.77</v>
      </c>
      <c r="K1350" s="2">
        <f t="shared" si="64"/>
        <v>332.77</v>
      </c>
      <c r="L1350" s="2">
        <f t="shared" si="65"/>
        <v>0</v>
      </c>
      <c r="M1350" t="s">
        <v>61</v>
      </c>
      <c r="N1350" t="s">
        <v>32</v>
      </c>
    </row>
    <row r="1351" spans="1:14" x14ac:dyDescent="0.3">
      <c r="A1351">
        <v>2024002349</v>
      </c>
      <c r="B1351" s="1">
        <v>45315</v>
      </c>
      <c r="C1351" s="11">
        <f t="shared" si="63"/>
        <v>2024</v>
      </c>
      <c r="D1351" t="s">
        <v>229</v>
      </c>
      <c r="E1351" t="s">
        <v>18</v>
      </c>
      <c r="F1351" t="s">
        <v>19</v>
      </c>
      <c r="G1351" t="s">
        <v>14</v>
      </c>
      <c r="H1351">
        <v>1</v>
      </c>
      <c r="I1351" s="2">
        <v>617.04999999999995</v>
      </c>
      <c r="J1351" s="2">
        <v>617.04999999999995</v>
      </c>
      <c r="K1351" s="2">
        <f t="shared" si="64"/>
        <v>617.04999999999995</v>
      </c>
      <c r="L1351" s="2">
        <f t="shared" si="65"/>
        <v>0</v>
      </c>
      <c r="M1351" t="s">
        <v>55</v>
      </c>
      <c r="N1351" t="s">
        <v>32</v>
      </c>
    </row>
    <row r="1352" spans="1:14" x14ac:dyDescent="0.3">
      <c r="A1352">
        <v>2024002350</v>
      </c>
      <c r="B1352" s="1">
        <v>45446</v>
      </c>
      <c r="C1352" s="11">
        <f t="shared" si="63"/>
        <v>2024</v>
      </c>
      <c r="D1352" t="s">
        <v>11</v>
      </c>
      <c r="E1352" t="s">
        <v>34</v>
      </c>
      <c r="F1352" t="s">
        <v>35</v>
      </c>
      <c r="G1352" t="s">
        <v>36</v>
      </c>
      <c r="H1352">
        <v>1</v>
      </c>
      <c r="I1352" s="2">
        <v>16.350000000000001</v>
      </c>
      <c r="J1352" s="2">
        <v>16.350000000000001</v>
      </c>
      <c r="K1352" s="2">
        <f t="shared" si="64"/>
        <v>16.350000000000001</v>
      </c>
      <c r="L1352" s="2">
        <f t="shared" si="65"/>
        <v>0</v>
      </c>
      <c r="M1352" t="s">
        <v>55</v>
      </c>
      <c r="N1352" t="s">
        <v>26</v>
      </c>
    </row>
    <row r="1353" spans="1:14" x14ac:dyDescent="0.3">
      <c r="A1353">
        <v>2024002351</v>
      </c>
      <c r="B1353" s="1">
        <v>45508</v>
      </c>
      <c r="C1353" s="11">
        <f t="shared" si="63"/>
        <v>2024</v>
      </c>
      <c r="D1353" t="s">
        <v>252</v>
      </c>
      <c r="E1353" t="s">
        <v>18</v>
      </c>
      <c r="F1353" t="s">
        <v>19</v>
      </c>
      <c r="G1353" t="s">
        <v>14</v>
      </c>
      <c r="H1353">
        <v>2</v>
      </c>
      <c r="I1353" s="2">
        <v>560.17999999999995</v>
      </c>
      <c r="J1353" s="2">
        <v>1120.3599999999999</v>
      </c>
      <c r="K1353" s="2">
        <f t="shared" si="64"/>
        <v>1120.3599999999999</v>
      </c>
      <c r="L1353" s="2">
        <f t="shared" si="65"/>
        <v>0</v>
      </c>
      <c r="M1353" t="s">
        <v>55</v>
      </c>
      <c r="N1353" t="s">
        <v>26</v>
      </c>
    </row>
    <row r="1354" spans="1:14" x14ac:dyDescent="0.3">
      <c r="A1354">
        <v>2024002352</v>
      </c>
      <c r="B1354" s="1">
        <v>45526</v>
      </c>
      <c r="C1354" s="11">
        <f t="shared" si="63"/>
        <v>2024</v>
      </c>
      <c r="D1354" t="s">
        <v>232</v>
      </c>
      <c r="E1354" t="s">
        <v>40</v>
      </c>
      <c r="F1354" t="s">
        <v>41</v>
      </c>
      <c r="G1354" t="s">
        <v>36</v>
      </c>
      <c r="H1354">
        <v>1</v>
      </c>
      <c r="I1354" s="2">
        <v>48.55</v>
      </c>
      <c r="J1354" s="2">
        <v>48.55</v>
      </c>
      <c r="K1354" s="2">
        <f t="shared" si="64"/>
        <v>48.55</v>
      </c>
      <c r="L1354" s="2">
        <f t="shared" si="65"/>
        <v>0</v>
      </c>
      <c r="M1354" t="s">
        <v>25</v>
      </c>
      <c r="N1354" t="s">
        <v>21</v>
      </c>
    </row>
    <row r="1355" spans="1:14" x14ac:dyDescent="0.3">
      <c r="A1355">
        <v>2024002353</v>
      </c>
      <c r="B1355" s="1">
        <v>45641</v>
      </c>
      <c r="C1355" s="11">
        <f t="shared" si="63"/>
        <v>2024</v>
      </c>
      <c r="D1355" t="s">
        <v>246</v>
      </c>
      <c r="E1355" t="s">
        <v>34</v>
      </c>
      <c r="F1355" t="s">
        <v>35</v>
      </c>
      <c r="G1355" t="s">
        <v>36</v>
      </c>
      <c r="H1355">
        <v>1</v>
      </c>
      <c r="I1355" s="2">
        <v>14.54</v>
      </c>
      <c r="J1355" s="2">
        <v>14.54</v>
      </c>
      <c r="K1355" s="2">
        <f t="shared" si="64"/>
        <v>14.54</v>
      </c>
      <c r="L1355" s="2">
        <f t="shared" si="65"/>
        <v>0</v>
      </c>
      <c r="M1355" t="s">
        <v>48</v>
      </c>
      <c r="N1355" t="s">
        <v>32</v>
      </c>
    </row>
    <row r="1356" spans="1:14" x14ac:dyDescent="0.3">
      <c r="A1356">
        <v>2024002354</v>
      </c>
      <c r="B1356" s="1">
        <v>45316</v>
      </c>
      <c r="C1356" s="11">
        <f t="shared" si="63"/>
        <v>2024</v>
      </c>
      <c r="D1356" t="s">
        <v>215</v>
      </c>
      <c r="E1356" t="s">
        <v>12</v>
      </c>
      <c r="F1356" t="s">
        <v>13</v>
      </c>
      <c r="G1356" t="s">
        <v>14</v>
      </c>
      <c r="H1356">
        <v>1</v>
      </c>
      <c r="I1356" s="2">
        <v>355.91</v>
      </c>
      <c r="J1356" s="2">
        <v>355.91</v>
      </c>
      <c r="K1356" s="2">
        <f t="shared" si="64"/>
        <v>355.91</v>
      </c>
      <c r="L1356" s="2">
        <f t="shared" si="65"/>
        <v>0</v>
      </c>
      <c r="M1356" t="s">
        <v>61</v>
      </c>
      <c r="N1356" t="s">
        <v>21</v>
      </c>
    </row>
    <row r="1357" spans="1:14" x14ac:dyDescent="0.3">
      <c r="A1357">
        <v>2024002355</v>
      </c>
      <c r="B1357" s="1">
        <v>45520</v>
      </c>
      <c r="C1357" s="11">
        <f t="shared" si="63"/>
        <v>2024</v>
      </c>
      <c r="D1357" t="s">
        <v>237</v>
      </c>
      <c r="E1357" t="s">
        <v>43</v>
      </c>
      <c r="F1357" t="s">
        <v>44</v>
      </c>
      <c r="G1357" t="s">
        <v>36</v>
      </c>
      <c r="H1357">
        <v>1</v>
      </c>
      <c r="I1357" s="2">
        <v>1184.2</v>
      </c>
      <c r="J1357" s="2">
        <v>1184.2</v>
      </c>
      <c r="K1357" s="2">
        <f t="shared" si="64"/>
        <v>1184.2</v>
      </c>
      <c r="L1357" s="2">
        <f t="shared" si="65"/>
        <v>0</v>
      </c>
      <c r="M1357" t="s">
        <v>48</v>
      </c>
      <c r="N1357" t="s">
        <v>16</v>
      </c>
    </row>
    <row r="1358" spans="1:14" x14ac:dyDescent="0.3">
      <c r="A1358">
        <v>2024002356</v>
      </c>
      <c r="B1358" s="1">
        <v>45582</v>
      </c>
      <c r="C1358" s="11">
        <f t="shared" si="63"/>
        <v>2024</v>
      </c>
      <c r="D1358" t="s">
        <v>90</v>
      </c>
      <c r="E1358" t="s">
        <v>34</v>
      </c>
      <c r="F1358" t="s">
        <v>35</v>
      </c>
      <c r="G1358" t="s">
        <v>36</v>
      </c>
      <c r="H1358">
        <v>1</v>
      </c>
      <c r="I1358" s="2">
        <v>15.67</v>
      </c>
      <c r="J1358" s="2">
        <v>15.67</v>
      </c>
      <c r="K1358" s="2">
        <f t="shared" si="64"/>
        <v>15.67</v>
      </c>
      <c r="L1358" s="2">
        <f t="shared" si="65"/>
        <v>0</v>
      </c>
      <c r="M1358" t="s">
        <v>57</v>
      </c>
      <c r="N1358" t="s">
        <v>16</v>
      </c>
    </row>
    <row r="1359" spans="1:14" x14ac:dyDescent="0.3">
      <c r="A1359">
        <v>2024002357</v>
      </c>
      <c r="B1359" s="1">
        <v>45435</v>
      </c>
      <c r="C1359" s="11">
        <f t="shared" si="63"/>
        <v>2024</v>
      </c>
      <c r="D1359" t="s">
        <v>129</v>
      </c>
      <c r="E1359" t="s">
        <v>53</v>
      </c>
      <c r="F1359" t="s">
        <v>54</v>
      </c>
      <c r="G1359" t="s">
        <v>36</v>
      </c>
      <c r="H1359">
        <v>4</v>
      </c>
      <c r="I1359" s="2">
        <v>122.83</v>
      </c>
      <c r="J1359" s="2">
        <v>491.32</v>
      </c>
      <c r="K1359" s="2">
        <f t="shared" si="64"/>
        <v>491.32</v>
      </c>
      <c r="L1359" s="2">
        <f t="shared" si="65"/>
        <v>0</v>
      </c>
      <c r="M1359" t="s">
        <v>48</v>
      </c>
      <c r="N1359" t="s">
        <v>16</v>
      </c>
    </row>
    <row r="1360" spans="1:14" x14ac:dyDescent="0.3">
      <c r="A1360">
        <v>2024002358</v>
      </c>
      <c r="B1360" s="1">
        <v>45589</v>
      </c>
      <c r="C1360" s="11">
        <f t="shared" si="63"/>
        <v>2024</v>
      </c>
      <c r="D1360" t="s">
        <v>65</v>
      </c>
      <c r="E1360" t="s">
        <v>53</v>
      </c>
      <c r="F1360" t="s">
        <v>54</v>
      </c>
      <c r="G1360" t="s">
        <v>36</v>
      </c>
      <c r="H1360">
        <v>3</v>
      </c>
      <c r="I1360" s="2">
        <v>119.76</v>
      </c>
      <c r="J1360" s="2">
        <v>359.28</v>
      </c>
      <c r="K1360" s="2">
        <f t="shared" si="64"/>
        <v>359.28000000000003</v>
      </c>
      <c r="L1360" s="2">
        <f t="shared" si="65"/>
        <v>0</v>
      </c>
      <c r="M1360" t="s">
        <v>55</v>
      </c>
      <c r="N1360" t="s">
        <v>16</v>
      </c>
    </row>
    <row r="1361" spans="1:14" x14ac:dyDescent="0.3">
      <c r="A1361">
        <v>2024002359</v>
      </c>
      <c r="B1361" s="1">
        <v>45474</v>
      </c>
      <c r="C1361" s="11">
        <f t="shared" si="63"/>
        <v>2024</v>
      </c>
      <c r="D1361" t="s">
        <v>327</v>
      </c>
      <c r="E1361" t="s">
        <v>28</v>
      </c>
      <c r="F1361" t="s">
        <v>29</v>
      </c>
      <c r="G1361" t="s">
        <v>30</v>
      </c>
      <c r="H1361">
        <v>3</v>
      </c>
      <c r="I1361" s="2">
        <v>22.64</v>
      </c>
      <c r="J1361" s="2">
        <v>67.92</v>
      </c>
      <c r="K1361" s="2">
        <f t="shared" si="64"/>
        <v>67.92</v>
      </c>
      <c r="L1361" s="2">
        <f t="shared" si="65"/>
        <v>0</v>
      </c>
      <c r="M1361" t="s">
        <v>15</v>
      </c>
      <c r="N1361" t="s">
        <v>16</v>
      </c>
    </row>
    <row r="1362" spans="1:14" x14ac:dyDescent="0.3">
      <c r="A1362">
        <v>2024002360</v>
      </c>
      <c r="B1362" s="1">
        <v>45514</v>
      </c>
      <c r="C1362" s="11">
        <f t="shared" si="63"/>
        <v>2024</v>
      </c>
      <c r="D1362" t="s">
        <v>281</v>
      </c>
      <c r="E1362" t="s">
        <v>46</v>
      </c>
      <c r="F1362" t="s">
        <v>47</v>
      </c>
      <c r="G1362" t="s">
        <v>36</v>
      </c>
      <c r="H1362">
        <v>1</v>
      </c>
      <c r="I1362" s="2">
        <v>83.36</v>
      </c>
      <c r="J1362" s="2">
        <v>83.36</v>
      </c>
      <c r="K1362" s="2">
        <f t="shared" si="64"/>
        <v>83.36</v>
      </c>
      <c r="L1362" s="2">
        <f t="shared" si="65"/>
        <v>0</v>
      </c>
      <c r="M1362" t="s">
        <v>31</v>
      </c>
      <c r="N1362" t="s">
        <v>16</v>
      </c>
    </row>
    <row r="1363" spans="1:14" x14ac:dyDescent="0.3">
      <c r="A1363">
        <v>2024002361</v>
      </c>
      <c r="B1363" s="1">
        <v>45437</v>
      </c>
      <c r="C1363" s="11">
        <f t="shared" si="63"/>
        <v>2024</v>
      </c>
      <c r="D1363" t="s">
        <v>125</v>
      </c>
      <c r="E1363" t="s">
        <v>28</v>
      </c>
      <c r="F1363" t="s">
        <v>29</v>
      </c>
      <c r="G1363" t="s">
        <v>30</v>
      </c>
      <c r="H1363">
        <v>1</v>
      </c>
      <c r="I1363" s="2">
        <v>26.28</v>
      </c>
      <c r="J1363" s="2">
        <v>26.28</v>
      </c>
      <c r="K1363" s="2">
        <f t="shared" si="64"/>
        <v>26.28</v>
      </c>
      <c r="L1363" s="2">
        <f t="shared" si="65"/>
        <v>0</v>
      </c>
      <c r="M1363" t="s">
        <v>20</v>
      </c>
      <c r="N1363" t="s">
        <v>32</v>
      </c>
    </row>
    <row r="1364" spans="1:14" x14ac:dyDescent="0.3">
      <c r="A1364">
        <v>2024002362</v>
      </c>
      <c r="B1364" s="1">
        <v>45426</v>
      </c>
      <c r="C1364" s="11">
        <f t="shared" si="63"/>
        <v>2024</v>
      </c>
      <c r="D1364" t="s">
        <v>52</v>
      </c>
      <c r="E1364" t="s">
        <v>23</v>
      </c>
      <c r="F1364" t="s">
        <v>24</v>
      </c>
      <c r="G1364" t="s">
        <v>14</v>
      </c>
      <c r="H1364">
        <v>3</v>
      </c>
      <c r="I1364" s="2">
        <v>89.17</v>
      </c>
      <c r="J1364" s="2">
        <v>267.51</v>
      </c>
      <c r="K1364" s="2">
        <f t="shared" si="64"/>
        <v>267.51</v>
      </c>
      <c r="L1364" s="2">
        <f t="shared" si="65"/>
        <v>0</v>
      </c>
      <c r="M1364" t="s">
        <v>55</v>
      </c>
      <c r="N1364" t="s">
        <v>32</v>
      </c>
    </row>
    <row r="1365" spans="1:14" x14ac:dyDescent="0.3">
      <c r="A1365">
        <v>2024002363</v>
      </c>
      <c r="B1365" s="1">
        <v>45295</v>
      </c>
      <c r="C1365" s="11">
        <f t="shared" si="63"/>
        <v>2024</v>
      </c>
      <c r="D1365" t="s">
        <v>11</v>
      </c>
      <c r="E1365" t="s">
        <v>28</v>
      </c>
      <c r="F1365" t="s">
        <v>29</v>
      </c>
      <c r="G1365" t="s">
        <v>30</v>
      </c>
      <c r="H1365">
        <v>1</v>
      </c>
      <c r="I1365" s="2">
        <v>27.33</v>
      </c>
      <c r="J1365" s="2">
        <v>27.33</v>
      </c>
      <c r="K1365" s="2">
        <f t="shared" si="64"/>
        <v>27.33</v>
      </c>
      <c r="L1365" s="2">
        <f t="shared" si="65"/>
        <v>0</v>
      </c>
      <c r="M1365" t="s">
        <v>64</v>
      </c>
      <c r="N1365" t="s">
        <v>16</v>
      </c>
    </row>
    <row r="1366" spans="1:14" x14ac:dyDescent="0.3">
      <c r="A1366">
        <v>2024002364</v>
      </c>
      <c r="B1366" s="1">
        <v>45308</v>
      </c>
      <c r="C1366" s="11">
        <f t="shared" si="63"/>
        <v>2024</v>
      </c>
      <c r="D1366" t="s">
        <v>11</v>
      </c>
      <c r="E1366" t="s">
        <v>23</v>
      </c>
      <c r="F1366" t="s">
        <v>24</v>
      </c>
      <c r="G1366" t="s">
        <v>14</v>
      </c>
      <c r="H1366">
        <v>3</v>
      </c>
      <c r="I1366" s="2">
        <v>78.09</v>
      </c>
      <c r="J1366" s="2">
        <v>234.27</v>
      </c>
      <c r="K1366" s="2">
        <f t="shared" si="64"/>
        <v>234.27</v>
      </c>
      <c r="L1366" s="2">
        <f t="shared" si="65"/>
        <v>0</v>
      </c>
      <c r="M1366" t="s">
        <v>25</v>
      </c>
      <c r="N1366" t="s">
        <v>32</v>
      </c>
    </row>
    <row r="1367" spans="1:14" x14ac:dyDescent="0.3">
      <c r="A1367">
        <v>2024002365</v>
      </c>
      <c r="B1367" s="1">
        <v>45609</v>
      </c>
      <c r="C1367" s="11">
        <f t="shared" si="63"/>
        <v>2024</v>
      </c>
      <c r="D1367" t="s">
        <v>208</v>
      </c>
      <c r="E1367" t="s">
        <v>28</v>
      </c>
      <c r="F1367" t="s">
        <v>29</v>
      </c>
      <c r="G1367" t="s">
        <v>30</v>
      </c>
      <c r="H1367">
        <v>1</v>
      </c>
      <c r="I1367" s="2">
        <v>23.37</v>
      </c>
      <c r="J1367" s="2">
        <v>23.37</v>
      </c>
      <c r="K1367" s="2">
        <f t="shared" si="64"/>
        <v>23.37</v>
      </c>
      <c r="L1367" s="2">
        <f t="shared" si="65"/>
        <v>0</v>
      </c>
      <c r="M1367" t="s">
        <v>57</v>
      </c>
      <c r="N1367" t="s">
        <v>32</v>
      </c>
    </row>
    <row r="1368" spans="1:14" x14ac:dyDescent="0.3">
      <c r="A1368">
        <v>2024002366</v>
      </c>
      <c r="B1368" s="1">
        <v>45464</v>
      </c>
      <c r="C1368" s="11">
        <f t="shared" si="63"/>
        <v>2024</v>
      </c>
      <c r="D1368" t="s">
        <v>11</v>
      </c>
      <c r="E1368" t="s">
        <v>67</v>
      </c>
      <c r="F1368" t="s">
        <v>68</v>
      </c>
      <c r="G1368" t="s">
        <v>36</v>
      </c>
      <c r="H1368">
        <v>1</v>
      </c>
      <c r="I1368" s="2">
        <v>370.32</v>
      </c>
      <c r="J1368" s="2">
        <v>370.32</v>
      </c>
      <c r="K1368" s="2">
        <f t="shared" si="64"/>
        <v>370.32</v>
      </c>
      <c r="L1368" s="2">
        <f t="shared" si="65"/>
        <v>0</v>
      </c>
      <c r="M1368" t="s">
        <v>57</v>
      </c>
      <c r="N1368" t="s">
        <v>16</v>
      </c>
    </row>
    <row r="1369" spans="1:14" x14ac:dyDescent="0.3">
      <c r="A1369">
        <v>2024002367</v>
      </c>
      <c r="B1369" s="1">
        <v>45388</v>
      </c>
      <c r="C1369" s="11">
        <f t="shared" si="63"/>
        <v>2024</v>
      </c>
      <c r="D1369" t="s">
        <v>149</v>
      </c>
      <c r="E1369" t="s">
        <v>53</v>
      </c>
      <c r="F1369" t="s">
        <v>54</v>
      </c>
      <c r="G1369" t="s">
        <v>36</v>
      </c>
      <c r="H1369">
        <v>3</v>
      </c>
      <c r="I1369" s="2">
        <v>109.38</v>
      </c>
      <c r="J1369" s="2">
        <v>328.14</v>
      </c>
      <c r="K1369" s="2">
        <f t="shared" si="64"/>
        <v>328.14</v>
      </c>
      <c r="L1369" s="2">
        <f t="shared" si="65"/>
        <v>0</v>
      </c>
      <c r="M1369" t="s">
        <v>61</v>
      </c>
      <c r="N1369" t="s">
        <v>21</v>
      </c>
    </row>
    <row r="1370" spans="1:14" x14ac:dyDescent="0.3">
      <c r="A1370">
        <v>2024002368</v>
      </c>
      <c r="B1370" s="1">
        <v>45640</v>
      </c>
      <c r="C1370" s="11">
        <f t="shared" si="63"/>
        <v>2024</v>
      </c>
      <c r="D1370" t="s">
        <v>17</v>
      </c>
      <c r="E1370" t="s">
        <v>28</v>
      </c>
      <c r="F1370" t="s">
        <v>29</v>
      </c>
      <c r="G1370" t="s">
        <v>30</v>
      </c>
      <c r="H1370">
        <v>3</v>
      </c>
      <c r="I1370" s="2">
        <v>26.5</v>
      </c>
      <c r="J1370" s="2">
        <v>79.5</v>
      </c>
      <c r="K1370" s="2">
        <f t="shared" si="64"/>
        <v>79.5</v>
      </c>
      <c r="L1370" s="2">
        <f t="shared" si="65"/>
        <v>0</v>
      </c>
      <c r="M1370" t="s">
        <v>61</v>
      </c>
      <c r="N1370" t="s">
        <v>21</v>
      </c>
    </row>
    <row r="1371" spans="1:14" x14ac:dyDescent="0.3">
      <c r="A1371">
        <v>2024002369</v>
      </c>
      <c r="B1371" s="1">
        <v>45292</v>
      </c>
      <c r="C1371" s="11">
        <f t="shared" si="63"/>
        <v>2024</v>
      </c>
      <c r="D1371" t="s">
        <v>332</v>
      </c>
      <c r="E1371" t="s">
        <v>28</v>
      </c>
      <c r="F1371" t="s">
        <v>29</v>
      </c>
      <c r="G1371" t="s">
        <v>30</v>
      </c>
      <c r="H1371">
        <v>2</v>
      </c>
      <c r="I1371" s="2">
        <v>26.09</v>
      </c>
      <c r="J1371" s="2">
        <v>52.18</v>
      </c>
      <c r="K1371" s="2">
        <f t="shared" si="64"/>
        <v>52.18</v>
      </c>
      <c r="L1371" s="2">
        <f t="shared" si="65"/>
        <v>0</v>
      </c>
      <c r="M1371" t="s">
        <v>15</v>
      </c>
      <c r="N1371" t="s">
        <v>26</v>
      </c>
    </row>
    <row r="1372" spans="1:14" x14ac:dyDescent="0.3">
      <c r="A1372">
        <v>2024002370</v>
      </c>
      <c r="B1372" s="1">
        <v>45526</v>
      </c>
      <c r="C1372" s="11">
        <f t="shared" si="63"/>
        <v>2024</v>
      </c>
      <c r="D1372" t="s">
        <v>319</v>
      </c>
      <c r="E1372" t="s">
        <v>67</v>
      </c>
      <c r="F1372" t="s">
        <v>68</v>
      </c>
      <c r="G1372" t="s">
        <v>36</v>
      </c>
      <c r="H1372">
        <v>2</v>
      </c>
      <c r="I1372" s="2">
        <v>382.94</v>
      </c>
      <c r="J1372" s="2">
        <v>765.88</v>
      </c>
      <c r="K1372" s="2">
        <f t="shared" si="64"/>
        <v>765.88</v>
      </c>
      <c r="L1372" s="2">
        <f t="shared" si="65"/>
        <v>0</v>
      </c>
      <c r="M1372" t="s">
        <v>38</v>
      </c>
      <c r="N1372" t="s">
        <v>21</v>
      </c>
    </row>
    <row r="1373" spans="1:14" x14ac:dyDescent="0.3">
      <c r="A1373">
        <v>2024002371</v>
      </c>
      <c r="B1373" s="1">
        <v>45342</v>
      </c>
      <c r="C1373" s="11">
        <f t="shared" si="63"/>
        <v>2024</v>
      </c>
      <c r="D1373" t="s">
        <v>346</v>
      </c>
      <c r="E1373" t="s">
        <v>12</v>
      </c>
      <c r="F1373" t="s">
        <v>13</v>
      </c>
      <c r="G1373" t="s">
        <v>14</v>
      </c>
      <c r="H1373">
        <v>2</v>
      </c>
      <c r="I1373" s="2">
        <v>359.84</v>
      </c>
      <c r="J1373" s="2">
        <v>719.68</v>
      </c>
      <c r="K1373" s="2">
        <f t="shared" si="64"/>
        <v>719.68</v>
      </c>
      <c r="L1373" s="2">
        <f t="shared" si="65"/>
        <v>0</v>
      </c>
      <c r="M1373" t="s">
        <v>55</v>
      </c>
      <c r="N1373" t="s">
        <v>21</v>
      </c>
    </row>
    <row r="1374" spans="1:14" x14ac:dyDescent="0.3">
      <c r="A1374">
        <v>2024002372</v>
      </c>
      <c r="B1374" s="1">
        <v>45536</v>
      </c>
      <c r="C1374" s="11">
        <f t="shared" si="63"/>
        <v>2024</v>
      </c>
      <c r="D1374" t="s">
        <v>157</v>
      </c>
      <c r="E1374" t="s">
        <v>23</v>
      </c>
      <c r="F1374" t="s">
        <v>24</v>
      </c>
      <c r="G1374" t="s">
        <v>14</v>
      </c>
      <c r="H1374">
        <v>1</v>
      </c>
      <c r="I1374" s="2">
        <v>82.15</v>
      </c>
      <c r="J1374" s="2">
        <v>82.15</v>
      </c>
      <c r="K1374" s="2">
        <f t="shared" si="64"/>
        <v>82.15</v>
      </c>
      <c r="L1374" s="2">
        <f t="shared" si="65"/>
        <v>0</v>
      </c>
      <c r="M1374" t="s">
        <v>20</v>
      </c>
      <c r="N1374" t="s">
        <v>21</v>
      </c>
    </row>
    <row r="1375" spans="1:14" x14ac:dyDescent="0.3">
      <c r="A1375">
        <v>2024002373</v>
      </c>
      <c r="B1375" s="1">
        <v>45452</v>
      </c>
      <c r="C1375" s="11">
        <f t="shared" si="63"/>
        <v>2024</v>
      </c>
      <c r="D1375" t="s">
        <v>293</v>
      </c>
      <c r="E1375" t="s">
        <v>67</v>
      </c>
      <c r="F1375" t="s">
        <v>68</v>
      </c>
      <c r="G1375" t="s">
        <v>36</v>
      </c>
      <c r="H1375">
        <v>3</v>
      </c>
      <c r="I1375" s="2">
        <v>412.85</v>
      </c>
      <c r="J1375" s="2">
        <v>1238.55</v>
      </c>
      <c r="K1375" s="2">
        <f t="shared" si="64"/>
        <v>1238.5500000000002</v>
      </c>
      <c r="L1375" s="2">
        <f t="shared" si="65"/>
        <v>0</v>
      </c>
      <c r="M1375" t="s">
        <v>20</v>
      </c>
      <c r="N1375" t="s">
        <v>21</v>
      </c>
    </row>
    <row r="1376" spans="1:14" x14ac:dyDescent="0.3">
      <c r="A1376">
        <v>2024002374</v>
      </c>
      <c r="B1376" s="1">
        <v>45531</v>
      </c>
      <c r="C1376" s="11">
        <f t="shared" si="63"/>
        <v>2024</v>
      </c>
      <c r="D1376" t="s">
        <v>148</v>
      </c>
      <c r="E1376" t="s">
        <v>67</v>
      </c>
      <c r="F1376" t="s">
        <v>68</v>
      </c>
      <c r="G1376" t="s">
        <v>36</v>
      </c>
      <c r="H1376">
        <v>4</v>
      </c>
      <c r="I1376" s="2">
        <v>392.26</v>
      </c>
      <c r="J1376" s="2">
        <v>1569.04</v>
      </c>
      <c r="K1376" s="2">
        <f t="shared" si="64"/>
        <v>1569.04</v>
      </c>
      <c r="L1376" s="2">
        <f t="shared" si="65"/>
        <v>0</v>
      </c>
      <c r="M1376" t="s">
        <v>31</v>
      </c>
      <c r="N1376" t="s">
        <v>21</v>
      </c>
    </row>
    <row r="1377" spans="1:14" x14ac:dyDescent="0.3">
      <c r="A1377">
        <v>2024002375</v>
      </c>
      <c r="B1377" s="1">
        <v>45448</v>
      </c>
      <c r="C1377" s="11">
        <f t="shared" si="63"/>
        <v>2024</v>
      </c>
      <c r="D1377" t="s">
        <v>22</v>
      </c>
      <c r="E1377" t="s">
        <v>12</v>
      </c>
      <c r="F1377" t="s">
        <v>13</v>
      </c>
      <c r="G1377" t="s">
        <v>14</v>
      </c>
      <c r="H1377">
        <v>1</v>
      </c>
      <c r="I1377" s="2">
        <v>330.79</v>
      </c>
      <c r="J1377" s="2">
        <v>330.79</v>
      </c>
      <c r="K1377" s="2">
        <f t="shared" si="64"/>
        <v>330.79</v>
      </c>
      <c r="L1377" s="2">
        <f t="shared" si="65"/>
        <v>0</v>
      </c>
      <c r="M1377" t="s">
        <v>31</v>
      </c>
      <c r="N1377" t="s">
        <v>21</v>
      </c>
    </row>
    <row r="1378" spans="1:14" x14ac:dyDescent="0.3">
      <c r="A1378">
        <v>2024002376</v>
      </c>
      <c r="B1378" s="1">
        <v>45329</v>
      </c>
      <c r="C1378" s="11">
        <f t="shared" si="63"/>
        <v>2024</v>
      </c>
      <c r="D1378" t="s">
        <v>325</v>
      </c>
      <c r="E1378" t="s">
        <v>67</v>
      </c>
      <c r="F1378" t="s">
        <v>68</v>
      </c>
      <c r="G1378" t="s">
        <v>36</v>
      </c>
      <c r="H1378">
        <v>2</v>
      </c>
      <c r="I1378" s="2">
        <v>419.34</v>
      </c>
      <c r="J1378" s="2">
        <v>838.68</v>
      </c>
      <c r="K1378" s="2">
        <f t="shared" si="64"/>
        <v>838.68</v>
      </c>
      <c r="L1378" s="2">
        <f t="shared" si="65"/>
        <v>0</v>
      </c>
      <c r="M1378" t="s">
        <v>31</v>
      </c>
      <c r="N1378" t="s">
        <v>16</v>
      </c>
    </row>
    <row r="1379" spans="1:14" x14ac:dyDescent="0.3">
      <c r="A1379">
        <v>2024002377</v>
      </c>
      <c r="B1379" s="1">
        <v>45490</v>
      </c>
      <c r="C1379" s="11">
        <f t="shared" si="63"/>
        <v>2024</v>
      </c>
      <c r="D1379" t="s">
        <v>322</v>
      </c>
      <c r="E1379" t="s">
        <v>23</v>
      </c>
      <c r="F1379" t="s">
        <v>24</v>
      </c>
      <c r="G1379" t="s">
        <v>14</v>
      </c>
      <c r="H1379">
        <v>1</v>
      </c>
      <c r="I1379" s="2">
        <v>81.98</v>
      </c>
      <c r="J1379" s="2">
        <v>81.98</v>
      </c>
      <c r="K1379" s="2">
        <f t="shared" si="64"/>
        <v>81.98</v>
      </c>
      <c r="L1379" s="2">
        <f t="shared" si="65"/>
        <v>0</v>
      </c>
      <c r="M1379" t="s">
        <v>38</v>
      </c>
      <c r="N1379" t="s">
        <v>32</v>
      </c>
    </row>
    <row r="1380" spans="1:14" x14ac:dyDescent="0.3">
      <c r="A1380">
        <v>2024002378</v>
      </c>
      <c r="B1380" s="1">
        <v>45384</v>
      </c>
      <c r="C1380" s="11">
        <f t="shared" si="63"/>
        <v>2024</v>
      </c>
      <c r="D1380" t="s">
        <v>128</v>
      </c>
      <c r="E1380" t="s">
        <v>18</v>
      </c>
      <c r="F1380" t="s">
        <v>19</v>
      </c>
      <c r="G1380" t="s">
        <v>14</v>
      </c>
      <c r="H1380">
        <v>1</v>
      </c>
      <c r="I1380" s="2">
        <v>626.66</v>
      </c>
      <c r="J1380" s="2">
        <v>626.66</v>
      </c>
      <c r="K1380" s="2">
        <f t="shared" si="64"/>
        <v>626.66</v>
      </c>
      <c r="L1380" s="2">
        <f t="shared" si="65"/>
        <v>0</v>
      </c>
      <c r="M1380" t="s">
        <v>57</v>
      </c>
      <c r="N1380" t="s">
        <v>16</v>
      </c>
    </row>
    <row r="1381" spans="1:14" x14ac:dyDescent="0.3">
      <c r="A1381">
        <v>2024002379</v>
      </c>
      <c r="B1381" s="1">
        <v>45584</v>
      </c>
      <c r="C1381" s="11">
        <f t="shared" si="63"/>
        <v>2024</v>
      </c>
      <c r="D1381" t="s">
        <v>269</v>
      </c>
      <c r="E1381" t="s">
        <v>34</v>
      </c>
      <c r="F1381" t="s">
        <v>35</v>
      </c>
      <c r="G1381" t="s">
        <v>36</v>
      </c>
      <c r="H1381">
        <v>1</v>
      </c>
      <c r="I1381" s="2">
        <v>16.21</v>
      </c>
      <c r="J1381" s="2">
        <v>16.21</v>
      </c>
      <c r="K1381" s="2">
        <f t="shared" si="64"/>
        <v>16.21</v>
      </c>
      <c r="L1381" s="2">
        <f t="shared" si="65"/>
        <v>0</v>
      </c>
      <c r="M1381" t="s">
        <v>57</v>
      </c>
      <c r="N1381" t="s">
        <v>21</v>
      </c>
    </row>
    <row r="1382" spans="1:14" x14ac:dyDescent="0.3">
      <c r="A1382">
        <v>2024002380</v>
      </c>
      <c r="B1382" s="1">
        <v>45413</v>
      </c>
      <c r="C1382" s="11">
        <f t="shared" si="63"/>
        <v>2024</v>
      </c>
      <c r="D1382" t="s">
        <v>304</v>
      </c>
      <c r="E1382" t="s">
        <v>53</v>
      </c>
      <c r="F1382" t="s">
        <v>54</v>
      </c>
      <c r="G1382" t="s">
        <v>36</v>
      </c>
      <c r="H1382">
        <v>1</v>
      </c>
      <c r="I1382" s="2">
        <v>120.68</v>
      </c>
      <c r="J1382" s="2">
        <v>120.68</v>
      </c>
      <c r="K1382" s="2">
        <f t="shared" si="64"/>
        <v>120.68</v>
      </c>
      <c r="L1382" s="2">
        <f t="shared" si="65"/>
        <v>0</v>
      </c>
      <c r="M1382" t="s">
        <v>31</v>
      </c>
      <c r="N1382" t="s">
        <v>26</v>
      </c>
    </row>
    <row r="1383" spans="1:14" x14ac:dyDescent="0.3">
      <c r="A1383">
        <v>2024002381</v>
      </c>
      <c r="B1383" s="1">
        <v>45418</v>
      </c>
      <c r="C1383" s="11">
        <f t="shared" si="63"/>
        <v>2024</v>
      </c>
      <c r="D1383" t="s">
        <v>151</v>
      </c>
      <c r="E1383" t="s">
        <v>34</v>
      </c>
      <c r="F1383" t="s">
        <v>35</v>
      </c>
      <c r="G1383" t="s">
        <v>36</v>
      </c>
      <c r="H1383">
        <v>2</v>
      </c>
      <c r="I1383" s="2">
        <v>15.14</v>
      </c>
      <c r="J1383" s="2">
        <v>30.28</v>
      </c>
      <c r="K1383" s="2">
        <f t="shared" si="64"/>
        <v>30.28</v>
      </c>
      <c r="L1383" s="2">
        <f t="shared" si="65"/>
        <v>0</v>
      </c>
      <c r="M1383" t="s">
        <v>20</v>
      </c>
      <c r="N1383" t="s">
        <v>32</v>
      </c>
    </row>
    <row r="1384" spans="1:14" x14ac:dyDescent="0.3">
      <c r="A1384">
        <v>2024002382</v>
      </c>
      <c r="B1384" s="1">
        <v>45611</v>
      </c>
      <c r="C1384" s="11">
        <f t="shared" si="63"/>
        <v>2024</v>
      </c>
      <c r="D1384" t="s">
        <v>296</v>
      </c>
      <c r="E1384" t="s">
        <v>34</v>
      </c>
      <c r="F1384" t="s">
        <v>35</v>
      </c>
      <c r="G1384" t="s">
        <v>36</v>
      </c>
      <c r="H1384">
        <v>1</v>
      </c>
      <c r="I1384" s="2">
        <v>14.34</v>
      </c>
      <c r="J1384" s="2">
        <v>14.34</v>
      </c>
      <c r="K1384" s="2">
        <f t="shared" si="64"/>
        <v>14.34</v>
      </c>
      <c r="L1384" s="2">
        <f t="shared" si="65"/>
        <v>0</v>
      </c>
      <c r="M1384" t="s">
        <v>64</v>
      </c>
      <c r="N1384" t="s">
        <v>26</v>
      </c>
    </row>
    <row r="1385" spans="1:14" x14ac:dyDescent="0.3">
      <c r="A1385">
        <v>2024002383</v>
      </c>
      <c r="B1385" s="1">
        <v>45495</v>
      </c>
      <c r="C1385" s="11">
        <f t="shared" si="63"/>
        <v>2024</v>
      </c>
      <c r="D1385" t="s">
        <v>239</v>
      </c>
      <c r="E1385" t="s">
        <v>40</v>
      </c>
      <c r="F1385" t="s">
        <v>41</v>
      </c>
      <c r="G1385" t="s">
        <v>36</v>
      </c>
      <c r="H1385">
        <v>2</v>
      </c>
      <c r="I1385" s="2">
        <v>45.87</v>
      </c>
      <c r="J1385" s="2">
        <v>91.74</v>
      </c>
      <c r="K1385" s="2">
        <f t="shared" si="64"/>
        <v>91.74</v>
      </c>
      <c r="L1385" s="2">
        <f t="shared" si="65"/>
        <v>0</v>
      </c>
      <c r="M1385" t="s">
        <v>55</v>
      </c>
      <c r="N1385" t="s">
        <v>16</v>
      </c>
    </row>
    <row r="1386" spans="1:14" x14ac:dyDescent="0.3">
      <c r="A1386">
        <v>2024002384</v>
      </c>
      <c r="B1386" s="1">
        <v>45627</v>
      </c>
      <c r="C1386" s="11">
        <f t="shared" si="63"/>
        <v>2024</v>
      </c>
      <c r="D1386" t="s">
        <v>176</v>
      </c>
      <c r="E1386" t="s">
        <v>53</v>
      </c>
      <c r="F1386" t="s">
        <v>54</v>
      </c>
      <c r="G1386" t="s">
        <v>36</v>
      </c>
      <c r="H1386">
        <v>4</v>
      </c>
      <c r="I1386" s="2">
        <v>121.84</v>
      </c>
      <c r="J1386" s="2">
        <v>487.36</v>
      </c>
      <c r="K1386" s="2">
        <f t="shared" si="64"/>
        <v>487.36</v>
      </c>
      <c r="L1386" s="2">
        <f t="shared" si="65"/>
        <v>0</v>
      </c>
      <c r="M1386" t="s">
        <v>31</v>
      </c>
      <c r="N1386" t="s">
        <v>21</v>
      </c>
    </row>
    <row r="1387" spans="1:14" x14ac:dyDescent="0.3">
      <c r="A1387">
        <v>2024002385</v>
      </c>
      <c r="B1387" s="1">
        <v>45512</v>
      </c>
      <c r="C1387" s="11">
        <f t="shared" si="63"/>
        <v>2024</v>
      </c>
      <c r="D1387" t="s">
        <v>265</v>
      </c>
      <c r="E1387" t="s">
        <v>46</v>
      </c>
      <c r="F1387" t="s">
        <v>47</v>
      </c>
      <c r="G1387" t="s">
        <v>36</v>
      </c>
      <c r="H1387">
        <v>1</v>
      </c>
      <c r="I1387" s="2">
        <v>87.52</v>
      </c>
      <c r="J1387" s="2">
        <v>87.52</v>
      </c>
      <c r="K1387" s="2">
        <f t="shared" si="64"/>
        <v>87.52</v>
      </c>
      <c r="L1387" s="2">
        <f t="shared" si="65"/>
        <v>0</v>
      </c>
      <c r="M1387" t="s">
        <v>15</v>
      </c>
      <c r="N1387" t="s">
        <v>32</v>
      </c>
    </row>
    <row r="1388" spans="1:14" x14ac:dyDescent="0.3">
      <c r="A1388">
        <v>2024002386</v>
      </c>
      <c r="B1388" s="1">
        <v>45595</v>
      </c>
      <c r="C1388" s="11">
        <f t="shared" si="63"/>
        <v>2024</v>
      </c>
      <c r="D1388" t="s">
        <v>247</v>
      </c>
      <c r="E1388" t="s">
        <v>40</v>
      </c>
      <c r="F1388" t="s">
        <v>41</v>
      </c>
      <c r="G1388" t="s">
        <v>36</v>
      </c>
      <c r="H1388">
        <v>2</v>
      </c>
      <c r="I1388" s="2">
        <v>49.67</v>
      </c>
      <c r="J1388" s="2">
        <v>99.34</v>
      </c>
      <c r="K1388" s="2">
        <f t="shared" si="64"/>
        <v>99.34</v>
      </c>
      <c r="L1388" s="2">
        <f t="shared" si="65"/>
        <v>0</v>
      </c>
      <c r="M1388" t="s">
        <v>57</v>
      </c>
      <c r="N1388" t="s">
        <v>32</v>
      </c>
    </row>
    <row r="1389" spans="1:14" x14ac:dyDescent="0.3">
      <c r="A1389">
        <v>2024002387</v>
      </c>
      <c r="B1389" s="1">
        <v>45419</v>
      </c>
      <c r="C1389" s="11">
        <f t="shared" si="63"/>
        <v>2024</v>
      </c>
      <c r="D1389" t="s">
        <v>160</v>
      </c>
      <c r="E1389" t="s">
        <v>40</v>
      </c>
      <c r="F1389" t="s">
        <v>41</v>
      </c>
      <c r="G1389" t="s">
        <v>36</v>
      </c>
      <c r="H1389">
        <v>3</v>
      </c>
      <c r="I1389" s="2">
        <v>43.23</v>
      </c>
      <c r="J1389" s="2">
        <v>129.69</v>
      </c>
      <c r="K1389" s="2">
        <f t="shared" si="64"/>
        <v>129.69</v>
      </c>
      <c r="L1389" s="2">
        <f t="shared" si="65"/>
        <v>0</v>
      </c>
      <c r="M1389" t="s">
        <v>64</v>
      </c>
      <c r="N1389" t="s">
        <v>16</v>
      </c>
    </row>
    <row r="1390" spans="1:14" x14ac:dyDescent="0.3">
      <c r="A1390">
        <v>2024002388</v>
      </c>
      <c r="B1390" s="1">
        <v>45312</v>
      </c>
      <c r="C1390" s="11">
        <f t="shared" si="63"/>
        <v>2024</v>
      </c>
      <c r="D1390" t="s">
        <v>229</v>
      </c>
      <c r="E1390" t="s">
        <v>46</v>
      </c>
      <c r="F1390" t="s">
        <v>47</v>
      </c>
      <c r="G1390" t="s">
        <v>36</v>
      </c>
      <c r="H1390">
        <v>1</v>
      </c>
      <c r="I1390" s="2">
        <v>94.28</v>
      </c>
      <c r="J1390" s="2">
        <v>94.28</v>
      </c>
      <c r="K1390" s="2">
        <f t="shared" si="64"/>
        <v>94.28</v>
      </c>
      <c r="L1390" s="2">
        <f t="shared" si="65"/>
        <v>0</v>
      </c>
      <c r="M1390" t="s">
        <v>48</v>
      </c>
      <c r="N1390" t="s">
        <v>32</v>
      </c>
    </row>
    <row r="1391" spans="1:14" x14ac:dyDescent="0.3">
      <c r="A1391">
        <v>2024002389</v>
      </c>
      <c r="B1391" s="1">
        <v>45453</v>
      </c>
      <c r="C1391" s="11">
        <f t="shared" si="63"/>
        <v>2024</v>
      </c>
      <c r="D1391" t="s">
        <v>308</v>
      </c>
      <c r="E1391" t="s">
        <v>23</v>
      </c>
      <c r="F1391" t="s">
        <v>24</v>
      </c>
      <c r="G1391" t="s">
        <v>14</v>
      </c>
      <c r="H1391">
        <v>3</v>
      </c>
      <c r="I1391" s="2">
        <v>73.02</v>
      </c>
      <c r="J1391" s="2">
        <v>219.06</v>
      </c>
      <c r="K1391" s="2">
        <f t="shared" si="64"/>
        <v>219.06</v>
      </c>
      <c r="L1391" s="2">
        <f t="shared" si="65"/>
        <v>0</v>
      </c>
      <c r="M1391" t="s">
        <v>55</v>
      </c>
      <c r="N1391" t="s">
        <v>21</v>
      </c>
    </row>
    <row r="1392" spans="1:14" x14ac:dyDescent="0.3">
      <c r="A1392">
        <v>2024002390</v>
      </c>
      <c r="B1392" s="1">
        <v>45540</v>
      </c>
      <c r="C1392" s="11">
        <f t="shared" si="63"/>
        <v>2024</v>
      </c>
      <c r="D1392" t="s">
        <v>322</v>
      </c>
      <c r="E1392" t="s">
        <v>28</v>
      </c>
      <c r="F1392" t="s">
        <v>29</v>
      </c>
      <c r="G1392" t="s">
        <v>30</v>
      </c>
      <c r="H1392">
        <v>3</v>
      </c>
      <c r="I1392" s="2">
        <v>24.65</v>
      </c>
      <c r="J1392" s="2">
        <v>73.95</v>
      </c>
      <c r="K1392" s="2">
        <f t="shared" si="64"/>
        <v>73.949999999999989</v>
      </c>
      <c r="L1392" s="2">
        <f t="shared" si="65"/>
        <v>0</v>
      </c>
      <c r="M1392" t="s">
        <v>64</v>
      </c>
      <c r="N1392" t="s">
        <v>16</v>
      </c>
    </row>
    <row r="1393" spans="1:14" x14ac:dyDescent="0.3">
      <c r="A1393">
        <v>2024002391</v>
      </c>
      <c r="B1393" s="1">
        <v>45303</v>
      </c>
      <c r="C1393" s="11">
        <f t="shared" si="63"/>
        <v>2024</v>
      </c>
      <c r="D1393" t="s">
        <v>150</v>
      </c>
      <c r="E1393" t="s">
        <v>43</v>
      </c>
      <c r="F1393" t="s">
        <v>44</v>
      </c>
      <c r="G1393" t="s">
        <v>36</v>
      </c>
      <c r="H1393">
        <v>1</v>
      </c>
      <c r="I1393" s="2">
        <v>1170.54</v>
      </c>
      <c r="J1393" s="2">
        <v>1170.54</v>
      </c>
      <c r="K1393" s="2">
        <f t="shared" si="64"/>
        <v>1170.54</v>
      </c>
      <c r="L1393" s="2">
        <f t="shared" si="65"/>
        <v>0</v>
      </c>
      <c r="M1393" t="s">
        <v>31</v>
      </c>
      <c r="N1393" t="s">
        <v>16</v>
      </c>
    </row>
    <row r="1394" spans="1:14" x14ac:dyDescent="0.3">
      <c r="A1394">
        <v>2024002392</v>
      </c>
      <c r="B1394" s="1">
        <v>45317</v>
      </c>
      <c r="C1394" s="11">
        <f t="shared" si="63"/>
        <v>2024</v>
      </c>
      <c r="D1394" t="s">
        <v>33</v>
      </c>
      <c r="E1394" t="s">
        <v>34</v>
      </c>
      <c r="F1394" t="s">
        <v>35</v>
      </c>
      <c r="G1394" t="s">
        <v>36</v>
      </c>
      <c r="H1394">
        <v>1</v>
      </c>
      <c r="I1394" s="2">
        <v>15.22</v>
      </c>
      <c r="J1394" s="2">
        <v>15.22</v>
      </c>
      <c r="K1394" s="2">
        <f t="shared" si="64"/>
        <v>15.22</v>
      </c>
      <c r="L1394" s="2">
        <f t="shared" si="65"/>
        <v>0</v>
      </c>
      <c r="M1394" t="s">
        <v>57</v>
      </c>
      <c r="N1394" t="s">
        <v>26</v>
      </c>
    </row>
    <row r="1395" spans="1:14" x14ac:dyDescent="0.3">
      <c r="A1395">
        <v>2024002393</v>
      </c>
      <c r="B1395" s="1">
        <v>45367</v>
      </c>
      <c r="C1395" s="11">
        <f t="shared" si="63"/>
        <v>2024</v>
      </c>
      <c r="D1395" t="s">
        <v>275</v>
      </c>
      <c r="E1395" t="s">
        <v>34</v>
      </c>
      <c r="F1395" t="s">
        <v>35</v>
      </c>
      <c r="G1395" t="s">
        <v>36</v>
      </c>
      <c r="H1395">
        <v>1</v>
      </c>
      <c r="I1395" s="2">
        <v>14.57</v>
      </c>
      <c r="J1395" s="2">
        <v>14.57</v>
      </c>
      <c r="K1395" s="2">
        <f t="shared" si="64"/>
        <v>14.57</v>
      </c>
      <c r="L1395" s="2">
        <f t="shared" si="65"/>
        <v>0</v>
      </c>
      <c r="M1395" t="s">
        <v>61</v>
      </c>
      <c r="N1395" t="s">
        <v>21</v>
      </c>
    </row>
    <row r="1396" spans="1:14" x14ac:dyDescent="0.3">
      <c r="A1396">
        <v>2024002394</v>
      </c>
      <c r="B1396" s="1">
        <v>45617</v>
      </c>
      <c r="C1396" s="11">
        <f t="shared" si="63"/>
        <v>2024</v>
      </c>
      <c r="D1396" t="s">
        <v>101</v>
      </c>
      <c r="E1396" t="s">
        <v>12</v>
      </c>
      <c r="F1396" t="s">
        <v>13</v>
      </c>
      <c r="G1396" t="s">
        <v>14</v>
      </c>
      <c r="H1396">
        <v>2</v>
      </c>
      <c r="I1396" s="2">
        <v>364.99</v>
      </c>
      <c r="J1396" s="2">
        <v>729.98</v>
      </c>
      <c r="K1396" s="2">
        <f t="shared" si="64"/>
        <v>729.98</v>
      </c>
      <c r="L1396" s="2">
        <f t="shared" si="65"/>
        <v>0</v>
      </c>
      <c r="M1396" t="s">
        <v>38</v>
      </c>
      <c r="N1396" t="s">
        <v>32</v>
      </c>
    </row>
    <row r="1397" spans="1:14" x14ac:dyDescent="0.3">
      <c r="A1397">
        <v>2024002395</v>
      </c>
      <c r="B1397" s="1">
        <v>45295</v>
      </c>
      <c r="C1397" s="11">
        <f t="shared" si="63"/>
        <v>2024</v>
      </c>
      <c r="D1397" t="s">
        <v>11</v>
      </c>
      <c r="E1397" t="s">
        <v>18</v>
      </c>
      <c r="F1397" t="s">
        <v>19</v>
      </c>
      <c r="G1397" t="s">
        <v>14</v>
      </c>
      <c r="H1397">
        <v>4</v>
      </c>
      <c r="I1397" s="2">
        <v>587.71</v>
      </c>
      <c r="J1397" s="2">
        <v>2350.84</v>
      </c>
      <c r="K1397" s="2">
        <f t="shared" si="64"/>
        <v>2350.84</v>
      </c>
      <c r="L1397" s="2">
        <f t="shared" si="65"/>
        <v>0</v>
      </c>
      <c r="M1397" t="s">
        <v>48</v>
      </c>
      <c r="N1397" t="s">
        <v>16</v>
      </c>
    </row>
    <row r="1398" spans="1:14" x14ac:dyDescent="0.3">
      <c r="A1398">
        <v>2024002396</v>
      </c>
      <c r="B1398" s="1">
        <v>45554</v>
      </c>
      <c r="C1398" s="11">
        <f t="shared" si="63"/>
        <v>2024</v>
      </c>
      <c r="D1398" t="s">
        <v>332</v>
      </c>
      <c r="E1398" t="s">
        <v>43</v>
      </c>
      <c r="F1398" t="s">
        <v>44</v>
      </c>
      <c r="G1398" t="s">
        <v>36</v>
      </c>
      <c r="H1398">
        <v>1</v>
      </c>
      <c r="I1398" s="2">
        <v>1168.7</v>
      </c>
      <c r="J1398" s="2">
        <v>1168.7</v>
      </c>
      <c r="K1398" s="2">
        <f t="shared" si="64"/>
        <v>1168.7</v>
      </c>
      <c r="L1398" s="2">
        <f t="shared" si="65"/>
        <v>0</v>
      </c>
      <c r="M1398" t="s">
        <v>61</v>
      </c>
      <c r="N1398" t="s">
        <v>16</v>
      </c>
    </row>
    <row r="1399" spans="1:14" x14ac:dyDescent="0.3">
      <c r="A1399">
        <v>2024002397</v>
      </c>
      <c r="B1399" s="1">
        <v>45357</v>
      </c>
      <c r="C1399" s="11">
        <f t="shared" si="63"/>
        <v>2024</v>
      </c>
      <c r="D1399" t="s">
        <v>192</v>
      </c>
      <c r="E1399" t="s">
        <v>53</v>
      </c>
      <c r="F1399" t="s">
        <v>54</v>
      </c>
      <c r="G1399" t="s">
        <v>36</v>
      </c>
      <c r="H1399">
        <v>1</v>
      </c>
      <c r="I1399" s="2">
        <v>117.81</v>
      </c>
      <c r="J1399" s="2">
        <v>117.81</v>
      </c>
      <c r="K1399" s="2">
        <f t="shared" si="64"/>
        <v>117.81</v>
      </c>
      <c r="L1399" s="2">
        <f t="shared" si="65"/>
        <v>0</v>
      </c>
      <c r="M1399" t="s">
        <v>31</v>
      </c>
      <c r="N1399" t="s">
        <v>16</v>
      </c>
    </row>
    <row r="1400" spans="1:14" x14ac:dyDescent="0.3">
      <c r="A1400">
        <v>2024002398</v>
      </c>
      <c r="B1400" s="1">
        <v>45626</v>
      </c>
      <c r="C1400" s="11">
        <f t="shared" si="63"/>
        <v>2024</v>
      </c>
      <c r="D1400" t="s">
        <v>148</v>
      </c>
      <c r="E1400" t="s">
        <v>46</v>
      </c>
      <c r="F1400" t="s">
        <v>47</v>
      </c>
      <c r="G1400" t="s">
        <v>36</v>
      </c>
      <c r="H1400">
        <v>1</v>
      </c>
      <c r="I1400" s="2">
        <v>86.31</v>
      </c>
      <c r="J1400" s="2">
        <v>86.31</v>
      </c>
      <c r="K1400" s="2">
        <f t="shared" si="64"/>
        <v>86.31</v>
      </c>
      <c r="L1400" s="2">
        <f t="shared" si="65"/>
        <v>0</v>
      </c>
      <c r="M1400" t="s">
        <v>48</v>
      </c>
      <c r="N1400" t="s">
        <v>16</v>
      </c>
    </row>
    <row r="1401" spans="1:14" x14ac:dyDescent="0.3">
      <c r="A1401">
        <v>2024002399</v>
      </c>
      <c r="B1401" s="1">
        <v>45583</v>
      </c>
      <c r="C1401" s="11">
        <f t="shared" si="63"/>
        <v>2024</v>
      </c>
      <c r="D1401" t="s">
        <v>156</v>
      </c>
      <c r="E1401" t="s">
        <v>34</v>
      </c>
      <c r="F1401" t="s">
        <v>35</v>
      </c>
      <c r="G1401" t="s">
        <v>36</v>
      </c>
      <c r="H1401">
        <v>4</v>
      </c>
      <c r="I1401" s="2">
        <v>14.68</v>
      </c>
      <c r="J1401" s="2">
        <v>58.72</v>
      </c>
      <c r="K1401" s="2">
        <f t="shared" si="64"/>
        <v>58.72</v>
      </c>
      <c r="L1401" s="2">
        <f t="shared" si="65"/>
        <v>0</v>
      </c>
      <c r="M1401" t="s">
        <v>64</v>
      </c>
      <c r="N1401" t="s">
        <v>16</v>
      </c>
    </row>
    <row r="1402" spans="1:14" x14ac:dyDescent="0.3">
      <c r="A1402">
        <v>2024002400</v>
      </c>
      <c r="B1402" s="1">
        <v>45627</v>
      </c>
      <c r="C1402" s="11">
        <f t="shared" si="63"/>
        <v>2024</v>
      </c>
      <c r="D1402" t="s">
        <v>268</v>
      </c>
      <c r="E1402" t="s">
        <v>67</v>
      </c>
      <c r="F1402" t="s">
        <v>68</v>
      </c>
      <c r="G1402" t="s">
        <v>36</v>
      </c>
      <c r="H1402">
        <v>3</v>
      </c>
      <c r="I1402" s="2">
        <v>441.97</v>
      </c>
      <c r="J1402" s="2">
        <v>1325.91</v>
      </c>
      <c r="K1402" s="2">
        <f t="shared" si="64"/>
        <v>1325.91</v>
      </c>
      <c r="L1402" s="2">
        <f t="shared" si="65"/>
        <v>0</v>
      </c>
      <c r="M1402" t="s">
        <v>64</v>
      </c>
      <c r="N1402" t="s">
        <v>16</v>
      </c>
    </row>
    <row r="1403" spans="1:14" x14ac:dyDescent="0.3">
      <c r="A1403">
        <v>2024002401</v>
      </c>
      <c r="B1403" s="1">
        <v>45622</v>
      </c>
      <c r="C1403" s="11">
        <f t="shared" si="63"/>
        <v>2024</v>
      </c>
      <c r="D1403" t="s">
        <v>115</v>
      </c>
      <c r="E1403" t="s">
        <v>12</v>
      </c>
      <c r="F1403" t="s">
        <v>13</v>
      </c>
      <c r="G1403" t="s">
        <v>14</v>
      </c>
      <c r="H1403">
        <v>1</v>
      </c>
      <c r="I1403" s="2">
        <v>325.76</v>
      </c>
      <c r="J1403" s="2">
        <v>325.76</v>
      </c>
      <c r="K1403" s="2">
        <f t="shared" si="64"/>
        <v>325.76</v>
      </c>
      <c r="L1403" s="2">
        <f t="shared" si="65"/>
        <v>0</v>
      </c>
      <c r="M1403" t="s">
        <v>61</v>
      </c>
      <c r="N1403" t="s">
        <v>32</v>
      </c>
    </row>
    <row r="1404" spans="1:14" x14ac:dyDescent="0.3">
      <c r="A1404">
        <v>2024002402</v>
      </c>
      <c r="B1404" s="1">
        <v>45526</v>
      </c>
      <c r="C1404" s="11">
        <f t="shared" si="63"/>
        <v>2024</v>
      </c>
      <c r="D1404" t="s">
        <v>90</v>
      </c>
      <c r="E1404" t="s">
        <v>28</v>
      </c>
      <c r="F1404" t="s">
        <v>29</v>
      </c>
      <c r="G1404" t="s">
        <v>30</v>
      </c>
      <c r="H1404">
        <v>1</v>
      </c>
      <c r="I1404" s="2">
        <v>25.55</v>
      </c>
      <c r="J1404" s="2">
        <v>25.55</v>
      </c>
      <c r="K1404" s="2">
        <f t="shared" si="64"/>
        <v>25.55</v>
      </c>
      <c r="L1404" s="2">
        <f t="shared" si="65"/>
        <v>0</v>
      </c>
      <c r="M1404" t="s">
        <v>57</v>
      </c>
      <c r="N1404" t="s">
        <v>26</v>
      </c>
    </row>
    <row r="1405" spans="1:14" x14ac:dyDescent="0.3">
      <c r="A1405">
        <v>2024002403</v>
      </c>
      <c r="B1405" s="1">
        <v>45519</v>
      </c>
      <c r="C1405" s="11">
        <f t="shared" si="63"/>
        <v>2024</v>
      </c>
      <c r="D1405" t="s">
        <v>166</v>
      </c>
      <c r="E1405" t="s">
        <v>40</v>
      </c>
      <c r="F1405" t="s">
        <v>41</v>
      </c>
      <c r="G1405" t="s">
        <v>36</v>
      </c>
      <c r="H1405">
        <v>1</v>
      </c>
      <c r="I1405" s="2">
        <v>47.85</v>
      </c>
      <c r="J1405" s="2">
        <v>47.85</v>
      </c>
      <c r="K1405" s="2">
        <f t="shared" si="64"/>
        <v>47.85</v>
      </c>
      <c r="L1405" s="2">
        <f t="shared" si="65"/>
        <v>0</v>
      </c>
      <c r="M1405" t="s">
        <v>64</v>
      </c>
      <c r="N1405" t="s">
        <v>21</v>
      </c>
    </row>
    <row r="1406" spans="1:14" x14ac:dyDescent="0.3">
      <c r="A1406">
        <v>2024002404</v>
      </c>
      <c r="B1406" s="1">
        <v>45333</v>
      </c>
      <c r="C1406" s="11">
        <f t="shared" si="63"/>
        <v>2024</v>
      </c>
      <c r="D1406" t="s">
        <v>200</v>
      </c>
      <c r="E1406" t="s">
        <v>67</v>
      </c>
      <c r="F1406" t="s">
        <v>68</v>
      </c>
      <c r="G1406" t="s">
        <v>36</v>
      </c>
      <c r="H1406">
        <v>1</v>
      </c>
      <c r="I1406" s="2">
        <v>382.69</v>
      </c>
      <c r="J1406" s="2">
        <v>382.69</v>
      </c>
      <c r="K1406" s="2">
        <f t="shared" si="64"/>
        <v>382.69</v>
      </c>
      <c r="L1406" s="2">
        <f t="shared" si="65"/>
        <v>0</v>
      </c>
      <c r="M1406" t="s">
        <v>57</v>
      </c>
      <c r="N1406" t="s">
        <v>32</v>
      </c>
    </row>
    <row r="1407" spans="1:14" x14ac:dyDescent="0.3">
      <c r="A1407">
        <v>2024002405</v>
      </c>
      <c r="B1407" s="1">
        <v>45601</v>
      </c>
      <c r="C1407" s="11">
        <f t="shared" si="63"/>
        <v>2024</v>
      </c>
      <c r="D1407" t="s">
        <v>318</v>
      </c>
      <c r="E1407" t="s">
        <v>40</v>
      </c>
      <c r="F1407" t="s">
        <v>41</v>
      </c>
      <c r="G1407" t="s">
        <v>36</v>
      </c>
      <c r="H1407">
        <v>5</v>
      </c>
      <c r="I1407" s="2">
        <v>47.5</v>
      </c>
      <c r="J1407" s="2">
        <v>237.5</v>
      </c>
      <c r="K1407" s="2">
        <f t="shared" si="64"/>
        <v>237.5</v>
      </c>
      <c r="L1407" s="2">
        <f t="shared" si="65"/>
        <v>0</v>
      </c>
      <c r="M1407" t="s">
        <v>25</v>
      </c>
      <c r="N1407" t="s">
        <v>21</v>
      </c>
    </row>
    <row r="1408" spans="1:14" x14ac:dyDescent="0.3">
      <c r="A1408">
        <v>2024002406</v>
      </c>
      <c r="B1408" s="1">
        <v>45330</v>
      </c>
      <c r="C1408" s="11">
        <f t="shared" si="63"/>
        <v>2024</v>
      </c>
      <c r="D1408" t="s">
        <v>92</v>
      </c>
      <c r="E1408" t="s">
        <v>12</v>
      </c>
      <c r="F1408" t="s">
        <v>13</v>
      </c>
      <c r="G1408" t="s">
        <v>14</v>
      </c>
      <c r="H1408">
        <v>1</v>
      </c>
      <c r="I1408" s="2">
        <v>362.91</v>
      </c>
      <c r="J1408" s="2">
        <v>362.91</v>
      </c>
      <c r="K1408" s="2">
        <f t="shared" si="64"/>
        <v>362.91</v>
      </c>
      <c r="L1408" s="2">
        <f t="shared" si="65"/>
        <v>0</v>
      </c>
      <c r="M1408" t="s">
        <v>55</v>
      </c>
      <c r="N1408" t="s">
        <v>16</v>
      </c>
    </row>
    <row r="1409" spans="1:14" x14ac:dyDescent="0.3">
      <c r="A1409">
        <v>2024002407</v>
      </c>
      <c r="B1409" s="1">
        <v>45296</v>
      </c>
      <c r="C1409" s="11">
        <f t="shared" si="63"/>
        <v>2024</v>
      </c>
      <c r="D1409" t="s">
        <v>151</v>
      </c>
      <c r="E1409" t="s">
        <v>12</v>
      </c>
      <c r="F1409" t="s">
        <v>13</v>
      </c>
      <c r="G1409" t="s">
        <v>14</v>
      </c>
      <c r="H1409">
        <v>2</v>
      </c>
      <c r="I1409" s="2">
        <v>337.65</v>
      </c>
      <c r="J1409" s="2">
        <v>675.3</v>
      </c>
      <c r="K1409" s="2">
        <f t="shared" si="64"/>
        <v>675.3</v>
      </c>
      <c r="L1409" s="2">
        <f t="shared" si="65"/>
        <v>0</v>
      </c>
      <c r="M1409" t="s">
        <v>25</v>
      </c>
      <c r="N1409" t="s">
        <v>21</v>
      </c>
    </row>
    <row r="1410" spans="1:14" x14ac:dyDescent="0.3">
      <c r="A1410">
        <v>2024002408</v>
      </c>
      <c r="B1410" s="1">
        <v>45615</v>
      </c>
      <c r="C1410" s="11">
        <f t="shared" si="63"/>
        <v>2024</v>
      </c>
      <c r="D1410" t="s">
        <v>298</v>
      </c>
      <c r="E1410" t="s">
        <v>28</v>
      </c>
      <c r="F1410" t="s">
        <v>29</v>
      </c>
      <c r="G1410" t="s">
        <v>30</v>
      </c>
      <c r="H1410">
        <v>2</v>
      </c>
      <c r="I1410" s="2">
        <v>26.22</v>
      </c>
      <c r="J1410" s="2">
        <v>52.44</v>
      </c>
      <c r="K1410" s="2">
        <f t="shared" si="64"/>
        <v>52.44</v>
      </c>
      <c r="L1410" s="2">
        <f t="shared" si="65"/>
        <v>0</v>
      </c>
      <c r="M1410" t="s">
        <v>31</v>
      </c>
      <c r="N1410" t="s">
        <v>26</v>
      </c>
    </row>
    <row r="1411" spans="1:14" x14ac:dyDescent="0.3">
      <c r="A1411">
        <v>2024002409</v>
      </c>
      <c r="B1411" s="1">
        <v>45598</v>
      </c>
      <c r="C1411" s="11">
        <f t="shared" ref="C1411:C1474" si="66">YEAR(B1411)</f>
        <v>2024</v>
      </c>
      <c r="D1411" t="s">
        <v>148</v>
      </c>
      <c r="E1411" t="s">
        <v>67</v>
      </c>
      <c r="F1411" t="s">
        <v>68</v>
      </c>
      <c r="G1411" t="s">
        <v>36</v>
      </c>
      <c r="H1411">
        <v>2</v>
      </c>
      <c r="I1411" s="2">
        <v>395</v>
      </c>
      <c r="J1411" s="2">
        <v>790</v>
      </c>
      <c r="K1411" s="2">
        <f t="shared" ref="K1411:K1474" si="67">I1411*H1411</f>
        <v>790</v>
      </c>
      <c r="L1411" s="2">
        <f t="shared" ref="L1411:L1474" si="68">J1411-K1411</f>
        <v>0</v>
      </c>
      <c r="M1411" t="s">
        <v>25</v>
      </c>
      <c r="N1411" t="s">
        <v>16</v>
      </c>
    </row>
    <row r="1412" spans="1:14" x14ac:dyDescent="0.3">
      <c r="A1412">
        <v>2024002410</v>
      </c>
      <c r="B1412" s="1">
        <v>45482</v>
      </c>
      <c r="C1412" s="11">
        <f t="shared" si="66"/>
        <v>2024</v>
      </c>
      <c r="D1412" t="s">
        <v>69</v>
      </c>
      <c r="E1412" t="s">
        <v>28</v>
      </c>
      <c r="F1412" t="s">
        <v>29</v>
      </c>
      <c r="G1412" t="s">
        <v>30</v>
      </c>
      <c r="H1412">
        <v>1</v>
      </c>
      <c r="I1412" s="2">
        <v>23.7</v>
      </c>
      <c r="J1412" s="2">
        <v>23.7</v>
      </c>
      <c r="K1412" s="2">
        <f t="shared" si="67"/>
        <v>23.7</v>
      </c>
      <c r="L1412" s="2">
        <f t="shared" si="68"/>
        <v>0</v>
      </c>
      <c r="M1412" t="s">
        <v>20</v>
      </c>
      <c r="N1412" t="s">
        <v>21</v>
      </c>
    </row>
    <row r="1413" spans="1:14" x14ac:dyDescent="0.3">
      <c r="A1413">
        <v>2024002411</v>
      </c>
      <c r="B1413" s="1">
        <v>45471</v>
      </c>
      <c r="C1413" s="11">
        <f t="shared" si="66"/>
        <v>2024</v>
      </c>
      <c r="D1413" t="s">
        <v>11</v>
      </c>
      <c r="E1413" t="s">
        <v>34</v>
      </c>
      <c r="F1413" t="s">
        <v>35</v>
      </c>
      <c r="G1413" t="s">
        <v>36</v>
      </c>
      <c r="H1413">
        <v>2</v>
      </c>
      <c r="I1413" s="2">
        <v>15.44</v>
      </c>
      <c r="J1413" s="2">
        <v>30.88</v>
      </c>
      <c r="K1413" s="2">
        <f t="shared" si="67"/>
        <v>30.88</v>
      </c>
      <c r="L1413" s="2">
        <f t="shared" si="68"/>
        <v>0</v>
      </c>
      <c r="M1413" t="s">
        <v>38</v>
      </c>
      <c r="N1413" t="s">
        <v>16</v>
      </c>
    </row>
    <row r="1414" spans="1:14" x14ac:dyDescent="0.3">
      <c r="A1414">
        <v>2024002412</v>
      </c>
      <c r="B1414" s="1">
        <v>45462</v>
      </c>
      <c r="C1414" s="11">
        <f t="shared" si="66"/>
        <v>2024</v>
      </c>
      <c r="D1414" t="s">
        <v>277</v>
      </c>
      <c r="E1414" t="s">
        <v>18</v>
      </c>
      <c r="F1414" t="s">
        <v>19</v>
      </c>
      <c r="G1414" t="s">
        <v>14</v>
      </c>
      <c r="H1414">
        <v>1</v>
      </c>
      <c r="I1414" s="2">
        <v>654</v>
      </c>
      <c r="J1414" s="2">
        <v>654</v>
      </c>
      <c r="K1414" s="2">
        <f t="shared" si="67"/>
        <v>654</v>
      </c>
      <c r="L1414" s="2">
        <f t="shared" si="68"/>
        <v>0</v>
      </c>
      <c r="M1414" t="s">
        <v>61</v>
      </c>
      <c r="N1414" t="s">
        <v>21</v>
      </c>
    </row>
    <row r="1415" spans="1:14" x14ac:dyDescent="0.3">
      <c r="A1415">
        <v>2024002413</v>
      </c>
      <c r="B1415" s="1">
        <v>45513</v>
      </c>
      <c r="C1415" s="11">
        <f t="shared" si="66"/>
        <v>2024</v>
      </c>
      <c r="D1415" t="s">
        <v>249</v>
      </c>
      <c r="E1415" t="s">
        <v>67</v>
      </c>
      <c r="F1415" t="s">
        <v>68</v>
      </c>
      <c r="G1415" t="s">
        <v>36</v>
      </c>
      <c r="H1415">
        <v>1</v>
      </c>
      <c r="I1415" s="2">
        <v>398.61</v>
      </c>
      <c r="J1415" s="2">
        <v>398.61</v>
      </c>
      <c r="K1415" s="2">
        <f t="shared" si="67"/>
        <v>398.61</v>
      </c>
      <c r="L1415" s="2">
        <f t="shared" si="68"/>
        <v>0</v>
      </c>
      <c r="M1415" t="s">
        <v>57</v>
      </c>
      <c r="N1415" t="s">
        <v>16</v>
      </c>
    </row>
    <row r="1416" spans="1:14" x14ac:dyDescent="0.3">
      <c r="A1416">
        <v>2024002414</v>
      </c>
      <c r="B1416" s="1">
        <v>45646</v>
      </c>
      <c r="C1416" s="11">
        <f t="shared" si="66"/>
        <v>2024</v>
      </c>
      <c r="D1416" t="s">
        <v>268</v>
      </c>
      <c r="E1416" t="s">
        <v>40</v>
      </c>
      <c r="F1416" t="s">
        <v>41</v>
      </c>
      <c r="G1416" t="s">
        <v>36</v>
      </c>
      <c r="H1416">
        <v>1</v>
      </c>
      <c r="I1416" s="2">
        <v>46.66</v>
      </c>
      <c r="J1416" s="2">
        <v>46.66</v>
      </c>
      <c r="K1416" s="2">
        <f t="shared" si="67"/>
        <v>46.66</v>
      </c>
      <c r="L1416" s="2">
        <f t="shared" si="68"/>
        <v>0</v>
      </c>
      <c r="M1416" t="s">
        <v>48</v>
      </c>
      <c r="N1416" t="s">
        <v>16</v>
      </c>
    </row>
    <row r="1417" spans="1:14" x14ac:dyDescent="0.3">
      <c r="A1417">
        <v>2024002415</v>
      </c>
      <c r="B1417" s="1">
        <v>45420</v>
      </c>
      <c r="C1417" s="11">
        <f t="shared" si="66"/>
        <v>2024</v>
      </c>
      <c r="D1417" t="s">
        <v>221</v>
      </c>
      <c r="E1417" t="s">
        <v>43</v>
      </c>
      <c r="F1417" t="s">
        <v>44</v>
      </c>
      <c r="G1417" t="s">
        <v>36</v>
      </c>
      <c r="H1417">
        <v>2</v>
      </c>
      <c r="I1417" s="2">
        <v>1128.02</v>
      </c>
      <c r="J1417" s="2">
        <v>2256.04</v>
      </c>
      <c r="K1417" s="2">
        <f t="shared" si="67"/>
        <v>2256.04</v>
      </c>
      <c r="L1417" s="2">
        <f t="shared" si="68"/>
        <v>0</v>
      </c>
      <c r="M1417" t="s">
        <v>25</v>
      </c>
      <c r="N1417" t="s">
        <v>32</v>
      </c>
    </row>
    <row r="1418" spans="1:14" x14ac:dyDescent="0.3">
      <c r="A1418">
        <v>2024002416</v>
      </c>
      <c r="B1418" s="1">
        <v>45572</v>
      </c>
      <c r="C1418" s="11">
        <f t="shared" si="66"/>
        <v>2024</v>
      </c>
      <c r="D1418" t="s">
        <v>146</v>
      </c>
      <c r="E1418" t="s">
        <v>53</v>
      </c>
      <c r="F1418" t="s">
        <v>54</v>
      </c>
      <c r="G1418" t="s">
        <v>36</v>
      </c>
      <c r="H1418">
        <v>1</v>
      </c>
      <c r="I1418" s="2">
        <v>111.35</v>
      </c>
      <c r="J1418" s="2">
        <v>111.35</v>
      </c>
      <c r="K1418" s="2">
        <f t="shared" si="67"/>
        <v>111.35</v>
      </c>
      <c r="L1418" s="2">
        <f t="shared" si="68"/>
        <v>0</v>
      </c>
      <c r="M1418" t="s">
        <v>31</v>
      </c>
      <c r="N1418" t="s">
        <v>32</v>
      </c>
    </row>
    <row r="1419" spans="1:14" x14ac:dyDescent="0.3">
      <c r="A1419">
        <v>2024002417</v>
      </c>
      <c r="B1419" s="1">
        <v>45301</v>
      </c>
      <c r="C1419" s="11">
        <f t="shared" si="66"/>
        <v>2024</v>
      </c>
      <c r="D1419" t="s">
        <v>143</v>
      </c>
      <c r="E1419" t="s">
        <v>67</v>
      </c>
      <c r="F1419" t="s">
        <v>68</v>
      </c>
      <c r="G1419" t="s">
        <v>36</v>
      </c>
      <c r="H1419">
        <v>1</v>
      </c>
      <c r="I1419" s="2">
        <v>402.3</v>
      </c>
      <c r="J1419" s="2">
        <v>402.3</v>
      </c>
      <c r="K1419" s="2">
        <f t="shared" si="67"/>
        <v>402.3</v>
      </c>
      <c r="L1419" s="2">
        <f t="shared" si="68"/>
        <v>0</v>
      </c>
      <c r="M1419" t="s">
        <v>25</v>
      </c>
      <c r="N1419" t="s">
        <v>16</v>
      </c>
    </row>
    <row r="1420" spans="1:14" x14ac:dyDescent="0.3">
      <c r="A1420">
        <v>2024002418</v>
      </c>
      <c r="B1420" s="1">
        <v>45509</v>
      </c>
      <c r="C1420" s="11">
        <f t="shared" si="66"/>
        <v>2024</v>
      </c>
      <c r="D1420" t="s">
        <v>208</v>
      </c>
      <c r="E1420" t="s">
        <v>67</v>
      </c>
      <c r="F1420" t="s">
        <v>68</v>
      </c>
      <c r="G1420" t="s">
        <v>36</v>
      </c>
      <c r="H1420">
        <v>1</v>
      </c>
      <c r="I1420" s="2">
        <v>376.36</v>
      </c>
      <c r="J1420" s="2">
        <v>376.36</v>
      </c>
      <c r="K1420" s="2">
        <f t="shared" si="67"/>
        <v>376.36</v>
      </c>
      <c r="L1420" s="2">
        <f t="shared" si="68"/>
        <v>0</v>
      </c>
      <c r="M1420" t="s">
        <v>20</v>
      </c>
      <c r="N1420" t="s">
        <v>32</v>
      </c>
    </row>
    <row r="1421" spans="1:14" x14ac:dyDescent="0.3">
      <c r="A1421">
        <v>2024002419</v>
      </c>
      <c r="B1421" s="1">
        <v>45558</v>
      </c>
      <c r="C1421" s="11">
        <f t="shared" si="66"/>
        <v>2024</v>
      </c>
      <c r="D1421" t="s">
        <v>91</v>
      </c>
      <c r="E1421" t="s">
        <v>43</v>
      </c>
      <c r="F1421" t="s">
        <v>44</v>
      </c>
      <c r="G1421" t="s">
        <v>36</v>
      </c>
      <c r="H1421">
        <v>4</v>
      </c>
      <c r="I1421" s="2">
        <v>1259.76</v>
      </c>
      <c r="J1421" s="2">
        <v>5039.04</v>
      </c>
      <c r="K1421" s="2">
        <f t="shared" si="67"/>
        <v>5039.04</v>
      </c>
      <c r="L1421" s="2">
        <f t="shared" si="68"/>
        <v>0</v>
      </c>
      <c r="M1421" t="s">
        <v>31</v>
      </c>
      <c r="N1421" t="s">
        <v>26</v>
      </c>
    </row>
    <row r="1422" spans="1:14" x14ac:dyDescent="0.3">
      <c r="A1422">
        <v>2024002420</v>
      </c>
      <c r="B1422" s="1">
        <v>45637</v>
      </c>
      <c r="C1422" s="11">
        <f t="shared" si="66"/>
        <v>2024</v>
      </c>
      <c r="D1422" t="s">
        <v>114</v>
      </c>
      <c r="E1422" t="s">
        <v>28</v>
      </c>
      <c r="F1422" t="s">
        <v>29</v>
      </c>
      <c r="G1422" t="s">
        <v>30</v>
      </c>
      <c r="H1422">
        <v>1</v>
      </c>
      <c r="I1422" s="2">
        <v>24.59</v>
      </c>
      <c r="J1422" s="2">
        <v>24.59</v>
      </c>
      <c r="K1422" s="2">
        <f t="shared" si="67"/>
        <v>24.59</v>
      </c>
      <c r="L1422" s="2">
        <f t="shared" si="68"/>
        <v>0</v>
      </c>
      <c r="M1422" t="s">
        <v>20</v>
      </c>
      <c r="N1422" t="s">
        <v>32</v>
      </c>
    </row>
    <row r="1423" spans="1:14" x14ac:dyDescent="0.3">
      <c r="A1423">
        <v>2024002421</v>
      </c>
      <c r="B1423" s="1">
        <v>45456</v>
      </c>
      <c r="C1423" s="11">
        <f t="shared" si="66"/>
        <v>2024</v>
      </c>
      <c r="D1423" t="s">
        <v>330</v>
      </c>
      <c r="E1423" t="s">
        <v>43</v>
      </c>
      <c r="F1423" t="s">
        <v>44</v>
      </c>
      <c r="G1423" t="s">
        <v>36</v>
      </c>
      <c r="H1423">
        <v>1</v>
      </c>
      <c r="I1423" s="2">
        <v>1179.42</v>
      </c>
      <c r="J1423" s="2">
        <v>1179.42</v>
      </c>
      <c r="K1423" s="2">
        <f t="shared" si="67"/>
        <v>1179.42</v>
      </c>
      <c r="L1423" s="2">
        <f t="shared" si="68"/>
        <v>0</v>
      </c>
      <c r="M1423" t="s">
        <v>31</v>
      </c>
      <c r="N1423" t="s">
        <v>32</v>
      </c>
    </row>
    <row r="1424" spans="1:14" x14ac:dyDescent="0.3">
      <c r="A1424">
        <v>2024002422</v>
      </c>
      <c r="B1424" s="1">
        <v>45502</v>
      </c>
      <c r="C1424" s="11">
        <f t="shared" si="66"/>
        <v>2024</v>
      </c>
      <c r="D1424" t="s">
        <v>11</v>
      </c>
      <c r="E1424" t="s">
        <v>46</v>
      </c>
      <c r="F1424" t="s">
        <v>47</v>
      </c>
      <c r="G1424" t="s">
        <v>36</v>
      </c>
      <c r="H1424">
        <v>5</v>
      </c>
      <c r="I1424" s="2">
        <v>91.39</v>
      </c>
      <c r="J1424" s="2">
        <v>456.95</v>
      </c>
      <c r="K1424" s="2">
        <f t="shared" si="67"/>
        <v>456.95</v>
      </c>
      <c r="L1424" s="2">
        <f t="shared" si="68"/>
        <v>0</v>
      </c>
      <c r="M1424" t="s">
        <v>64</v>
      </c>
      <c r="N1424" t="s">
        <v>16</v>
      </c>
    </row>
    <row r="1425" spans="1:14" x14ac:dyDescent="0.3">
      <c r="A1425">
        <v>2024002423</v>
      </c>
      <c r="B1425" s="1">
        <v>45554</v>
      </c>
      <c r="C1425" s="11">
        <f t="shared" si="66"/>
        <v>2024</v>
      </c>
      <c r="D1425" t="s">
        <v>91</v>
      </c>
      <c r="E1425" t="s">
        <v>43</v>
      </c>
      <c r="F1425" t="s">
        <v>44</v>
      </c>
      <c r="G1425" t="s">
        <v>36</v>
      </c>
      <c r="H1425">
        <v>1</v>
      </c>
      <c r="I1425" s="2">
        <v>1209.81</v>
      </c>
      <c r="J1425" s="2">
        <v>1209.81</v>
      </c>
      <c r="K1425" s="2">
        <f t="shared" si="67"/>
        <v>1209.81</v>
      </c>
      <c r="L1425" s="2">
        <f t="shared" si="68"/>
        <v>0</v>
      </c>
      <c r="M1425" t="s">
        <v>48</v>
      </c>
      <c r="N1425" t="s">
        <v>16</v>
      </c>
    </row>
    <row r="1426" spans="1:14" x14ac:dyDescent="0.3">
      <c r="A1426">
        <v>2024002424</v>
      </c>
      <c r="B1426" s="1">
        <v>45350</v>
      </c>
      <c r="C1426" s="11">
        <f t="shared" si="66"/>
        <v>2024</v>
      </c>
      <c r="D1426" t="s">
        <v>116</v>
      </c>
      <c r="E1426" t="s">
        <v>67</v>
      </c>
      <c r="F1426" t="s">
        <v>68</v>
      </c>
      <c r="G1426" t="s">
        <v>36</v>
      </c>
      <c r="H1426">
        <v>1</v>
      </c>
      <c r="I1426" s="2">
        <v>359.79</v>
      </c>
      <c r="J1426" s="2">
        <v>359.79</v>
      </c>
      <c r="K1426" s="2">
        <f t="shared" si="67"/>
        <v>359.79</v>
      </c>
      <c r="L1426" s="2">
        <f t="shared" si="68"/>
        <v>0</v>
      </c>
      <c r="M1426" t="s">
        <v>25</v>
      </c>
      <c r="N1426" t="s">
        <v>21</v>
      </c>
    </row>
    <row r="1427" spans="1:14" x14ac:dyDescent="0.3">
      <c r="A1427">
        <v>2024002425</v>
      </c>
      <c r="B1427" s="1">
        <v>45360</v>
      </c>
      <c r="C1427" s="11">
        <f t="shared" si="66"/>
        <v>2024</v>
      </c>
      <c r="D1427" t="s">
        <v>237</v>
      </c>
      <c r="E1427" t="s">
        <v>40</v>
      </c>
      <c r="F1427" t="s">
        <v>41</v>
      </c>
      <c r="G1427" t="s">
        <v>36</v>
      </c>
      <c r="H1427">
        <v>1</v>
      </c>
      <c r="I1427" s="2">
        <v>45.69</v>
      </c>
      <c r="J1427" s="2">
        <v>45.69</v>
      </c>
      <c r="K1427" s="2">
        <f t="shared" si="67"/>
        <v>45.69</v>
      </c>
      <c r="L1427" s="2">
        <f t="shared" si="68"/>
        <v>0</v>
      </c>
      <c r="M1427" t="s">
        <v>55</v>
      </c>
      <c r="N1427" t="s">
        <v>16</v>
      </c>
    </row>
    <row r="1428" spans="1:14" x14ac:dyDescent="0.3">
      <c r="A1428">
        <v>2024002426</v>
      </c>
      <c r="B1428" s="1">
        <v>45475</v>
      </c>
      <c r="C1428" s="11">
        <f t="shared" si="66"/>
        <v>2024</v>
      </c>
      <c r="D1428" t="s">
        <v>337</v>
      </c>
      <c r="E1428" t="s">
        <v>40</v>
      </c>
      <c r="F1428" t="s">
        <v>41</v>
      </c>
      <c r="G1428" t="s">
        <v>36</v>
      </c>
      <c r="H1428">
        <v>1</v>
      </c>
      <c r="I1428" s="2">
        <v>47.76</v>
      </c>
      <c r="J1428" s="2">
        <v>47.76</v>
      </c>
      <c r="K1428" s="2">
        <f t="shared" si="67"/>
        <v>47.76</v>
      </c>
      <c r="L1428" s="2">
        <f t="shared" si="68"/>
        <v>0</v>
      </c>
      <c r="M1428" t="s">
        <v>25</v>
      </c>
      <c r="N1428" t="s">
        <v>26</v>
      </c>
    </row>
    <row r="1429" spans="1:14" x14ac:dyDescent="0.3">
      <c r="A1429">
        <v>2024002427</v>
      </c>
      <c r="B1429" s="1">
        <v>45582</v>
      </c>
      <c r="C1429" s="11">
        <f t="shared" si="66"/>
        <v>2024</v>
      </c>
      <c r="D1429" t="s">
        <v>210</v>
      </c>
      <c r="E1429" t="s">
        <v>53</v>
      </c>
      <c r="F1429" t="s">
        <v>54</v>
      </c>
      <c r="G1429" t="s">
        <v>36</v>
      </c>
      <c r="H1429">
        <v>4</v>
      </c>
      <c r="I1429" s="2">
        <v>112.74</v>
      </c>
      <c r="J1429" s="2">
        <v>450.96</v>
      </c>
      <c r="K1429" s="2">
        <f t="shared" si="67"/>
        <v>450.96</v>
      </c>
      <c r="L1429" s="2">
        <f t="shared" si="68"/>
        <v>0</v>
      </c>
      <c r="M1429" t="s">
        <v>55</v>
      </c>
      <c r="N1429" t="s">
        <v>16</v>
      </c>
    </row>
    <row r="1430" spans="1:14" x14ac:dyDescent="0.3">
      <c r="A1430">
        <v>2024002428</v>
      </c>
      <c r="B1430" s="1">
        <v>45535</v>
      </c>
      <c r="C1430" s="11">
        <f t="shared" si="66"/>
        <v>2024</v>
      </c>
      <c r="D1430" t="s">
        <v>126</v>
      </c>
      <c r="E1430" t="s">
        <v>23</v>
      </c>
      <c r="F1430" t="s">
        <v>24</v>
      </c>
      <c r="G1430" t="s">
        <v>14</v>
      </c>
      <c r="H1430">
        <v>1</v>
      </c>
      <c r="I1430" s="2">
        <v>78.48</v>
      </c>
      <c r="J1430" s="2">
        <v>78.48</v>
      </c>
      <c r="K1430" s="2">
        <f t="shared" si="67"/>
        <v>78.48</v>
      </c>
      <c r="L1430" s="2">
        <f t="shared" si="68"/>
        <v>0</v>
      </c>
      <c r="M1430" t="s">
        <v>25</v>
      </c>
      <c r="N1430" t="s">
        <v>32</v>
      </c>
    </row>
    <row r="1431" spans="1:14" x14ac:dyDescent="0.3">
      <c r="A1431">
        <v>2024002429</v>
      </c>
      <c r="B1431" s="1">
        <v>45417</v>
      </c>
      <c r="C1431" s="11">
        <f t="shared" si="66"/>
        <v>2024</v>
      </c>
      <c r="D1431" t="s">
        <v>140</v>
      </c>
      <c r="E1431" t="s">
        <v>46</v>
      </c>
      <c r="F1431" t="s">
        <v>47</v>
      </c>
      <c r="G1431" t="s">
        <v>36</v>
      </c>
      <c r="H1431">
        <v>4</v>
      </c>
      <c r="I1431" s="2">
        <v>86.32</v>
      </c>
      <c r="J1431" s="2">
        <v>345.28</v>
      </c>
      <c r="K1431" s="2">
        <f t="shared" si="67"/>
        <v>345.28</v>
      </c>
      <c r="L1431" s="2">
        <f t="shared" si="68"/>
        <v>0</v>
      </c>
      <c r="M1431" t="s">
        <v>57</v>
      </c>
      <c r="N1431" t="s">
        <v>21</v>
      </c>
    </row>
    <row r="1432" spans="1:14" x14ac:dyDescent="0.3">
      <c r="A1432">
        <v>2024002430</v>
      </c>
      <c r="B1432" s="1">
        <v>45365</v>
      </c>
      <c r="C1432" s="11">
        <f t="shared" si="66"/>
        <v>2024</v>
      </c>
      <c r="D1432" t="s">
        <v>205</v>
      </c>
      <c r="E1432" t="s">
        <v>12</v>
      </c>
      <c r="F1432" t="s">
        <v>13</v>
      </c>
      <c r="G1432" t="s">
        <v>14</v>
      </c>
      <c r="H1432">
        <v>1</v>
      </c>
      <c r="I1432" s="2">
        <v>349.61</v>
      </c>
      <c r="J1432" s="2">
        <v>349.61</v>
      </c>
      <c r="K1432" s="2">
        <f t="shared" si="67"/>
        <v>349.61</v>
      </c>
      <c r="L1432" s="2">
        <f t="shared" si="68"/>
        <v>0</v>
      </c>
      <c r="M1432" t="s">
        <v>31</v>
      </c>
      <c r="N1432" t="s">
        <v>26</v>
      </c>
    </row>
    <row r="1433" spans="1:14" x14ac:dyDescent="0.3">
      <c r="A1433">
        <v>2024002431</v>
      </c>
      <c r="B1433" s="1">
        <v>45620</v>
      </c>
      <c r="C1433" s="11">
        <f t="shared" si="66"/>
        <v>2024</v>
      </c>
      <c r="D1433" t="s">
        <v>162</v>
      </c>
      <c r="E1433" t="s">
        <v>46</v>
      </c>
      <c r="F1433" t="s">
        <v>47</v>
      </c>
      <c r="G1433" t="s">
        <v>36</v>
      </c>
      <c r="H1433">
        <v>2</v>
      </c>
      <c r="I1433" s="2">
        <v>96.11</v>
      </c>
      <c r="J1433" s="2">
        <v>192.22</v>
      </c>
      <c r="K1433" s="2">
        <f t="shared" si="67"/>
        <v>192.22</v>
      </c>
      <c r="L1433" s="2">
        <f t="shared" si="68"/>
        <v>0</v>
      </c>
      <c r="M1433" t="s">
        <v>61</v>
      </c>
      <c r="N1433" t="s">
        <v>26</v>
      </c>
    </row>
    <row r="1434" spans="1:14" x14ac:dyDescent="0.3">
      <c r="A1434">
        <v>2024002432</v>
      </c>
      <c r="B1434" s="1">
        <v>45528</v>
      </c>
      <c r="C1434" s="11">
        <f t="shared" si="66"/>
        <v>2024</v>
      </c>
      <c r="D1434" t="s">
        <v>135</v>
      </c>
      <c r="E1434" t="s">
        <v>53</v>
      </c>
      <c r="F1434" t="s">
        <v>54</v>
      </c>
      <c r="G1434" t="s">
        <v>36</v>
      </c>
      <c r="H1434">
        <v>3</v>
      </c>
      <c r="I1434" s="2">
        <v>125.37</v>
      </c>
      <c r="J1434" s="2">
        <v>376.11</v>
      </c>
      <c r="K1434" s="2">
        <f t="shared" si="67"/>
        <v>376.11</v>
      </c>
      <c r="L1434" s="2">
        <f t="shared" si="68"/>
        <v>0</v>
      </c>
      <c r="M1434" t="s">
        <v>31</v>
      </c>
      <c r="N1434" t="s">
        <v>16</v>
      </c>
    </row>
    <row r="1435" spans="1:14" x14ac:dyDescent="0.3">
      <c r="A1435">
        <v>2024001511</v>
      </c>
      <c r="B1435" s="1">
        <v>45304</v>
      </c>
      <c r="C1435" s="11">
        <f t="shared" si="66"/>
        <v>2024</v>
      </c>
      <c r="D1435" t="s">
        <v>223</v>
      </c>
      <c r="E1435" t="s">
        <v>18</v>
      </c>
      <c r="F1435" t="s">
        <v>19</v>
      </c>
      <c r="G1435" t="s">
        <v>14</v>
      </c>
      <c r="H1435">
        <v>4</v>
      </c>
      <c r="I1435" s="2">
        <v>547.79</v>
      </c>
      <c r="J1435" s="2">
        <v>2191.16</v>
      </c>
      <c r="K1435" s="2">
        <f t="shared" si="67"/>
        <v>2191.16</v>
      </c>
      <c r="L1435" s="2">
        <f t="shared" si="68"/>
        <v>0</v>
      </c>
      <c r="M1435" t="s">
        <v>55</v>
      </c>
      <c r="N1435" t="s">
        <v>32</v>
      </c>
    </row>
    <row r="1436" spans="1:14" x14ac:dyDescent="0.3">
      <c r="A1436">
        <v>2024002434</v>
      </c>
      <c r="B1436" s="1">
        <v>45383</v>
      </c>
      <c r="C1436" s="11">
        <f t="shared" si="66"/>
        <v>2024</v>
      </c>
      <c r="D1436" t="s">
        <v>17</v>
      </c>
      <c r="E1436" t="s">
        <v>18</v>
      </c>
      <c r="F1436" t="s">
        <v>19</v>
      </c>
      <c r="G1436" t="s">
        <v>14</v>
      </c>
      <c r="H1436">
        <v>2</v>
      </c>
      <c r="I1436" s="2">
        <v>610.21</v>
      </c>
      <c r="J1436" s="2">
        <v>1220.42</v>
      </c>
      <c r="K1436" s="2">
        <f t="shared" si="67"/>
        <v>1220.42</v>
      </c>
      <c r="L1436" s="2">
        <f t="shared" si="68"/>
        <v>0</v>
      </c>
      <c r="M1436" t="s">
        <v>20</v>
      </c>
      <c r="N1436" t="s">
        <v>16</v>
      </c>
    </row>
    <row r="1437" spans="1:14" x14ac:dyDescent="0.3">
      <c r="A1437">
        <v>2024002435</v>
      </c>
      <c r="B1437" s="1">
        <v>45469</v>
      </c>
      <c r="C1437" s="11">
        <f t="shared" si="66"/>
        <v>2024</v>
      </c>
      <c r="D1437" t="s">
        <v>320</v>
      </c>
      <c r="E1437" t="s">
        <v>53</v>
      </c>
      <c r="F1437" t="s">
        <v>54</v>
      </c>
      <c r="G1437" t="s">
        <v>36</v>
      </c>
      <c r="H1437">
        <v>1</v>
      </c>
      <c r="I1437" s="2">
        <v>122.08</v>
      </c>
      <c r="J1437" s="2">
        <v>122.08</v>
      </c>
      <c r="K1437" s="2">
        <f t="shared" si="67"/>
        <v>122.08</v>
      </c>
      <c r="L1437" s="2">
        <f t="shared" si="68"/>
        <v>0</v>
      </c>
      <c r="M1437" t="s">
        <v>64</v>
      </c>
      <c r="N1437" t="s">
        <v>21</v>
      </c>
    </row>
    <row r="1438" spans="1:14" x14ac:dyDescent="0.3">
      <c r="A1438">
        <v>2024002436</v>
      </c>
      <c r="B1438" s="1">
        <v>45296</v>
      </c>
      <c r="C1438" s="11">
        <f t="shared" si="66"/>
        <v>2024</v>
      </c>
      <c r="D1438" t="s">
        <v>124</v>
      </c>
      <c r="E1438" t="s">
        <v>67</v>
      </c>
      <c r="F1438" t="s">
        <v>68</v>
      </c>
      <c r="G1438" t="s">
        <v>36</v>
      </c>
      <c r="H1438">
        <v>1</v>
      </c>
      <c r="I1438" s="2">
        <v>381.92</v>
      </c>
      <c r="J1438" s="2">
        <v>381.92</v>
      </c>
      <c r="K1438" s="2">
        <f t="shared" si="67"/>
        <v>381.92</v>
      </c>
      <c r="L1438" s="2">
        <f t="shared" si="68"/>
        <v>0</v>
      </c>
      <c r="M1438" t="s">
        <v>57</v>
      </c>
      <c r="N1438" t="s">
        <v>21</v>
      </c>
    </row>
    <row r="1439" spans="1:14" x14ac:dyDescent="0.3">
      <c r="A1439">
        <v>2024002437</v>
      </c>
      <c r="B1439" s="1">
        <v>45461</v>
      </c>
      <c r="C1439" s="11">
        <f t="shared" si="66"/>
        <v>2024</v>
      </c>
      <c r="D1439" t="s">
        <v>211</v>
      </c>
      <c r="E1439" t="s">
        <v>46</v>
      </c>
      <c r="F1439" t="s">
        <v>47</v>
      </c>
      <c r="G1439" t="s">
        <v>36</v>
      </c>
      <c r="H1439">
        <v>1</v>
      </c>
      <c r="I1439" s="2">
        <v>81.91</v>
      </c>
      <c r="J1439" s="2">
        <v>81.91</v>
      </c>
      <c r="K1439" s="2">
        <f t="shared" si="67"/>
        <v>81.91</v>
      </c>
      <c r="L1439" s="2">
        <f t="shared" si="68"/>
        <v>0</v>
      </c>
      <c r="M1439" t="s">
        <v>55</v>
      </c>
      <c r="N1439" t="s">
        <v>21</v>
      </c>
    </row>
    <row r="1440" spans="1:14" x14ac:dyDescent="0.3">
      <c r="A1440">
        <v>2024002438</v>
      </c>
      <c r="B1440" s="1">
        <v>45413</v>
      </c>
      <c r="C1440" s="11">
        <f t="shared" si="66"/>
        <v>2024</v>
      </c>
      <c r="D1440" t="s">
        <v>11</v>
      </c>
      <c r="E1440" t="s">
        <v>53</v>
      </c>
      <c r="F1440" t="s">
        <v>54</v>
      </c>
      <c r="G1440" t="s">
        <v>36</v>
      </c>
      <c r="H1440">
        <v>1</v>
      </c>
      <c r="I1440" s="2">
        <v>116.82</v>
      </c>
      <c r="J1440" s="2">
        <v>116.82</v>
      </c>
      <c r="K1440" s="2">
        <f t="shared" si="67"/>
        <v>116.82</v>
      </c>
      <c r="L1440" s="2">
        <f t="shared" si="68"/>
        <v>0</v>
      </c>
      <c r="M1440" t="s">
        <v>48</v>
      </c>
      <c r="N1440" t="s">
        <v>16</v>
      </c>
    </row>
    <row r="1441" spans="1:14" x14ac:dyDescent="0.3">
      <c r="A1441">
        <v>2024002439</v>
      </c>
      <c r="B1441" s="1">
        <v>45385</v>
      </c>
      <c r="C1441" s="11">
        <f t="shared" si="66"/>
        <v>2024</v>
      </c>
      <c r="D1441" t="s">
        <v>11</v>
      </c>
      <c r="E1441" t="s">
        <v>18</v>
      </c>
      <c r="F1441" t="s">
        <v>19</v>
      </c>
      <c r="G1441" t="s">
        <v>14</v>
      </c>
      <c r="H1441">
        <v>3</v>
      </c>
      <c r="I1441" s="2">
        <v>568.4</v>
      </c>
      <c r="J1441" s="2">
        <v>1705.2</v>
      </c>
      <c r="K1441" s="2">
        <f t="shared" si="67"/>
        <v>1705.1999999999998</v>
      </c>
      <c r="L1441" s="2">
        <f t="shared" si="68"/>
        <v>0</v>
      </c>
      <c r="M1441" t="s">
        <v>20</v>
      </c>
      <c r="N1441" t="s">
        <v>32</v>
      </c>
    </row>
    <row r="1442" spans="1:14" x14ac:dyDescent="0.3">
      <c r="A1442">
        <v>2024002440</v>
      </c>
      <c r="B1442" s="1">
        <v>45647</v>
      </c>
      <c r="C1442" s="11">
        <f t="shared" si="66"/>
        <v>2024</v>
      </c>
      <c r="D1442" t="s">
        <v>11</v>
      </c>
      <c r="E1442" t="s">
        <v>23</v>
      </c>
      <c r="F1442" t="s">
        <v>24</v>
      </c>
      <c r="G1442" t="s">
        <v>14</v>
      </c>
      <c r="H1442">
        <v>1</v>
      </c>
      <c r="I1442" s="2">
        <v>82.74</v>
      </c>
      <c r="J1442" s="2">
        <v>82.74</v>
      </c>
      <c r="K1442" s="2">
        <f t="shared" si="67"/>
        <v>82.74</v>
      </c>
      <c r="L1442" s="2">
        <f t="shared" si="68"/>
        <v>0</v>
      </c>
      <c r="M1442" t="s">
        <v>25</v>
      </c>
      <c r="N1442" t="s">
        <v>26</v>
      </c>
    </row>
    <row r="1443" spans="1:14" x14ac:dyDescent="0.3">
      <c r="A1443">
        <v>2024002441</v>
      </c>
      <c r="B1443" s="1">
        <v>45461</v>
      </c>
      <c r="C1443" s="11">
        <f t="shared" si="66"/>
        <v>2024</v>
      </c>
      <c r="D1443" t="s">
        <v>235</v>
      </c>
      <c r="E1443" t="s">
        <v>12</v>
      </c>
      <c r="F1443" t="s">
        <v>13</v>
      </c>
      <c r="G1443" t="s">
        <v>14</v>
      </c>
      <c r="H1443">
        <v>4</v>
      </c>
      <c r="I1443" s="2">
        <v>374.54</v>
      </c>
      <c r="J1443" s="2">
        <v>1498.16</v>
      </c>
      <c r="K1443" s="2">
        <f t="shared" si="67"/>
        <v>1498.16</v>
      </c>
      <c r="L1443" s="2">
        <f t="shared" si="68"/>
        <v>0</v>
      </c>
      <c r="M1443" t="s">
        <v>61</v>
      </c>
      <c r="N1443" t="s">
        <v>16</v>
      </c>
    </row>
    <row r="1444" spans="1:14" x14ac:dyDescent="0.3">
      <c r="A1444">
        <v>2024002442</v>
      </c>
      <c r="B1444" s="1">
        <v>45632</v>
      </c>
      <c r="C1444" s="11">
        <f t="shared" si="66"/>
        <v>2024</v>
      </c>
      <c r="D1444" t="s">
        <v>11</v>
      </c>
      <c r="E1444" t="s">
        <v>28</v>
      </c>
      <c r="F1444" t="s">
        <v>29</v>
      </c>
      <c r="G1444" t="s">
        <v>30</v>
      </c>
      <c r="H1444">
        <v>2</v>
      </c>
      <c r="I1444" s="2">
        <v>25.77</v>
      </c>
      <c r="J1444" s="2">
        <v>51.54</v>
      </c>
      <c r="K1444" s="2">
        <f t="shared" si="67"/>
        <v>51.54</v>
      </c>
      <c r="L1444" s="2">
        <f t="shared" si="68"/>
        <v>0</v>
      </c>
      <c r="M1444" t="s">
        <v>55</v>
      </c>
      <c r="N1444" t="s">
        <v>32</v>
      </c>
    </row>
    <row r="1445" spans="1:14" x14ac:dyDescent="0.3">
      <c r="A1445">
        <v>2024002443</v>
      </c>
      <c r="B1445" s="1">
        <v>45600</v>
      </c>
      <c r="C1445" s="11">
        <f t="shared" si="66"/>
        <v>2024</v>
      </c>
      <c r="D1445" t="s">
        <v>277</v>
      </c>
      <c r="E1445" t="s">
        <v>12</v>
      </c>
      <c r="F1445" t="s">
        <v>13</v>
      </c>
      <c r="G1445" t="s">
        <v>14</v>
      </c>
      <c r="H1445">
        <v>3</v>
      </c>
      <c r="I1445" s="2">
        <v>356.72</v>
      </c>
      <c r="J1445" s="2">
        <v>1070.1600000000001</v>
      </c>
      <c r="K1445" s="2">
        <f t="shared" si="67"/>
        <v>1070.1600000000001</v>
      </c>
      <c r="L1445" s="2">
        <f t="shared" si="68"/>
        <v>0</v>
      </c>
      <c r="M1445" t="s">
        <v>61</v>
      </c>
      <c r="N1445" t="s">
        <v>32</v>
      </c>
    </row>
    <row r="1446" spans="1:14" x14ac:dyDescent="0.3">
      <c r="A1446">
        <v>2024002444</v>
      </c>
      <c r="B1446" s="1">
        <v>45419</v>
      </c>
      <c r="C1446" s="11">
        <f t="shared" si="66"/>
        <v>2024</v>
      </c>
      <c r="D1446" t="s">
        <v>121</v>
      </c>
      <c r="E1446" t="s">
        <v>28</v>
      </c>
      <c r="F1446" t="s">
        <v>29</v>
      </c>
      <c r="G1446" t="s">
        <v>30</v>
      </c>
      <c r="H1446">
        <v>2</v>
      </c>
      <c r="I1446" s="2">
        <v>24.64</v>
      </c>
      <c r="J1446" s="2">
        <v>49.28</v>
      </c>
      <c r="K1446" s="2">
        <f t="shared" si="67"/>
        <v>49.28</v>
      </c>
      <c r="L1446" s="2">
        <f t="shared" si="68"/>
        <v>0</v>
      </c>
      <c r="M1446" t="s">
        <v>38</v>
      </c>
      <c r="N1446" t="s">
        <v>32</v>
      </c>
    </row>
    <row r="1447" spans="1:14" x14ac:dyDescent="0.3">
      <c r="A1447">
        <v>2024002445</v>
      </c>
      <c r="B1447" s="1">
        <v>45425</v>
      </c>
      <c r="C1447" s="11">
        <f t="shared" si="66"/>
        <v>2024</v>
      </c>
      <c r="D1447" t="s">
        <v>49</v>
      </c>
      <c r="E1447" t="s">
        <v>12</v>
      </c>
      <c r="F1447" t="s">
        <v>13</v>
      </c>
      <c r="G1447" t="s">
        <v>14</v>
      </c>
      <c r="H1447">
        <v>3</v>
      </c>
      <c r="I1447" s="2">
        <v>354.29</v>
      </c>
      <c r="J1447" s="2">
        <v>1062.8699999999999</v>
      </c>
      <c r="K1447" s="2">
        <f t="shared" si="67"/>
        <v>1062.8700000000001</v>
      </c>
      <c r="L1447" s="2">
        <f t="shared" si="68"/>
        <v>0</v>
      </c>
      <c r="M1447" t="s">
        <v>64</v>
      </c>
      <c r="N1447" t="s">
        <v>26</v>
      </c>
    </row>
    <row r="1448" spans="1:14" x14ac:dyDescent="0.3">
      <c r="A1448">
        <v>2024002446</v>
      </c>
      <c r="B1448" s="1">
        <v>45639</v>
      </c>
      <c r="C1448" s="11">
        <f t="shared" si="66"/>
        <v>2024</v>
      </c>
      <c r="D1448" t="s">
        <v>324</v>
      </c>
      <c r="E1448" t="s">
        <v>67</v>
      </c>
      <c r="F1448" t="s">
        <v>68</v>
      </c>
      <c r="G1448" t="s">
        <v>36</v>
      </c>
      <c r="H1448">
        <v>1</v>
      </c>
      <c r="I1448" s="2">
        <v>438.96</v>
      </c>
      <c r="J1448" s="2">
        <v>438.96</v>
      </c>
      <c r="K1448" s="2">
        <f t="shared" si="67"/>
        <v>438.96</v>
      </c>
      <c r="L1448" s="2">
        <f t="shared" si="68"/>
        <v>0</v>
      </c>
      <c r="M1448" t="s">
        <v>48</v>
      </c>
      <c r="N1448" t="s">
        <v>21</v>
      </c>
    </row>
    <row r="1449" spans="1:14" x14ac:dyDescent="0.3">
      <c r="A1449">
        <v>2024002447</v>
      </c>
      <c r="B1449" s="1">
        <v>45390</v>
      </c>
      <c r="C1449" s="11">
        <f t="shared" si="66"/>
        <v>2024</v>
      </c>
      <c r="D1449" t="s">
        <v>103</v>
      </c>
      <c r="E1449" t="s">
        <v>40</v>
      </c>
      <c r="F1449" t="s">
        <v>41</v>
      </c>
      <c r="G1449" t="s">
        <v>36</v>
      </c>
      <c r="H1449">
        <v>1</v>
      </c>
      <c r="I1449" s="2">
        <v>44.45</v>
      </c>
      <c r="J1449" s="2">
        <v>44.45</v>
      </c>
      <c r="K1449" s="2">
        <f t="shared" si="67"/>
        <v>44.45</v>
      </c>
      <c r="L1449" s="2">
        <f t="shared" si="68"/>
        <v>0</v>
      </c>
      <c r="M1449" t="s">
        <v>20</v>
      </c>
      <c r="N1449" t="s">
        <v>21</v>
      </c>
    </row>
    <row r="1450" spans="1:14" x14ac:dyDescent="0.3">
      <c r="A1450">
        <v>2024002448</v>
      </c>
      <c r="B1450" s="1">
        <v>45363</v>
      </c>
      <c r="C1450" s="11">
        <f t="shared" si="66"/>
        <v>2024</v>
      </c>
      <c r="D1450" t="s">
        <v>331</v>
      </c>
      <c r="E1450" t="s">
        <v>40</v>
      </c>
      <c r="F1450" t="s">
        <v>41</v>
      </c>
      <c r="G1450" t="s">
        <v>36</v>
      </c>
      <c r="H1450">
        <v>1</v>
      </c>
      <c r="I1450" s="2">
        <v>43.45</v>
      </c>
      <c r="J1450" s="2">
        <v>43.45</v>
      </c>
      <c r="K1450" s="2">
        <f t="shared" si="67"/>
        <v>43.45</v>
      </c>
      <c r="L1450" s="2">
        <f t="shared" si="68"/>
        <v>0</v>
      </c>
      <c r="M1450" t="s">
        <v>61</v>
      </c>
      <c r="N1450" t="s">
        <v>16</v>
      </c>
    </row>
    <row r="1451" spans="1:14" x14ac:dyDescent="0.3">
      <c r="A1451">
        <v>2024002449</v>
      </c>
      <c r="B1451" s="1">
        <v>45383</v>
      </c>
      <c r="C1451" s="11">
        <f t="shared" si="66"/>
        <v>2024</v>
      </c>
      <c r="D1451" t="s">
        <v>27</v>
      </c>
      <c r="E1451" t="s">
        <v>28</v>
      </c>
      <c r="F1451" t="s">
        <v>29</v>
      </c>
      <c r="G1451" t="s">
        <v>30</v>
      </c>
      <c r="H1451">
        <v>1</v>
      </c>
      <c r="I1451" s="2">
        <v>25.17</v>
      </c>
      <c r="J1451" s="2">
        <v>25.17</v>
      </c>
      <c r="K1451" s="2">
        <f t="shared" si="67"/>
        <v>25.17</v>
      </c>
      <c r="L1451" s="2">
        <f t="shared" si="68"/>
        <v>0</v>
      </c>
      <c r="M1451" t="s">
        <v>15</v>
      </c>
      <c r="N1451" t="s">
        <v>26</v>
      </c>
    </row>
    <row r="1452" spans="1:14" x14ac:dyDescent="0.3">
      <c r="A1452">
        <v>2024002450</v>
      </c>
      <c r="B1452" s="1">
        <v>45571</v>
      </c>
      <c r="C1452" s="11">
        <f t="shared" si="66"/>
        <v>2024</v>
      </c>
      <c r="D1452" t="s">
        <v>293</v>
      </c>
      <c r="E1452" t="s">
        <v>34</v>
      </c>
      <c r="F1452" t="s">
        <v>35</v>
      </c>
      <c r="G1452" t="s">
        <v>36</v>
      </c>
      <c r="H1452">
        <v>2</v>
      </c>
      <c r="I1452" s="2">
        <v>15.51</v>
      </c>
      <c r="J1452" s="2">
        <v>31.02</v>
      </c>
      <c r="K1452" s="2">
        <f t="shared" si="67"/>
        <v>31.02</v>
      </c>
      <c r="L1452" s="2">
        <f t="shared" si="68"/>
        <v>0</v>
      </c>
      <c r="M1452" t="s">
        <v>64</v>
      </c>
      <c r="N1452" t="s">
        <v>32</v>
      </c>
    </row>
    <row r="1453" spans="1:14" x14ac:dyDescent="0.3">
      <c r="A1453">
        <v>2024002451</v>
      </c>
      <c r="B1453" s="1">
        <v>45512</v>
      </c>
      <c r="C1453" s="11">
        <f t="shared" si="66"/>
        <v>2024</v>
      </c>
      <c r="D1453" t="s">
        <v>309</v>
      </c>
      <c r="E1453" t="s">
        <v>18</v>
      </c>
      <c r="F1453" t="s">
        <v>19</v>
      </c>
      <c r="G1453" t="s">
        <v>14</v>
      </c>
      <c r="H1453">
        <v>1</v>
      </c>
      <c r="I1453" s="2">
        <v>628.88</v>
      </c>
      <c r="J1453" s="2">
        <v>628.88</v>
      </c>
      <c r="K1453" s="2">
        <f t="shared" si="67"/>
        <v>628.88</v>
      </c>
      <c r="L1453" s="2">
        <f t="shared" si="68"/>
        <v>0</v>
      </c>
      <c r="M1453" t="s">
        <v>31</v>
      </c>
      <c r="N1453" t="s">
        <v>21</v>
      </c>
    </row>
    <row r="1454" spans="1:14" x14ac:dyDescent="0.3">
      <c r="A1454">
        <v>2024002452</v>
      </c>
      <c r="B1454" s="1">
        <v>45336</v>
      </c>
      <c r="C1454" s="11">
        <f t="shared" si="66"/>
        <v>2024</v>
      </c>
      <c r="D1454" t="s">
        <v>11</v>
      </c>
      <c r="E1454" t="s">
        <v>46</v>
      </c>
      <c r="F1454" t="s">
        <v>47</v>
      </c>
      <c r="G1454" t="s">
        <v>36</v>
      </c>
      <c r="H1454">
        <v>1</v>
      </c>
      <c r="I1454" s="2">
        <v>91.2</v>
      </c>
      <c r="J1454" s="2">
        <v>91.2</v>
      </c>
      <c r="K1454" s="2">
        <f t="shared" si="67"/>
        <v>91.2</v>
      </c>
      <c r="L1454" s="2">
        <f t="shared" si="68"/>
        <v>0</v>
      </c>
      <c r="M1454" t="s">
        <v>25</v>
      </c>
      <c r="N1454" t="s">
        <v>26</v>
      </c>
    </row>
    <row r="1455" spans="1:14" x14ac:dyDescent="0.3">
      <c r="A1455">
        <v>2024002453</v>
      </c>
      <c r="B1455" s="1">
        <v>45309</v>
      </c>
      <c r="C1455" s="11">
        <f t="shared" si="66"/>
        <v>2024</v>
      </c>
      <c r="D1455" t="s">
        <v>139</v>
      </c>
      <c r="E1455" t="s">
        <v>43</v>
      </c>
      <c r="F1455" t="s">
        <v>44</v>
      </c>
      <c r="G1455" t="s">
        <v>36</v>
      </c>
      <c r="H1455">
        <v>1</v>
      </c>
      <c r="I1455" s="2">
        <v>1215.2</v>
      </c>
      <c r="J1455" s="2">
        <v>1215.2</v>
      </c>
      <c r="K1455" s="2">
        <f t="shared" si="67"/>
        <v>1215.2</v>
      </c>
      <c r="L1455" s="2">
        <f t="shared" si="68"/>
        <v>0</v>
      </c>
      <c r="M1455" t="s">
        <v>57</v>
      </c>
      <c r="N1455" t="s">
        <v>21</v>
      </c>
    </row>
    <row r="1456" spans="1:14" x14ac:dyDescent="0.3">
      <c r="A1456">
        <v>2024002454</v>
      </c>
      <c r="B1456" s="1">
        <v>45510</v>
      </c>
      <c r="C1456" s="11">
        <f t="shared" si="66"/>
        <v>2024</v>
      </c>
      <c r="D1456" t="s">
        <v>185</v>
      </c>
      <c r="E1456" t="s">
        <v>12</v>
      </c>
      <c r="F1456" t="s">
        <v>13</v>
      </c>
      <c r="G1456" t="s">
        <v>14</v>
      </c>
      <c r="H1456">
        <v>3</v>
      </c>
      <c r="I1456" s="2">
        <v>333.92</v>
      </c>
      <c r="J1456" s="2">
        <v>1001.76</v>
      </c>
      <c r="K1456" s="2">
        <f t="shared" si="67"/>
        <v>1001.76</v>
      </c>
      <c r="L1456" s="2">
        <f t="shared" si="68"/>
        <v>0</v>
      </c>
      <c r="M1456" t="s">
        <v>48</v>
      </c>
      <c r="N1456" t="s">
        <v>21</v>
      </c>
    </row>
    <row r="1457" spans="1:14" x14ac:dyDescent="0.3">
      <c r="A1457">
        <v>2024002455</v>
      </c>
      <c r="B1457" s="1">
        <v>45515</v>
      </c>
      <c r="C1457" s="11">
        <f t="shared" si="66"/>
        <v>2024</v>
      </c>
      <c r="D1457" t="s">
        <v>151</v>
      </c>
      <c r="E1457" t="s">
        <v>12</v>
      </c>
      <c r="F1457" t="s">
        <v>13</v>
      </c>
      <c r="G1457" t="s">
        <v>14</v>
      </c>
      <c r="H1457">
        <v>1</v>
      </c>
      <c r="I1457" s="2">
        <v>341.25</v>
      </c>
      <c r="J1457" s="2">
        <v>341.25</v>
      </c>
      <c r="K1457" s="2">
        <f t="shared" si="67"/>
        <v>341.25</v>
      </c>
      <c r="L1457" s="2">
        <f t="shared" si="68"/>
        <v>0</v>
      </c>
      <c r="M1457" t="s">
        <v>31</v>
      </c>
      <c r="N1457" t="s">
        <v>21</v>
      </c>
    </row>
    <row r="1458" spans="1:14" x14ac:dyDescent="0.3">
      <c r="A1458">
        <v>2024002456</v>
      </c>
      <c r="B1458" s="1">
        <v>45414</v>
      </c>
      <c r="C1458" s="11">
        <f t="shared" si="66"/>
        <v>2024</v>
      </c>
      <c r="D1458" t="s">
        <v>230</v>
      </c>
      <c r="E1458" t="s">
        <v>12</v>
      </c>
      <c r="F1458" t="s">
        <v>13</v>
      </c>
      <c r="G1458" t="s">
        <v>14</v>
      </c>
      <c r="H1458">
        <v>1</v>
      </c>
      <c r="I1458" s="2">
        <v>349.63</v>
      </c>
      <c r="J1458" s="2">
        <v>349.63</v>
      </c>
      <c r="K1458" s="2">
        <f t="shared" si="67"/>
        <v>349.63</v>
      </c>
      <c r="L1458" s="2">
        <f t="shared" si="68"/>
        <v>0</v>
      </c>
      <c r="M1458" t="s">
        <v>57</v>
      </c>
      <c r="N1458" t="s">
        <v>32</v>
      </c>
    </row>
    <row r="1459" spans="1:14" x14ac:dyDescent="0.3">
      <c r="A1459">
        <v>2024002457</v>
      </c>
      <c r="B1459" s="1">
        <v>45419</v>
      </c>
      <c r="C1459" s="11">
        <f t="shared" si="66"/>
        <v>2024</v>
      </c>
      <c r="D1459" t="s">
        <v>223</v>
      </c>
      <c r="E1459" t="s">
        <v>12</v>
      </c>
      <c r="F1459" t="s">
        <v>13</v>
      </c>
      <c r="G1459" t="s">
        <v>14</v>
      </c>
      <c r="H1459">
        <v>1</v>
      </c>
      <c r="I1459" s="2">
        <v>319.48</v>
      </c>
      <c r="J1459" s="2">
        <v>319.48</v>
      </c>
      <c r="K1459" s="2">
        <f t="shared" si="67"/>
        <v>319.48</v>
      </c>
      <c r="L1459" s="2">
        <f t="shared" si="68"/>
        <v>0</v>
      </c>
      <c r="M1459" t="s">
        <v>25</v>
      </c>
      <c r="N1459" t="s">
        <v>26</v>
      </c>
    </row>
    <row r="1460" spans="1:14" x14ac:dyDescent="0.3">
      <c r="A1460">
        <v>2024002458</v>
      </c>
      <c r="B1460" s="1">
        <v>45396</v>
      </c>
      <c r="C1460" s="11">
        <f t="shared" si="66"/>
        <v>2024</v>
      </c>
      <c r="D1460" t="s">
        <v>11</v>
      </c>
      <c r="E1460" t="s">
        <v>28</v>
      </c>
      <c r="F1460" t="s">
        <v>29</v>
      </c>
      <c r="G1460" t="s">
        <v>30</v>
      </c>
      <c r="H1460">
        <v>1</v>
      </c>
      <c r="I1460" s="2">
        <v>23.07</v>
      </c>
      <c r="J1460" s="2">
        <v>23.07</v>
      </c>
      <c r="K1460" s="2">
        <f t="shared" si="67"/>
        <v>23.07</v>
      </c>
      <c r="L1460" s="2">
        <f t="shared" si="68"/>
        <v>0</v>
      </c>
      <c r="M1460" t="s">
        <v>20</v>
      </c>
      <c r="N1460" t="s">
        <v>32</v>
      </c>
    </row>
    <row r="1461" spans="1:14" x14ac:dyDescent="0.3">
      <c r="A1461">
        <v>2024002459</v>
      </c>
      <c r="B1461" s="1">
        <v>45433</v>
      </c>
      <c r="C1461" s="11">
        <f t="shared" si="66"/>
        <v>2024</v>
      </c>
      <c r="D1461" t="s">
        <v>281</v>
      </c>
      <c r="E1461" t="s">
        <v>40</v>
      </c>
      <c r="F1461" t="s">
        <v>41</v>
      </c>
      <c r="G1461" t="s">
        <v>36</v>
      </c>
      <c r="H1461">
        <v>2</v>
      </c>
      <c r="I1461" s="2">
        <v>46.28</v>
      </c>
      <c r="J1461" s="2">
        <v>92.56</v>
      </c>
      <c r="K1461" s="2">
        <f t="shared" si="67"/>
        <v>92.56</v>
      </c>
      <c r="L1461" s="2">
        <f t="shared" si="68"/>
        <v>0</v>
      </c>
      <c r="M1461" t="s">
        <v>20</v>
      </c>
      <c r="N1461" t="s">
        <v>26</v>
      </c>
    </row>
    <row r="1462" spans="1:14" x14ac:dyDescent="0.3">
      <c r="A1462">
        <v>2024002460</v>
      </c>
      <c r="B1462" s="1">
        <v>45534</v>
      </c>
      <c r="C1462" s="11">
        <f t="shared" si="66"/>
        <v>2024</v>
      </c>
      <c r="D1462" t="s">
        <v>149</v>
      </c>
      <c r="E1462" t="s">
        <v>28</v>
      </c>
      <c r="F1462" t="s">
        <v>29</v>
      </c>
      <c r="G1462" t="s">
        <v>30</v>
      </c>
      <c r="H1462">
        <v>4</v>
      </c>
      <c r="I1462" s="2">
        <v>24</v>
      </c>
      <c r="J1462" s="2">
        <v>96</v>
      </c>
      <c r="K1462" s="2">
        <f t="shared" si="67"/>
        <v>96</v>
      </c>
      <c r="L1462" s="2">
        <f t="shared" si="68"/>
        <v>0</v>
      </c>
      <c r="M1462" t="s">
        <v>20</v>
      </c>
      <c r="N1462" t="s">
        <v>26</v>
      </c>
    </row>
    <row r="1463" spans="1:14" x14ac:dyDescent="0.3">
      <c r="A1463">
        <v>2024002461</v>
      </c>
      <c r="B1463" s="1">
        <v>45435</v>
      </c>
      <c r="C1463" s="11">
        <f t="shared" si="66"/>
        <v>2024</v>
      </c>
      <c r="D1463" t="s">
        <v>221</v>
      </c>
      <c r="E1463" t="s">
        <v>53</v>
      </c>
      <c r="F1463" t="s">
        <v>54</v>
      </c>
      <c r="G1463" t="s">
        <v>36</v>
      </c>
      <c r="H1463">
        <v>2</v>
      </c>
      <c r="I1463" s="2">
        <v>123.8</v>
      </c>
      <c r="J1463" s="2">
        <v>247.6</v>
      </c>
      <c r="K1463" s="2">
        <f t="shared" si="67"/>
        <v>247.6</v>
      </c>
      <c r="L1463" s="2">
        <f t="shared" si="68"/>
        <v>0</v>
      </c>
      <c r="M1463" t="s">
        <v>20</v>
      </c>
      <c r="N1463" t="s">
        <v>26</v>
      </c>
    </row>
    <row r="1464" spans="1:14" x14ac:dyDescent="0.3">
      <c r="A1464">
        <v>2024002462</v>
      </c>
      <c r="B1464" s="1">
        <v>45473</v>
      </c>
      <c r="C1464" s="11">
        <f t="shared" si="66"/>
        <v>2024</v>
      </c>
      <c r="D1464" t="s">
        <v>11</v>
      </c>
      <c r="E1464" t="s">
        <v>53</v>
      </c>
      <c r="F1464" t="s">
        <v>54</v>
      </c>
      <c r="G1464" t="s">
        <v>36</v>
      </c>
      <c r="H1464">
        <v>2</v>
      </c>
      <c r="I1464" s="2">
        <v>125.45</v>
      </c>
      <c r="J1464" s="2">
        <v>250.9</v>
      </c>
      <c r="K1464" s="2">
        <f t="shared" si="67"/>
        <v>250.9</v>
      </c>
      <c r="L1464" s="2">
        <f t="shared" si="68"/>
        <v>0</v>
      </c>
      <c r="M1464" t="s">
        <v>57</v>
      </c>
      <c r="N1464" t="s">
        <v>16</v>
      </c>
    </row>
    <row r="1465" spans="1:14" x14ac:dyDescent="0.3">
      <c r="A1465">
        <v>2024002463</v>
      </c>
      <c r="B1465" s="1">
        <v>45602</v>
      </c>
      <c r="C1465" s="11">
        <f t="shared" si="66"/>
        <v>2024</v>
      </c>
      <c r="D1465" t="s">
        <v>128</v>
      </c>
      <c r="E1465" t="s">
        <v>40</v>
      </c>
      <c r="F1465" t="s">
        <v>41</v>
      </c>
      <c r="G1465" t="s">
        <v>36</v>
      </c>
      <c r="H1465">
        <v>1</v>
      </c>
      <c r="I1465" s="2">
        <v>41.49</v>
      </c>
      <c r="J1465" s="2">
        <v>41.49</v>
      </c>
      <c r="K1465" s="2">
        <f t="shared" si="67"/>
        <v>41.49</v>
      </c>
      <c r="L1465" s="2">
        <f t="shared" si="68"/>
        <v>0</v>
      </c>
      <c r="M1465" t="s">
        <v>38</v>
      </c>
      <c r="N1465" t="s">
        <v>26</v>
      </c>
    </row>
    <row r="1466" spans="1:14" x14ac:dyDescent="0.3">
      <c r="A1466">
        <v>2024002464</v>
      </c>
      <c r="B1466" s="1">
        <v>45483</v>
      </c>
      <c r="C1466" s="11">
        <f t="shared" si="66"/>
        <v>2024</v>
      </c>
      <c r="D1466" t="s">
        <v>327</v>
      </c>
      <c r="E1466" t="s">
        <v>46</v>
      </c>
      <c r="F1466" t="s">
        <v>47</v>
      </c>
      <c r="G1466" t="s">
        <v>36</v>
      </c>
      <c r="H1466">
        <v>2</v>
      </c>
      <c r="I1466" s="2">
        <v>87.62</v>
      </c>
      <c r="J1466" s="2">
        <v>175.24</v>
      </c>
      <c r="K1466" s="2">
        <f t="shared" si="67"/>
        <v>175.24</v>
      </c>
      <c r="L1466" s="2">
        <f t="shared" si="68"/>
        <v>0</v>
      </c>
      <c r="M1466" t="s">
        <v>64</v>
      </c>
      <c r="N1466" t="s">
        <v>26</v>
      </c>
    </row>
    <row r="1467" spans="1:14" x14ac:dyDescent="0.3">
      <c r="A1467">
        <v>2024002465</v>
      </c>
      <c r="B1467" s="1">
        <v>45368</v>
      </c>
      <c r="C1467" s="11">
        <f t="shared" si="66"/>
        <v>2024</v>
      </c>
      <c r="D1467" t="s">
        <v>99</v>
      </c>
      <c r="E1467" t="s">
        <v>23</v>
      </c>
      <c r="F1467" t="s">
        <v>24</v>
      </c>
      <c r="G1467" t="s">
        <v>14</v>
      </c>
      <c r="H1467">
        <v>4</v>
      </c>
      <c r="I1467" s="2">
        <v>81.73</v>
      </c>
      <c r="J1467" s="2">
        <v>326.92</v>
      </c>
      <c r="K1467" s="2">
        <f t="shared" si="67"/>
        <v>326.92</v>
      </c>
      <c r="L1467" s="2">
        <f t="shared" si="68"/>
        <v>0</v>
      </c>
      <c r="M1467" t="s">
        <v>25</v>
      </c>
      <c r="N1467" t="s">
        <v>21</v>
      </c>
    </row>
    <row r="1468" spans="1:14" x14ac:dyDescent="0.3">
      <c r="A1468">
        <v>2024002466</v>
      </c>
      <c r="B1468" s="1">
        <v>45491</v>
      </c>
      <c r="C1468" s="11">
        <f t="shared" si="66"/>
        <v>2024</v>
      </c>
      <c r="D1468" t="s">
        <v>246</v>
      </c>
      <c r="E1468" t="s">
        <v>12</v>
      </c>
      <c r="F1468" t="s">
        <v>13</v>
      </c>
      <c r="G1468" t="s">
        <v>14</v>
      </c>
      <c r="H1468">
        <v>3</v>
      </c>
      <c r="I1468" s="2">
        <v>348.33</v>
      </c>
      <c r="J1468" s="2">
        <v>1044.99</v>
      </c>
      <c r="K1468" s="2">
        <f t="shared" si="67"/>
        <v>1044.99</v>
      </c>
      <c r="L1468" s="2">
        <f t="shared" si="68"/>
        <v>0</v>
      </c>
      <c r="M1468" t="s">
        <v>61</v>
      </c>
      <c r="N1468" t="s">
        <v>32</v>
      </c>
    </row>
    <row r="1469" spans="1:14" x14ac:dyDescent="0.3">
      <c r="A1469">
        <v>2024002467</v>
      </c>
      <c r="B1469" s="1">
        <v>45453</v>
      </c>
      <c r="C1469" s="11">
        <f t="shared" si="66"/>
        <v>2024</v>
      </c>
      <c r="D1469" t="s">
        <v>268</v>
      </c>
      <c r="E1469" t="s">
        <v>23</v>
      </c>
      <c r="F1469" t="s">
        <v>24</v>
      </c>
      <c r="G1469" t="s">
        <v>14</v>
      </c>
      <c r="H1469">
        <v>2</v>
      </c>
      <c r="I1469" s="2">
        <v>75.55</v>
      </c>
      <c r="J1469" s="2">
        <v>151.1</v>
      </c>
      <c r="K1469" s="2">
        <f t="shared" si="67"/>
        <v>151.1</v>
      </c>
      <c r="L1469" s="2">
        <f t="shared" si="68"/>
        <v>0</v>
      </c>
      <c r="M1469" t="s">
        <v>15</v>
      </c>
      <c r="N1469" t="s">
        <v>26</v>
      </c>
    </row>
    <row r="1470" spans="1:14" x14ac:dyDescent="0.3">
      <c r="A1470">
        <v>2024002468</v>
      </c>
      <c r="B1470" s="1">
        <v>45550</v>
      </c>
      <c r="C1470" s="11">
        <f t="shared" si="66"/>
        <v>2024</v>
      </c>
      <c r="D1470" t="s">
        <v>77</v>
      </c>
      <c r="E1470" t="s">
        <v>67</v>
      </c>
      <c r="F1470" t="s">
        <v>68</v>
      </c>
      <c r="G1470" t="s">
        <v>36</v>
      </c>
      <c r="H1470">
        <v>4</v>
      </c>
      <c r="I1470" s="2">
        <v>425.01</v>
      </c>
      <c r="J1470" s="2">
        <v>1700.04</v>
      </c>
      <c r="K1470" s="2">
        <f t="shared" si="67"/>
        <v>1700.04</v>
      </c>
      <c r="L1470" s="2">
        <f t="shared" si="68"/>
        <v>0</v>
      </c>
      <c r="M1470" t="s">
        <v>64</v>
      </c>
      <c r="N1470" t="s">
        <v>26</v>
      </c>
    </row>
    <row r="1471" spans="1:14" x14ac:dyDescent="0.3">
      <c r="A1471">
        <v>2024002469</v>
      </c>
      <c r="B1471" s="1">
        <v>45564</v>
      </c>
      <c r="C1471" s="11">
        <f t="shared" si="66"/>
        <v>2024</v>
      </c>
      <c r="D1471" t="s">
        <v>136</v>
      </c>
      <c r="E1471" t="s">
        <v>67</v>
      </c>
      <c r="F1471" t="s">
        <v>68</v>
      </c>
      <c r="G1471" t="s">
        <v>36</v>
      </c>
      <c r="H1471">
        <v>4</v>
      </c>
      <c r="I1471" s="2">
        <v>421.64</v>
      </c>
      <c r="J1471" s="2">
        <v>1686.56</v>
      </c>
      <c r="K1471" s="2">
        <f t="shared" si="67"/>
        <v>1686.56</v>
      </c>
      <c r="L1471" s="2">
        <f t="shared" si="68"/>
        <v>0</v>
      </c>
      <c r="M1471" t="s">
        <v>61</v>
      </c>
      <c r="N1471" t="s">
        <v>26</v>
      </c>
    </row>
    <row r="1472" spans="1:14" x14ac:dyDescent="0.3">
      <c r="A1472">
        <v>2024002470</v>
      </c>
      <c r="B1472" s="1">
        <v>45342</v>
      </c>
      <c r="C1472" s="11">
        <f t="shared" si="66"/>
        <v>2024</v>
      </c>
      <c r="D1472" t="s">
        <v>235</v>
      </c>
      <c r="E1472" t="s">
        <v>23</v>
      </c>
      <c r="F1472" t="s">
        <v>24</v>
      </c>
      <c r="G1472" t="s">
        <v>14</v>
      </c>
      <c r="H1472">
        <v>3</v>
      </c>
      <c r="I1472" s="2">
        <v>78</v>
      </c>
      <c r="J1472" s="2">
        <v>234</v>
      </c>
      <c r="K1472" s="2">
        <f t="shared" si="67"/>
        <v>234</v>
      </c>
      <c r="L1472" s="2">
        <f t="shared" si="68"/>
        <v>0</v>
      </c>
      <c r="M1472" t="s">
        <v>57</v>
      </c>
      <c r="N1472" t="s">
        <v>32</v>
      </c>
    </row>
    <row r="1473" spans="1:14" x14ac:dyDescent="0.3">
      <c r="A1473">
        <v>2024002471</v>
      </c>
      <c r="B1473" s="1">
        <v>45306</v>
      </c>
      <c r="C1473" s="11">
        <f t="shared" si="66"/>
        <v>2024</v>
      </c>
      <c r="D1473" t="s">
        <v>11</v>
      </c>
      <c r="E1473" t="s">
        <v>18</v>
      </c>
      <c r="F1473" t="s">
        <v>19</v>
      </c>
      <c r="G1473" t="s">
        <v>14</v>
      </c>
      <c r="H1473">
        <v>1</v>
      </c>
      <c r="I1473" s="2">
        <v>522.25</v>
      </c>
      <c r="J1473" s="2">
        <v>522.25</v>
      </c>
      <c r="K1473" s="2">
        <f t="shared" si="67"/>
        <v>522.25</v>
      </c>
      <c r="L1473" s="2">
        <f t="shared" si="68"/>
        <v>0</v>
      </c>
      <c r="M1473" t="s">
        <v>15</v>
      </c>
      <c r="N1473" t="s">
        <v>26</v>
      </c>
    </row>
    <row r="1474" spans="1:14" x14ac:dyDescent="0.3">
      <c r="A1474">
        <v>2024002472</v>
      </c>
      <c r="B1474" s="1">
        <v>45328</v>
      </c>
      <c r="C1474" s="11">
        <f t="shared" si="66"/>
        <v>2024</v>
      </c>
      <c r="D1474" t="s">
        <v>287</v>
      </c>
      <c r="E1474" t="s">
        <v>53</v>
      </c>
      <c r="F1474" t="s">
        <v>54</v>
      </c>
      <c r="G1474" t="s">
        <v>36</v>
      </c>
      <c r="H1474">
        <v>2</v>
      </c>
      <c r="I1474" s="2">
        <v>119.72</v>
      </c>
      <c r="J1474" s="2">
        <v>239.44</v>
      </c>
      <c r="K1474" s="2">
        <f t="shared" si="67"/>
        <v>239.44</v>
      </c>
      <c r="L1474" s="2">
        <f t="shared" si="68"/>
        <v>0</v>
      </c>
      <c r="M1474" t="s">
        <v>38</v>
      </c>
      <c r="N1474" t="s">
        <v>26</v>
      </c>
    </row>
    <row r="1475" spans="1:14" x14ac:dyDescent="0.3">
      <c r="A1475">
        <v>2024002473</v>
      </c>
      <c r="B1475" s="1">
        <v>45440</v>
      </c>
      <c r="C1475" s="11">
        <f t="shared" ref="C1475:C1538" si="69">YEAR(B1475)</f>
        <v>2024</v>
      </c>
      <c r="D1475" t="s">
        <v>307</v>
      </c>
      <c r="E1475" t="s">
        <v>53</v>
      </c>
      <c r="F1475" t="s">
        <v>54</v>
      </c>
      <c r="G1475" t="s">
        <v>36</v>
      </c>
      <c r="H1475">
        <v>1</v>
      </c>
      <c r="I1475" s="2">
        <v>117.64</v>
      </c>
      <c r="J1475" s="2">
        <v>117.64</v>
      </c>
      <c r="K1475" s="2">
        <f t="shared" ref="K1475:K1538" si="70">I1475*H1475</f>
        <v>117.64</v>
      </c>
      <c r="L1475" s="2">
        <f t="shared" ref="L1475:L1538" si="71">J1475-K1475</f>
        <v>0</v>
      </c>
      <c r="M1475" t="s">
        <v>57</v>
      </c>
      <c r="N1475" t="s">
        <v>26</v>
      </c>
    </row>
    <row r="1476" spans="1:14" x14ac:dyDescent="0.3">
      <c r="A1476">
        <v>2024002474</v>
      </c>
      <c r="B1476" s="1">
        <v>45334</v>
      </c>
      <c r="C1476" s="11">
        <f t="shared" si="69"/>
        <v>2024</v>
      </c>
      <c r="D1476" t="s">
        <v>344</v>
      </c>
      <c r="E1476" t="s">
        <v>28</v>
      </c>
      <c r="F1476" t="s">
        <v>29</v>
      </c>
      <c r="G1476" t="s">
        <v>30</v>
      </c>
      <c r="H1476">
        <v>1</v>
      </c>
      <c r="I1476" s="2">
        <v>24.3</v>
      </c>
      <c r="J1476" s="2">
        <v>24.3</v>
      </c>
      <c r="K1476" s="2">
        <f t="shared" si="70"/>
        <v>24.3</v>
      </c>
      <c r="L1476" s="2">
        <f t="shared" si="71"/>
        <v>0</v>
      </c>
      <c r="M1476" t="s">
        <v>25</v>
      </c>
      <c r="N1476" t="s">
        <v>32</v>
      </c>
    </row>
    <row r="1477" spans="1:14" x14ac:dyDescent="0.3">
      <c r="A1477">
        <v>2024002475</v>
      </c>
      <c r="B1477" s="1">
        <v>45325</v>
      </c>
      <c r="C1477" s="11">
        <f t="shared" si="69"/>
        <v>2024</v>
      </c>
      <c r="D1477" t="s">
        <v>246</v>
      </c>
      <c r="E1477" t="s">
        <v>43</v>
      </c>
      <c r="F1477" t="s">
        <v>44</v>
      </c>
      <c r="G1477" t="s">
        <v>36</v>
      </c>
      <c r="H1477">
        <v>2</v>
      </c>
      <c r="I1477" s="2">
        <v>1149.68</v>
      </c>
      <c r="J1477" s="2">
        <v>2299.36</v>
      </c>
      <c r="K1477" s="2">
        <f t="shared" si="70"/>
        <v>2299.36</v>
      </c>
      <c r="L1477" s="2">
        <f t="shared" si="71"/>
        <v>0</v>
      </c>
      <c r="M1477" t="s">
        <v>25</v>
      </c>
      <c r="N1477" t="s">
        <v>16</v>
      </c>
    </row>
    <row r="1478" spans="1:14" x14ac:dyDescent="0.3">
      <c r="A1478">
        <v>2024002476</v>
      </c>
      <c r="B1478" s="1">
        <v>45577</v>
      </c>
      <c r="C1478" s="11">
        <f t="shared" si="69"/>
        <v>2024</v>
      </c>
      <c r="D1478" t="s">
        <v>17</v>
      </c>
      <c r="E1478" t="s">
        <v>23</v>
      </c>
      <c r="F1478" t="s">
        <v>24</v>
      </c>
      <c r="G1478" t="s">
        <v>14</v>
      </c>
      <c r="H1478">
        <v>1</v>
      </c>
      <c r="I1478" s="2">
        <v>85.65</v>
      </c>
      <c r="J1478" s="2">
        <v>85.65</v>
      </c>
      <c r="K1478" s="2">
        <f t="shared" si="70"/>
        <v>85.65</v>
      </c>
      <c r="L1478" s="2">
        <f t="shared" si="71"/>
        <v>0</v>
      </c>
      <c r="M1478" t="s">
        <v>15</v>
      </c>
      <c r="N1478" t="s">
        <v>32</v>
      </c>
    </row>
    <row r="1479" spans="1:14" x14ac:dyDescent="0.3">
      <c r="A1479">
        <v>2024002477</v>
      </c>
      <c r="B1479" s="1">
        <v>45512</v>
      </c>
      <c r="C1479" s="11">
        <f t="shared" si="69"/>
        <v>2024</v>
      </c>
      <c r="D1479" t="s">
        <v>339</v>
      </c>
      <c r="E1479" t="s">
        <v>43</v>
      </c>
      <c r="F1479" t="s">
        <v>44</v>
      </c>
      <c r="G1479" t="s">
        <v>36</v>
      </c>
      <c r="H1479">
        <v>1</v>
      </c>
      <c r="I1479" s="2">
        <v>1203.81</v>
      </c>
      <c r="J1479" s="2">
        <v>1203.81</v>
      </c>
      <c r="K1479" s="2">
        <f t="shared" si="70"/>
        <v>1203.81</v>
      </c>
      <c r="L1479" s="2">
        <f t="shared" si="71"/>
        <v>0</v>
      </c>
      <c r="M1479" t="s">
        <v>31</v>
      </c>
      <c r="N1479" t="s">
        <v>32</v>
      </c>
    </row>
    <row r="1480" spans="1:14" x14ac:dyDescent="0.3">
      <c r="A1480">
        <v>2024002478</v>
      </c>
      <c r="B1480" s="1">
        <v>45306</v>
      </c>
      <c r="C1480" s="11">
        <f t="shared" si="69"/>
        <v>2024</v>
      </c>
      <c r="D1480" t="s">
        <v>11</v>
      </c>
      <c r="E1480" t="s">
        <v>46</v>
      </c>
      <c r="F1480" t="s">
        <v>47</v>
      </c>
      <c r="G1480" t="s">
        <v>36</v>
      </c>
      <c r="H1480">
        <v>2</v>
      </c>
      <c r="I1480" s="2">
        <v>92.77</v>
      </c>
      <c r="J1480" s="2">
        <v>185.54</v>
      </c>
      <c r="K1480" s="2">
        <f t="shared" si="70"/>
        <v>185.54</v>
      </c>
      <c r="L1480" s="2">
        <f t="shared" si="71"/>
        <v>0</v>
      </c>
      <c r="M1480" t="s">
        <v>25</v>
      </c>
      <c r="N1480" t="s">
        <v>32</v>
      </c>
    </row>
    <row r="1481" spans="1:14" x14ac:dyDescent="0.3">
      <c r="A1481">
        <v>2024002479</v>
      </c>
      <c r="B1481" s="1">
        <v>45610</v>
      </c>
      <c r="C1481" s="11">
        <f t="shared" si="69"/>
        <v>2024</v>
      </c>
      <c r="D1481" t="s">
        <v>180</v>
      </c>
      <c r="E1481" t="s">
        <v>28</v>
      </c>
      <c r="F1481" t="s">
        <v>29</v>
      </c>
      <c r="G1481" t="s">
        <v>30</v>
      </c>
      <c r="H1481">
        <v>3</v>
      </c>
      <c r="I1481" s="2">
        <v>25.64</v>
      </c>
      <c r="J1481" s="2">
        <v>76.92</v>
      </c>
      <c r="K1481" s="2">
        <f t="shared" si="70"/>
        <v>76.92</v>
      </c>
      <c r="L1481" s="2">
        <f t="shared" si="71"/>
        <v>0</v>
      </c>
      <c r="M1481" t="s">
        <v>15</v>
      </c>
      <c r="N1481" t="s">
        <v>26</v>
      </c>
    </row>
    <row r="1482" spans="1:14" x14ac:dyDescent="0.3">
      <c r="A1482">
        <v>2024002480</v>
      </c>
      <c r="B1482" s="1">
        <v>45551</v>
      </c>
      <c r="C1482" s="11">
        <f t="shared" si="69"/>
        <v>2024</v>
      </c>
      <c r="D1482" t="s">
        <v>151</v>
      </c>
      <c r="E1482" t="s">
        <v>18</v>
      </c>
      <c r="F1482" t="s">
        <v>19</v>
      </c>
      <c r="G1482" t="s">
        <v>14</v>
      </c>
      <c r="H1482">
        <v>1</v>
      </c>
      <c r="I1482" s="2">
        <v>578.6</v>
      </c>
      <c r="J1482" s="2">
        <v>578.6</v>
      </c>
      <c r="K1482" s="2">
        <f t="shared" si="70"/>
        <v>578.6</v>
      </c>
      <c r="L1482" s="2">
        <f t="shared" si="71"/>
        <v>0</v>
      </c>
      <c r="M1482" t="s">
        <v>64</v>
      </c>
      <c r="N1482" t="s">
        <v>16</v>
      </c>
    </row>
    <row r="1483" spans="1:14" x14ac:dyDescent="0.3">
      <c r="A1483">
        <v>2024002481</v>
      </c>
      <c r="B1483" s="1">
        <v>45546</v>
      </c>
      <c r="C1483" s="11">
        <f t="shared" si="69"/>
        <v>2024</v>
      </c>
      <c r="D1483" t="s">
        <v>11</v>
      </c>
      <c r="E1483" t="s">
        <v>40</v>
      </c>
      <c r="F1483" t="s">
        <v>41</v>
      </c>
      <c r="G1483" t="s">
        <v>36</v>
      </c>
      <c r="H1483">
        <v>1</v>
      </c>
      <c r="I1483" s="2">
        <v>41.61</v>
      </c>
      <c r="J1483" s="2">
        <v>41.61</v>
      </c>
      <c r="K1483" s="2">
        <f t="shared" si="70"/>
        <v>41.61</v>
      </c>
      <c r="L1483" s="2">
        <f t="shared" si="71"/>
        <v>0</v>
      </c>
      <c r="M1483" t="s">
        <v>55</v>
      </c>
      <c r="N1483" t="s">
        <v>26</v>
      </c>
    </row>
    <row r="1484" spans="1:14" x14ac:dyDescent="0.3">
      <c r="A1484">
        <v>2024002482</v>
      </c>
      <c r="B1484" s="1">
        <v>45489</v>
      </c>
      <c r="C1484" s="11">
        <f t="shared" si="69"/>
        <v>2024</v>
      </c>
      <c r="D1484" t="s">
        <v>304</v>
      </c>
      <c r="E1484" t="s">
        <v>18</v>
      </c>
      <c r="F1484" t="s">
        <v>19</v>
      </c>
      <c r="G1484" t="s">
        <v>14</v>
      </c>
      <c r="H1484">
        <v>1</v>
      </c>
      <c r="I1484" s="2">
        <v>584.80999999999995</v>
      </c>
      <c r="J1484" s="2">
        <v>584.80999999999995</v>
      </c>
      <c r="K1484" s="2">
        <f t="shared" si="70"/>
        <v>584.80999999999995</v>
      </c>
      <c r="L1484" s="2">
        <f t="shared" si="71"/>
        <v>0</v>
      </c>
      <c r="M1484" t="s">
        <v>31</v>
      </c>
      <c r="N1484" t="s">
        <v>16</v>
      </c>
    </row>
    <row r="1485" spans="1:14" x14ac:dyDescent="0.3">
      <c r="A1485">
        <v>2024002483</v>
      </c>
      <c r="B1485" s="1">
        <v>45374</v>
      </c>
      <c r="C1485" s="11">
        <f t="shared" si="69"/>
        <v>2024</v>
      </c>
      <c r="D1485" t="s">
        <v>325</v>
      </c>
      <c r="E1485" t="s">
        <v>28</v>
      </c>
      <c r="F1485" t="s">
        <v>29</v>
      </c>
      <c r="G1485" t="s">
        <v>30</v>
      </c>
      <c r="H1485">
        <v>1</v>
      </c>
      <c r="I1485" s="2">
        <v>24.78</v>
      </c>
      <c r="J1485" s="2">
        <v>24.78</v>
      </c>
      <c r="K1485" s="2">
        <f t="shared" si="70"/>
        <v>24.78</v>
      </c>
      <c r="L1485" s="2">
        <f t="shared" si="71"/>
        <v>0</v>
      </c>
      <c r="M1485" t="s">
        <v>61</v>
      </c>
      <c r="N1485" t="s">
        <v>26</v>
      </c>
    </row>
    <row r="1486" spans="1:14" x14ac:dyDescent="0.3">
      <c r="A1486">
        <v>2024002484</v>
      </c>
      <c r="B1486" s="1">
        <v>45354</v>
      </c>
      <c r="C1486" s="11">
        <f t="shared" si="69"/>
        <v>2024</v>
      </c>
      <c r="D1486" t="s">
        <v>11</v>
      </c>
      <c r="E1486" t="s">
        <v>53</v>
      </c>
      <c r="F1486" t="s">
        <v>54</v>
      </c>
      <c r="G1486" t="s">
        <v>36</v>
      </c>
      <c r="H1486">
        <v>3</v>
      </c>
      <c r="I1486" s="2">
        <v>120.48</v>
      </c>
      <c r="J1486" s="2">
        <v>361.44</v>
      </c>
      <c r="K1486" s="2">
        <f t="shared" si="70"/>
        <v>361.44</v>
      </c>
      <c r="L1486" s="2">
        <f t="shared" si="71"/>
        <v>0</v>
      </c>
      <c r="M1486" t="s">
        <v>57</v>
      </c>
      <c r="N1486" t="s">
        <v>21</v>
      </c>
    </row>
    <row r="1487" spans="1:14" x14ac:dyDescent="0.3">
      <c r="A1487">
        <v>2024002485</v>
      </c>
      <c r="B1487" s="1">
        <v>45550</v>
      </c>
      <c r="C1487" s="11">
        <f t="shared" si="69"/>
        <v>2024</v>
      </c>
      <c r="D1487" t="s">
        <v>302</v>
      </c>
      <c r="E1487" t="s">
        <v>12</v>
      </c>
      <c r="F1487" t="s">
        <v>13</v>
      </c>
      <c r="G1487" t="s">
        <v>14</v>
      </c>
      <c r="H1487">
        <v>2</v>
      </c>
      <c r="I1487" s="2">
        <v>378.01</v>
      </c>
      <c r="J1487" s="2">
        <v>756.02</v>
      </c>
      <c r="K1487" s="2">
        <f t="shared" si="70"/>
        <v>756.02</v>
      </c>
      <c r="L1487" s="2">
        <f t="shared" si="71"/>
        <v>0</v>
      </c>
      <c r="M1487" t="s">
        <v>25</v>
      </c>
      <c r="N1487" t="s">
        <v>26</v>
      </c>
    </row>
    <row r="1488" spans="1:14" x14ac:dyDescent="0.3">
      <c r="A1488">
        <v>2024002486</v>
      </c>
      <c r="B1488" s="1">
        <v>45300</v>
      </c>
      <c r="C1488" s="11">
        <f t="shared" si="69"/>
        <v>2024</v>
      </c>
      <c r="D1488" t="s">
        <v>50</v>
      </c>
      <c r="E1488" t="s">
        <v>34</v>
      </c>
      <c r="F1488" t="s">
        <v>35</v>
      </c>
      <c r="G1488" t="s">
        <v>36</v>
      </c>
      <c r="H1488">
        <v>1</v>
      </c>
      <c r="I1488" s="2">
        <v>16.239999999999998</v>
      </c>
      <c r="J1488" s="2">
        <v>16.239999999999998</v>
      </c>
      <c r="K1488" s="2">
        <f t="shared" si="70"/>
        <v>16.239999999999998</v>
      </c>
      <c r="L1488" s="2">
        <f t="shared" si="71"/>
        <v>0</v>
      </c>
      <c r="M1488" t="s">
        <v>31</v>
      </c>
      <c r="N1488" t="s">
        <v>32</v>
      </c>
    </row>
    <row r="1489" spans="1:14" x14ac:dyDescent="0.3">
      <c r="A1489">
        <v>2024002487</v>
      </c>
      <c r="B1489" s="1">
        <v>45508</v>
      </c>
      <c r="C1489" s="11">
        <f t="shared" si="69"/>
        <v>2024</v>
      </c>
      <c r="D1489" t="s">
        <v>11</v>
      </c>
      <c r="E1489" t="s">
        <v>67</v>
      </c>
      <c r="F1489" t="s">
        <v>68</v>
      </c>
      <c r="G1489" t="s">
        <v>36</v>
      </c>
      <c r="H1489">
        <v>2</v>
      </c>
      <c r="I1489" s="2">
        <v>399.62</v>
      </c>
      <c r="J1489" s="2">
        <v>799.24</v>
      </c>
      <c r="K1489" s="2">
        <f t="shared" si="70"/>
        <v>799.24</v>
      </c>
      <c r="L1489" s="2">
        <f t="shared" si="71"/>
        <v>0</v>
      </c>
      <c r="M1489" t="s">
        <v>48</v>
      </c>
      <c r="N1489" t="s">
        <v>32</v>
      </c>
    </row>
    <row r="1490" spans="1:14" x14ac:dyDescent="0.3">
      <c r="A1490">
        <v>2024002488</v>
      </c>
      <c r="B1490" s="1">
        <v>45621</v>
      </c>
      <c r="C1490" s="11">
        <f t="shared" si="69"/>
        <v>2024</v>
      </c>
      <c r="D1490" t="s">
        <v>263</v>
      </c>
      <c r="E1490" t="s">
        <v>28</v>
      </c>
      <c r="F1490" t="s">
        <v>29</v>
      </c>
      <c r="G1490" t="s">
        <v>30</v>
      </c>
      <c r="H1490">
        <v>1</v>
      </c>
      <c r="I1490" s="2">
        <v>24.69</v>
      </c>
      <c r="J1490" s="2">
        <v>24.69</v>
      </c>
      <c r="K1490" s="2">
        <f t="shared" si="70"/>
        <v>24.69</v>
      </c>
      <c r="L1490" s="2">
        <f t="shared" si="71"/>
        <v>0</v>
      </c>
      <c r="M1490" t="s">
        <v>20</v>
      </c>
      <c r="N1490" t="s">
        <v>16</v>
      </c>
    </row>
    <row r="1491" spans="1:14" x14ac:dyDescent="0.3">
      <c r="A1491">
        <v>2024002489</v>
      </c>
      <c r="B1491" s="1">
        <v>45431</v>
      </c>
      <c r="C1491" s="11">
        <f t="shared" si="69"/>
        <v>2024</v>
      </c>
      <c r="D1491" t="s">
        <v>154</v>
      </c>
      <c r="E1491" t="s">
        <v>18</v>
      </c>
      <c r="F1491" t="s">
        <v>19</v>
      </c>
      <c r="G1491" t="s">
        <v>14</v>
      </c>
      <c r="H1491">
        <v>1</v>
      </c>
      <c r="I1491" s="2">
        <v>588.95000000000005</v>
      </c>
      <c r="J1491" s="2">
        <v>588.95000000000005</v>
      </c>
      <c r="K1491" s="2">
        <f t="shared" si="70"/>
        <v>588.95000000000005</v>
      </c>
      <c r="L1491" s="2">
        <f t="shared" si="71"/>
        <v>0</v>
      </c>
      <c r="M1491" t="s">
        <v>48</v>
      </c>
      <c r="N1491" t="s">
        <v>21</v>
      </c>
    </row>
    <row r="1492" spans="1:14" x14ac:dyDescent="0.3">
      <c r="A1492">
        <v>2024002490</v>
      </c>
      <c r="B1492" s="1">
        <v>45437</v>
      </c>
      <c r="C1492" s="11">
        <f t="shared" si="69"/>
        <v>2024</v>
      </c>
      <c r="D1492" t="s">
        <v>300</v>
      </c>
      <c r="E1492" t="s">
        <v>40</v>
      </c>
      <c r="F1492" t="s">
        <v>41</v>
      </c>
      <c r="G1492" t="s">
        <v>36</v>
      </c>
      <c r="H1492">
        <v>3</v>
      </c>
      <c r="I1492" s="2">
        <v>42.17</v>
      </c>
      <c r="J1492" s="2">
        <v>126.51</v>
      </c>
      <c r="K1492" s="2">
        <f t="shared" si="70"/>
        <v>126.51</v>
      </c>
      <c r="L1492" s="2">
        <f t="shared" si="71"/>
        <v>0</v>
      </c>
      <c r="M1492" t="s">
        <v>20</v>
      </c>
      <c r="N1492" t="s">
        <v>21</v>
      </c>
    </row>
    <row r="1493" spans="1:14" x14ac:dyDescent="0.3">
      <c r="A1493">
        <v>2024002491</v>
      </c>
      <c r="B1493" s="1">
        <v>45537</v>
      </c>
      <c r="C1493" s="11">
        <f t="shared" si="69"/>
        <v>2024</v>
      </c>
      <c r="D1493" t="s">
        <v>157</v>
      </c>
      <c r="E1493" t="s">
        <v>46</v>
      </c>
      <c r="F1493" t="s">
        <v>47</v>
      </c>
      <c r="G1493" t="s">
        <v>36</v>
      </c>
      <c r="H1493">
        <v>1</v>
      </c>
      <c r="I1493" s="2">
        <v>86.36</v>
      </c>
      <c r="J1493" s="2">
        <v>86.36</v>
      </c>
      <c r="K1493" s="2">
        <f t="shared" si="70"/>
        <v>86.36</v>
      </c>
      <c r="L1493" s="2">
        <f t="shared" si="71"/>
        <v>0</v>
      </c>
      <c r="M1493" t="s">
        <v>61</v>
      </c>
      <c r="N1493" t="s">
        <v>16</v>
      </c>
    </row>
    <row r="1494" spans="1:14" x14ac:dyDescent="0.3">
      <c r="A1494">
        <v>2024002492</v>
      </c>
      <c r="B1494" s="1">
        <v>45419</v>
      </c>
      <c r="C1494" s="11">
        <f t="shared" si="69"/>
        <v>2024</v>
      </c>
      <c r="D1494" t="s">
        <v>59</v>
      </c>
      <c r="E1494" t="s">
        <v>34</v>
      </c>
      <c r="F1494" t="s">
        <v>35</v>
      </c>
      <c r="G1494" t="s">
        <v>36</v>
      </c>
      <c r="H1494">
        <v>3</v>
      </c>
      <c r="I1494" s="2">
        <v>14.85</v>
      </c>
      <c r="J1494" s="2">
        <v>44.55</v>
      </c>
      <c r="K1494" s="2">
        <f t="shared" si="70"/>
        <v>44.55</v>
      </c>
      <c r="L1494" s="2">
        <f t="shared" si="71"/>
        <v>0</v>
      </c>
      <c r="M1494" t="s">
        <v>31</v>
      </c>
      <c r="N1494" t="s">
        <v>21</v>
      </c>
    </row>
    <row r="1495" spans="1:14" x14ac:dyDescent="0.3">
      <c r="A1495">
        <v>2024002493</v>
      </c>
      <c r="B1495" s="1">
        <v>45571</v>
      </c>
      <c r="C1495" s="11">
        <f t="shared" si="69"/>
        <v>2024</v>
      </c>
      <c r="D1495" t="s">
        <v>110</v>
      </c>
      <c r="E1495" t="s">
        <v>18</v>
      </c>
      <c r="F1495" t="s">
        <v>19</v>
      </c>
      <c r="G1495" t="s">
        <v>14</v>
      </c>
      <c r="H1495">
        <v>2</v>
      </c>
      <c r="I1495" s="2">
        <v>641.98</v>
      </c>
      <c r="J1495" s="2">
        <v>1283.96</v>
      </c>
      <c r="K1495" s="2">
        <f t="shared" si="70"/>
        <v>1283.96</v>
      </c>
      <c r="L1495" s="2">
        <f t="shared" si="71"/>
        <v>0</v>
      </c>
      <c r="M1495" t="s">
        <v>48</v>
      </c>
      <c r="N1495" t="s">
        <v>26</v>
      </c>
    </row>
    <row r="1496" spans="1:14" x14ac:dyDescent="0.3">
      <c r="A1496">
        <v>2024002494</v>
      </c>
      <c r="B1496" s="1">
        <v>45389</v>
      </c>
      <c r="C1496" s="11">
        <f t="shared" si="69"/>
        <v>2024</v>
      </c>
      <c r="D1496" t="s">
        <v>170</v>
      </c>
      <c r="E1496" t="s">
        <v>18</v>
      </c>
      <c r="F1496" t="s">
        <v>19</v>
      </c>
      <c r="G1496" t="s">
        <v>14</v>
      </c>
      <c r="H1496">
        <v>4</v>
      </c>
      <c r="I1496" s="2">
        <v>549.47</v>
      </c>
      <c r="J1496" s="2">
        <v>2197.88</v>
      </c>
      <c r="K1496" s="2">
        <f t="shared" si="70"/>
        <v>2197.88</v>
      </c>
      <c r="L1496" s="2">
        <f t="shared" si="71"/>
        <v>0</v>
      </c>
      <c r="M1496" t="s">
        <v>25</v>
      </c>
      <c r="N1496" t="s">
        <v>21</v>
      </c>
    </row>
    <row r="1497" spans="1:14" x14ac:dyDescent="0.3">
      <c r="A1497">
        <v>2024002495</v>
      </c>
      <c r="B1497" s="1">
        <v>45335</v>
      </c>
      <c r="C1497" s="11">
        <f t="shared" si="69"/>
        <v>2024</v>
      </c>
      <c r="D1497" t="s">
        <v>230</v>
      </c>
      <c r="E1497" t="s">
        <v>40</v>
      </c>
      <c r="F1497" t="s">
        <v>41</v>
      </c>
      <c r="G1497" t="s">
        <v>36</v>
      </c>
      <c r="H1497">
        <v>1</v>
      </c>
      <c r="I1497" s="2">
        <v>48.64</v>
      </c>
      <c r="J1497" s="2">
        <v>48.64</v>
      </c>
      <c r="K1497" s="2">
        <f t="shared" si="70"/>
        <v>48.64</v>
      </c>
      <c r="L1497" s="2">
        <f t="shared" si="71"/>
        <v>0</v>
      </c>
      <c r="M1497" t="s">
        <v>38</v>
      </c>
      <c r="N1497" t="s">
        <v>32</v>
      </c>
    </row>
    <row r="1498" spans="1:14" x14ac:dyDescent="0.3">
      <c r="A1498">
        <v>2024002496</v>
      </c>
      <c r="B1498" s="1">
        <v>45435</v>
      </c>
      <c r="C1498" s="11">
        <f t="shared" si="69"/>
        <v>2024</v>
      </c>
      <c r="D1498" t="s">
        <v>148</v>
      </c>
      <c r="E1498" t="s">
        <v>40</v>
      </c>
      <c r="F1498" t="s">
        <v>41</v>
      </c>
      <c r="G1498" t="s">
        <v>36</v>
      </c>
      <c r="H1498">
        <v>1</v>
      </c>
      <c r="I1498" s="2">
        <v>43.95</v>
      </c>
      <c r="J1498" s="2">
        <v>43.95</v>
      </c>
      <c r="K1498" s="2">
        <f t="shared" si="70"/>
        <v>43.95</v>
      </c>
      <c r="L1498" s="2">
        <f t="shared" si="71"/>
        <v>0</v>
      </c>
      <c r="M1498" t="s">
        <v>38</v>
      </c>
      <c r="N1498" t="s">
        <v>21</v>
      </c>
    </row>
    <row r="1499" spans="1:14" x14ac:dyDescent="0.3">
      <c r="A1499">
        <v>2024002497</v>
      </c>
      <c r="B1499" s="1">
        <v>45555</v>
      </c>
      <c r="C1499" s="11">
        <f t="shared" si="69"/>
        <v>2024</v>
      </c>
      <c r="D1499" t="s">
        <v>89</v>
      </c>
      <c r="E1499" t="s">
        <v>34</v>
      </c>
      <c r="F1499" t="s">
        <v>35</v>
      </c>
      <c r="G1499" t="s">
        <v>36</v>
      </c>
      <c r="H1499">
        <v>2</v>
      </c>
      <c r="I1499" s="2">
        <v>14.93</v>
      </c>
      <c r="J1499" s="2">
        <v>29.86</v>
      </c>
      <c r="K1499" s="2">
        <f t="shared" si="70"/>
        <v>29.86</v>
      </c>
      <c r="L1499" s="2">
        <f t="shared" si="71"/>
        <v>0</v>
      </c>
      <c r="M1499" t="s">
        <v>15</v>
      </c>
      <c r="N1499" t="s">
        <v>21</v>
      </c>
    </row>
    <row r="1500" spans="1:14" x14ac:dyDescent="0.3">
      <c r="A1500">
        <v>2024002498</v>
      </c>
      <c r="B1500" s="1">
        <v>45501</v>
      </c>
      <c r="C1500" s="11">
        <f t="shared" si="69"/>
        <v>2024</v>
      </c>
      <c r="D1500" t="s">
        <v>273</v>
      </c>
      <c r="E1500" t="s">
        <v>34</v>
      </c>
      <c r="F1500" t="s">
        <v>35</v>
      </c>
      <c r="G1500" t="s">
        <v>36</v>
      </c>
      <c r="H1500">
        <v>4</v>
      </c>
      <c r="I1500" s="2">
        <v>14.99</v>
      </c>
      <c r="J1500" s="2">
        <v>59.96</v>
      </c>
      <c r="K1500" s="2">
        <f t="shared" si="70"/>
        <v>59.96</v>
      </c>
      <c r="L1500" s="2">
        <f t="shared" si="71"/>
        <v>0</v>
      </c>
      <c r="M1500" t="s">
        <v>55</v>
      </c>
      <c r="N1500" t="s">
        <v>21</v>
      </c>
    </row>
    <row r="1501" spans="1:14" x14ac:dyDescent="0.3">
      <c r="A1501">
        <v>2024002499</v>
      </c>
      <c r="B1501" s="1">
        <v>45426</v>
      </c>
      <c r="C1501" s="11">
        <f t="shared" si="69"/>
        <v>2024</v>
      </c>
      <c r="D1501" t="s">
        <v>149</v>
      </c>
      <c r="E1501" t="s">
        <v>46</v>
      </c>
      <c r="F1501" t="s">
        <v>47</v>
      </c>
      <c r="G1501" t="s">
        <v>36</v>
      </c>
      <c r="H1501">
        <v>2</v>
      </c>
      <c r="I1501" s="2">
        <v>84.93</v>
      </c>
      <c r="J1501" s="2">
        <v>169.86</v>
      </c>
      <c r="K1501" s="2">
        <f t="shared" si="70"/>
        <v>169.86</v>
      </c>
      <c r="L1501" s="2">
        <f t="shared" si="71"/>
        <v>0</v>
      </c>
      <c r="M1501" t="s">
        <v>61</v>
      </c>
      <c r="N1501" t="s">
        <v>32</v>
      </c>
    </row>
    <row r="1502" spans="1:14" x14ac:dyDescent="0.3">
      <c r="A1502">
        <v>2024002500</v>
      </c>
      <c r="B1502" s="1">
        <v>45438</v>
      </c>
      <c r="C1502" s="11">
        <f t="shared" si="69"/>
        <v>2024</v>
      </c>
      <c r="D1502" t="s">
        <v>187</v>
      </c>
      <c r="E1502" t="s">
        <v>12</v>
      </c>
      <c r="F1502" t="s">
        <v>13</v>
      </c>
      <c r="G1502" t="s">
        <v>14</v>
      </c>
      <c r="H1502">
        <v>5</v>
      </c>
      <c r="I1502" s="2">
        <v>378.06</v>
      </c>
      <c r="J1502" s="2">
        <v>1890.3</v>
      </c>
      <c r="K1502" s="2">
        <f t="shared" si="70"/>
        <v>1890.3</v>
      </c>
      <c r="L1502" s="2">
        <f t="shared" si="71"/>
        <v>0</v>
      </c>
      <c r="M1502" t="s">
        <v>57</v>
      </c>
      <c r="N1502" t="s">
        <v>32</v>
      </c>
    </row>
    <row r="1503" spans="1:14" x14ac:dyDescent="0.3">
      <c r="A1503">
        <v>2024002501</v>
      </c>
      <c r="B1503" s="1">
        <v>45313</v>
      </c>
      <c r="C1503" s="11">
        <f t="shared" si="69"/>
        <v>2024</v>
      </c>
      <c r="D1503" t="s">
        <v>241</v>
      </c>
      <c r="E1503" t="s">
        <v>53</v>
      </c>
      <c r="F1503" t="s">
        <v>54</v>
      </c>
      <c r="G1503" t="s">
        <v>36</v>
      </c>
      <c r="H1503">
        <v>1</v>
      </c>
      <c r="I1503" s="2">
        <v>114.57</v>
      </c>
      <c r="J1503" s="2">
        <v>114.57</v>
      </c>
      <c r="K1503" s="2">
        <f t="shared" si="70"/>
        <v>114.57</v>
      </c>
      <c r="L1503" s="2">
        <f t="shared" si="71"/>
        <v>0</v>
      </c>
      <c r="M1503" t="s">
        <v>31</v>
      </c>
      <c r="N1503" t="s">
        <v>32</v>
      </c>
    </row>
    <row r="1504" spans="1:14" x14ac:dyDescent="0.3">
      <c r="A1504">
        <v>2024002502</v>
      </c>
      <c r="B1504" s="1">
        <v>45644</v>
      </c>
      <c r="C1504" s="11">
        <f t="shared" si="69"/>
        <v>2024</v>
      </c>
      <c r="D1504" t="s">
        <v>11</v>
      </c>
      <c r="E1504" t="s">
        <v>40</v>
      </c>
      <c r="F1504" t="s">
        <v>41</v>
      </c>
      <c r="G1504" t="s">
        <v>36</v>
      </c>
      <c r="H1504">
        <v>1</v>
      </c>
      <c r="I1504" s="2">
        <v>50.49</v>
      </c>
      <c r="J1504" s="2">
        <v>50.49</v>
      </c>
      <c r="K1504" s="2">
        <f t="shared" si="70"/>
        <v>50.49</v>
      </c>
      <c r="L1504" s="2">
        <f t="shared" si="71"/>
        <v>0</v>
      </c>
      <c r="M1504" t="s">
        <v>57</v>
      </c>
      <c r="N1504" t="s">
        <v>21</v>
      </c>
    </row>
    <row r="1505" spans="1:14" x14ac:dyDescent="0.3">
      <c r="A1505">
        <v>2024002503</v>
      </c>
      <c r="B1505" s="1">
        <v>45527</v>
      </c>
      <c r="C1505" s="11">
        <f t="shared" si="69"/>
        <v>2024</v>
      </c>
      <c r="D1505" t="s">
        <v>160</v>
      </c>
      <c r="E1505" t="s">
        <v>12</v>
      </c>
      <c r="F1505" t="s">
        <v>13</v>
      </c>
      <c r="G1505" t="s">
        <v>14</v>
      </c>
      <c r="H1505">
        <v>1</v>
      </c>
      <c r="I1505" s="2">
        <v>357.65</v>
      </c>
      <c r="J1505" s="2">
        <v>357.65</v>
      </c>
      <c r="K1505" s="2">
        <f t="shared" si="70"/>
        <v>357.65</v>
      </c>
      <c r="L1505" s="2">
        <f t="shared" si="71"/>
        <v>0</v>
      </c>
      <c r="M1505" t="s">
        <v>61</v>
      </c>
      <c r="N1505" t="s">
        <v>32</v>
      </c>
    </row>
    <row r="1506" spans="1:14" x14ac:dyDescent="0.3">
      <c r="A1506">
        <v>2024002504</v>
      </c>
      <c r="B1506" s="1">
        <v>45524</v>
      </c>
      <c r="C1506" s="11">
        <f t="shared" si="69"/>
        <v>2024</v>
      </c>
      <c r="D1506" t="s">
        <v>11</v>
      </c>
      <c r="E1506" t="s">
        <v>46</v>
      </c>
      <c r="F1506" t="s">
        <v>47</v>
      </c>
      <c r="G1506" t="s">
        <v>36</v>
      </c>
      <c r="H1506">
        <v>2</v>
      </c>
      <c r="I1506" s="2">
        <v>92.77</v>
      </c>
      <c r="J1506" s="2">
        <v>185.54</v>
      </c>
      <c r="K1506" s="2">
        <f t="shared" si="70"/>
        <v>185.54</v>
      </c>
      <c r="L1506" s="2">
        <f t="shared" si="71"/>
        <v>0</v>
      </c>
      <c r="M1506" t="s">
        <v>25</v>
      </c>
      <c r="N1506" t="s">
        <v>26</v>
      </c>
    </row>
    <row r="1507" spans="1:14" x14ac:dyDescent="0.3">
      <c r="A1507">
        <v>2024002505</v>
      </c>
      <c r="B1507" s="1">
        <v>45382</v>
      </c>
      <c r="C1507" s="11">
        <f t="shared" si="69"/>
        <v>2024</v>
      </c>
      <c r="D1507" t="s">
        <v>87</v>
      </c>
      <c r="E1507" t="s">
        <v>67</v>
      </c>
      <c r="F1507" t="s">
        <v>68</v>
      </c>
      <c r="G1507" t="s">
        <v>36</v>
      </c>
      <c r="H1507">
        <v>1</v>
      </c>
      <c r="I1507" s="2">
        <v>423.64</v>
      </c>
      <c r="J1507" s="2">
        <v>423.64</v>
      </c>
      <c r="K1507" s="2">
        <f t="shared" si="70"/>
        <v>423.64</v>
      </c>
      <c r="L1507" s="2">
        <f t="shared" si="71"/>
        <v>0</v>
      </c>
      <c r="M1507" t="s">
        <v>20</v>
      </c>
      <c r="N1507" t="s">
        <v>26</v>
      </c>
    </row>
    <row r="1508" spans="1:14" x14ac:dyDescent="0.3">
      <c r="A1508">
        <v>2024002506</v>
      </c>
      <c r="B1508" s="1">
        <v>45517</v>
      </c>
      <c r="C1508" s="11">
        <f t="shared" si="69"/>
        <v>2024</v>
      </c>
      <c r="D1508" t="s">
        <v>136</v>
      </c>
      <c r="E1508" t="s">
        <v>40</v>
      </c>
      <c r="F1508" t="s">
        <v>41</v>
      </c>
      <c r="G1508" t="s">
        <v>36</v>
      </c>
      <c r="H1508">
        <v>2</v>
      </c>
      <c r="I1508" s="2">
        <v>47.14</v>
      </c>
      <c r="J1508" s="2">
        <v>94.28</v>
      </c>
      <c r="K1508" s="2">
        <f t="shared" si="70"/>
        <v>94.28</v>
      </c>
      <c r="L1508" s="2">
        <f t="shared" si="71"/>
        <v>0</v>
      </c>
      <c r="M1508" t="s">
        <v>20</v>
      </c>
      <c r="N1508" t="s">
        <v>21</v>
      </c>
    </row>
    <row r="1509" spans="1:14" x14ac:dyDescent="0.3">
      <c r="A1509">
        <v>2024002507</v>
      </c>
      <c r="B1509" s="1">
        <v>45324</v>
      </c>
      <c r="C1509" s="11">
        <f t="shared" si="69"/>
        <v>2024</v>
      </c>
      <c r="D1509" t="s">
        <v>227</v>
      </c>
      <c r="E1509" t="s">
        <v>18</v>
      </c>
      <c r="F1509" t="s">
        <v>19</v>
      </c>
      <c r="G1509" t="s">
        <v>14</v>
      </c>
      <c r="H1509">
        <v>4</v>
      </c>
      <c r="I1509" s="2">
        <v>594.63</v>
      </c>
      <c r="J1509" s="2">
        <v>2378.52</v>
      </c>
      <c r="K1509" s="2">
        <f t="shared" si="70"/>
        <v>2378.52</v>
      </c>
      <c r="L1509" s="2">
        <f t="shared" si="71"/>
        <v>0</v>
      </c>
      <c r="M1509" t="s">
        <v>38</v>
      </c>
      <c r="N1509" t="s">
        <v>26</v>
      </c>
    </row>
    <row r="1510" spans="1:14" x14ac:dyDescent="0.3">
      <c r="A1510">
        <v>2024002508</v>
      </c>
      <c r="B1510" s="1">
        <v>45635</v>
      </c>
      <c r="C1510" s="11">
        <f t="shared" si="69"/>
        <v>2024</v>
      </c>
      <c r="D1510" t="s">
        <v>143</v>
      </c>
      <c r="E1510" t="s">
        <v>43</v>
      </c>
      <c r="F1510" t="s">
        <v>44</v>
      </c>
      <c r="G1510" t="s">
        <v>36</v>
      </c>
      <c r="H1510">
        <v>4</v>
      </c>
      <c r="I1510" s="2">
        <v>1224.52</v>
      </c>
      <c r="J1510" s="2">
        <v>4898.08</v>
      </c>
      <c r="K1510" s="2">
        <f t="shared" si="70"/>
        <v>4898.08</v>
      </c>
      <c r="L1510" s="2">
        <f t="shared" si="71"/>
        <v>0</v>
      </c>
      <c r="M1510" t="s">
        <v>61</v>
      </c>
      <c r="N1510" t="s">
        <v>32</v>
      </c>
    </row>
    <row r="1511" spans="1:14" x14ac:dyDescent="0.3">
      <c r="A1511">
        <v>2024002509</v>
      </c>
      <c r="B1511" s="1">
        <v>45443</v>
      </c>
      <c r="C1511" s="11">
        <f t="shared" si="69"/>
        <v>2024</v>
      </c>
      <c r="D1511" t="s">
        <v>95</v>
      </c>
      <c r="E1511" t="s">
        <v>46</v>
      </c>
      <c r="F1511" t="s">
        <v>47</v>
      </c>
      <c r="G1511" t="s">
        <v>36</v>
      </c>
      <c r="H1511">
        <v>1</v>
      </c>
      <c r="I1511" s="2">
        <v>94.95</v>
      </c>
      <c r="J1511" s="2">
        <v>94.95</v>
      </c>
      <c r="K1511" s="2">
        <f t="shared" si="70"/>
        <v>94.95</v>
      </c>
      <c r="L1511" s="2">
        <f t="shared" si="71"/>
        <v>0</v>
      </c>
      <c r="M1511" t="s">
        <v>20</v>
      </c>
      <c r="N1511" t="s">
        <v>16</v>
      </c>
    </row>
    <row r="1512" spans="1:14" x14ac:dyDescent="0.3">
      <c r="A1512">
        <v>2024002510</v>
      </c>
      <c r="B1512" s="1">
        <v>45547</v>
      </c>
      <c r="C1512" s="11">
        <f t="shared" si="69"/>
        <v>2024</v>
      </c>
      <c r="D1512" t="s">
        <v>247</v>
      </c>
      <c r="E1512" t="s">
        <v>23</v>
      </c>
      <c r="F1512" t="s">
        <v>24</v>
      </c>
      <c r="G1512" t="s">
        <v>14</v>
      </c>
      <c r="H1512">
        <v>1</v>
      </c>
      <c r="I1512" s="2">
        <v>68.88</v>
      </c>
      <c r="J1512" s="2">
        <v>68.88</v>
      </c>
      <c r="K1512" s="2">
        <f t="shared" si="70"/>
        <v>68.88</v>
      </c>
      <c r="L1512" s="2">
        <f t="shared" si="71"/>
        <v>0</v>
      </c>
      <c r="M1512" t="s">
        <v>20</v>
      </c>
      <c r="N1512" t="s">
        <v>26</v>
      </c>
    </row>
    <row r="1513" spans="1:14" x14ac:dyDescent="0.3">
      <c r="A1513">
        <v>2024002511</v>
      </c>
      <c r="B1513" s="1">
        <v>45504</v>
      </c>
      <c r="C1513" s="11">
        <f t="shared" si="69"/>
        <v>2024</v>
      </c>
      <c r="D1513" t="s">
        <v>11</v>
      </c>
      <c r="E1513" t="s">
        <v>34</v>
      </c>
      <c r="F1513" t="s">
        <v>35</v>
      </c>
      <c r="G1513" t="s">
        <v>36</v>
      </c>
      <c r="H1513">
        <v>1</v>
      </c>
      <c r="I1513" s="2">
        <v>14.23</v>
      </c>
      <c r="J1513" s="2">
        <v>14.23</v>
      </c>
      <c r="K1513" s="2">
        <f t="shared" si="70"/>
        <v>14.23</v>
      </c>
      <c r="L1513" s="2">
        <f t="shared" si="71"/>
        <v>0</v>
      </c>
      <c r="M1513" t="s">
        <v>55</v>
      </c>
      <c r="N1513" t="s">
        <v>26</v>
      </c>
    </row>
    <row r="1514" spans="1:14" x14ac:dyDescent="0.3">
      <c r="A1514">
        <v>2024002512</v>
      </c>
      <c r="B1514" s="1">
        <v>45406</v>
      </c>
      <c r="C1514" s="11">
        <f t="shared" si="69"/>
        <v>2024</v>
      </c>
      <c r="D1514" t="s">
        <v>212</v>
      </c>
      <c r="E1514" t="s">
        <v>28</v>
      </c>
      <c r="F1514" t="s">
        <v>29</v>
      </c>
      <c r="G1514" t="s">
        <v>30</v>
      </c>
      <c r="H1514">
        <v>1</v>
      </c>
      <c r="I1514" s="2">
        <v>23.44</v>
      </c>
      <c r="J1514" s="2">
        <v>23.44</v>
      </c>
      <c r="K1514" s="2">
        <f t="shared" si="70"/>
        <v>23.44</v>
      </c>
      <c r="L1514" s="2">
        <f t="shared" si="71"/>
        <v>0</v>
      </c>
      <c r="M1514" t="s">
        <v>64</v>
      </c>
      <c r="N1514" t="s">
        <v>26</v>
      </c>
    </row>
    <row r="1515" spans="1:14" x14ac:dyDescent="0.3">
      <c r="A1515">
        <v>2024002513</v>
      </c>
      <c r="B1515" s="1">
        <v>45625</v>
      </c>
      <c r="C1515" s="11">
        <f t="shared" si="69"/>
        <v>2024</v>
      </c>
      <c r="D1515" t="s">
        <v>251</v>
      </c>
      <c r="E1515" t="s">
        <v>67</v>
      </c>
      <c r="F1515" t="s">
        <v>68</v>
      </c>
      <c r="G1515" t="s">
        <v>36</v>
      </c>
      <c r="H1515">
        <v>3</v>
      </c>
      <c r="I1515" s="2">
        <v>409</v>
      </c>
      <c r="J1515" s="2">
        <v>1227</v>
      </c>
      <c r="K1515" s="2">
        <f t="shared" si="70"/>
        <v>1227</v>
      </c>
      <c r="L1515" s="2">
        <f t="shared" si="71"/>
        <v>0</v>
      </c>
      <c r="M1515" t="s">
        <v>38</v>
      </c>
      <c r="N1515" t="s">
        <v>16</v>
      </c>
    </row>
    <row r="1516" spans="1:14" x14ac:dyDescent="0.3">
      <c r="A1516">
        <v>2024002514</v>
      </c>
      <c r="B1516" s="1">
        <v>45411</v>
      </c>
      <c r="C1516" s="11">
        <f t="shared" si="69"/>
        <v>2024</v>
      </c>
      <c r="D1516" t="s">
        <v>309</v>
      </c>
      <c r="E1516" t="s">
        <v>28</v>
      </c>
      <c r="F1516" t="s">
        <v>29</v>
      </c>
      <c r="G1516" t="s">
        <v>30</v>
      </c>
      <c r="H1516">
        <v>1</v>
      </c>
      <c r="I1516" s="2">
        <v>24.33</v>
      </c>
      <c r="J1516" s="2">
        <v>24.33</v>
      </c>
      <c r="K1516" s="2">
        <f t="shared" si="70"/>
        <v>24.33</v>
      </c>
      <c r="L1516" s="2">
        <f t="shared" si="71"/>
        <v>0</v>
      </c>
      <c r="M1516" t="s">
        <v>48</v>
      </c>
      <c r="N1516" t="s">
        <v>32</v>
      </c>
    </row>
    <row r="1517" spans="1:14" x14ac:dyDescent="0.3">
      <c r="A1517">
        <v>2024002515</v>
      </c>
      <c r="B1517" s="1">
        <v>45526</v>
      </c>
      <c r="C1517" s="11">
        <f t="shared" si="69"/>
        <v>2024</v>
      </c>
      <c r="D1517" t="s">
        <v>189</v>
      </c>
      <c r="E1517" t="s">
        <v>18</v>
      </c>
      <c r="F1517" t="s">
        <v>19</v>
      </c>
      <c r="G1517" t="s">
        <v>14</v>
      </c>
      <c r="H1517">
        <v>3</v>
      </c>
      <c r="I1517" s="2">
        <v>609.83000000000004</v>
      </c>
      <c r="J1517" s="2">
        <v>1829.49</v>
      </c>
      <c r="K1517" s="2">
        <f t="shared" si="70"/>
        <v>1829.4900000000002</v>
      </c>
      <c r="L1517" s="2">
        <f t="shared" si="71"/>
        <v>0</v>
      </c>
      <c r="M1517" t="s">
        <v>25</v>
      </c>
      <c r="N1517" t="s">
        <v>16</v>
      </c>
    </row>
    <row r="1518" spans="1:14" x14ac:dyDescent="0.3">
      <c r="A1518">
        <v>2024002516</v>
      </c>
      <c r="B1518" s="1">
        <v>45338</v>
      </c>
      <c r="C1518" s="11">
        <f t="shared" si="69"/>
        <v>2024</v>
      </c>
      <c r="D1518" t="s">
        <v>49</v>
      </c>
      <c r="E1518" t="s">
        <v>53</v>
      </c>
      <c r="F1518" t="s">
        <v>54</v>
      </c>
      <c r="G1518" t="s">
        <v>36</v>
      </c>
      <c r="H1518">
        <v>1</v>
      </c>
      <c r="I1518" s="2">
        <v>120.25</v>
      </c>
      <c r="J1518" s="2">
        <v>120.25</v>
      </c>
      <c r="K1518" s="2">
        <f t="shared" si="70"/>
        <v>120.25</v>
      </c>
      <c r="L1518" s="2">
        <f t="shared" si="71"/>
        <v>0</v>
      </c>
      <c r="M1518" t="s">
        <v>64</v>
      </c>
      <c r="N1518" t="s">
        <v>26</v>
      </c>
    </row>
    <row r="1519" spans="1:14" x14ac:dyDescent="0.3">
      <c r="A1519">
        <v>2024002517</v>
      </c>
      <c r="B1519" s="1">
        <v>45435</v>
      </c>
      <c r="C1519" s="11">
        <f t="shared" si="69"/>
        <v>2024</v>
      </c>
      <c r="D1519" t="s">
        <v>195</v>
      </c>
      <c r="E1519" t="s">
        <v>28</v>
      </c>
      <c r="F1519" t="s">
        <v>29</v>
      </c>
      <c r="G1519" t="s">
        <v>30</v>
      </c>
      <c r="H1519">
        <v>1</v>
      </c>
      <c r="I1519" s="2">
        <v>24.32</v>
      </c>
      <c r="J1519" s="2">
        <v>24.32</v>
      </c>
      <c r="K1519" s="2">
        <f t="shared" si="70"/>
        <v>24.32</v>
      </c>
      <c r="L1519" s="2">
        <f t="shared" si="71"/>
        <v>0</v>
      </c>
      <c r="M1519" t="s">
        <v>31</v>
      </c>
      <c r="N1519" t="s">
        <v>16</v>
      </c>
    </row>
    <row r="1520" spans="1:14" x14ac:dyDescent="0.3">
      <c r="A1520">
        <v>2024002518</v>
      </c>
      <c r="B1520" s="1">
        <v>45343</v>
      </c>
      <c r="C1520" s="11">
        <f t="shared" si="69"/>
        <v>2024</v>
      </c>
      <c r="D1520" t="s">
        <v>258</v>
      </c>
      <c r="E1520" t="s">
        <v>46</v>
      </c>
      <c r="F1520" t="s">
        <v>47</v>
      </c>
      <c r="G1520" t="s">
        <v>36</v>
      </c>
      <c r="H1520">
        <v>1</v>
      </c>
      <c r="I1520" s="2">
        <v>82.73</v>
      </c>
      <c r="J1520" s="2">
        <v>82.73</v>
      </c>
      <c r="K1520" s="2">
        <f t="shared" si="70"/>
        <v>82.73</v>
      </c>
      <c r="L1520" s="2">
        <f t="shared" si="71"/>
        <v>0</v>
      </c>
      <c r="M1520" t="s">
        <v>15</v>
      </c>
      <c r="N1520" t="s">
        <v>26</v>
      </c>
    </row>
    <row r="1521" spans="1:14" x14ac:dyDescent="0.3">
      <c r="A1521">
        <v>2024002519</v>
      </c>
      <c r="B1521" s="1">
        <v>45397</v>
      </c>
      <c r="C1521" s="11">
        <f t="shared" si="69"/>
        <v>2024</v>
      </c>
      <c r="D1521" t="s">
        <v>165</v>
      </c>
      <c r="E1521" t="s">
        <v>46</v>
      </c>
      <c r="F1521" t="s">
        <v>47</v>
      </c>
      <c r="G1521" t="s">
        <v>36</v>
      </c>
      <c r="H1521">
        <v>3</v>
      </c>
      <c r="I1521" s="2">
        <v>80.22</v>
      </c>
      <c r="J1521" s="2">
        <v>240.66</v>
      </c>
      <c r="K1521" s="2">
        <f t="shared" si="70"/>
        <v>240.66</v>
      </c>
      <c r="L1521" s="2">
        <f t="shared" si="71"/>
        <v>0</v>
      </c>
      <c r="M1521" t="s">
        <v>61</v>
      </c>
      <c r="N1521" t="s">
        <v>32</v>
      </c>
    </row>
    <row r="1522" spans="1:14" x14ac:dyDescent="0.3">
      <c r="A1522">
        <v>2024002520</v>
      </c>
      <c r="B1522" s="1">
        <v>45649</v>
      </c>
      <c r="C1522" s="11">
        <f t="shared" si="69"/>
        <v>2024</v>
      </c>
      <c r="D1522" t="s">
        <v>90</v>
      </c>
      <c r="E1522" t="s">
        <v>12</v>
      </c>
      <c r="F1522" t="s">
        <v>13</v>
      </c>
      <c r="G1522" t="s">
        <v>14</v>
      </c>
      <c r="H1522">
        <v>1</v>
      </c>
      <c r="I1522" s="2">
        <v>350.01</v>
      </c>
      <c r="J1522" s="2">
        <v>350.01</v>
      </c>
      <c r="K1522" s="2">
        <f t="shared" si="70"/>
        <v>350.01</v>
      </c>
      <c r="L1522" s="2">
        <f t="shared" si="71"/>
        <v>0</v>
      </c>
      <c r="M1522" t="s">
        <v>55</v>
      </c>
      <c r="N1522" t="s">
        <v>26</v>
      </c>
    </row>
    <row r="1523" spans="1:14" x14ac:dyDescent="0.3">
      <c r="A1523">
        <v>2024002521</v>
      </c>
      <c r="B1523" s="1">
        <v>45349</v>
      </c>
      <c r="C1523" s="11">
        <f t="shared" si="69"/>
        <v>2024</v>
      </c>
      <c r="D1523" t="s">
        <v>11</v>
      </c>
      <c r="E1523" t="s">
        <v>34</v>
      </c>
      <c r="F1523" t="s">
        <v>35</v>
      </c>
      <c r="G1523" t="s">
        <v>36</v>
      </c>
      <c r="H1523">
        <v>1</v>
      </c>
      <c r="I1523" s="2">
        <v>14.67</v>
      </c>
      <c r="J1523" s="2">
        <v>14.67</v>
      </c>
      <c r="K1523" s="2">
        <f t="shared" si="70"/>
        <v>14.67</v>
      </c>
      <c r="L1523" s="2">
        <f t="shared" si="71"/>
        <v>0</v>
      </c>
      <c r="M1523" t="s">
        <v>64</v>
      </c>
      <c r="N1523" t="s">
        <v>32</v>
      </c>
    </row>
    <row r="1524" spans="1:14" x14ac:dyDescent="0.3">
      <c r="A1524">
        <v>2024002522</v>
      </c>
      <c r="B1524" s="1">
        <v>45394</v>
      </c>
      <c r="C1524" s="11">
        <f t="shared" si="69"/>
        <v>2024</v>
      </c>
      <c r="D1524" t="s">
        <v>191</v>
      </c>
      <c r="E1524" t="s">
        <v>67</v>
      </c>
      <c r="F1524" t="s">
        <v>68</v>
      </c>
      <c r="G1524" t="s">
        <v>36</v>
      </c>
      <c r="H1524">
        <v>2</v>
      </c>
      <c r="I1524" s="2">
        <v>394.26</v>
      </c>
      <c r="J1524" s="2">
        <v>788.52</v>
      </c>
      <c r="K1524" s="2">
        <f t="shared" si="70"/>
        <v>788.52</v>
      </c>
      <c r="L1524" s="2">
        <f t="shared" si="71"/>
        <v>0</v>
      </c>
      <c r="M1524" t="s">
        <v>25</v>
      </c>
      <c r="N1524" t="s">
        <v>26</v>
      </c>
    </row>
    <row r="1525" spans="1:14" x14ac:dyDescent="0.3">
      <c r="A1525">
        <v>2024002523</v>
      </c>
      <c r="B1525" s="1">
        <v>45587</v>
      </c>
      <c r="C1525" s="11">
        <f t="shared" si="69"/>
        <v>2024</v>
      </c>
      <c r="D1525" t="s">
        <v>335</v>
      </c>
      <c r="E1525" t="s">
        <v>53</v>
      </c>
      <c r="F1525" t="s">
        <v>54</v>
      </c>
      <c r="G1525" t="s">
        <v>36</v>
      </c>
      <c r="H1525">
        <v>1</v>
      </c>
      <c r="I1525" s="2">
        <v>126.9</v>
      </c>
      <c r="J1525" s="2">
        <v>126.9</v>
      </c>
      <c r="K1525" s="2">
        <f t="shared" si="70"/>
        <v>126.9</v>
      </c>
      <c r="L1525" s="2">
        <f t="shared" si="71"/>
        <v>0</v>
      </c>
      <c r="M1525" t="s">
        <v>61</v>
      </c>
      <c r="N1525" t="s">
        <v>26</v>
      </c>
    </row>
    <row r="1526" spans="1:14" x14ac:dyDescent="0.3">
      <c r="A1526">
        <v>2024002524</v>
      </c>
      <c r="B1526" s="1">
        <v>45591</v>
      </c>
      <c r="C1526" s="11">
        <f t="shared" si="69"/>
        <v>2024</v>
      </c>
      <c r="D1526" t="s">
        <v>247</v>
      </c>
      <c r="E1526" t="s">
        <v>18</v>
      </c>
      <c r="F1526" t="s">
        <v>19</v>
      </c>
      <c r="G1526" t="s">
        <v>14</v>
      </c>
      <c r="H1526">
        <v>3</v>
      </c>
      <c r="I1526" s="2">
        <v>587.48</v>
      </c>
      <c r="J1526" s="2">
        <v>1762.44</v>
      </c>
      <c r="K1526" s="2">
        <f t="shared" si="70"/>
        <v>1762.44</v>
      </c>
      <c r="L1526" s="2">
        <f t="shared" si="71"/>
        <v>0</v>
      </c>
      <c r="M1526" t="s">
        <v>15</v>
      </c>
      <c r="N1526" t="s">
        <v>26</v>
      </c>
    </row>
    <row r="1527" spans="1:14" x14ac:dyDescent="0.3">
      <c r="A1527">
        <v>2024002525</v>
      </c>
      <c r="B1527" s="1">
        <v>45315</v>
      </c>
      <c r="C1527" s="11">
        <f t="shared" si="69"/>
        <v>2024</v>
      </c>
      <c r="D1527" t="s">
        <v>183</v>
      </c>
      <c r="E1527" t="s">
        <v>67</v>
      </c>
      <c r="F1527" t="s">
        <v>68</v>
      </c>
      <c r="G1527" t="s">
        <v>36</v>
      </c>
      <c r="H1527">
        <v>1</v>
      </c>
      <c r="I1527" s="2">
        <v>361.58</v>
      </c>
      <c r="J1527" s="2">
        <v>361.58</v>
      </c>
      <c r="K1527" s="2">
        <f t="shared" si="70"/>
        <v>361.58</v>
      </c>
      <c r="L1527" s="2">
        <f t="shared" si="71"/>
        <v>0</v>
      </c>
      <c r="M1527" t="s">
        <v>20</v>
      </c>
      <c r="N1527" t="s">
        <v>21</v>
      </c>
    </row>
    <row r="1528" spans="1:14" x14ac:dyDescent="0.3">
      <c r="A1528">
        <v>2024002526</v>
      </c>
      <c r="B1528" s="1">
        <v>45345</v>
      </c>
      <c r="C1528" s="11">
        <f t="shared" si="69"/>
        <v>2024</v>
      </c>
      <c r="D1528" t="s">
        <v>197</v>
      </c>
      <c r="E1528" t="s">
        <v>46</v>
      </c>
      <c r="F1528" t="s">
        <v>47</v>
      </c>
      <c r="G1528" t="s">
        <v>36</v>
      </c>
      <c r="H1528">
        <v>1</v>
      </c>
      <c r="I1528" s="2">
        <v>93.08</v>
      </c>
      <c r="J1528" s="2">
        <v>93.08</v>
      </c>
      <c r="K1528" s="2">
        <f t="shared" si="70"/>
        <v>93.08</v>
      </c>
      <c r="L1528" s="2">
        <f t="shared" si="71"/>
        <v>0</v>
      </c>
      <c r="M1528" t="s">
        <v>20</v>
      </c>
      <c r="N1528" t="s">
        <v>26</v>
      </c>
    </row>
    <row r="1529" spans="1:14" x14ac:dyDescent="0.3">
      <c r="A1529">
        <v>2024002527</v>
      </c>
      <c r="B1529" s="1">
        <v>45600</v>
      </c>
      <c r="C1529" s="11">
        <f t="shared" si="69"/>
        <v>2024</v>
      </c>
      <c r="D1529" t="s">
        <v>305</v>
      </c>
      <c r="E1529" t="s">
        <v>67</v>
      </c>
      <c r="F1529" t="s">
        <v>68</v>
      </c>
      <c r="G1529" t="s">
        <v>36</v>
      </c>
      <c r="H1529">
        <v>2</v>
      </c>
      <c r="I1529" s="2">
        <v>354.16</v>
      </c>
      <c r="J1529" s="2">
        <v>708.32</v>
      </c>
      <c r="K1529" s="2">
        <f t="shared" si="70"/>
        <v>708.32</v>
      </c>
      <c r="L1529" s="2">
        <f t="shared" si="71"/>
        <v>0</v>
      </c>
      <c r="M1529" t="s">
        <v>15</v>
      </c>
      <c r="N1529" t="s">
        <v>32</v>
      </c>
    </row>
    <row r="1530" spans="1:14" x14ac:dyDescent="0.3">
      <c r="A1530">
        <v>2024002528</v>
      </c>
      <c r="B1530" s="1">
        <v>45624</v>
      </c>
      <c r="C1530" s="11">
        <f t="shared" si="69"/>
        <v>2024</v>
      </c>
      <c r="D1530" t="s">
        <v>79</v>
      </c>
      <c r="E1530" t="s">
        <v>18</v>
      </c>
      <c r="F1530" t="s">
        <v>19</v>
      </c>
      <c r="G1530" t="s">
        <v>14</v>
      </c>
      <c r="H1530">
        <v>1</v>
      </c>
      <c r="I1530" s="2">
        <v>633.5</v>
      </c>
      <c r="J1530" s="2">
        <v>633.5</v>
      </c>
      <c r="K1530" s="2">
        <f t="shared" si="70"/>
        <v>633.5</v>
      </c>
      <c r="L1530" s="2">
        <f t="shared" si="71"/>
        <v>0</v>
      </c>
      <c r="M1530" t="s">
        <v>48</v>
      </c>
      <c r="N1530" t="s">
        <v>16</v>
      </c>
    </row>
    <row r="1531" spans="1:14" x14ac:dyDescent="0.3">
      <c r="A1531">
        <v>2024002529</v>
      </c>
      <c r="B1531" s="1">
        <v>45391</v>
      </c>
      <c r="C1531" s="11">
        <f t="shared" si="69"/>
        <v>2024</v>
      </c>
      <c r="D1531" t="s">
        <v>122</v>
      </c>
      <c r="E1531" t="s">
        <v>34</v>
      </c>
      <c r="F1531" t="s">
        <v>35</v>
      </c>
      <c r="G1531" t="s">
        <v>36</v>
      </c>
      <c r="H1531">
        <v>2</v>
      </c>
      <c r="I1531" s="2">
        <v>15.17</v>
      </c>
      <c r="J1531" s="2">
        <v>30.34</v>
      </c>
      <c r="K1531" s="2">
        <f t="shared" si="70"/>
        <v>30.34</v>
      </c>
      <c r="L1531" s="2">
        <f t="shared" si="71"/>
        <v>0</v>
      </c>
      <c r="M1531" t="s">
        <v>48</v>
      </c>
      <c r="N1531" t="s">
        <v>32</v>
      </c>
    </row>
    <row r="1532" spans="1:14" x14ac:dyDescent="0.3">
      <c r="A1532">
        <v>2024002530</v>
      </c>
      <c r="B1532" s="1">
        <v>45440</v>
      </c>
      <c r="C1532" s="11">
        <f t="shared" si="69"/>
        <v>2024</v>
      </c>
      <c r="D1532" t="s">
        <v>148</v>
      </c>
      <c r="E1532" t="s">
        <v>18</v>
      </c>
      <c r="F1532" t="s">
        <v>19</v>
      </c>
      <c r="G1532" t="s">
        <v>14</v>
      </c>
      <c r="H1532">
        <v>2</v>
      </c>
      <c r="I1532" s="2">
        <v>565.01</v>
      </c>
      <c r="J1532" s="2">
        <v>1130.02</v>
      </c>
      <c r="K1532" s="2">
        <f t="shared" si="70"/>
        <v>1130.02</v>
      </c>
      <c r="L1532" s="2">
        <f t="shared" si="71"/>
        <v>0</v>
      </c>
      <c r="M1532" t="s">
        <v>20</v>
      </c>
      <c r="N1532" t="s">
        <v>32</v>
      </c>
    </row>
    <row r="1533" spans="1:14" x14ac:dyDescent="0.3">
      <c r="A1533">
        <v>2024002531</v>
      </c>
      <c r="B1533" s="1">
        <v>45337</v>
      </c>
      <c r="C1533" s="11">
        <f t="shared" si="69"/>
        <v>2024</v>
      </c>
      <c r="D1533" t="s">
        <v>264</v>
      </c>
      <c r="E1533" t="s">
        <v>18</v>
      </c>
      <c r="F1533" t="s">
        <v>19</v>
      </c>
      <c r="G1533" t="s">
        <v>14</v>
      </c>
      <c r="H1533">
        <v>1</v>
      </c>
      <c r="I1533" s="2">
        <v>599.66999999999996</v>
      </c>
      <c r="J1533" s="2">
        <v>599.66999999999996</v>
      </c>
      <c r="K1533" s="2">
        <f t="shared" si="70"/>
        <v>599.66999999999996</v>
      </c>
      <c r="L1533" s="2">
        <f t="shared" si="71"/>
        <v>0</v>
      </c>
      <c r="M1533" t="s">
        <v>48</v>
      </c>
      <c r="N1533" t="s">
        <v>16</v>
      </c>
    </row>
    <row r="1534" spans="1:14" x14ac:dyDescent="0.3">
      <c r="A1534">
        <v>2024002532</v>
      </c>
      <c r="B1534" s="1">
        <v>45542</v>
      </c>
      <c r="C1534" s="11">
        <f t="shared" si="69"/>
        <v>2024</v>
      </c>
      <c r="D1534" t="s">
        <v>90</v>
      </c>
      <c r="E1534" t="s">
        <v>46</v>
      </c>
      <c r="F1534" t="s">
        <v>47</v>
      </c>
      <c r="G1534" t="s">
        <v>36</v>
      </c>
      <c r="H1534">
        <v>3</v>
      </c>
      <c r="I1534" s="2">
        <v>86.77</v>
      </c>
      <c r="J1534" s="2">
        <v>260.31</v>
      </c>
      <c r="K1534" s="2">
        <f t="shared" si="70"/>
        <v>260.31</v>
      </c>
      <c r="L1534" s="2">
        <f t="shared" si="71"/>
        <v>0</v>
      </c>
      <c r="M1534" t="s">
        <v>57</v>
      </c>
      <c r="N1534" t="s">
        <v>32</v>
      </c>
    </row>
    <row r="1535" spans="1:14" x14ac:dyDescent="0.3">
      <c r="A1535">
        <v>2024002533</v>
      </c>
      <c r="B1535" s="1">
        <v>45448</v>
      </c>
      <c r="C1535" s="11">
        <f t="shared" si="69"/>
        <v>2024</v>
      </c>
      <c r="D1535" t="s">
        <v>146</v>
      </c>
      <c r="E1535" t="s">
        <v>40</v>
      </c>
      <c r="F1535" t="s">
        <v>41</v>
      </c>
      <c r="G1535" t="s">
        <v>36</v>
      </c>
      <c r="H1535">
        <v>1</v>
      </c>
      <c r="I1535" s="2">
        <v>48.85</v>
      </c>
      <c r="J1535" s="2">
        <v>48.85</v>
      </c>
      <c r="K1535" s="2">
        <f t="shared" si="70"/>
        <v>48.85</v>
      </c>
      <c r="L1535" s="2">
        <f t="shared" si="71"/>
        <v>0</v>
      </c>
      <c r="M1535" t="s">
        <v>31</v>
      </c>
      <c r="N1535" t="s">
        <v>21</v>
      </c>
    </row>
    <row r="1536" spans="1:14" x14ac:dyDescent="0.3">
      <c r="A1536">
        <v>2024002534</v>
      </c>
      <c r="B1536" s="1">
        <v>45494</v>
      </c>
      <c r="C1536" s="11">
        <f t="shared" si="69"/>
        <v>2024</v>
      </c>
      <c r="D1536" t="s">
        <v>127</v>
      </c>
      <c r="E1536" t="s">
        <v>46</v>
      </c>
      <c r="F1536" t="s">
        <v>47</v>
      </c>
      <c r="G1536" t="s">
        <v>36</v>
      </c>
      <c r="H1536">
        <v>4</v>
      </c>
      <c r="I1536" s="2">
        <v>91.84</v>
      </c>
      <c r="J1536" s="2">
        <v>367.36</v>
      </c>
      <c r="K1536" s="2">
        <f t="shared" si="70"/>
        <v>367.36</v>
      </c>
      <c r="L1536" s="2">
        <f t="shared" si="71"/>
        <v>0</v>
      </c>
      <c r="M1536" t="s">
        <v>31</v>
      </c>
      <c r="N1536" t="s">
        <v>26</v>
      </c>
    </row>
    <row r="1537" spans="1:14" x14ac:dyDescent="0.3">
      <c r="A1537">
        <v>2024002535</v>
      </c>
      <c r="B1537" s="1">
        <v>45580</v>
      </c>
      <c r="C1537" s="11">
        <f t="shared" si="69"/>
        <v>2024</v>
      </c>
      <c r="D1537" t="s">
        <v>11</v>
      </c>
      <c r="E1537" t="s">
        <v>43</v>
      </c>
      <c r="F1537" t="s">
        <v>44</v>
      </c>
      <c r="G1537" t="s">
        <v>36</v>
      </c>
      <c r="H1537">
        <v>1</v>
      </c>
      <c r="I1537" s="2">
        <v>1174.43</v>
      </c>
      <c r="J1537" s="2">
        <v>1174.43</v>
      </c>
      <c r="K1537" s="2">
        <f t="shared" si="70"/>
        <v>1174.43</v>
      </c>
      <c r="L1537" s="2">
        <f t="shared" si="71"/>
        <v>0</v>
      </c>
      <c r="M1537" t="s">
        <v>31</v>
      </c>
      <c r="N1537" t="s">
        <v>32</v>
      </c>
    </row>
    <row r="1538" spans="1:14" x14ac:dyDescent="0.3">
      <c r="A1538">
        <v>2024002536</v>
      </c>
      <c r="B1538" s="1">
        <v>45521</v>
      </c>
      <c r="C1538" s="11">
        <f t="shared" si="69"/>
        <v>2024</v>
      </c>
      <c r="D1538" t="s">
        <v>243</v>
      </c>
      <c r="E1538" t="s">
        <v>28</v>
      </c>
      <c r="F1538" t="s">
        <v>29</v>
      </c>
      <c r="G1538" t="s">
        <v>30</v>
      </c>
      <c r="H1538">
        <v>1</v>
      </c>
      <c r="I1538" s="2">
        <v>24.65</v>
      </c>
      <c r="J1538" s="2">
        <v>24.65</v>
      </c>
      <c r="K1538" s="2">
        <f t="shared" si="70"/>
        <v>24.65</v>
      </c>
      <c r="L1538" s="2">
        <f t="shared" si="71"/>
        <v>0</v>
      </c>
      <c r="M1538" t="s">
        <v>55</v>
      </c>
      <c r="N1538" t="s">
        <v>21</v>
      </c>
    </row>
    <row r="1539" spans="1:14" x14ac:dyDescent="0.3">
      <c r="A1539">
        <v>2024002537</v>
      </c>
      <c r="B1539" s="1">
        <v>45386</v>
      </c>
      <c r="C1539" s="11">
        <f t="shared" ref="C1539:C1602" si="72">YEAR(B1539)</f>
        <v>2024</v>
      </c>
      <c r="D1539" t="s">
        <v>252</v>
      </c>
      <c r="E1539" t="s">
        <v>53</v>
      </c>
      <c r="F1539" t="s">
        <v>54</v>
      </c>
      <c r="G1539" t="s">
        <v>36</v>
      </c>
      <c r="H1539">
        <v>2</v>
      </c>
      <c r="I1539" s="2">
        <v>117.01</v>
      </c>
      <c r="J1539" s="2">
        <v>234.02</v>
      </c>
      <c r="K1539" s="2">
        <f t="shared" ref="K1539:K1602" si="73">I1539*H1539</f>
        <v>234.02</v>
      </c>
      <c r="L1539" s="2">
        <f t="shared" ref="L1539:L1602" si="74">J1539-K1539</f>
        <v>0</v>
      </c>
      <c r="M1539" t="s">
        <v>48</v>
      </c>
      <c r="N1539" t="s">
        <v>32</v>
      </c>
    </row>
    <row r="1540" spans="1:14" x14ac:dyDescent="0.3">
      <c r="A1540">
        <v>2024002538</v>
      </c>
      <c r="B1540" s="1">
        <v>45625</v>
      </c>
      <c r="C1540" s="11">
        <f t="shared" si="72"/>
        <v>2024</v>
      </c>
      <c r="D1540" t="s">
        <v>184</v>
      </c>
      <c r="E1540" t="s">
        <v>53</v>
      </c>
      <c r="F1540" t="s">
        <v>54</v>
      </c>
      <c r="G1540" t="s">
        <v>36</v>
      </c>
      <c r="H1540">
        <v>2</v>
      </c>
      <c r="I1540" s="2">
        <v>114.51</v>
      </c>
      <c r="J1540" s="2">
        <v>229.02</v>
      </c>
      <c r="K1540" s="2">
        <f t="shared" si="73"/>
        <v>229.02</v>
      </c>
      <c r="L1540" s="2">
        <f t="shared" si="74"/>
        <v>0</v>
      </c>
      <c r="M1540" t="s">
        <v>38</v>
      </c>
      <c r="N1540" t="s">
        <v>32</v>
      </c>
    </row>
    <row r="1541" spans="1:14" x14ac:dyDescent="0.3">
      <c r="A1541">
        <v>2024002539</v>
      </c>
      <c r="B1541" s="1">
        <v>45339</v>
      </c>
      <c r="C1541" s="11">
        <f t="shared" si="72"/>
        <v>2024</v>
      </c>
      <c r="D1541" t="s">
        <v>11</v>
      </c>
      <c r="E1541" t="s">
        <v>23</v>
      </c>
      <c r="F1541" t="s">
        <v>24</v>
      </c>
      <c r="G1541" t="s">
        <v>14</v>
      </c>
      <c r="H1541">
        <v>1</v>
      </c>
      <c r="I1541" s="2">
        <v>78.13</v>
      </c>
      <c r="J1541" s="2">
        <v>78.13</v>
      </c>
      <c r="K1541" s="2">
        <f t="shared" si="73"/>
        <v>78.13</v>
      </c>
      <c r="L1541" s="2">
        <f t="shared" si="74"/>
        <v>0</v>
      </c>
      <c r="M1541" t="s">
        <v>64</v>
      </c>
      <c r="N1541" t="s">
        <v>16</v>
      </c>
    </row>
    <row r="1542" spans="1:14" x14ac:dyDescent="0.3">
      <c r="A1542">
        <v>2024002540</v>
      </c>
      <c r="B1542" s="1">
        <v>45341</v>
      </c>
      <c r="C1542" s="11">
        <f t="shared" si="72"/>
        <v>2024</v>
      </c>
      <c r="D1542" t="s">
        <v>22</v>
      </c>
      <c r="E1542" t="s">
        <v>53</v>
      </c>
      <c r="F1542" t="s">
        <v>54</v>
      </c>
      <c r="G1542" t="s">
        <v>36</v>
      </c>
      <c r="H1542">
        <v>3</v>
      </c>
      <c r="I1542" s="2">
        <v>118.15</v>
      </c>
      <c r="J1542" s="2">
        <v>354.45</v>
      </c>
      <c r="K1542" s="2">
        <f t="shared" si="73"/>
        <v>354.45000000000005</v>
      </c>
      <c r="L1542" s="2">
        <f t="shared" si="74"/>
        <v>0</v>
      </c>
      <c r="M1542" t="s">
        <v>20</v>
      </c>
      <c r="N1542" t="s">
        <v>16</v>
      </c>
    </row>
    <row r="1543" spans="1:14" x14ac:dyDescent="0.3">
      <c r="A1543">
        <v>2024002541</v>
      </c>
      <c r="B1543" s="1">
        <v>45386</v>
      </c>
      <c r="C1543" s="11">
        <f t="shared" si="72"/>
        <v>2024</v>
      </c>
      <c r="D1543" t="s">
        <v>93</v>
      </c>
      <c r="E1543" t="s">
        <v>43</v>
      </c>
      <c r="F1543" t="s">
        <v>44</v>
      </c>
      <c r="G1543" t="s">
        <v>36</v>
      </c>
      <c r="H1543">
        <v>2</v>
      </c>
      <c r="I1543" s="2">
        <v>1224.29</v>
      </c>
      <c r="J1543" s="2">
        <v>2448.58</v>
      </c>
      <c r="K1543" s="2">
        <f t="shared" si="73"/>
        <v>2448.58</v>
      </c>
      <c r="L1543" s="2">
        <f t="shared" si="74"/>
        <v>0</v>
      </c>
      <c r="M1543" t="s">
        <v>48</v>
      </c>
      <c r="N1543" t="s">
        <v>21</v>
      </c>
    </row>
    <row r="1544" spans="1:14" x14ac:dyDescent="0.3">
      <c r="A1544">
        <v>2024002542</v>
      </c>
      <c r="B1544" s="1">
        <v>45606</v>
      </c>
      <c r="C1544" s="11">
        <f t="shared" si="72"/>
        <v>2024</v>
      </c>
      <c r="D1544" t="s">
        <v>344</v>
      </c>
      <c r="E1544" t="s">
        <v>28</v>
      </c>
      <c r="F1544" t="s">
        <v>29</v>
      </c>
      <c r="G1544" t="s">
        <v>30</v>
      </c>
      <c r="H1544">
        <v>3</v>
      </c>
      <c r="I1544" s="2">
        <v>25.39</v>
      </c>
      <c r="J1544" s="2">
        <v>76.17</v>
      </c>
      <c r="K1544" s="2">
        <f t="shared" si="73"/>
        <v>76.17</v>
      </c>
      <c r="L1544" s="2">
        <f t="shared" si="74"/>
        <v>0</v>
      </c>
      <c r="M1544" t="s">
        <v>15</v>
      </c>
      <c r="N1544" t="s">
        <v>16</v>
      </c>
    </row>
    <row r="1545" spans="1:14" x14ac:dyDescent="0.3">
      <c r="A1545">
        <v>2024002543</v>
      </c>
      <c r="B1545" s="1">
        <v>45425</v>
      </c>
      <c r="C1545" s="11">
        <f t="shared" si="72"/>
        <v>2024</v>
      </c>
      <c r="D1545" t="s">
        <v>86</v>
      </c>
      <c r="E1545" t="s">
        <v>12</v>
      </c>
      <c r="F1545" t="s">
        <v>13</v>
      </c>
      <c r="G1545" t="s">
        <v>14</v>
      </c>
      <c r="H1545">
        <v>2</v>
      </c>
      <c r="I1545" s="2">
        <v>330.27</v>
      </c>
      <c r="J1545" s="2">
        <v>660.54</v>
      </c>
      <c r="K1545" s="2">
        <f t="shared" si="73"/>
        <v>660.54</v>
      </c>
      <c r="L1545" s="2">
        <f t="shared" si="74"/>
        <v>0</v>
      </c>
      <c r="M1545" t="s">
        <v>64</v>
      </c>
      <c r="N1545" t="s">
        <v>21</v>
      </c>
    </row>
    <row r="1546" spans="1:14" x14ac:dyDescent="0.3">
      <c r="A1546">
        <v>2024002544</v>
      </c>
      <c r="B1546" s="1">
        <v>45585</v>
      </c>
      <c r="C1546" s="11">
        <f t="shared" si="72"/>
        <v>2024</v>
      </c>
      <c r="D1546" t="s">
        <v>73</v>
      </c>
      <c r="E1546" t="s">
        <v>12</v>
      </c>
      <c r="F1546" t="s">
        <v>13</v>
      </c>
      <c r="G1546" t="s">
        <v>14</v>
      </c>
      <c r="H1546">
        <v>1</v>
      </c>
      <c r="I1546" s="2">
        <v>345.75</v>
      </c>
      <c r="J1546" s="2">
        <v>345.75</v>
      </c>
      <c r="K1546" s="2">
        <f t="shared" si="73"/>
        <v>345.75</v>
      </c>
      <c r="L1546" s="2">
        <f t="shared" si="74"/>
        <v>0</v>
      </c>
      <c r="M1546" t="s">
        <v>55</v>
      </c>
      <c r="N1546" t="s">
        <v>32</v>
      </c>
    </row>
    <row r="1547" spans="1:14" x14ac:dyDescent="0.3">
      <c r="A1547">
        <v>2024002545</v>
      </c>
      <c r="B1547" s="1">
        <v>45519</v>
      </c>
      <c r="C1547" s="11">
        <f t="shared" si="72"/>
        <v>2024</v>
      </c>
      <c r="D1547" t="s">
        <v>11</v>
      </c>
      <c r="E1547" t="s">
        <v>28</v>
      </c>
      <c r="F1547" t="s">
        <v>29</v>
      </c>
      <c r="G1547" t="s">
        <v>30</v>
      </c>
      <c r="H1547">
        <v>3</v>
      </c>
      <c r="I1547" s="2">
        <v>26.08</v>
      </c>
      <c r="J1547" s="2">
        <v>78.239999999999995</v>
      </c>
      <c r="K1547" s="2">
        <f t="shared" si="73"/>
        <v>78.239999999999995</v>
      </c>
      <c r="L1547" s="2">
        <f t="shared" si="74"/>
        <v>0</v>
      </c>
      <c r="M1547" t="s">
        <v>64</v>
      </c>
      <c r="N1547" t="s">
        <v>21</v>
      </c>
    </row>
    <row r="1548" spans="1:14" x14ac:dyDescent="0.3">
      <c r="A1548">
        <v>2024002546</v>
      </c>
      <c r="B1548" s="1">
        <v>45331</v>
      </c>
      <c r="C1548" s="11">
        <f t="shared" si="72"/>
        <v>2024</v>
      </c>
      <c r="D1548" t="s">
        <v>203</v>
      </c>
      <c r="E1548" t="s">
        <v>53</v>
      </c>
      <c r="F1548" t="s">
        <v>54</v>
      </c>
      <c r="G1548" t="s">
        <v>36</v>
      </c>
      <c r="H1548">
        <v>1</v>
      </c>
      <c r="I1548" s="2">
        <v>109.73</v>
      </c>
      <c r="J1548" s="2">
        <v>109.73</v>
      </c>
      <c r="K1548" s="2">
        <f t="shared" si="73"/>
        <v>109.73</v>
      </c>
      <c r="L1548" s="2">
        <f t="shared" si="74"/>
        <v>0</v>
      </c>
      <c r="M1548" t="s">
        <v>15</v>
      </c>
      <c r="N1548" t="s">
        <v>32</v>
      </c>
    </row>
    <row r="1549" spans="1:14" x14ac:dyDescent="0.3">
      <c r="A1549">
        <v>2024002547</v>
      </c>
      <c r="B1549" s="1">
        <v>45645</v>
      </c>
      <c r="C1549" s="11">
        <f t="shared" si="72"/>
        <v>2024</v>
      </c>
      <c r="D1549" t="s">
        <v>150</v>
      </c>
      <c r="E1549" t="s">
        <v>67</v>
      </c>
      <c r="F1549" t="s">
        <v>68</v>
      </c>
      <c r="G1549" t="s">
        <v>36</v>
      </c>
      <c r="H1549">
        <v>1</v>
      </c>
      <c r="I1549" s="2">
        <v>408.77</v>
      </c>
      <c r="J1549" s="2">
        <v>408.77</v>
      </c>
      <c r="K1549" s="2">
        <f t="shared" si="73"/>
        <v>408.77</v>
      </c>
      <c r="L1549" s="2">
        <f t="shared" si="74"/>
        <v>0</v>
      </c>
      <c r="M1549" t="s">
        <v>38</v>
      </c>
      <c r="N1549" t="s">
        <v>16</v>
      </c>
    </row>
    <row r="1550" spans="1:14" x14ac:dyDescent="0.3">
      <c r="A1550">
        <v>2024002548</v>
      </c>
      <c r="B1550" s="1">
        <v>45461</v>
      </c>
      <c r="C1550" s="11">
        <f t="shared" si="72"/>
        <v>2024</v>
      </c>
      <c r="D1550" t="s">
        <v>237</v>
      </c>
      <c r="E1550" t="s">
        <v>18</v>
      </c>
      <c r="F1550" t="s">
        <v>19</v>
      </c>
      <c r="G1550" t="s">
        <v>14</v>
      </c>
      <c r="H1550">
        <v>1</v>
      </c>
      <c r="I1550" s="2">
        <v>634.21</v>
      </c>
      <c r="J1550" s="2">
        <v>634.21</v>
      </c>
      <c r="K1550" s="2">
        <f t="shared" si="73"/>
        <v>634.21</v>
      </c>
      <c r="L1550" s="2">
        <f t="shared" si="74"/>
        <v>0</v>
      </c>
      <c r="M1550" t="s">
        <v>48</v>
      </c>
      <c r="N1550" t="s">
        <v>21</v>
      </c>
    </row>
    <row r="1551" spans="1:14" x14ac:dyDescent="0.3">
      <c r="A1551">
        <v>2024002549</v>
      </c>
      <c r="B1551" s="1">
        <v>45541</v>
      </c>
      <c r="C1551" s="11">
        <f t="shared" si="72"/>
        <v>2024</v>
      </c>
      <c r="D1551" t="s">
        <v>137</v>
      </c>
      <c r="E1551" t="s">
        <v>43</v>
      </c>
      <c r="F1551" t="s">
        <v>44</v>
      </c>
      <c r="G1551" t="s">
        <v>36</v>
      </c>
      <c r="H1551">
        <v>2</v>
      </c>
      <c r="I1551" s="2">
        <v>1161.79</v>
      </c>
      <c r="J1551" s="2">
        <v>2323.58</v>
      </c>
      <c r="K1551" s="2">
        <f t="shared" si="73"/>
        <v>2323.58</v>
      </c>
      <c r="L1551" s="2">
        <f t="shared" si="74"/>
        <v>0</v>
      </c>
      <c r="M1551" t="s">
        <v>15</v>
      </c>
      <c r="N1551" t="s">
        <v>32</v>
      </c>
    </row>
    <row r="1552" spans="1:14" x14ac:dyDescent="0.3">
      <c r="A1552">
        <v>2024002550</v>
      </c>
      <c r="B1552" s="1">
        <v>45457</v>
      </c>
      <c r="C1552" s="11">
        <f t="shared" si="72"/>
        <v>2024</v>
      </c>
      <c r="D1552" t="s">
        <v>189</v>
      </c>
      <c r="E1552" t="s">
        <v>53</v>
      </c>
      <c r="F1552" t="s">
        <v>54</v>
      </c>
      <c r="G1552" t="s">
        <v>36</v>
      </c>
      <c r="H1552">
        <v>1</v>
      </c>
      <c r="I1552" s="2">
        <v>110.68</v>
      </c>
      <c r="J1552" s="2">
        <v>110.68</v>
      </c>
      <c r="K1552" s="2">
        <f t="shared" si="73"/>
        <v>110.68</v>
      </c>
      <c r="L1552" s="2">
        <f t="shared" si="74"/>
        <v>0</v>
      </c>
      <c r="M1552" t="s">
        <v>38</v>
      </c>
      <c r="N1552" t="s">
        <v>26</v>
      </c>
    </row>
    <row r="1553" spans="1:14" x14ac:dyDescent="0.3">
      <c r="A1553">
        <v>2024002551</v>
      </c>
      <c r="B1553" s="1">
        <v>45391</v>
      </c>
      <c r="C1553" s="11">
        <f t="shared" si="72"/>
        <v>2024</v>
      </c>
      <c r="D1553" t="s">
        <v>330</v>
      </c>
      <c r="E1553" t="s">
        <v>67</v>
      </c>
      <c r="F1553" t="s">
        <v>68</v>
      </c>
      <c r="G1553" t="s">
        <v>36</v>
      </c>
      <c r="H1553">
        <v>2</v>
      </c>
      <c r="I1553" s="2">
        <v>413.32</v>
      </c>
      <c r="J1553" s="2">
        <v>826.64</v>
      </c>
      <c r="K1553" s="2">
        <f t="shared" si="73"/>
        <v>826.64</v>
      </c>
      <c r="L1553" s="2">
        <f t="shared" si="74"/>
        <v>0</v>
      </c>
      <c r="M1553" t="s">
        <v>20</v>
      </c>
      <c r="N1553" t="s">
        <v>32</v>
      </c>
    </row>
    <row r="1554" spans="1:14" x14ac:dyDescent="0.3">
      <c r="A1554">
        <v>2024002552</v>
      </c>
      <c r="B1554" s="1">
        <v>45464</v>
      </c>
      <c r="C1554" s="11">
        <f t="shared" si="72"/>
        <v>2024</v>
      </c>
      <c r="D1554" t="s">
        <v>108</v>
      </c>
      <c r="E1554" t="s">
        <v>28</v>
      </c>
      <c r="F1554" t="s">
        <v>29</v>
      </c>
      <c r="G1554" t="s">
        <v>30</v>
      </c>
      <c r="H1554">
        <v>3</v>
      </c>
      <c r="I1554" s="2">
        <v>27.77</v>
      </c>
      <c r="J1554" s="2">
        <v>83.31</v>
      </c>
      <c r="K1554" s="2">
        <f t="shared" si="73"/>
        <v>83.31</v>
      </c>
      <c r="L1554" s="2">
        <f t="shared" si="74"/>
        <v>0</v>
      </c>
      <c r="M1554" t="s">
        <v>57</v>
      </c>
      <c r="N1554" t="s">
        <v>32</v>
      </c>
    </row>
    <row r="1555" spans="1:14" x14ac:dyDescent="0.3">
      <c r="A1555">
        <v>2024002553</v>
      </c>
      <c r="B1555" s="1">
        <v>45387</v>
      </c>
      <c r="C1555" s="11">
        <f t="shared" si="72"/>
        <v>2024</v>
      </c>
      <c r="D1555" t="s">
        <v>265</v>
      </c>
      <c r="E1555" t="s">
        <v>34</v>
      </c>
      <c r="F1555" t="s">
        <v>35</v>
      </c>
      <c r="G1555" t="s">
        <v>36</v>
      </c>
      <c r="H1555">
        <v>1</v>
      </c>
      <c r="I1555" s="2">
        <v>14.34</v>
      </c>
      <c r="J1555" s="2">
        <v>14.34</v>
      </c>
      <c r="K1555" s="2">
        <f t="shared" si="73"/>
        <v>14.34</v>
      </c>
      <c r="L1555" s="2">
        <f t="shared" si="74"/>
        <v>0</v>
      </c>
      <c r="M1555" t="s">
        <v>57</v>
      </c>
      <c r="N1555" t="s">
        <v>32</v>
      </c>
    </row>
    <row r="1556" spans="1:14" x14ac:dyDescent="0.3">
      <c r="A1556">
        <v>2024002554</v>
      </c>
      <c r="B1556" s="1">
        <v>45423</v>
      </c>
      <c r="C1556" s="11">
        <f t="shared" si="72"/>
        <v>2024</v>
      </c>
      <c r="D1556" t="s">
        <v>277</v>
      </c>
      <c r="E1556" t="s">
        <v>18</v>
      </c>
      <c r="F1556" t="s">
        <v>19</v>
      </c>
      <c r="G1556" t="s">
        <v>14</v>
      </c>
      <c r="H1556">
        <v>1</v>
      </c>
      <c r="I1556" s="2">
        <v>653.08000000000004</v>
      </c>
      <c r="J1556" s="2">
        <v>653.08000000000004</v>
      </c>
      <c r="K1556" s="2">
        <f t="shared" si="73"/>
        <v>653.08000000000004</v>
      </c>
      <c r="L1556" s="2">
        <f t="shared" si="74"/>
        <v>0</v>
      </c>
      <c r="M1556" t="s">
        <v>48</v>
      </c>
      <c r="N1556" t="s">
        <v>21</v>
      </c>
    </row>
    <row r="1557" spans="1:14" x14ac:dyDescent="0.3">
      <c r="A1557">
        <v>2024002555</v>
      </c>
      <c r="B1557" s="1">
        <v>45325</v>
      </c>
      <c r="C1557" s="11">
        <f t="shared" si="72"/>
        <v>2024</v>
      </c>
      <c r="D1557" t="s">
        <v>132</v>
      </c>
      <c r="E1557" t="s">
        <v>43</v>
      </c>
      <c r="F1557" t="s">
        <v>44</v>
      </c>
      <c r="G1557" t="s">
        <v>36</v>
      </c>
      <c r="H1557">
        <v>2</v>
      </c>
      <c r="I1557" s="2">
        <v>1211.97</v>
      </c>
      <c r="J1557" s="2">
        <v>2423.94</v>
      </c>
      <c r="K1557" s="2">
        <f t="shared" si="73"/>
        <v>2423.94</v>
      </c>
      <c r="L1557" s="2">
        <f t="shared" si="74"/>
        <v>0</v>
      </c>
      <c r="M1557" t="s">
        <v>48</v>
      </c>
      <c r="N1557" t="s">
        <v>32</v>
      </c>
    </row>
    <row r="1558" spans="1:14" x14ac:dyDescent="0.3">
      <c r="A1558">
        <v>2024002556</v>
      </c>
      <c r="B1558" s="1">
        <v>45606</v>
      </c>
      <c r="C1558" s="11">
        <f t="shared" si="72"/>
        <v>2024</v>
      </c>
      <c r="D1558" t="s">
        <v>11</v>
      </c>
      <c r="E1558" t="s">
        <v>18</v>
      </c>
      <c r="F1558" t="s">
        <v>19</v>
      </c>
      <c r="G1558" t="s">
        <v>14</v>
      </c>
      <c r="H1558">
        <v>2</v>
      </c>
      <c r="I1558" s="2">
        <v>573.67999999999995</v>
      </c>
      <c r="J1558" s="2">
        <v>1147.3599999999999</v>
      </c>
      <c r="K1558" s="2">
        <f t="shared" si="73"/>
        <v>1147.3599999999999</v>
      </c>
      <c r="L1558" s="2">
        <f t="shared" si="74"/>
        <v>0</v>
      </c>
      <c r="M1558" t="s">
        <v>48</v>
      </c>
      <c r="N1558" t="s">
        <v>21</v>
      </c>
    </row>
    <row r="1559" spans="1:14" x14ac:dyDescent="0.3">
      <c r="A1559">
        <v>2024002557</v>
      </c>
      <c r="B1559" s="1">
        <v>45560</v>
      </c>
      <c r="C1559" s="11">
        <f t="shared" si="72"/>
        <v>2024</v>
      </c>
      <c r="D1559" t="s">
        <v>69</v>
      </c>
      <c r="E1559" t="s">
        <v>67</v>
      </c>
      <c r="F1559" t="s">
        <v>68</v>
      </c>
      <c r="G1559" t="s">
        <v>36</v>
      </c>
      <c r="H1559">
        <v>3</v>
      </c>
      <c r="I1559" s="2">
        <v>371.86</v>
      </c>
      <c r="J1559" s="2">
        <v>1115.58</v>
      </c>
      <c r="K1559" s="2">
        <f t="shared" si="73"/>
        <v>1115.58</v>
      </c>
      <c r="L1559" s="2">
        <f t="shared" si="74"/>
        <v>0</v>
      </c>
      <c r="M1559" t="s">
        <v>57</v>
      </c>
      <c r="N1559" t="s">
        <v>21</v>
      </c>
    </row>
    <row r="1560" spans="1:14" x14ac:dyDescent="0.3">
      <c r="A1560">
        <v>2024002558</v>
      </c>
      <c r="B1560" s="1">
        <v>45429</v>
      </c>
      <c r="C1560" s="11">
        <f t="shared" si="72"/>
        <v>2024</v>
      </c>
      <c r="D1560" t="s">
        <v>299</v>
      </c>
      <c r="E1560" t="s">
        <v>34</v>
      </c>
      <c r="F1560" t="s">
        <v>35</v>
      </c>
      <c r="G1560" t="s">
        <v>36</v>
      </c>
      <c r="H1560">
        <v>3</v>
      </c>
      <c r="I1560" s="2">
        <v>13.55</v>
      </c>
      <c r="J1560" s="2">
        <v>40.65</v>
      </c>
      <c r="K1560" s="2">
        <f t="shared" si="73"/>
        <v>40.650000000000006</v>
      </c>
      <c r="L1560" s="2">
        <f t="shared" si="74"/>
        <v>0</v>
      </c>
      <c r="M1560" t="s">
        <v>31</v>
      </c>
      <c r="N1560" t="s">
        <v>21</v>
      </c>
    </row>
    <row r="1561" spans="1:14" x14ac:dyDescent="0.3">
      <c r="A1561">
        <v>2024002559</v>
      </c>
      <c r="B1561" s="1">
        <v>45348</v>
      </c>
      <c r="C1561" s="11">
        <f t="shared" si="72"/>
        <v>2024</v>
      </c>
      <c r="D1561" t="s">
        <v>329</v>
      </c>
      <c r="E1561" t="s">
        <v>12</v>
      </c>
      <c r="F1561" t="s">
        <v>13</v>
      </c>
      <c r="G1561" t="s">
        <v>14</v>
      </c>
      <c r="H1561">
        <v>3</v>
      </c>
      <c r="I1561" s="2">
        <v>347.39</v>
      </c>
      <c r="J1561" s="2">
        <v>1042.17</v>
      </c>
      <c r="K1561" s="2">
        <f t="shared" si="73"/>
        <v>1042.17</v>
      </c>
      <c r="L1561" s="2">
        <f t="shared" si="74"/>
        <v>0</v>
      </c>
      <c r="M1561" t="s">
        <v>15</v>
      </c>
      <c r="N1561" t="s">
        <v>32</v>
      </c>
    </row>
    <row r="1562" spans="1:14" x14ac:dyDescent="0.3">
      <c r="A1562">
        <v>2024002560</v>
      </c>
      <c r="B1562" s="1">
        <v>45544</v>
      </c>
      <c r="C1562" s="11">
        <f t="shared" si="72"/>
        <v>2024</v>
      </c>
      <c r="D1562" t="s">
        <v>323</v>
      </c>
      <c r="E1562" t="s">
        <v>40</v>
      </c>
      <c r="F1562" t="s">
        <v>41</v>
      </c>
      <c r="G1562" t="s">
        <v>36</v>
      </c>
      <c r="H1562">
        <v>1</v>
      </c>
      <c r="I1562" s="2">
        <v>45.83</v>
      </c>
      <c r="J1562" s="2">
        <v>45.83</v>
      </c>
      <c r="K1562" s="2">
        <f t="shared" si="73"/>
        <v>45.83</v>
      </c>
      <c r="L1562" s="2">
        <f t="shared" si="74"/>
        <v>0</v>
      </c>
      <c r="M1562" t="s">
        <v>38</v>
      </c>
      <c r="N1562" t="s">
        <v>16</v>
      </c>
    </row>
    <row r="1563" spans="1:14" x14ac:dyDescent="0.3">
      <c r="A1563">
        <v>2024002561</v>
      </c>
      <c r="B1563" s="1">
        <v>45528</v>
      </c>
      <c r="C1563" s="11">
        <f t="shared" si="72"/>
        <v>2024</v>
      </c>
      <c r="D1563" t="s">
        <v>153</v>
      </c>
      <c r="E1563" t="s">
        <v>43</v>
      </c>
      <c r="F1563" t="s">
        <v>44</v>
      </c>
      <c r="G1563" t="s">
        <v>36</v>
      </c>
      <c r="H1563">
        <v>2</v>
      </c>
      <c r="I1563" s="2">
        <v>1106.33</v>
      </c>
      <c r="J1563" s="2">
        <v>2212.66</v>
      </c>
      <c r="K1563" s="2">
        <f t="shared" si="73"/>
        <v>2212.66</v>
      </c>
      <c r="L1563" s="2">
        <f t="shared" si="74"/>
        <v>0</v>
      </c>
      <c r="M1563" t="s">
        <v>31</v>
      </c>
      <c r="N1563" t="s">
        <v>26</v>
      </c>
    </row>
    <row r="1564" spans="1:14" x14ac:dyDescent="0.3">
      <c r="A1564">
        <v>2024002562</v>
      </c>
      <c r="B1564" s="1">
        <v>45515</v>
      </c>
      <c r="C1564" s="11">
        <f t="shared" si="72"/>
        <v>2024</v>
      </c>
      <c r="D1564" t="s">
        <v>186</v>
      </c>
      <c r="E1564" t="s">
        <v>18</v>
      </c>
      <c r="F1564" t="s">
        <v>19</v>
      </c>
      <c r="G1564" t="s">
        <v>14</v>
      </c>
      <c r="H1564">
        <v>5</v>
      </c>
      <c r="I1564" s="2">
        <v>591.05999999999995</v>
      </c>
      <c r="J1564" s="2">
        <v>2955.3</v>
      </c>
      <c r="K1564" s="2">
        <f t="shared" si="73"/>
        <v>2955.2999999999997</v>
      </c>
      <c r="L1564" s="2">
        <f t="shared" si="74"/>
        <v>0</v>
      </c>
      <c r="M1564" t="s">
        <v>57</v>
      </c>
      <c r="N1564" t="s">
        <v>16</v>
      </c>
    </row>
    <row r="1565" spans="1:14" x14ac:dyDescent="0.3">
      <c r="A1565">
        <v>2024001302</v>
      </c>
      <c r="B1565" s="1">
        <v>45317</v>
      </c>
      <c r="C1565" s="11">
        <f t="shared" si="72"/>
        <v>2024</v>
      </c>
      <c r="D1565" t="s">
        <v>161</v>
      </c>
      <c r="E1565" t="s">
        <v>40</v>
      </c>
      <c r="F1565" t="s">
        <v>41</v>
      </c>
      <c r="G1565" t="s">
        <v>36</v>
      </c>
      <c r="H1565">
        <v>4</v>
      </c>
      <c r="I1565" s="2">
        <v>41.28</v>
      </c>
      <c r="J1565" s="2">
        <v>165.12</v>
      </c>
      <c r="K1565" s="2">
        <f t="shared" si="73"/>
        <v>165.12</v>
      </c>
      <c r="L1565" s="2">
        <f t="shared" si="74"/>
        <v>0</v>
      </c>
      <c r="M1565" t="s">
        <v>15</v>
      </c>
      <c r="N1565" t="s">
        <v>21</v>
      </c>
    </row>
    <row r="1566" spans="1:14" x14ac:dyDescent="0.3">
      <c r="A1566">
        <v>2024002564</v>
      </c>
      <c r="B1566" s="1">
        <v>45533</v>
      </c>
      <c r="C1566" s="11">
        <f t="shared" si="72"/>
        <v>2024</v>
      </c>
      <c r="D1566" t="s">
        <v>45</v>
      </c>
      <c r="E1566" t="s">
        <v>23</v>
      </c>
      <c r="F1566" t="s">
        <v>24</v>
      </c>
      <c r="G1566" t="s">
        <v>14</v>
      </c>
      <c r="H1566">
        <v>2</v>
      </c>
      <c r="I1566" s="2">
        <v>77.14</v>
      </c>
      <c r="J1566" s="2">
        <v>154.28</v>
      </c>
      <c r="K1566" s="2">
        <f t="shared" si="73"/>
        <v>154.28</v>
      </c>
      <c r="L1566" s="2">
        <f t="shared" si="74"/>
        <v>0</v>
      </c>
      <c r="M1566" t="s">
        <v>15</v>
      </c>
      <c r="N1566" t="s">
        <v>21</v>
      </c>
    </row>
    <row r="1567" spans="1:14" x14ac:dyDescent="0.3">
      <c r="A1567">
        <v>2024002565</v>
      </c>
      <c r="B1567" s="1">
        <v>45586</v>
      </c>
      <c r="C1567" s="11">
        <f t="shared" si="72"/>
        <v>2024</v>
      </c>
      <c r="D1567" t="s">
        <v>262</v>
      </c>
      <c r="E1567" t="s">
        <v>23</v>
      </c>
      <c r="F1567" t="s">
        <v>24</v>
      </c>
      <c r="G1567" t="s">
        <v>14</v>
      </c>
      <c r="H1567">
        <v>3</v>
      </c>
      <c r="I1567" s="2">
        <v>77.22</v>
      </c>
      <c r="J1567" s="2">
        <v>231.66</v>
      </c>
      <c r="K1567" s="2">
        <f t="shared" si="73"/>
        <v>231.66</v>
      </c>
      <c r="L1567" s="2">
        <f t="shared" si="74"/>
        <v>0</v>
      </c>
      <c r="M1567" t="s">
        <v>20</v>
      </c>
      <c r="N1567" t="s">
        <v>21</v>
      </c>
    </row>
    <row r="1568" spans="1:14" x14ac:dyDescent="0.3">
      <c r="A1568">
        <v>2024002566</v>
      </c>
      <c r="B1568" s="1">
        <v>45617</v>
      </c>
      <c r="C1568" s="11">
        <f t="shared" si="72"/>
        <v>2024</v>
      </c>
      <c r="D1568" t="s">
        <v>74</v>
      </c>
      <c r="E1568" t="s">
        <v>67</v>
      </c>
      <c r="F1568" t="s">
        <v>68</v>
      </c>
      <c r="G1568" t="s">
        <v>36</v>
      </c>
      <c r="H1568">
        <v>2</v>
      </c>
      <c r="I1568" s="2">
        <v>406.19</v>
      </c>
      <c r="J1568" s="2">
        <v>812.38</v>
      </c>
      <c r="K1568" s="2">
        <f t="shared" si="73"/>
        <v>812.38</v>
      </c>
      <c r="L1568" s="2">
        <f t="shared" si="74"/>
        <v>0</v>
      </c>
      <c r="M1568" t="s">
        <v>25</v>
      </c>
      <c r="N1568" t="s">
        <v>21</v>
      </c>
    </row>
    <row r="1569" spans="1:14" x14ac:dyDescent="0.3">
      <c r="A1569">
        <v>2024002567</v>
      </c>
      <c r="B1569" s="1">
        <v>45633</v>
      </c>
      <c r="C1569" s="11">
        <f t="shared" si="72"/>
        <v>2024</v>
      </c>
      <c r="D1569" t="s">
        <v>95</v>
      </c>
      <c r="E1569" t="s">
        <v>53</v>
      </c>
      <c r="F1569" t="s">
        <v>54</v>
      </c>
      <c r="G1569" t="s">
        <v>36</v>
      </c>
      <c r="H1569">
        <v>2</v>
      </c>
      <c r="I1569" s="2">
        <v>122.85</v>
      </c>
      <c r="J1569" s="2">
        <v>245.7</v>
      </c>
      <c r="K1569" s="2">
        <f t="shared" si="73"/>
        <v>245.7</v>
      </c>
      <c r="L1569" s="2">
        <f t="shared" si="74"/>
        <v>0</v>
      </c>
      <c r="M1569" t="s">
        <v>15</v>
      </c>
      <c r="N1569" t="s">
        <v>21</v>
      </c>
    </row>
    <row r="1570" spans="1:14" x14ac:dyDescent="0.3">
      <c r="A1570">
        <v>2024002568</v>
      </c>
      <c r="B1570" s="1">
        <v>45277</v>
      </c>
      <c r="C1570" s="11">
        <f t="shared" si="72"/>
        <v>2023</v>
      </c>
      <c r="D1570" t="s">
        <v>213</v>
      </c>
      <c r="E1570" t="s">
        <v>53</v>
      </c>
      <c r="F1570" t="s">
        <v>54</v>
      </c>
      <c r="G1570" t="s">
        <v>36</v>
      </c>
      <c r="H1570">
        <v>2</v>
      </c>
      <c r="I1570" s="2">
        <v>123.95</v>
      </c>
      <c r="J1570" s="2">
        <v>247.9</v>
      </c>
      <c r="K1570" s="2">
        <f t="shared" si="73"/>
        <v>247.9</v>
      </c>
      <c r="L1570" s="2">
        <f t="shared" si="74"/>
        <v>0</v>
      </c>
      <c r="M1570" t="s">
        <v>31</v>
      </c>
      <c r="N1570" t="s">
        <v>26</v>
      </c>
    </row>
    <row r="1571" spans="1:14" x14ac:dyDescent="0.3">
      <c r="A1571">
        <v>2024002569</v>
      </c>
      <c r="B1571" s="1">
        <v>45409</v>
      </c>
      <c r="C1571" s="11">
        <f t="shared" si="72"/>
        <v>2024</v>
      </c>
      <c r="D1571" t="s">
        <v>122</v>
      </c>
      <c r="E1571" t="s">
        <v>34</v>
      </c>
      <c r="F1571" t="s">
        <v>35</v>
      </c>
      <c r="G1571" t="s">
        <v>36</v>
      </c>
      <c r="H1571">
        <v>2</v>
      </c>
      <c r="I1571" s="2">
        <v>15.59</v>
      </c>
      <c r="J1571" s="2">
        <v>31.18</v>
      </c>
      <c r="K1571" s="2">
        <f t="shared" si="73"/>
        <v>31.18</v>
      </c>
      <c r="L1571" s="2">
        <f t="shared" si="74"/>
        <v>0</v>
      </c>
      <c r="M1571" t="s">
        <v>55</v>
      </c>
      <c r="N1571" t="s">
        <v>26</v>
      </c>
    </row>
    <row r="1572" spans="1:14" x14ac:dyDescent="0.3">
      <c r="A1572">
        <v>2024002570</v>
      </c>
      <c r="B1572" s="1">
        <v>45601</v>
      </c>
      <c r="C1572" s="11">
        <f t="shared" si="72"/>
        <v>2024</v>
      </c>
      <c r="D1572" t="s">
        <v>95</v>
      </c>
      <c r="E1572" t="s">
        <v>23</v>
      </c>
      <c r="F1572" t="s">
        <v>24</v>
      </c>
      <c r="G1572" t="s">
        <v>14</v>
      </c>
      <c r="H1572">
        <v>2</v>
      </c>
      <c r="I1572" s="2">
        <v>78.44</v>
      </c>
      <c r="J1572" s="2">
        <v>156.88</v>
      </c>
      <c r="K1572" s="2">
        <f t="shared" si="73"/>
        <v>156.88</v>
      </c>
      <c r="L1572" s="2">
        <f t="shared" si="74"/>
        <v>0</v>
      </c>
      <c r="M1572" t="s">
        <v>15</v>
      </c>
      <c r="N1572" t="s">
        <v>16</v>
      </c>
    </row>
    <row r="1573" spans="1:14" x14ac:dyDescent="0.3">
      <c r="A1573">
        <v>2024002571</v>
      </c>
      <c r="B1573" s="1">
        <v>45453</v>
      </c>
      <c r="C1573" s="11">
        <f t="shared" si="72"/>
        <v>2024</v>
      </c>
      <c r="D1573" t="s">
        <v>170</v>
      </c>
      <c r="E1573" t="s">
        <v>67</v>
      </c>
      <c r="F1573" t="s">
        <v>68</v>
      </c>
      <c r="G1573" t="s">
        <v>36</v>
      </c>
      <c r="H1573">
        <v>3</v>
      </c>
      <c r="I1573" s="2">
        <v>413.74</v>
      </c>
      <c r="J1573" s="2">
        <v>1241.22</v>
      </c>
      <c r="K1573" s="2">
        <f t="shared" si="73"/>
        <v>1241.22</v>
      </c>
      <c r="L1573" s="2">
        <f t="shared" si="74"/>
        <v>0</v>
      </c>
      <c r="M1573" t="s">
        <v>57</v>
      </c>
      <c r="N1573" t="s">
        <v>21</v>
      </c>
    </row>
    <row r="1574" spans="1:14" x14ac:dyDescent="0.3">
      <c r="A1574">
        <v>2024002572</v>
      </c>
      <c r="B1574" s="1">
        <v>45589</v>
      </c>
      <c r="C1574" s="11">
        <f t="shared" si="72"/>
        <v>2024</v>
      </c>
      <c r="D1574" t="s">
        <v>98</v>
      </c>
      <c r="E1574" t="s">
        <v>67</v>
      </c>
      <c r="F1574" t="s">
        <v>68</v>
      </c>
      <c r="G1574" t="s">
        <v>36</v>
      </c>
      <c r="H1574">
        <v>1</v>
      </c>
      <c r="I1574" s="2">
        <v>394.2</v>
      </c>
      <c r="J1574" s="2">
        <v>394.2</v>
      </c>
      <c r="K1574" s="2">
        <f t="shared" si="73"/>
        <v>394.2</v>
      </c>
      <c r="L1574" s="2">
        <f t="shared" si="74"/>
        <v>0</v>
      </c>
      <c r="M1574" t="s">
        <v>15</v>
      </c>
      <c r="N1574" t="s">
        <v>16</v>
      </c>
    </row>
    <row r="1575" spans="1:14" x14ac:dyDescent="0.3">
      <c r="A1575">
        <v>2024002573</v>
      </c>
      <c r="B1575" s="1">
        <v>45384</v>
      </c>
      <c r="C1575" s="11">
        <f t="shared" si="72"/>
        <v>2024</v>
      </c>
      <c r="D1575" t="s">
        <v>240</v>
      </c>
      <c r="E1575" t="s">
        <v>53</v>
      </c>
      <c r="F1575" t="s">
        <v>54</v>
      </c>
      <c r="G1575" t="s">
        <v>36</v>
      </c>
      <c r="H1575">
        <v>1</v>
      </c>
      <c r="I1575" s="2">
        <v>103.11</v>
      </c>
      <c r="J1575" s="2">
        <v>103.11</v>
      </c>
      <c r="K1575" s="2">
        <f t="shared" si="73"/>
        <v>103.11</v>
      </c>
      <c r="L1575" s="2">
        <f t="shared" si="74"/>
        <v>0</v>
      </c>
      <c r="M1575" t="s">
        <v>61</v>
      </c>
      <c r="N1575" t="s">
        <v>21</v>
      </c>
    </row>
    <row r="1576" spans="1:14" x14ac:dyDescent="0.3">
      <c r="A1576">
        <v>2024002574</v>
      </c>
      <c r="B1576" s="1">
        <v>45595</v>
      </c>
      <c r="C1576" s="11">
        <f t="shared" si="72"/>
        <v>2024</v>
      </c>
      <c r="D1576" t="s">
        <v>56</v>
      </c>
      <c r="E1576" t="s">
        <v>34</v>
      </c>
      <c r="F1576" t="s">
        <v>35</v>
      </c>
      <c r="G1576" t="s">
        <v>36</v>
      </c>
      <c r="H1576">
        <v>2</v>
      </c>
      <c r="I1576" s="2">
        <v>13.79</v>
      </c>
      <c r="J1576" s="2">
        <v>27.58</v>
      </c>
      <c r="K1576" s="2">
        <f t="shared" si="73"/>
        <v>27.58</v>
      </c>
      <c r="L1576" s="2">
        <f t="shared" si="74"/>
        <v>0</v>
      </c>
      <c r="M1576" t="s">
        <v>61</v>
      </c>
      <c r="N1576" t="s">
        <v>21</v>
      </c>
    </row>
    <row r="1577" spans="1:14" x14ac:dyDescent="0.3">
      <c r="A1577">
        <v>2024002575</v>
      </c>
      <c r="B1577" s="1">
        <v>45451</v>
      </c>
      <c r="C1577" s="11">
        <f t="shared" si="72"/>
        <v>2024</v>
      </c>
      <c r="D1577" t="s">
        <v>147</v>
      </c>
      <c r="E1577" t="s">
        <v>46</v>
      </c>
      <c r="F1577" t="s">
        <v>47</v>
      </c>
      <c r="G1577" t="s">
        <v>36</v>
      </c>
      <c r="H1577">
        <v>2</v>
      </c>
      <c r="I1577" s="2">
        <v>91.47</v>
      </c>
      <c r="J1577" s="2">
        <v>182.94</v>
      </c>
      <c r="K1577" s="2">
        <f t="shared" si="73"/>
        <v>182.94</v>
      </c>
      <c r="L1577" s="2">
        <f t="shared" si="74"/>
        <v>0</v>
      </c>
      <c r="M1577" t="s">
        <v>31</v>
      </c>
      <c r="N1577" t="s">
        <v>32</v>
      </c>
    </row>
    <row r="1578" spans="1:14" x14ac:dyDescent="0.3">
      <c r="A1578">
        <v>2024002576</v>
      </c>
      <c r="B1578" s="1">
        <v>45346</v>
      </c>
      <c r="C1578" s="11">
        <f t="shared" si="72"/>
        <v>2024</v>
      </c>
      <c r="D1578" t="s">
        <v>11</v>
      </c>
      <c r="E1578" t="s">
        <v>12</v>
      </c>
      <c r="F1578" t="s">
        <v>13</v>
      </c>
      <c r="G1578" t="s">
        <v>14</v>
      </c>
      <c r="H1578">
        <v>1</v>
      </c>
      <c r="I1578" s="2">
        <v>383.59</v>
      </c>
      <c r="J1578" s="2">
        <v>383.59</v>
      </c>
      <c r="K1578" s="2">
        <f t="shared" si="73"/>
        <v>383.59</v>
      </c>
      <c r="L1578" s="2">
        <f t="shared" si="74"/>
        <v>0</v>
      </c>
      <c r="M1578" t="s">
        <v>38</v>
      </c>
      <c r="N1578" t="s">
        <v>16</v>
      </c>
    </row>
    <row r="1579" spans="1:14" x14ac:dyDescent="0.3">
      <c r="A1579">
        <v>2024002577</v>
      </c>
      <c r="B1579" s="1">
        <v>45465</v>
      </c>
      <c r="C1579" s="11">
        <f t="shared" si="72"/>
        <v>2024</v>
      </c>
      <c r="D1579" t="s">
        <v>290</v>
      </c>
      <c r="E1579" t="s">
        <v>46</v>
      </c>
      <c r="F1579" t="s">
        <v>47</v>
      </c>
      <c r="G1579" t="s">
        <v>36</v>
      </c>
      <c r="H1579">
        <v>1</v>
      </c>
      <c r="I1579" s="2">
        <v>91.6</v>
      </c>
      <c r="J1579" s="2">
        <v>91.6</v>
      </c>
      <c r="K1579" s="2">
        <f t="shared" si="73"/>
        <v>91.6</v>
      </c>
      <c r="L1579" s="2">
        <f t="shared" si="74"/>
        <v>0</v>
      </c>
      <c r="M1579" t="s">
        <v>55</v>
      </c>
      <c r="N1579" t="s">
        <v>32</v>
      </c>
    </row>
    <row r="1580" spans="1:14" x14ac:dyDescent="0.3">
      <c r="A1580">
        <v>2024002578</v>
      </c>
      <c r="B1580" s="1">
        <v>45351</v>
      </c>
      <c r="C1580" s="11">
        <f t="shared" si="72"/>
        <v>2024</v>
      </c>
      <c r="D1580" t="s">
        <v>102</v>
      </c>
      <c r="E1580" t="s">
        <v>46</v>
      </c>
      <c r="F1580" t="s">
        <v>47</v>
      </c>
      <c r="G1580" t="s">
        <v>36</v>
      </c>
      <c r="H1580">
        <v>2</v>
      </c>
      <c r="I1580" s="2">
        <v>84.97</v>
      </c>
      <c r="J1580" s="2">
        <v>169.94</v>
      </c>
      <c r="K1580" s="2">
        <f t="shared" si="73"/>
        <v>169.94</v>
      </c>
      <c r="L1580" s="2">
        <f t="shared" si="74"/>
        <v>0</v>
      </c>
      <c r="M1580" t="s">
        <v>48</v>
      </c>
      <c r="N1580" t="s">
        <v>26</v>
      </c>
    </row>
    <row r="1581" spans="1:14" x14ac:dyDescent="0.3">
      <c r="A1581">
        <v>2024002579</v>
      </c>
      <c r="B1581" s="1">
        <v>45416</v>
      </c>
      <c r="C1581" s="11">
        <f t="shared" si="72"/>
        <v>2024</v>
      </c>
      <c r="D1581" t="s">
        <v>22</v>
      </c>
      <c r="E1581" t="s">
        <v>40</v>
      </c>
      <c r="F1581" t="s">
        <v>41</v>
      </c>
      <c r="G1581" t="s">
        <v>36</v>
      </c>
      <c r="H1581">
        <v>3</v>
      </c>
      <c r="I1581" s="2">
        <v>49.17</v>
      </c>
      <c r="J1581" s="2">
        <v>147.51</v>
      </c>
      <c r="K1581" s="2">
        <f t="shared" si="73"/>
        <v>147.51</v>
      </c>
      <c r="L1581" s="2">
        <f t="shared" si="74"/>
        <v>0</v>
      </c>
      <c r="M1581" t="s">
        <v>31</v>
      </c>
      <c r="N1581" t="s">
        <v>32</v>
      </c>
    </row>
    <row r="1582" spans="1:14" x14ac:dyDescent="0.3">
      <c r="A1582">
        <v>2024002580</v>
      </c>
      <c r="B1582" s="1">
        <v>45453</v>
      </c>
      <c r="C1582" s="11">
        <f t="shared" si="72"/>
        <v>2024</v>
      </c>
      <c r="D1582" t="s">
        <v>11</v>
      </c>
      <c r="E1582" t="s">
        <v>12</v>
      </c>
      <c r="F1582" t="s">
        <v>13</v>
      </c>
      <c r="G1582" t="s">
        <v>14</v>
      </c>
      <c r="H1582">
        <v>1</v>
      </c>
      <c r="I1582" s="2">
        <v>349</v>
      </c>
      <c r="J1582" s="2">
        <v>349</v>
      </c>
      <c r="K1582" s="2">
        <f t="shared" si="73"/>
        <v>349</v>
      </c>
      <c r="L1582" s="2">
        <f t="shared" si="74"/>
        <v>0</v>
      </c>
      <c r="M1582" t="s">
        <v>31</v>
      </c>
      <c r="N1582" t="s">
        <v>21</v>
      </c>
    </row>
    <row r="1583" spans="1:14" x14ac:dyDescent="0.3">
      <c r="A1583">
        <v>2024002581</v>
      </c>
      <c r="B1583" s="1">
        <v>45552</v>
      </c>
      <c r="C1583" s="11">
        <f t="shared" si="72"/>
        <v>2024</v>
      </c>
      <c r="D1583" t="s">
        <v>93</v>
      </c>
      <c r="E1583" t="s">
        <v>43</v>
      </c>
      <c r="F1583" t="s">
        <v>44</v>
      </c>
      <c r="G1583" t="s">
        <v>36</v>
      </c>
      <c r="H1583">
        <v>1</v>
      </c>
      <c r="I1583" s="2">
        <v>1196.95</v>
      </c>
      <c r="J1583" s="2">
        <v>1196.95</v>
      </c>
      <c r="K1583" s="2">
        <f t="shared" si="73"/>
        <v>1196.95</v>
      </c>
      <c r="L1583" s="2">
        <f t="shared" si="74"/>
        <v>0</v>
      </c>
      <c r="M1583" t="s">
        <v>55</v>
      </c>
      <c r="N1583" t="s">
        <v>26</v>
      </c>
    </row>
    <row r="1584" spans="1:14" x14ac:dyDescent="0.3">
      <c r="A1584">
        <v>2024002582</v>
      </c>
      <c r="B1584" s="1">
        <v>45566</v>
      </c>
      <c r="C1584" s="11">
        <f t="shared" si="72"/>
        <v>2024</v>
      </c>
      <c r="D1584" t="s">
        <v>42</v>
      </c>
      <c r="E1584" t="s">
        <v>23</v>
      </c>
      <c r="F1584" t="s">
        <v>24</v>
      </c>
      <c r="G1584" t="s">
        <v>14</v>
      </c>
      <c r="H1584">
        <v>1</v>
      </c>
      <c r="I1584" s="2">
        <v>72.81</v>
      </c>
      <c r="J1584" s="2">
        <v>72.81</v>
      </c>
      <c r="K1584" s="2">
        <f t="shared" si="73"/>
        <v>72.81</v>
      </c>
      <c r="L1584" s="2">
        <f t="shared" si="74"/>
        <v>0</v>
      </c>
      <c r="M1584" t="s">
        <v>20</v>
      </c>
      <c r="N1584" t="s">
        <v>26</v>
      </c>
    </row>
    <row r="1585" spans="1:14" x14ac:dyDescent="0.3">
      <c r="A1585">
        <v>2024002583</v>
      </c>
      <c r="B1585" s="1">
        <v>45656</v>
      </c>
      <c r="C1585" s="11">
        <f t="shared" si="72"/>
        <v>2024</v>
      </c>
      <c r="D1585" t="s">
        <v>315</v>
      </c>
      <c r="E1585" t="s">
        <v>18</v>
      </c>
      <c r="F1585" t="s">
        <v>19</v>
      </c>
      <c r="G1585" t="s">
        <v>14</v>
      </c>
      <c r="H1585">
        <v>1</v>
      </c>
      <c r="I1585" s="2">
        <v>599.16999999999996</v>
      </c>
      <c r="J1585" s="2">
        <v>599.16999999999996</v>
      </c>
      <c r="K1585" s="2">
        <f t="shared" si="73"/>
        <v>599.16999999999996</v>
      </c>
      <c r="L1585" s="2">
        <f t="shared" si="74"/>
        <v>0</v>
      </c>
      <c r="M1585" t="s">
        <v>61</v>
      </c>
      <c r="N1585" t="s">
        <v>26</v>
      </c>
    </row>
    <row r="1586" spans="1:14" x14ac:dyDescent="0.3">
      <c r="A1586">
        <v>2024002584</v>
      </c>
      <c r="B1586" s="1">
        <v>45311</v>
      </c>
      <c r="C1586" s="11">
        <f t="shared" si="72"/>
        <v>2024</v>
      </c>
      <c r="D1586" t="s">
        <v>312</v>
      </c>
      <c r="E1586" t="s">
        <v>18</v>
      </c>
      <c r="F1586" t="s">
        <v>19</v>
      </c>
      <c r="G1586" t="s">
        <v>14</v>
      </c>
      <c r="H1586">
        <v>1</v>
      </c>
      <c r="I1586" s="2">
        <v>608.76</v>
      </c>
      <c r="J1586" s="2">
        <v>608.76</v>
      </c>
      <c r="K1586" s="2">
        <f t="shared" si="73"/>
        <v>608.76</v>
      </c>
      <c r="L1586" s="2">
        <f t="shared" si="74"/>
        <v>0</v>
      </c>
      <c r="M1586" t="s">
        <v>57</v>
      </c>
      <c r="N1586" t="s">
        <v>26</v>
      </c>
    </row>
    <row r="1587" spans="1:14" x14ac:dyDescent="0.3">
      <c r="A1587">
        <v>2024002585</v>
      </c>
      <c r="B1587" s="1">
        <v>45364</v>
      </c>
      <c r="C1587" s="11">
        <f t="shared" si="72"/>
        <v>2024</v>
      </c>
      <c r="D1587" t="s">
        <v>292</v>
      </c>
      <c r="E1587" t="s">
        <v>46</v>
      </c>
      <c r="F1587" t="s">
        <v>47</v>
      </c>
      <c r="G1587" t="s">
        <v>36</v>
      </c>
      <c r="H1587">
        <v>2</v>
      </c>
      <c r="I1587" s="2">
        <v>96.2</v>
      </c>
      <c r="J1587" s="2">
        <v>192.4</v>
      </c>
      <c r="K1587" s="2">
        <f t="shared" si="73"/>
        <v>192.4</v>
      </c>
      <c r="L1587" s="2">
        <f t="shared" si="74"/>
        <v>0</v>
      </c>
      <c r="M1587" t="s">
        <v>55</v>
      </c>
      <c r="N1587" t="s">
        <v>26</v>
      </c>
    </row>
    <row r="1588" spans="1:14" x14ac:dyDescent="0.3">
      <c r="A1588">
        <v>2024002586</v>
      </c>
      <c r="B1588" s="1">
        <v>45609</v>
      </c>
      <c r="C1588" s="11">
        <f t="shared" si="72"/>
        <v>2024</v>
      </c>
      <c r="D1588" t="s">
        <v>170</v>
      </c>
      <c r="E1588" t="s">
        <v>34</v>
      </c>
      <c r="F1588" t="s">
        <v>35</v>
      </c>
      <c r="G1588" t="s">
        <v>36</v>
      </c>
      <c r="H1588">
        <v>1</v>
      </c>
      <c r="I1588" s="2">
        <v>14.91</v>
      </c>
      <c r="J1588" s="2">
        <v>14.91</v>
      </c>
      <c r="K1588" s="2">
        <f t="shared" si="73"/>
        <v>14.91</v>
      </c>
      <c r="L1588" s="2">
        <f t="shared" si="74"/>
        <v>0</v>
      </c>
      <c r="M1588" t="s">
        <v>38</v>
      </c>
      <c r="N1588" t="s">
        <v>16</v>
      </c>
    </row>
    <row r="1589" spans="1:14" x14ac:dyDescent="0.3">
      <c r="A1589">
        <v>2024002587</v>
      </c>
      <c r="B1589" s="1">
        <v>45575</v>
      </c>
      <c r="C1589" s="11">
        <f t="shared" si="72"/>
        <v>2024</v>
      </c>
      <c r="D1589" t="s">
        <v>267</v>
      </c>
      <c r="E1589" t="s">
        <v>67</v>
      </c>
      <c r="F1589" t="s">
        <v>68</v>
      </c>
      <c r="G1589" t="s">
        <v>36</v>
      </c>
      <c r="H1589">
        <v>1</v>
      </c>
      <c r="I1589" s="2">
        <v>425.38</v>
      </c>
      <c r="J1589" s="2">
        <v>425.38</v>
      </c>
      <c r="K1589" s="2">
        <f t="shared" si="73"/>
        <v>425.38</v>
      </c>
      <c r="L1589" s="2">
        <f t="shared" si="74"/>
        <v>0</v>
      </c>
      <c r="M1589" t="s">
        <v>38</v>
      </c>
      <c r="N1589" t="s">
        <v>32</v>
      </c>
    </row>
    <row r="1590" spans="1:14" x14ac:dyDescent="0.3">
      <c r="A1590">
        <v>2024001424</v>
      </c>
      <c r="B1590" s="1">
        <v>45614</v>
      </c>
      <c r="C1590" s="11">
        <f t="shared" si="72"/>
        <v>2024</v>
      </c>
      <c r="D1590" t="s">
        <v>11</v>
      </c>
      <c r="E1590" t="s">
        <v>43</v>
      </c>
      <c r="F1590" t="s">
        <v>44</v>
      </c>
      <c r="G1590" t="s">
        <v>36</v>
      </c>
      <c r="H1590">
        <v>1</v>
      </c>
      <c r="I1590" s="2">
        <v>1202.0899999999999</v>
      </c>
      <c r="J1590" s="2">
        <v>1202.0899999999999</v>
      </c>
      <c r="K1590" s="2">
        <f t="shared" si="73"/>
        <v>1202.0899999999999</v>
      </c>
      <c r="L1590" s="2">
        <f t="shared" si="74"/>
        <v>0</v>
      </c>
      <c r="M1590" t="s">
        <v>61</v>
      </c>
      <c r="N1590" t="s">
        <v>26</v>
      </c>
    </row>
    <row r="1591" spans="1:14" x14ac:dyDescent="0.3">
      <c r="A1591">
        <v>2024002589</v>
      </c>
      <c r="B1591" s="1">
        <v>45401</v>
      </c>
      <c r="C1591" s="11">
        <f t="shared" si="72"/>
        <v>2024</v>
      </c>
      <c r="D1591" t="s">
        <v>212</v>
      </c>
      <c r="E1591" t="s">
        <v>67</v>
      </c>
      <c r="F1591" t="s">
        <v>68</v>
      </c>
      <c r="G1591" t="s">
        <v>36</v>
      </c>
      <c r="H1591">
        <v>3</v>
      </c>
      <c r="I1591" s="2">
        <v>421.4</v>
      </c>
      <c r="J1591" s="2">
        <v>1264.2</v>
      </c>
      <c r="K1591" s="2">
        <f t="shared" si="73"/>
        <v>1264.1999999999998</v>
      </c>
      <c r="L1591" s="2">
        <f t="shared" si="74"/>
        <v>0</v>
      </c>
      <c r="M1591" t="s">
        <v>64</v>
      </c>
      <c r="N1591" t="s">
        <v>26</v>
      </c>
    </row>
    <row r="1592" spans="1:14" x14ac:dyDescent="0.3">
      <c r="A1592">
        <v>2024002590</v>
      </c>
      <c r="B1592" s="1">
        <v>45301</v>
      </c>
      <c r="C1592" s="11">
        <f t="shared" si="72"/>
        <v>2024</v>
      </c>
      <c r="D1592" t="s">
        <v>188</v>
      </c>
      <c r="E1592" t="s">
        <v>67</v>
      </c>
      <c r="F1592" t="s">
        <v>68</v>
      </c>
      <c r="G1592" t="s">
        <v>36</v>
      </c>
      <c r="H1592">
        <v>2</v>
      </c>
      <c r="I1592" s="2">
        <v>417.46</v>
      </c>
      <c r="J1592" s="2">
        <v>834.92</v>
      </c>
      <c r="K1592" s="2">
        <f t="shared" si="73"/>
        <v>834.92</v>
      </c>
      <c r="L1592" s="2">
        <f t="shared" si="74"/>
        <v>0</v>
      </c>
      <c r="M1592" t="s">
        <v>20</v>
      </c>
      <c r="N1592" t="s">
        <v>32</v>
      </c>
    </row>
    <row r="1593" spans="1:14" x14ac:dyDescent="0.3">
      <c r="A1593">
        <v>2024002591</v>
      </c>
      <c r="B1593" s="1">
        <v>45473</v>
      </c>
      <c r="C1593" s="11">
        <f t="shared" si="72"/>
        <v>2024</v>
      </c>
      <c r="D1593" t="s">
        <v>70</v>
      </c>
      <c r="E1593" t="s">
        <v>67</v>
      </c>
      <c r="F1593" t="s">
        <v>68</v>
      </c>
      <c r="G1593" t="s">
        <v>36</v>
      </c>
      <c r="H1593">
        <v>1</v>
      </c>
      <c r="I1593" s="2">
        <v>448.52</v>
      </c>
      <c r="J1593" s="2">
        <v>448.52</v>
      </c>
      <c r="K1593" s="2">
        <f t="shared" si="73"/>
        <v>448.52</v>
      </c>
      <c r="L1593" s="2">
        <f t="shared" si="74"/>
        <v>0</v>
      </c>
      <c r="M1593" t="s">
        <v>48</v>
      </c>
      <c r="N1593" t="s">
        <v>26</v>
      </c>
    </row>
    <row r="1594" spans="1:14" x14ac:dyDescent="0.3">
      <c r="A1594">
        <v>2024002592</v>
      </c>
      <c r="B1594" s="1">
        <v>45653</v>
      </c>
      <c r="C1594" s="11">
        <f t="shared" si="72"/>
        <v>2024</v>
      </c>
      <c r="D1594" t="s">
        <v>115</v>
      </c>
      <c r="E1594" t="s">
        <v>34</v>
      </c>
      <c r="F1594" t="s">
        <v>35</v>
      </c>
      <c r="G1594" t="s">
        <v>36</v>
      </c>
      <c r="H1594">
        <v>3</v>
      </c>
      <c r="I1594" s="2">
        <v>14.66</v>
      </c>
      <c r="J1594" s="2">
        <v>43.98</v>
      </c>
      <c r="K1594" s="2">
        <f t="shared" si="73"/>
        <v>43.980000000000004</v>
      </c>
      <c r="L1594" s="2">
        <f t="shared" si="74"/>
        <v>0</v>
      </c>
      <c r="M1594" t="s">
        <v>38</v>
      </c>
      <c r="N1594" t="s">
        <v>21</v>
      </c>
    </row>
    <row r="1595" spans="1:14" x14ac:dyDescent="0.3">
      <c r="A1595">
        <v>2024002593</v>
      </c>
      <c r="B1595" s="1">
        <v>45643</v>
      </c>
      <c r="C1595" s="11">
        <f t="shared" si="72"/>
        <v>2024</v>
      </c>
      <c r="D1595" t="s">
        <v>272</v>
      </c>
      <c r="E1595" t="s">
        <v>18</v>
      </c>
      <c r="F1595" t="s">
        <v>19</v>
      </c>
      <c r="G1595" t="s">
        <v>14</v>
      </c>
      <c r="H1595">
        <v>1</v>
      </c>
      <c r="I1595" s="2">
        <v>611.83000000000004</v>
      </c>
      <c r="J1595" s="2">
        <v>611.83000000000004</v>
      </c>
      <c r="K1595" s="2">
        <f t="shared" si="73"/>
        <v>611.83000000000004</v>
      </c>
      <c r="L1595" s="2">
        <f t="shared" si="74"/>
        <v>0</v>
      </c>
      <c r="M1595" t="s">
        <v>55</v>
      </c>
      <c r="N1595" t="s">
        <v>26</v>
      </c>
    </row>
    <row r="1596" spans="1:14" x14ac:dyDescent="0.3">
      <c r="A1596">
        <v>2024002594</v>
      </c>
      <c r="B1596" s="1">
        <v>45633</v>
      </c>
      <c r="C1596" s="11">
        <f t="shared" si="72"/>
        <v>2024</v>
      </c>
      <c r="D1596" t="s">
        <v>91</v>
      </c>
      <c r="E1596" t="s">
        <v>67</v>
      </c>
      <c r="F1596" t="s">
        <v>68</v>
      </c>
      <c r="G1596" t="s">
        <v>36</v>
      </c>
      <c r="H1596">
        <v>1</v>
      </c>
      <c r="I1596" s="2">
        <v>393.87</v>
      </c>
      <c r="J1596" s="2">
        <v>393.87</v>
      </c>
      <c r="K1596" s="2">
        <f t="shared" si="73"/>
        <v>393.87</v>
      </c>
      <c r="L1596" s="2">
        <f t="shared" si="74"/>
        <v>0</v>
      </c>
      <c r="M1596" t="s">
        <v>25</v>
      </c>
      <c r="N1596" t="s">
        <v>26</v>
      </c>
    </row>
    <row r="1597" spans="1:14" x14ac:dyDescent="0.3">
      <c r="A1597">
        <v>2024002595</v>
      </c>
      <c r="B1597" s="1">
        <v>45305</v>
      </c>
      <c r="C1597" s="11">
        <f t="shared" si="72"/>
        <v>2024</v>
      </c>
      <c r="D1597" t="s">
        <v>327</v>
      </c>
      <c r="E1597" t="s">
        <v>53</v>
      </c>
      <c r="F1597" t="s">
        <v>54</v>
      </c>
      <c r="G1597" t="s">
        <v>36</v>
      </c>
      <c r="H1597">
        <v>1</v>
      </c>
      <c r="I1597" s="2">
        <v>110.71</v>
      </c>
      <c r="J1597" s="2">
        <v>110.71</v>
      </c>
      <c r="K1597" s="2">
        <f t="shared" si="73"/>
        <v>110.71</v>
      </c>
      <c r="L1597" s="2">
        <f t="shared" si="74"/>
        <v>0</v>
      </c>
      <c r="M1597" t="s">
        <v>57</v>
      </c>
      <c r="N1597" t="s">
        <v>16</v>
      </c>
    </row>
    <row r="1598" spans="1:14" x14ac:dyDescent="0.3">
      <c r="A1598">
        <v>2024002596</v>
      </c>
      <c r="B1598" s="1">
        <v>45503</v>
      </c>
      <c r="C1598" s="11">
        <f t="shared" si="72"/>
        <v>2024</v>
      </c>
      <c r="D1598" t="s">
        <v>11</v>
      </c>
      <c r="E1598" t="s">
        <v>67</v>
      </c>
      <c r="F1598" t="s">
        <v>68</v>
      </c>
      <c r="G1598" t="s">
        <v>36</v>
      </c>
      <c r="H1598">
        <v>1</v>
      </c>
      <c r="I1598" s="2">
        <v>390.87</v>
      </c>
      <c r="J1598" s="2">
        <v>390.87</v>
      </c>
      <c r="K1598" s="2">
        <f t="shared" si="73"/>
        <v>390.87</v>
      </c>
      <c r="L1598" s="2">
        <f t="shared" si="74"/>
        <v>0</v>
      </c>
      <c r="M1598" t="s">
        <v>15</v>
      </c>
      <c r="N1598" t="s">
        <v>26</v>
      </c>
    </row>
    <row r="1599" spans="1:14" x14ac:dyDescent="0.3">
      <c r="A1599">
        <v>2024002597</v>
      </c>
      <c r="B1599" s="1">
        <v>45306</v>
      </c>
      <c r="C1599" s="11">
        <f t="shared" si="72"/>
        <v>2024</v>
      </c>
      <c r="D1599" t="s">
        <v>115</v>
      </c>
      <c r="E1599" t="s">
        <v>46</v>
      </c>
      <c r="F1599" t="s">
        <v>47</v>
      </c>
      <c r="G1599" t="s">
        <v>36</v>
      </c>
      <c r="H1599">
        <v>2</v>
      </c>
      <c r="I1599" s="2">
        <v>91.53</v>
      </c>
      <c r="J1599" s="2">
        <v>183.06</v>
      </c>
      <c r="K1599" s="2">
        <f t="shared" si="73"/>
        <v>183.06</v>
      </c>
      <c r="L1599" s="2">
        <f t="shared" si="74"/>
        <v>0</v>
      </c>
      <c r="M1599" t="s">
        <v>61</v>
      </c>
      <c r="N1599" t="s">
        <v>32</v>
      </c>
    </row>
    <row r="1600" spans="1:14" x14ac:dyDescent="0.3">
      <c r="A1600">
        <v>2024002598</v>
      </c>
      <c r="B1600" s="1">
        <v>45502</v>
      </c>
      <c r="C1600" s="11">
        <f t="shared" si="72"/>
        <v>2024</v>
      </c>
      <c r="D1600" t="s">
        <v>167</v>
      </c>
      <c r="E1600" t="s">
        <v>18</v>
      </c>
      <c r="F1600" t="s">
        <v>19</v>
      </c>
      <c r="G1600" t="s">
        <v>14</v>
      </c>
      <c r="H1600">
        <v>4</v>
      </c>
      <c r="I1600" s="2">
        <v>568.04999999999995</v>
      </c>
      <c r="J1600" s="2">
        <v>2272.1999999999998</v>
      </c>
      <c r="K1600" s="2">
        <f t="shared" si="73"/>
        <v>2272.1999999999998</v>
      </c>
      <c r="L1600" s="2">
        <f t="shared" si="74"/>
        <v>0</v>
      </c>
      <c r="M1600" t="s">
        <v>20</v>
      </c>
      <c r="N1600" t="s">
        <v>26</v>
      </c>
    </row>
    <row r="1601" spans="1:14" x14ac:dyDescent="0.3">
      <c r="A1601">
        <v>2024002599</v>
      </c>
      <c r="B1601" s="1">
        <v>45307</v>
      </c>
      <c r="C1601" s="11">
        <f t="shared" si="72"/>
        <v>2024</v>
      </c>
      <c r="D1601" t="s">
        <v>252</v>
      </c>
      <c r="E1601" t="s">
        <v>28</v>
      </c>
      <c r="F1601" t="s">
        <v>29</v>
      </c>
      <c r="G1601" t="s">
        <v>30</v>
      </c>
      <c r="H1601">
        <v>5</v>
      </c>
      <c r="I1601" s="2">
        <v>24.14</v>
      </c>
      <c r="J1601" s="2">
        <v>120.7</v>
      </c>
      <c r="K1601" s="2">
        <f t="shared" si="73"/>
        <v>120.7</v>
      </c>
      <c r="L1601" s="2">
        <f t="shared" si="74"/>
        <v>0</v>
      </c>
      <c r="M1601" t="s">
        <v>20</v>
      </c>
      <c r="N1601" t="s">
        <v>26</v>
      </c>
    </row>
    <row r="1602" spans="1:14" x14ac:dyDescent="0.3">
      <c r="A1602">
        <v>2024002600</v>
      </c>
      <c r="B1602" s="1">
        <v>45402</v>
      </c>
      <c r="C1602" s="11">
        <f t="shared" si="72"/>
        <v>2024</v>
      </c>
      <c r="D1602" t="s">
        <v>139</v>
      </c>
      <c r="E1602" t="s">
        <v>18</v>
      </c>
      <c r="F1602" t="s">
        <v>19</v>
      </c>
      <c r="G1602" t="s">
        <v>14</v>
      </c>
      <c r="H1602">
        <v>2</v>
      </c>
      <c r="I1602" s="2">
        <v>621.07000000000005</v>
      </c>
      <c r="J1602" s="2">
        <v>1242.1400000000001</v>
      </c>
      <c r="K1602" s="2">
        <f t="shared" si="73"/>
        <v>1242.1400000000001</v>
      </c>
      <c r="L1602" s="2">
        <f t="shared" si="74"/>
        <v>0</v>
      </c>
      <c r="M1602" t="s">
        <v>20</v>
      </c>
      <c r="N1602" t="s">
        <v>16</v>
      </c>
    </row>
    <row r="1603" spans="1:14" x14ac:dyDescent="0.3">
      <c r="A1603">
        <v>2024002601</v>
      </c>
      <c r="B1603" s="1">
        <v>45546</v>
      </c>
      <c r="C1603" s="11">
        <f t="shared" ref="C1603:C1666" si="75">YEAR(B1603)</f>
        <v>2024</v>
      </c>
      <c r="D1603" t="s">
        <v>222</v>
      </c>
      <c r="E1603" t="s">
        <v>40</v>
      </c>
      <c r="F1603" t="s">
        <v>41</v>
      </c>
      <c r="G1603" t="s">
        <v>36</v>
      </c>
      <c r="H1603">
        <v>2</v>
      </c>
      <c r="I1603" s="2">
        <v>48.31</v>
      </c>
      <c r="J1603" s="2">
        <v>96.62</v>
      </c>
      <c r="K1603" s="2">
        <f t="shared" ref="K1603:K1666" si="76">I1603*H1603</f>
        <v>96.62</v>
      </c>
      <c r="L1603" s="2">
        <f t="shared" ref="L1603:L1666" si="77">J1603-K1603</f>
        <v>0</v>
      </c>
      <c r="M1603" t="s">
        <v>55</v>
      </c>
      <c r="N1603" t="s">
        <v>26</v>
      </c>
    </row>
    <row r="1604" spans="1:14" x14ac:dyDescent="0.3">
      <c r="A1604">
        <v>2024002602</v>
      </c>
      <c r="B1604" s="1">
        <v>45568</v>
      </c>
      <c r="C1604" s="11">
        <f t="shared" si="75"/>
        <v>2024</v>
      </c>
      <c r="D1604" t="s">
        <v>97</v>
      </c>
      <c r="E1604" t="s">
        <v>67</v>
      </c>
      <c r="F1604" t="s">
        <v>68</v>
      </c>
      <c r="G1604" t="s">
        <v>36</v>
      </c>
      <c r="H1604">
        <v>3</v>
      </c>
      <c r="I1604" s="2">
        <v>399.27</v>
      </c>
      <c r="J1604" s="2">
        <v>1197.81</v>
      </c>
      <c r="K1604" s="2">
        <f t="shared" si="76"/>
        <v>1197.81</v>
      </c>
      <c r="L1604" s="2">
        <f t="shared" si="77"/>
        <v>0</v>
      </c>
      <c r="M1604" t="s">
        <v>20</v>
      </c>
      <c r="N1604" t="s">
        <v>32</v>
      </c>
    </row>
    <row r="1605" spans="1:14" x14ac:dyDescent="0.3">
      <c r="A1605">
        <v>2024002603</v>
      </c>
      <c r="B1605" s="1">
        <v>45392</v>
      </c>
      <c r="C1605" s="11">
        <f t="shared" si="75"/>
        <v>2024</v>
      </c>
      <c r="D1605" t="s">
        <v>83</v>
      </c>
      <c r="E1605" t="s">
        <v>46</v>
      </c>
      <c r="F1605" t="s">
        <v>47</v>
      </c>
      <c r="G1605" t="s">
        <v>36</v>
      </c>
      <c r="H1605">
        <v>1</v>
      </c>
      <c r="I1605" s="2">
        <v>82.18</v>
      </c>
      <c r="J1605" s="2">
        <v>82.18</v>
      </c>
      <c r="K1605" s="2">
        <f t="shared" si="76"/>
        <v>82.18</v>
      </c>
      <c r="L1605" s="2">
        <f t="shared" si="77"/>
        <v>0</v>
      </c>
      <c r="M1605" t="s">
        <v>64</v>
      </c>
      <c r="N1605" t="s">
        <v>26</v>
      </c>
    </row>
    <row r="1606" spans="1:14" x14ac:dyDescent="0.3">
      <c r="A1606">
        <v>2024002604</v>
      </c>
      <c r="B1606" s="1">
        <v>45554</v>
      </c>
      <c r="C1606" s="11">
        <f t="shared" si="75"/>
        <v>2024</v>
      </c>
      <c r="D1606" t="s">
        <v>232</v>
      </c>
      <c r="E1606" t="s">
        <v>12</v>
      </c>
      <c r="F1606" t="s">
        <v>13</v>
      </c>
      <c r="G1606" t="s">
        <v>14</v>
      </c>
      <c r="H1606">
        <v>1</v>
      </c>
      <c r="I1606" s="2">
        <v>373.18</v>
      </c>
      <c r="J1606" s="2">
        <v>373.18</v>
      </c>
      <c r="K1606" s="2">
        <f t="shared" si="76"/>
        <v>373.18</v>
      </c>
      <c r="L1606" s="2">
        <f t="shared" si="77"/>
        <v>0</v>
      </c>
      <c r="M1606" t="s">
        <v>48</v>
      </c>
      <c r="N1606" t="s">
        <v>16</v>
      </c>
    </row>
    <row r="1607" spans="1:14" x14ac:dyDescent="0.3">
      <c r="A1607">
        <v>2024002605</v>
      </c>
      <c r="B1607" s="1">
        <v>45471</v>
      </c>
      <c r="C1607" s="11">
        <f t="shared" si="75"/>
        <v>2024</v>
      </c>
      <c r="D1607" t="s">
        <v>180</v>
      </c>
      <c r="E1607" t="s">
        <v>23</v>
      </c>
      <c r="F1607" t="s">
        <v>24</v>
      </c>
      <c r="G1607" t="s">
        <v>14</v>
      </c>
      <c r="H1607">
        <v>3</v>
      </c>
      <c r="I1607" s="2">
        <v>76.180000000000007</v>
      </c>
      <c r="J1607" s="2">
        <v>228.54</v>
      </c>
      <c r="K1607" s="2">
        <f t="shared" si="76"/>
        <v>228.54000000000002</v>
      </c>
      <c r="L1607" s="2">
        <f t="shared" si="77"/>
        <v>0</v>
      </c>
      <c r="M1607" t="s">
        <v>20</v>
      </c>
      <c r="N1607" t="s">
        <v>21</v>
      </c>
    </row>
    <row r="1608" spans="1:14" x14ac:dyDescent="0.3">
      <c r="A1608">
        <v>2024002606</v>
      </c>
      <c r="B1608" s="1">
        <v>45318</v>
      </c>
      <c r="C1608" s="11">
        <f t="shared" si="75"/>
        <v>2024</v>
      </c>
      <c r="D1608" t="s">
        <v>129</v>
      </c>
      <c r="E1608" t="s">
        <v>67</v>
      </c>
      <c r="F1608" t="s">
        <v>68</v>
      </c>
      <c r="G1608" t="s">
        <v>36</v>
      </c>
      <c r="H1608">
        <v>1</v>
      </c>
      <c r="I1608" s="2">
        <v>399.58</v>
      </c>
      <c r="J1608" s="2">
        <v>399.58</v>
      </c>
      <c r="K1608" s="2">
        <f t="shared" si="76"/>
        <v>399.58</v>
      </c>
      <c r="L1608" s="2">
        <f t="shared" si="77"/>
        <v>0</v>
      </c>
      <c r="M1608" t="s">
        <v>64</v>
      </c>
      <c r="N1608" t="s">
        <v>26</v>
      </c>
    </row>
    <row r="1609" spans="1:14" x14ac:dyDescent="0.3">
      <c r="A1609">
        <v>2024002607</v>
      </c>
      <c r="B1609" s="1">
        <v>45361</v>
      </c>
      <c r="C1609" s="11">
        <f t="shared" si="75"/>
        <v>2024</v>
      </c>
      <c r="D1609" t="s">
        <v>141</v>
      </c>
      <c r="E1609" t="s">
        <v>53</v>
      </c>
      <c r="F1609" t="s">
        <v>54</v>
      </c>
      <c r="G1609" t="s">
        <v>36</v>
      </c>
      <c r="H1609">
        <v>1</v>
      </c>
      <c r="I1609" s="2">
        <v>121.65</v>
      </c>
      <c r="J1609" s="2">
        <v>121.65</v>
      </c>
      <c r="K1609" s="2">
        <f t="shared" si="76"/>
        <v>121.65</v>
      </c>
      <c r="L1609" s="2">
        <f t="shared" si="77"/>
        <v>0</v>
      </c>
      <c r="M1609" t="s">
        <v>64</v>
      </c>
      <c r="N1609" t="s">
        <v>32</v>
      </c>
    </row>
    <row r="1610" spans="1:14" x14ac:dyDescent="0.3">
      <c r="A1610">
        <v>2024001066</v>
      </c>
      <c r="B1610" s="1">
        <v>45498</v>
      </c>
      <c r="C1610" s="11">
        <f t="shared" si="75"/>
        <v>2024</v>
      </c>
      <c r="D1610" t="s">
        <v>157</v>
      </c>
      <c r="E1610" t="s">
        <v>43</v>
      </c>
      <c r="F1610" t="s">
        <v>44</v>
      </c>
      <c r="G1610" t="s">
        <v>36</v>
      </c>
      <c r="H1610">
        <v>1</v>
      </c>
      <c r="I1610" s="2">
        <v>1152.8599999999999</v>
      </c>
      <c r="J1610" s="2">
        <v>1152.8599999999999</v>
      </c>
      <c r="K1610" s="2">
        <f t="shared" si="76"/>
        <v>1152.8599999999999</v>
      </c>
      <c r="L1610" s="2">
        <f t="shared" si="77"/>
        <v>0</v>
      </c>
      <c r="M1610" t="s">
        <v>25</v>
      </c>
      <c r="N1610" t="s">
        <v>26</v>
      </c>
    </row>
    <row r="1611" spans="1:14" x14ac:dyDescent="0.3">
      <c r="A1611">
        <v>2024002609</v>
      </c>
      <c r="B1611" s="1">
        <v>45643</v>
      </c>
      <c r="C1611" s="11">
        <f t="shared" si="75"/>
        <v>2024</v>
      </c>
      <c r="D1611" t="s">
        <v>104</v>
      </c>
      <c r="E1611" t="s">
        <v>67</v>
      </c>
      <c r="F1611" t="s">
        <v>68</v>
      </c>
      <c r="G1611" t="s">
        <v>36</v>
      </c>
      <c r="H1611">
        <v>1</v>
      </c>
      <c r="I1611" s="2">
        <v>429.97</v>
      </c>
      <c r="J1611" s="2">
        <v>429.97</v>
      </c>
      <c r="K1611" s="2">
        <f t="shared" si="76"/>
        <v>429.97</v>
      </c>
      <c r="L1611" s="2">
        <f t="shared" si="77"/>
        <v>0</v>
      </c>
      <c r="M1611" t="s">
        <v>38</v>
      </c>
      <c r="N1611" t="s">
        <v>32</v>
      </c>
    </row>
    <row r="1612" spans="1:14" x14ac:dyDescent="0.3">
      <c r="A1612">
        <v>2024002610</v>
      </c>
      <c r="B1612" s="1">
        <v>45380</v>
      </c>
      <c r="C1612" s="11">
        <f t="shared" si="75"/>
        <v>2024</v>
      </c>
      <c r="D1612" t="s">
        <v>63</v>
      </c>
      <c r="E1612" t="s">
        <v>23</v>
      </c>
      <c r="F1612" t="s">
        <v>24</v>
      </c>
      <c r="G1612" t="s">
        <v>14</v>
      </c>
      <c r="H1612">
        <v>1</v>
      </c>
      <c r="I1612" s="2">
        <v>82.43</v>
      </c>
      <c r="J1612" s="2">
        <v>82.43</v>
      </c>
      <c r="K1612" s="2">
        <f t="shared" si="76"/>
        <v>82.43</v>
      </c>
      <c r="L1612" s="2">
        <f t="shared" si="77"/>
        <v>0</v>
      </c>
      <c r="M1612" t="s">
        <v>61</v>
      </c>
      <c r="N1612" t="s">
        <v>26</v>
      </c>
    </row>
    <row r="1613" spans="1:14" x14ac:dyDescent="0.3">
      <c r="A1613">
        <v>2024002611</v>
      </c>
      <c r="B1613" s="1">
        <v>45472</v>
      </c>
      <c r="C1613" s="11">
        <f t="shared" si="75"/>
        <v>2024</v>
      </c>
      <c r="D1613" t="s">
        <v>153</v>
      </c>
      <c r="E1613" t="s">
        <v>34</v>
      </c>
      <c r="F1613" t="s">
        <v>35</v>
      </c>
      <c r="G1613" t="s">
        <v>36</v>
      </c>
      <c r="H1613">
        <v>1</v>
      </c>
      <c r="I1613" s="2">
        <v>13.91</v>
      </c>
      <c r="J1613" s="2">
        <v>13.91</v>
      </c>
      <c r="K1613" s="2">
        <f t="shared" si="76"/>
        <v>13.91</v>
      </c>
      <c r="L1613" s="2">
        <f t="shared" si="77"/>
        <v>0</v>
      </c>
      <c r="M1613" t="s">
        <v>31</v>
      </c>
      <c r="N1613" t="s">
        <v>32</v>
      </c>
    </row>
    <row r="1614" spans="1:14" x14ac:dyDescent="0.3">
      <c r="A1614">
        <v>2024002612</v>
      </c>
      <c r="B1614" s="1">
        <v>45346</v>
      </c>
      <c r="C1614" s="11">
        <f t="shared" si="75"/>
        <v>2024</v>
      </c>
      <c r="D1614" t="s">
        <v>124</v>
      </c>
      <c r="E1614" t="s">
        <v>46</v>
      </c>
      <c r="F1614" t="s">
        <v>47</v>
      </c>
      <c r="G1614" t="s">
        <v>36</v>
      </c>
      <c r="H1614">
        <v>1</v>
      </c>
      <c r="I1614" s="2">
        <v>92.39</v>
      </c>
      <c r="J1614" s="2">
        <v>92.39</v>
      </c>
      <c r="K1614" s="2">
        <f t="shared" si="76"/>
        <v>92.39</v>
      </c>
      <c r="L1614" s="2">
        <f t="shared" si="77"/>
        <v>0</v>
      </c>
      <c r="M1614" t="s">
        <v>64</v>
      </c>
      <c r="N1614" t="s">
        <v>32</v>
      </c>
    </row>
    <row r="1615" spans="1:14" x14ac:dyDescent="0.3">
      <c r="A1615">
        <v>2024002613</v>
      </c>
      <c r="B1615" s="1">
        <v>45541</v>
      </c>
      <c r="C1615" s="11">
        <f t="shared" si="75"/>
        <v>2024</v>
      </c>
      <c r="D1615" t="s">
        <v>316</v>
      </c>
      <c r="E1615" t="s">
        <v>53</v>
      </c>
      <c r="F1615" t="s">
        <v>54</v>
      </c>
      <c r="G1615" t="s">
        <v>36</v>
      </c>
      <c r="H1615">
        <v>3</v>
      </c>
      <c r="I1615" s="2">
        <v>122.74</v>
      </c>
      <c r="J1615" s="2">
        <v>368.22</v>
      </c>
      <c r="K1615" s="2">
        <f t="shared" si="76"/>
        <v>368.21999999999997</v>
      </c>
      <c r="L1615" s="2">
        <f t="shared" si="77"/>
        <v>0</v>
      </c>
      <c r="M1615" t="s">
        <v>64</v>
      </c>
      <c r="N1615" t="s">
        <v>26</v>
      </c>
    </row>
    <row r="1616" spans="1:14" x14ac:dyDescent="0.3">
      <c r="A1616">
        <v>2024002614</v>
      </c>
      <c r="B1616" s="1">
        <v>45443</v>
      </c>
      <c r="C1616" s="11">
        <f t="shared" si="75"/>
        <v>2024</v>
      </c>
      <c r="D1616" t="s">
        <v>274</v>
      </c>
      <c r="E1616" t="s">
        <v>34</v>
      </c>
      <c r="F1616" t="s">
        <v>35</v>
      </c>
      <c r="G1616" t="s">
        <v>36</v>
      </c>
      <c r="H1616">
        <v>3</v>
      </c>
      <c r="I1616" s="2">
        <v>14.55</v>
      </c>
      <c r="J1616" s="2">
        <v>43.65</v>
      </c>
      <c r="K1616" s="2">
        <f t="shared" si="76"/>
        <v>43.650000000000006</v>
      </c>
      <c r="L1616" s="2">
        <f t="shared" si="77"/>
        <v>0</v>
      </c>
      <c r="M1616" t="s">
        <v>31</v>
      </c>
      <c r="N1616" t="s">
        <v>32</v>
      </c>
    </row>
    <row r="1617" spans="1:14" x14ac:dyDescent="0.3">
      <c r="A1617">
        <v>2024002615</v>
      </c>
      <c r="B1617" s="1">
        <v>45467</v>
      </c>
      <c r="C1617" s="11">
        <f t="shared" si="75"/>
        <v>2024</v>
      </c>
      <c r="D1617" t="s">
        <v>11</v>
      </c>
      <c r="E1617" t="s">
        <v>53</v>
      </c>
      <c r="F1617" t="s">
        <v>54</v>
      </c>
      <c r="G1617" t="s">
        <v>36</v>
      </c>
      <c r="H1617">
        <v>1</v>
      </c>
      <c r="I1617" s="2">
        <v>124.36</v>
      </c>
      <c r="J1617" s="2">
        <v>124.36</v>
      </c>
      <c r="K1617" s="2">
        <f t="shared" si="76"/>
        <v>124.36</v>
      </c>
      <c r="L1617" s="2">
        <f t="shared" si="77"/>
        <v>0</v>
      </c>
      <c r="M1617" t="s">
        <v>20</v>
      </c>
      <c r="N1617" t="s">
        <v>26</v>
      </c>
    </row>
    <row r="1618" spans="1:14" x14ac:dyDescent="0.3">
      <c r="A1618">
        <v>2024002616</v>
      </c>
      <c r="B1618" s="1">
        <v>45495</v>
      </c>
      <c r="C1618" s="11">
        <f t="shared" si="75"/>
        <v>2024</v>
      </c>
      <c r="D1618" t="s">
        <v>221</v>
      </c>
      <c r="E1618" t="s">
        <v>46</v>
      </c>
      <c r="F1618" t="s">
        <v>47</v>
      </c>
      <c r="G1618" t="s">
        <v>36</v>
      </c>
      <c r="H1618">
        <v>2</v>
      </c>
      <c r="I1618" s="2">
        <v>92.75</v>
      </c>
      <c r="J1618" s="2">
        <v>185.5</v>
      </c>
      <c r="K1618" s="2">
        <f t="shared" si="76"/>
        <v>185.5</v>
      </c>
      <c r="L1618" s="2">
        <f t="shared" si="77"/>
        <v>0</v>
      </c>
      <c r="M1618" t="s">
        <v>38</v>
      </c>
      <c r="N1618" t="s">
        <v>21</v>
      </c>
    </row>
    <row r="1619" spans="1:14" x14ac:dyDescent="0.3">
      <c r="A1619">
        <v>2024002617</v>
      </c>
      <c r="B1619" s="1">
        <v>45340</v>
      </c>
      <c r="C1619" s="11">
        <f t="shared" si="75"/>
        <v>2024</v>
      </c>
      <c r="D1619" t="s">
        <v>141</v>
      </c>
      <c r="E1619" t="s">
        <v>28</v>
      </c>
      <c r="F1619" t="s">
        <v>29</v>
      </c>
      <c r="G1619" t="s">
        <v>30</v>
      </c>
      <c r="H1619">
        <v>2</v>
      </c>
      <c r="I1619" s="2">
        <v>25.28</v>
      </c>
      <c r="J1619" s="2">
        <v>50.56</v>
      </c>
      <c r="K1619" s="2">
        <f t="shared" si="76"/>
        <v>50.56</v>
      </c>
      <c r="L1619" s="2">
        <f t="shared" si="77"/>
        <v>0</v>
      </c>
      <c r="M1619" t="s">
        <v>61</v>
      </c>
      <c r="N1619" t="s">
        <v>21</v>
      </c>
    </row>
    <row r="1620" spans="1:14" x14ac:dyDescent="0.3">
      <c r="A1620">
        <v>2024002618</v>
      </c>
      <c r="B1620" s="1">
        <v>45362</v>
      </c>
      <c r="C1620" s="11">
        <f t="shared" si="75"/>
        <v>2024</v>
      </c>
      <c r="D1620" t="s">
        <v>100</v>
      </c>
      <c r="E1620" t="s">
        <v>23</v>
      </c>
      <c r="F1620" t="s">
        <v>24</v>
      </c>
      <c r="G1620" t="s">
        <v>14</v>
      </c>
      <c r="H1620">
        <v>3</v>
      </c>
      <c r="I1620" s="2">
        <v>75.08</v>
      </c>
      <c r="J1620" s="2">
        <v>225.24</v>
      </c>
      <c r="K1620" s="2">
        <f t="shared" si="76"/>
        <v>225.24</v>
      </c>
      <c r="L1620" s="2">
        <f t="shared" si="77"/>
        <v>0</v>
      </c>
      <c r="M1620" t="s">
        <v>25</v>
      </c>
      <c r="N1620" t="s">
        <v>26</v>
      </c>
    </row>
    <row r="1621" spans="1:14" x14ac:dyDescent="0.3">
      <c r="A1621">
        <v>2024002619</v>
      </c>
      <c r="B1621" s="1">
        <v>45545</v>
      </c>
      <c r="C1621" s="11">
        <f t="shared" si="75"/>
        <v>2024</v>
      </c>
      <c r="D1621" t="s">
        <v>241</v>
      </c>
      <c r="E1621" t="s">
        <v>53</v>
      </c>
      <c r="F1621" t="s">
        <v>54</v>
      </c>
      <c r="G1621" t="s">
        <v>36</v>
      </c>
      <c r="H1621">
        <v>1</v>
      </c>
      <c r="I1621" s="2">
        <v>127.56</v>
      </c>
      <c r="J1621" s="2">
        <v>127.56</v>
      </c>
      <c r="K1621" s="2">
        <f t="shared" si="76"/>
        <v>127.56</v>
      </c>
      <c r="L1621" s="2">
        <f t="shared" si="77"/>
        <v>0</v>
      </c>
      <c r="M1621" t="s">
        <v>20</v>
      </c>
      <c r="N1621" t="s">
        <v>16</v>
      </c>
    </row>
    <row r="1622" spans="1:14" x14ac:dyDescent="0.3">
      <c r="A1622">
        <v>2024002620</v>
      </c>
      <c r="B1622" s="1">
        <v>45650</v>
      </c>
      <c r="C1622" s="11">
        <f t="shared" si="75"/>
        <v>2024</v>
      </c>
      <c r="D1622" t="s">
        <v>275</v>
      </c>
      <c r="E1622" t="s">
        <v>67</v>
      </c>
      <c r="F1622" t="s">
        <v>68</v>
      </c>
      <c r="G1622" t="s">
        <v>36</v>
      </c>
      <c r="H1622">
        <v>1</v>
      </c>
      <c r="I1622" s="2">
        <v>391.43</v>
      </c>
      <c r="J1622" s="2">
        <v>391.43</v>
      </c>
      <c r="K1622" s="2">
        <f t="shared" si="76"/>
        <v>391.43</v>
      </c>
      <c r="L1622" s="2">
        <f t="shared" si="77"/>
        <v>0</v>
      </c>
      <c r="M1622" t="s">
        <v>31</v>
      </c>
      <c r="N1622" t="s">
        <v>21</v>
      </c>
    </row>
    <row r="1623" spans="1:14" x14ac:dyDescent="0.3">
      <c r="A1623">
        <v>2024002621</v>
      </c>
      <c r="B1623" s="1">
        <v>45382</v>
      </c>
      <c r="C1623" s="11">
        <f t="shared" si="75"/>
        <v>2024</v>
      </c>
      <c r="D1623" t="s">
        <v>115</v>
      </c>
      <c r="E1623" t="s">
        <v>43</v>
      </c>
      <c r="F1623" t="s">
        <v>44</v>
      </c>
      <c r="G1623" t="s">
        <v>36</v>
      </c>
      <c r="H1623">
        <v>1</v>
      </c>
      <c r="I1623" s="2">
        <v>1199.3699999999999</v>
      </c>
      <c r="J1623" s="2">
        <v>1199.3699999999999</v>
      </c>
      <c r="K1623" s="2">
        <f t="shared" si="76"/>
        <v>1199.3699999999999</v>
      </c>
      <c r="L1623" s="2">
        <f t="shared" si="77"/>
        <v>0</v>
      </c>
      <c r="M1623" t="s">
        <v>61</v>
      </c>
      <c r="N1623" t="s">
        <v>16</v>
      </c>
    </row>
    <row r="1624" spans="1:14" x14ac:dyDescent="0.3">
      <c r="A1624">
        <v>2024002622</v>
      </c>
      <c r="B1624" s="1">
        <v>45641</v>
      </c>
      <c r="C1624" s="11">
        <f t="shared" si="75"/>
        <v>2024</v>
      </c>
      <c r="D1624" t="s">
        <v>11</v>
      </c>
      <c r="E1624" t="s">
        <v>43</v>
      </c>
      <c r="F1624" t="s">
        <v>44</v>
      </c>
      <c r="G1624" t="s">
        <v>36</v>
      </c>
      <c r="H1624">
        <v>2</v>
      </c>
      <c r="I1624" s="2">
        <v>1202.3800000000001</v>
      </c>
      <c r="J1624" s="2">
        <v>2404.7600000000002</v>
      </c>
      <c r="K1624" s="2">
        <f t="shared" si="76"/>
        <v>2404.7600000000002</v>
      </c>
      <c r="L1624" s="2">
        <f t="shared" si="77"/>
        <v>0</v>
      </c>
      <c r="M1624" t="s">
        <v>48</v>
      </c>
      <c r="N1624" t="s">
        <v>16</v>
      </c>
    </row>
    <row r="1625" spans="1:14" x14ac:dyDescent="0.3">
      <c r="A1625">
        <v>2024002623</v>
      </c>
      <c r="B1625" s="1">
        <v>45311</v>
      </c>
      <c r="C1625" s="11">
        <f t="shared" si="75"/>
        <v>2024</v>
      </c>
      <c r="D1625" t="s">
        <v>332</v>
      </c>
      <c r="E1625" t="s">
        <v>46</v>
      </c>
      <c r="F1625" t="s">
        <v>47</v>
      </c>
      <c r="G1625" t="s">
        <v>36</v>
      </c>
      <c r="H1625">
        <v>1</v>
      </c>
      <c r="I1625" s="2">
        <v>83.6</v>
      </c>
      <c r="J1625" s="2">
        <v>83.6</v>
      </c>
      <c r="K1625" s="2">
        <f t="shared" si="76"/>
        <v>83.6</v>
      </c>
      <c r="L1625" s="2">
        <f t="shared" si="77"/>
        <v>0</v>
      </c>
      <c r="M1625" t="s">
        <v>57</v>
      </c>
      <c r="N1625" t="s">
        <v>16</v>
      </c>
    </row>
    <row r="1626" spans="1:14" x14ac:dyDescent="0.3">
      <c r="A1626">
        <v>2024002624</v>
      </c>
      <c r="B1626" s="1">
        <v>45307</v>
      </c>
      <c r="C1626" s="11">
        <f t="shared" si="75"/>
        <v>2024</v>
      </c>
      <c r="D1626" t="s">
        <v>270</v>
      </c>
      <c r="E1626" t="s">
        <v>67</v>
      </c>
      <c r="F1626" t="s">
        <v>68</v>
      </c>
      <c r="G1626" t="s">
        <v>36</v>
      </c>
      <c r="H1626">
        <v>3</v>
      </c>
      <c r="I1626" s="2">
        <v>369.62</v>
      </c>
      <c r="J1626" s="2">
        <v>1108.8599999999999</v>
      </c>
      <c r="K1626" s="2">
        <f t="shared" si="76"/>
        <v>1108.8600000000001</v>
      </c>
      <c r="L1626" s="2">
        <f t="shared" si="77"/>
        <v>0</v>
      </c>
      <c r="M1626" t="s">
        <v>48</v>
      </c>
      <c r="N1626" t="s">
        <v>26</v>
      </c>
    </row>
    <row r="1627" spans="1:14" x14ac:dyDescent="0.3">
      <c r="A1627">
        <v>2024002625</v>
      </c>
      <c r="B1627" s="1">
        <v>45607</v>
      </c>
      <c r="C1627" s="11">
        <f t="shared" si="75"/>
        <v>2024</v>
      </c>
      <c r="D1627" t="s">
        <v>288</v>
      </c>
      <c r="E1627" t="s">
        <v>18</v>
      </c>
      <c r="F1627" t="s">
        <v>19</v>
      </c>
      <c r="G1627" t="s">
        <v>14</v>
      </c>
      <c r="H1627">
        <v>3</v>
      </c>
      <c r="I1627" s="2">
        <v>642.41</v>
      </c>
      <c r="J1627" s="2">
        <v>1927.23</v>
      </c>
      <c r="K1627" s="2">
        <f t="shared" si="76"/>
        <v>1927.23</v>
      </c>
      <c r="L1627" s="2">
        <f t="shared" si="77"/>
        <v>0</v>
      </c>
      <c r="M1627" t="s">
        <v>31</v>
      </c>
      <c r="N1627" t="s">
        <v>32</v>
      </c>
    </row>
    <row r="1628" spans="1:14" x14ac:dyDescent="0.3">
      <c r="A1628">
        <v>2024002626</v>
      </c>
      <c r="B1628" s="1">
        <v>45501</v>
      </c>
      <c r="C1628" s="11">
        <f t="shared" si="75"/>
        <v>2024</v>
      </c>
      <c r="D1628" t="s">
        <v>159</v>
      </c>
      <c r="E1628" t="s">
        <v>28</v>
      </c>
      <c r="F1628" t="s">
        <v>29</v>
      </c>
      <c r="G1628" t="s">
        <v>30</v>
      </c>
      <c r="H1628">
        <v>1</v>
      </c>
      <c r="I1628" s="2">
        <v>23.68</v>
      </c>
      <c r="J1628" s="2">
        <v>23.68</v>
      </c>
      <c r="K1628" s="2">
        <f t="shared" si="76"/>
        <v>23.68</v>
      </c>
      <c r="L1628" s="2">
        <f t="shared" si="77"/>
        <v>0</v>
      </c>
      <c r="M1628" t="s">
        <v>25</v>
      </c>
      <c r="N1628" t="s">
        <v>32</v>
      </c>
    </row>
    <row r="1629" spans="1:14" x14ac:dyDescent="0.3">
      <c r="A1629">
        <v>2024002627</v>
      </c>
      <c r="B1629" s="1">
        <v>45595</v>
      </c>
      <c r="C1629" s="11">
        <f t="shared" si="75"/>
        <v>2024</v>
      </c>
      <c r="D1629" t="s">
        <v>330</v>
      </c>
      <c r="E1629" t="s">
        <v>67</v>
      </c>
      <c r="F1629" t="s">
        <v>68</v>
      </c>
      <c r="G1629" t="s">
        <v>36</v>
      </c>
      <c r="H1629">
        <v>1</v>
      </c>
      <c r="I1629" s="2">
        <v>379</v>
      </c>
      <c r="J1629" s="2">
        <v>379</v>
      </c>
      <c r="K1629" s="2">
        <f t="shared" si="76"/>
        <v>379</v>
      </c>
      <c r="L1629" s="2">
        <f t="shared" si="77"/>
        <v>0</v>
      </c>
      <c r="M1629" t="s">
        <v>64</v>
      </c>
      <c r="N1629" t="s">
        <v>16</v>
      </c>
    </row>
    <row r="1630" spans="1:14" x14ac:dyDescent="0.3">
      <c r="A1630">
        <v>2024002628</v>
      </c>
      <c r="B1630" s="1">
        <v>45482</v>
      </c>
      <c r="C1630" s="11">
        <f t="shared" si="75"/>
        <v>2024</v>
      </c>
      <c r="D1630" t="s">
        <v>86</v>
      </c>
      <c r="E1630" t="s">
        <v>12</v>
      </c>
      <c r="F1630" t="s">
        <v>13</v>
      </c>
      <c r="G1630" t="s">
        <v>14</v>
      </c>
      <c r="H1630">
        <v>1</v>
      </c>
      <c r="I1630" s="2">
        <v>372.04</v>
      </c>
      <c r="J1630" s="2">
        <v>372.04</v>
      </c>
      <c r="K1630" s="2">
        <f t="shared" si="76"/>
        <v>372.04</v>
      </c>
      <c r="L1630" s="2">
        <f t="shared" si="77"/>
        <v>0</v>
      </c>
      <c r="M1630" t="s">
        <v>55</v>
      </c>
      <c r="N1630" t="s">
        <v>26</v>
      </c>
    </row>
    <row r="1631" spans="1:14" x14ac:dyDescent="0.3">
      <c r="A1631">
        <v>2024002629</v>
      </c>
      <c r="B1631" s="1">
        <v>45305</v>
      </c>
      <c r="C1631" s="11">
        <f t="shared" si="75"/>
        <v>2024</v>
      </c>
      <c r="D1631" t="s">
        <v>11</v>
      </c>
      <c r="E1631" t="s">
        <v>12</v>
      </c>
      <c r="F1631" t="s">
        <v>13</v>
      </c>
      <c r="G1631" t="s">
        <v>14</v>
      </c>
      <c r="H1631">
        <v>3</v>
      </c>
      <c r="I1631" s="2">
        <v>385.66</v>
      </c>
      <c r="J1631" s="2">
        <v>1156.98</v>
      </c>
      <c r="K1631" s="2">
        <f t="shared" si="76"/>
        <v>1156.98</v>
      </c>
      <c r="L1631" s="2">
        <f t="shared" si="77"/>
        <v>0</v>
      </c>
      <c r="M1631" t="s">
        <v>20</v>
      </c>
      <c r="N1631" t="s">
        <v>32</v>
      </c>
    </row>
    <row r="1632" spans="1:14" x14ac:dyDescent="0.3">
      <c r="A1632">
        <v>2024002630</v>
      </c>
      <c r="B1632" s="1">
        <v>45505</v>
      </c>
      <c r="C1632" s="11">
        <f t="shared" si="75"/>
        <v>2024</v>
      </c>
      <c r="D1632" t="s">
        <v>189</v>
      </c>
      <c r="E1632" t="s">
        <v>23</v>
      </c>
      <c r="F1632" t="s">
        <v>24</v>
      </c>
      <c r="G1632" t="s">
        <v>14</v>
      </c>
      <c r="H1632">
        <v>3</v>
      </c>
      <c r="I1632" s="2">
        <v>77.239999999999995</v>
      </c>
      <c r="J1632" s="2">
        <v>231.72</v>
      </c>
      <c r="K1632" s="2">
        <f t="shared" si="76"/>
        <v>231.71999999999997</v>
      </c>
      <c r="L1632" s="2">
        <f t="shared" si="77"/>
        <v>0</v>
      </c>
      <c r="M1632" t="s">
        <v>25</v>
      </c>
      <c r="N1632" t="s">
        <v>21</v>
      </c>
    </row>
    <row r="1633" spans="1:14" x14ac:dyDescent="0.3">
      <c r="A1633">
        <v>2024002631</v>
      </c>
      <c r="B1633" s="1">
        <v>45372</v>
      </c>
      <c r="C1633" s="11">
        <f t="shared" si="75"/>
        <v>2024</v>
      </c>
      <c r="D1633" t="s">
        <v>198</v>
      </c>
      <c r="E1633" t="s">
        <v>40</v>
      </c>
      <c r="F1633" t="s">
        <v>41</v>
      </c>
      <c r="G1633" t="s">
        <v>36</v>
      </c>
      <c r="H1633">
        <v>2</v>
      </c>
      <c r="I1633" s="2">
        <v>41.85</v>
      </c>
      <c r="J1633" s="2">
        <v>83.7</v>
      </c>
      <c r="K1633" s="2">
        <f t="shared" si="76"/>
        <v>83.7</v>
      </c>
      <c r="L1633" s="2">
        <f t="shared" si="77"/>
        <v>0</v>
      </c>
      <c r="M1633" t="s">
        <v>25</v>
      </c>
      <c r="N1633" t="s">
        <v>32</v>
      </c>
    </row>
    <row r="1634" spans="1:14" x14ac:dyDescent="0.3">
      <c r="A1634">
        <v>2024002632</v>
      </c>
      <c r="B1634" s="1">
        <v>45423</v>
      </c>
      <c r="C1634" s="11">
        <f t="shared" si="75"/>
        <v>2024</v>
      </c>
      <c r="D1634" t="s">
        <v>199</v>
      </c>
      <c r="E1634" t="s">
        <v>43</v>
      </c>
      <c r="F1634" t="s">
        <v>44</v>
      </c>
      <c r="G1634" t="s">
        <v>36</v>
      </c>
      <c r="H1634">
        <v>4</v>
      </c>
      <c r="I1634" s="2">
        <v>1065.26</v>
      </c>
      <c r="J1634" s="2">
        <v>4261.04</v>
      </c>
      <c r="K1634" s="2">
        <f t="shared" si="76"/>
        <v>4261.04</v>
      </c>
      <c r="L1634" s="2">
        <f t="shared" si="77"/>
        <v>0</v>
      </c>
      <c r="M1634" t="s">
        <v>64</v>
      </c>
      <c r="N1634" t="s">
        <v>26</v>
      </c>
    </row>
    <row r="1635" spans="1:14" x14ac:dyDescent="0.3">
      <c r="A1635">
        <v>2024002633</v>
      </c>
      <c r="B1635" s="1">
        <v>45363</v>
      </c>
      <c r="C1635" s="11">
        <f t="shared" si="75"/>
        <v>2024</v>
      </c>
      <c r="D1635" t="s">
        <v>311</v>
      </c>
      <c r="E1635" t="s">
        <v>18</v>
      </c>
      <c r="F1635" t="s">
        <v>19</v>
      </c>
      <c r="G1635" t="s">
        <v>14</v>
      </c>
      <c r="H1635">
        <v>5</v>
      </c>
      <c r="I1635" s="2">
        <v>605.86</v>
      </c>
      <c r="J1635" s="2">
        <v>3029.3</v>
      </c>
      <c r="K1635" s="2">
        <f t="shared" si="76"/>
        <v>3029.3</v>
      </c>
      <c r="L1635" s="2">
        <f t="shared" si="77"/>
        <v>0</v>
      </c>
      <c r="M1635" t="s">
        <v>57</v>
      </c>
      <c r="N1635" t="s">
        <v>26</v>
      </c>
    </row>
    <row r="1636" spans="1:14" x14ac:dyDescent="0.3">
      <c r="A1636">
        <v>2024002634</v>
      </c>
      <c r="B1636" s="1">
        <v>45556</v>
      </c>
      <c r="C1636" s="11">
        <f t="shared" si="75"/>
        <v>2024</v>
      </c>
      <c r="D1636" t="s">
        <v>11</v>
      </c>
      <c r="E1636" t="s">
        <v>40</v>
      </c>
      <c r="F1636" t="s">
        <v>41</v>
      </c>
      <c r="G1636" t="s">
        <v>36</v>
      </c>
      <c r="H1636">
        <v>1</v>
      </c>
      <c r="I1636" s="2">
        <v>44.24</v>
      </c>
      <c r="J1636" s="2">
        <v>44.24</v>
      </c>
      <c r="K1636" s="2">
        <f t="shared" si="76"/>
        <v>44.24</v>
      </c>
      <c r="L1636" s="2">
        <f t="shared" si="77"/>
        <v>0</v>
      </c>
      <c r="M1636" t="s">
        <v>31</v>
      </c>
      <c r="N1636" t="s">
        <v>26</v>
      </c>
    </row>
    <row r="1637" spans="1:14" x14ac:dyDescent="0.3">
      <c r="A1637">
        <v>2024002635</v>
      </c>
      <c r="B1637" s="1">
        <v>45595</v>
      </c>
      <c r="C1637" s="11">
        <f t="shared" si="75"/>
        <v>2024</v>
      </c>
      <c r="D1637" t="s">
        <v>11</v>
      </c>
      <c r="E1637" t="s">
        <v>34</v>
      </c>
      <c r="F1637" t="s">
        <v>35</v>
      </c>
      <c r="G1637" t="s">
        <v>36</v>
      </c>
      <c r="H1637">
        <v>1</v>
      </c>
      <c r="I1637" s="2">
        <v>14.53</v>
      </c>
      <c r="J1637" s="2">
        <v>14.53</v>
      </c>
      <c r="K1637" s="2">
        <f t="shared" si="76"/>
        <v>14.53</v>
      </c>
      <c r="L1637" s="2">
        <f t="shared" si="77"/>
        <v>0</v>
      </c>
      <c r="M1637" t="s">
        <v>61</v>
      </c>
      <c r="N1637" t="s">
        <v>16</v>
      </c>
    </row>
    <row r="1638" spans="1:14" x14ac:dyDescent="0.3">
      <c r="A1638">
        <v>2024002636</v>
      </c>
      <c r="B1638" s="1">
        <v>45490</v>
      </c>
      <c r="C1638" s="11">
        <f t="shared" si="75"/>
        <v>2024</v>
      </c>
      <c r="D1638" t="s">
        <v>336</v>
      </c>
      <c r="E1638" t="s">
        <v>18</v>
      </c>
      <c r="F1638" t="s">
        <v>19</v>
      </c>
      <c r="G1638" t="s">
        <v>14</v>
      </c>
      <c r="H1638">
        <v>1</v>
      </c>
      <c r="I1638" s="2">
        <v>581.91999999999996</v>
      </c>
      <c r="J1638" s="2">
        <v>581.91999999999996</v>
      </c>
      <c r="K1638" s="2">
        <f t="shared" si="76"/>
        <v>581.91999999999996</v>
      </c>
      <c r="L1638" s="2">
        <f t="shared" si="77"/>
        <v>0</v>
      </c>
      <c r="M1638" t="s">
        <v>25</v>
      </c>
      <c r="N1638" t="s">
        <v>26</v>
      </c>
    </row>
    <row r="1639" spans="1:14" x14ac:dyDescent="0.3">
      <c r="A1639">
        <v>2024002637</v>
      </c>
      <c r="B1639" s="1">
        <v>45297</v>
      </c>
      <c r="C1639" s="11">
        <f t="shared" si="75"/>
        <v>2024</v>
      </c>
      <c r="D1639" t="s">
        <v>233</v>
      </c>
      <c r="E1639" t="s">
        <v>18</v>
      </c>
      <c r="F1639" t="s">
        <v>19</v>
      </c>
      <c r="G1639" t="s">
        <v>14</v>
      </c>
      <c r="H1639">
        <v>2</v>
      </c>
      <c r="I1639" s="2">
        <v>600.04999999999995</v>
      </c>
      <c r="J1639" s="2">
        <v>1200.0999999999999</v>
      </c>
      <c r="K1639" s="2">
        <f t="shared" si="76"/>
        <v>1200.0999999999999</v>
      </c>
      <c r="L1639" s="2">
        <f t="shared" si="77"/>
        <v>0</v>
      </c>
      <c r="M1639" t="s">
        <v>64</v>
      </c>
      <c r="N1639" t="s">
        <v>16</v>
      </c>
    </row>
    <row r="1640" spans="1:14" x14ac:dyDescent="0.3">
      <c r="A1640">
        <v>2024002638</v>
      </c>
      <c r="B1640" s="1">
        <v>45398</v>
      </c>
      <c r="C1640" s="11">
        <f t="shared" si="75"/>
        <v>2024</v>
      </c>
      <c r="D1640" t="s">
        <v>261</v>
      </c>
      <c r="E1640" t="s">
        <v>67</v>
      </c>
      <c r="F1640" t="s">
        <v>68</v>
      </c>
      <c r="G1640" t="s">
        <v>36</v>
      </c>
      <c r="H1640">
        <v>1</v>
      </c>
      <c r="I1640" s="2">
        <v>434.51</v>
      </c>
      <c r="J1640" s="2">
        <v>434.51</v>
      </c>
      <c r="K1640" s="2">
        <f t="shared" si="76"/>
        <v>434.51</v>
      </c>
      <c r="L1640" s="2">
        <f t="shared" si="77"/>
        <v>0</v>
      </c>
      <c r="M1640" t="s">
        <v>61</v>
      </c>
      <c r="N1640" t="s">
        <v>26</v>
      </c>
    </row>
    <row r="1641" spans="1:14" x14ac:dyDescent="0.3">
      <c r="A1641">
        <v>2024002639</v>
      </c>
      <c r="B1641" s="1">
        <v>45657</v>
      </c>
      <c r="C1641" s="11">
        <f t="shared" si="75"/>
        <v>2024</v>
      </c>
      <c r="D1641" t="s">
        <v>197</v>
      </c>
      <c r="E1641" t="s">
        <v>53</v>
      </c>
      <c r="F1641" t="s">
        <v>54</v>
      </c>
      <c r="G1641" t="s">
        <v>36</v>
      </c>
      <c r="H1641">
        <v>1</v>
      </c>
      <c r="I1641" s="2">
        <v>120.73</v>
      </c>
      <c r="J1641" s="2">
        <v>120.73</v>
      </c>
      <c r="K1641" s="2">
        <f t="shared" si="76"/>
        <v>120.73</v>
      </c>
      <c r="L1641" s="2">
        <f t="shared" si="77"/>
        <v>0</v>
      </c>
      <c r="M1641" t="s">
        <v>61</v>
      </c>
      <c r="N1641" t="s">
        <v>16</v>
      </c>
    </row>
    <row r="1642" spans="1:14" x14ac:dyDescent="0.3">
      <c r="A1642">
        <v>2024002640</v>
      </c>
      <c r="B1642" s="1">
        <v>45648</v>
      </c>
      <c r="C1642" s="11">
        <f t="shared" si="75"/>
        <v>2024</v>
      </c>
      <c r="D1642" t="s">
        <v>128</v>
      </c>
      <c r="E1642" t="s">
        <v>40</v>
      </c>
      <c r="F1642" t="s">
        <v>41</v>
      </c>
      <c r="G1642" t="s">
        <v>36</v>
      </c>
      <c r="H1642">
        <v>2</v>
      </c>
      <c r="I1642" s="2">
        <v>42.35</v>
      </c>
      <c r="J1642" s="2">
        <v>84.7</v>
      </c>
      <c r="K1642" s="2">
        <f t="shared" si="76"/>
        <v>84.7</v>
      </c>
      <c r="L1642" s="2">
        <f t="shared" si="77"/>
        <v>0</v>
      </c>
      <c r="M1642" t="s">
        <v>31</v>
      </c>
      <c r="N1642" t="s">
        <v>26</v>
      </c>
    </row>
    <row r="1643" spans="1:14" x14ac:dyDescent="0.3">
      <c r="A1643">
        <v>2024002641</v>
      </c>
      <c r="B1643" s="1">
        <v>45595</v>
      </c>
      <c r="C1643" s="11">
        <f t="shared" si="75"/>
        <v>2024</v>
      </c>
      <c r="D1643" t="s">
        <v>11</v>
      </c>
      <c r="E1643" t="s">
        <v>40</v>
      </c>
      <c r="F1643" t="s">
        <v>41</v>
      </c>
      <c r="G1643" t="s">
        <v>36</v>
      </c>
      <c r="H1643">
        <v>2</v>
      </c>
      <c r="I1643" s="2">
        <v>46.05</v>
      </c>
      <c r="J1643" s="2">
        <v>92.1</v>
      </c>
      <c r="K1643" s="2">
        <f t="shared" si="76"/>
        <v>92.1</v>
      </c>
      <c r="L1643" s="2">
        <f t="shared" si="77"/>
        <v>0</v>
      </c>
      <c r="M1643" t="s">
        <v>38</v>
      </c>
      <c r="N1643" t="s">
        <v>16</v>
      </c>
    </row>
    <row r="1644" spans="1:14" x14ac:dyDescent="0.3">
      <c r="A1644">
        <v>2024002642</v>
      </c>
      <c r="B1644" s="1">
        <v>45560</v>
      </c>
      <c r="C1644" s="11">
        <f t="shared" si="75"/>
        <v>2024</v>
      </c>
      <c r="D1644" t="s">
        <v>84</v>
      </c>
      <c r="E1644" t="s">
        <v>53</v>
      </c>
      <c r="F1644" t="s">
        <v>54</v>
      </c>
      <c r="G1644" t="s">
        <v>36</v>
      </c>
      <c r="H1644">
        <v>3</v>
      </c>
      <c r="I1644" s="2">
        <v>114.73</v>
      </c>
      <c r="J1644" s="2">
        <v>344.19</v>
      </c>
      <c r="K1644" s="2">
        <f t="shared" si="76"/>
        <v>344.19</v>
      </c>
      <c r="L1644" s="2">
        <f t="shared" si="77"/>
        <v>0</v>
      </c>
      <c r="M1644" t="s">
        <v>55</v>
      </c>
      <c r="N1644" t="s">
        <v>26</v>
      </c>
    </row>
    <row r="1645" spans="1:14" x14ac:dyDescent="0.3">
      <c r="A1645">
        <v>2024002643</v>
      </c>
      <c r="B1645" s="1">
        <v>45604</v>
      </c>
      <c r="C1645" s="11">
        <f t="shared" si="75"/>
        <v>2024</v>
      </c>
      <c r="D1645" t="s">
        <v>159</v>
      </c>
      <c r="E1645" t="s">
        <v>40</v>
      </c>
      <c r="F1645" t="s">
        <v>41</v>
      </c>
      <c r="G1645" t="s">
        <v>36</v>
      </c>
      <c r="H1645">
        <v>1</v>
      </c>
      <c r="I1645" s="2">
        <v>41.88</v>
      </c>
      <c r="J1645" s="2">
        <v>41.88</v>
      </c>
      <c r="K1645" s="2">
        <f t="shared" si="76"/>
        <v>41.88</v>
      </c>
      <c r="L1645" s="2">
        <f t="shared" si="77"/>
        <v>0</v>
      </c>
      <c r="M1645" t="s">
        <v>38</v>
      </c>
      <c r="N1645" t="s">
        <v>26</v>
      </c>
    </row>
    <row r="1646" spans="1:14" x14ac:dyDescent="0.3">
      <c r="A1646">
        <v>2024002644</v>
      </c>
      <c r="B1646" s="1">
        <v>45448</v>
      </c>
      <c r="C1646" s="11">
        <f t="shared" si="75"/>
        <v>2024</v>
      </c>
      <c r="D1646" t="s">
        <v>91</v>
      </c>
      <c r="E1646" t="s">
        <v>43</v>
      </c>
      <c r="F1646" t="s">
        <v>44</v>
      </c>
      <c r="G1646" t="s">
        <v>36</v>
      </c>
      <c r="H1646">
        <v>1</v>
      </c>
      <c r="I1646" s="2">
        <v>1275.6500000000001</v>
      </c>
      <c r="J1646" s="2">
        <v>1275.6500000000001</v>
      </c>
      <c r="K1646" s="2">
        <f t="shared" si="76"/>
        <v>1275.6500000000001</v>
      </c>
      <c r="L1646" s="2">
        <f t="shared" si="77"/>
        <v>0</v>
      </c>
      <c r="M1646" t="s">
        <v>15</v>
      </c>
      <c r="N1646" t="s">
        <v>32</v>
      </c>
    </row>
    <row r="1647" spans="1:14" x14ac:dyDescent="0.3">
      <c r="A1647">
        <v>2024002645</v>
      </c>
      <c r="B1647" s="1">
        <v>45358</v>
      </c>
      <c r="C1647" s="11">
        <f t="shared" si="75"/>
        <v>2024</v>
      </c>
      <c r="D1647" t="s">
        <v>322</v>
      </c>
      <c r="E1647" t="s">
        <v>34</v>
      </c>
      <c r="F1647" t="s">
        <v>35</v>
      </c>
      <c r="G1647" t="s">
        <v>36</v>
      </c>
      <c r="H1647">
        <v>1</v>
      </c>
      <c r="I1647" s="2">
        <v>15.46</v>
      </c>
      <c r="J1647" s="2">
        <v>15.46</v>
      </c>
      <c r="K1647" s="2">
        <f t="shared" si="76"/>
        <v>15.46</v>
      </c>
      <c r="L1647" s="2">
        <f t="shared" si="77"/>
        <v>0</v>
      </c>
      <c r="M1647" t="s">
        <v>15</v>
      </c>
      <c r="N1647" t="s">
        <v>21</v>
      </c>
    </row>
    <row r="1648" spans="1:14" x14ac:dyDescent="0.3">
      <c r="A1648">
        <v>2024002646</v>
      </c>
      <c r="B1648" s="1">
        <v>45511</v>
      </c>
      <c r="C1648" s="11">
        <f t="shared" si="75"/>
        <v>2024</v>
      </c>
      <c r="D1648" t="s">
        <v>11</v>
      </c>
      <c r="E1648" t="s">
        <v>40</v>
      </c>
      <c r="F1648" t="s">
        <v>41</v>
      </c>
      <c r="G1648" t="s">
        <v>36</v>
      </c>
      <c r="H1648">
        <v>1</v>
      </c>
      <c r="I1648" s="2">
        <v>41.81</v>
      </c>
      <c r="J1648" s="2">
        <v>41.81</v>
      </c>
      <c r="K1648" s="2">
        <f t="shared" si="76"/>
        <v>41.81</v>
      </c>
      <c r="L1648" s="2">
        <f t="shared" si="77"/>
        <v>0</v>
      </c>
      <c r="M1648" t="s">
        <v>31</v>
      </c>
      <c r="N1648" t="s">
        <v>16</v>
      </c>
    </row>
    <row r="1649" spans="1:14" x14ac:dyDescent="0.3">
      <c r="A1649">
        <v>2024002647</v>
      </c>
      <c r="B1649" s="1">
        <v>45623</v>
      </c>
      <c r="C1649" s="11">
        <f t="shared" si="75"/>
        <v>2024</v>
      </c>
      <c r="D1649" t="s">
        <v>11</v>
      </c>
      <c r="E1649" t="s">
        <v>23</v>
      </c>
      <c r="F1649" t="s">
        <v>24</v>
      </c>
      <c r="G1649" t="s">
        <v>14</v>
      </c>
      <c r="H1649">
        <v>1</v>
      </c>
      <c r="I1649" s="2">
        <v>72.81</v>
      </c>
      <c r="J1649" s="2">
        <v>72.81</v>
      </c>
      <c r="K1649" s="2">
        <f t="shared" si="76"/>
        <v>72.81</v>
      </c>
      <c r="L1649" s="2">
        <f t="shared" si="77"/>
        <v>0</v>
      </c>
      <c r="M1649" t="s">
        <v>61</v>
      </c>
      <c r="N1649" t="s">
        <v>21</v>
      </c>
    </row>
    <row r="1650" spans="1:14" x14ac:dyDescent="0.3">
      <c r="A1650">
        <v>2024002648</v>
      </c>
      <c r="B1650" s="1">
        <v>45437</v>
      </c>
      <c r="C1650" s="11">
        <f t="shared" si="75"/>
        <v>2024</v>
      </c>
      <c r="D1650" t="s">
        <v>96</v>
      </c>
      <c r="E1650" t="s">
        <v>40</v>
      </c>
      <c r="F1650" t="s">
        <v>41</v>
      </c>
      <c r="G1650" t="s">
        <v>36</v>
      </c>
      <c r="H1650">
        <v>1</v>
      </c>
      <c r="I1650" s="2">
        <v>41.98</v>
      </c>
      <c r="J1650" s="2">
        <v>41.98</v>
      </c>
      <c r="K1650" s="2">
        <f t="shared" si="76"/>
        <v>41.98</v>
      </c>
      <c r="L1650" s="2">
        <f t="shared" si="77"/>
        <v>0</v>
      </c>
      <c r="M1650" t="s">
        <v>31</v>
      </c>
      <c r="N1650" t="s">
        <v>26</v>
      </c>
    </row>
    <row r="1651" spans="1:14" x14ac:dyDescent="0.3">
      <c r="A1651">
        <v>2024002649</v>
      </c>
      <c r="B1651" s="1">
        <v>45632</v>
      </c>
      <c r="C1651" s="11">
        <f t="shared" si="75"/>
        <v>2024</v>
      </c>
      <c r="D1651" t="s">
        <v>214</v>
      </c>
      <c r="E1651" t="s">
        <v>12</v>
      </c>
      <c r="F1651" t="s">
        <v>13</v>
      </c>
      <c r="G1651" t="s">
        <v>14</v>
      </c>
      <c r="H1651">
        <v>1</v>
      </c>
      <c r="I1651" s="2">
        <v>364.87</v>
      </c>
      <c r="J1651" s="2">
        <v>364.87</v>
      </c>
      <c r="K1651" s="2">
        <f t="shared" si="76"/>
        <v>364.87</v>
      </c>
      <c r="L1651" s="2">
        <f t="shared" si="77"/>
        <v>0</v>
      </c>
      <c r="M1651" t="s">
        <v>25</v>
      </c>
      <c r="N1651" t="s">
        <v>16</v>
      </c>
    </row>
    <row r="1652" spans="1:14" x14ac:dyDescent="0.3">
      <c r="A1652">
        <v>2024002650</v>
      </c>
      <c r="B1652" s="1">
        <v>45382</v>
      </c>
      <c r="C1652" s="11">
        <f t="shared" si="75"/>
        <v>2024</v>
      </c>
      <c r="D1652" t="s">
        <v>130</v>
      </c>
      <c r="E1652" t="s">
        <v>46</v>
      </c>
      <c r="F1652" t="s">
        <v>47</v>
      </c>
      <c r="G1652" t="s">
        <v>36</v>
      </c>
      <c r="H1652">
        <v>2</v>
      </c>
      <c r="I1652" s="2">
        <v>89.96</v>
      </c>
      <c r="J1652" s="2">
        <v>179.92</v>
      </c>
      <c r="K1652" s="2">
        <f t="shared" si="76"/>
        <v>179.92</v>
      </c>
      <c r="L1652" s="2">
        <f t="shared" si="77"/>
        <v>0</v>
      </c>
      <c r="M1652" t="s">
        <v>55</v>
      </c>
      <c r="N1652" t="s">
        <v>26</v>
      </c>
    </row>
    <row r="1653" spans="1:14" x14ac:dyDescent="0.3">
      <c r="A1653">
        <v>2024002651</v>
      </c>
      <c r="B1653" s="1">
        <v>45302</v>
      </c>
      <c r="C1653" s="11">
        <f t="shared" si="75"/>
        <v>2024</v>
      </c>
      <c r="D1653" t="s">
        <v>149</v>
      </c>
      <c r="E1653" t="s">
        <v>40</v>
      </c>
      <c r="F1653" t="s">
        <v>41</v>
      </c>
      <c r="G1653" t="s">
        <v>36</v>
      </c>
      <c r="H1653">
        <v>1</v>
      </c>
      <c r="I1653" s="2">
        <v>47.23</v>
      </c>
      <c r="J1653" s="2">
        <v>47.23</v>
      </c>
      <c r="K1653" s="2">
        <f t="shared" si="76"/>
        <v>47.23</v>
      </c>
      <c r="L1653" s="2">
        <f t="shared" si="77"/>
        <v>0</v>
      </c>
      <c r="M1653" t="s">
        <v>64</v>
      </c>
      <c r="N1653" t="s">
        <v>16</v>
      </c>
    </row>
    <row r="1654" spans="1:14" x14ac:dyDescent="0.3">
      <c r="A1654">
        <v>2024002652</v>
      </c>
      <c r="B1654" s="1">
        <v>45653</v>
      </c>
      <c r="C1654" s="11">
        <f t="shared" si="75"/>
        <v>2024</v>
      </c>
      <c r="D1654" t="s">
        <v>129</v>
      </c>
      <c r="E1654" t="s">
        <v>43</v>
      </c>
      <c r="F1654" t="s">
        <v>44</v>
      </c>
      <c r="G1654" t="s">
        <v>36</v>
      </c>
      <c r="H1654">
        <v>1</v>
      </c>
      <c r="I1654" s="2">
        <v>1097.46</v>
      </c>
      <c r="J1654" s="2">
        <v>1097.46</v>
      </c>
      <c r="K1654" s="2">
        <f t="shared" si="76"/>
        <v>1097.46</v>
      </c>
      <c r="L1654" s="2">
        <f t="shared" si="77"/>
        <v>0</v>
      </c>
      <c r="M1654" t="s">
        <v>25</v>
      </c>
      <c r="N1654" t="s">
        <v>26</v>
      </c>
    </row>
    <row r="1655" spans="1:14" x14ac:dyDescent="0.3">
      <c r="A1655">
        <v>2024002653</v>
      </c>
      <c r="B1655" s="1">
        <v>45309</v>
      </c>
      <c r="C1655" s="11">
        <f t="shared" si="75"/>
        <v>2024</v>
      </c>
      <c r="D1655" t="s">
        <v>136</v>
      </c>
      <c r="E1655" t="s">
        <v>23</v>
      </c>
      <c r="F1655" t="s">
        <v>24</v>
      </c>
      <c r="G1655" t="s">
        <v>14</v>
      </c>
      <c r="H1655">
        <v>2</v>
      </c>
      <c r="I1655" s="2">
        <v>76.03</v>
      </c>
      <c r="J1655" s="2">
        <v>152.06</v>
      </c>
      <c r="K1655" s="2">
        <f t="shared" si="76"/>
        <v>152.06</v>
      </c>
      <c r="L1655" s="2">
        <f t="shared" si="77"/>
        <v>0</v>
      </c>
      <c r="M1655" t="s">
        <v>38</v>
      </c>
      <c r="N1655" t="s">
        <v>16</v>
      </c>
    </row>
    <row r="1656" spans="1:14" x14ac:dyDescent="0.3">
      <c r="A1656">
        <v>2024002654</v>
      </c>
      <c r="B1656" s="1">
        <v>45331</v>
      </c>
      <c r="C1656" s="11">
        <f t="shared" si="75"/>
        <v>2024</v>
      </c>
      <c r="D1656" t="s">
        <v>248</v>
      </c>
      <c r="E1656" t="s">
        <v>46</v>
      </c>
      <c r="F1656" t="s">
        <v>47</v>
      </c>
      <c r="G1656" t="s">
        <v>36</v>
      </c>
      <c r="H1656">
        <v>1</v>
      </c>
      <c r="I1656" s="2">
        <v>93.33</v>
      </c>
      <c r="J1656" s="2">
        <v>93.33</v>
      </c>
      <c r="K1656" s="2">
        <f t="shared" si="76"/>
        <v>93.33</v>
      </c>
      <c r="L1656" s="2">
        <f t="shared" si="77"/>
        <v>0</v>
      </c>
      <c r="M1656" t="s">
        <v>64</v>
      </c>
      <c r="N1656" t="s">
        <v>26</v>
      </c>
    </row>
    <row r="1657" spans="1:14" x14ac:dyDescent="0.3">
      <c r="A1657">
        <v>2024002655</v>
      </c>
      <c r="B1657" s="1">
        <v>45506</v>
      </c>
      <c r="C1657" s="11">
        <f t="shared" si="75"/>
        <v>2024</v>
      </c>
      <c r="D1657" t="s">
        <v>96</v>
      </c>
      <c r="E1657" t="s">
        <v>46</v>
      </c>
      <c r="F1657" t="s">
        <v>47</v>
      </c>
      <c r="G1657" t="s">
        <v>36</v>
      </c>
      <c r="H1657">
        <v>1</v>
      </c>
      <c r="I1657" s="2">
        <v>85.96</v>
      </c>
      <c r="J1657" s="2">
        <v>85.96</v>
      </c>
      <c r="K1657" s="2">
        <f t="shared" si="76"/>
        <v>85.96</v>
      </c>
      <c r="L1657" s="2">
        <f t="shared" si="77"/>
        <v>0</v>
      </c>
      <c r="M1657" t="s">
        <v>31</v>
      </c>
      <c r="N1657" t="s">
        <v>32</v>
      </c>
    </row>
    <row r="1658" spans="1:14" x14ac:dyDescent="0.3">
      <c r="A1658">
        <v>2024002656</v>
      </c>
      <c r="B1658" s="1">
        <v>45398</v>
      </c>
      <c r="C1658" s="11">
        <f t="shared" si="75"/>
        <v>2024</v>
      </c>
      <c r="D1658" t="s">
        <v>213</v>
      </c>
      <c r="E1658" t="s">
        <v>28</v>
      </c>
      <c r="F1658" t="s">
        <v>29</v>
      </c>
      <c r="G1658" t="s">
        <v>30</v>
      </c>
      <c r="H1658">
        <v>2</v>
      </c>
      <c r="I1658" s="2">
        <v>24.17</v>
      </c>
      <c r="J1658" s="2">
        <v>48.34</v>
      </c>
      <c r="K1658" s="2">
        <f t="shared" si="76"/>
        <v>48.34</v>
      </c>
      <c r="L1658" s="2">
        <f t="shared" si="77"/>
        <v>0</v>
      </c>
      <c r="M1658" t="s">
        <v>15</v>
      </c>
      <c r="N1658" t="s">
        <v>26</v>
      </c>
    </row>
    <row r="1659" spans="1:14" x14ac:dyDescent="0.3">
      <c r="A1659">
        <v>2024002657</v>
      </c>
      <c r="B1659" s="1">
        <v>45626</v>
      </c>
      <c r="C1659" s="11">
        <f t="shared" si="75"/>
        <v>2024</v>
      </c>
      <c r="D1659" t="s">
        <v>299</v>
      </c>
      <c r="E1659" t="s">
        <v>12</v>
      </c>
      <c r="F1659" t="s">
        <v>13</v>
      </c>
      <c r="G1659" t="s">
        <v>14</v>
      </c>
      <c r="H1659">
        <v>1</v>
      </c>
      <c r="I1659" s="2">
        <v>362.27</v>
      </c>
      <c r="J1659" s="2">
        <v>362.27</v>
      </c>
      <c r="K1659" s="2">
        <f t="shared" si="76"/>
        <v>362.27</v>
      </c>
      <c r="L1659" s="2">
        <f t="shared" si="77"/>
        <v>0</v>
      </c>
      <c r="M1659" t="s">
        <v>31</v>
      </c>
      <c r="N1659" t="s">
        <v>32</v>
      </c>
    </row>
    <row r="1660" spans="1:14" x14ac:dyDescent="0.3">
      <c r="A1660">
        <v>2024002658</v>
      </c>
      <c r="B1660" s="1">
        <v>45336</v>
      </c>
      <c r="C1660" s="11">
        <f t="shared" si="75"/>
        <v>2024</v>
      </c>
      <c r="D1660" t="s">
        <v>166</v>
      </c>
      <c r="E1660" t="s">
        <v>53</v>
      </c>
      <c r="F1660" t="s">
        <v>54</v>
      </c>
      <c r="G1660" t="s">
        <v>36</v>
      </c>
      <c r="H1660">
        <v>1</v>
      </c>
      <c r="I1660" s="2">
        <v>122.38</v>
      </c>
      <c r="J1660" s="2">
        <v>122.38</v>
      </c>
      <c r="K1660" s="2">
        <f t="shared" si="76"/>
        <v>122.38</v>
      </c>
      <c r="L1660" s="2">
        <f t="shared" si="77"/>
        <v>0</v>
      </c>
      <c r="M1660" t="s">
        <v>48</v>
      </c>
      <c r="N1660" t="s">
        <v>32</v>
      </c>
    </row>
    <row r="1661" spans="1:14" x14ac:dyDescent="0.3">
      <c r="A1661">
        <v>2024002659</v>
      </c>
      <c r="B1661" s="1">
        <v>45330</v>
      </c>
      <c r="C1661" s="11">
        <f t="shared" si="75"/>
        <v>2024</v>
      </c>
      <c r="D1661" t="s">
        <v>201</v>
      </c>
      <c r="E1661" t="s">
        <v>34</v>
      </c>
      <c r="F1661" t="s">
        <v>35</v>
      </c>
      <c r="G1661" t="s">
        <v>36</v>
      </c>
      <c r="H1661">
        <v>1</v>
      </c>
      <c r="I1661" s="2">
        <v>15.13</v>
      </c>
      <c r="J1661" s="2">
        <v>15.13</v>
      </c>
      <c r="K1661" s="2">
        <f t="shared" si="76"/>
        <v>15.13</v>
      </c>
      <c r="L1661" s="2">
        <f t="shared" si="77"/>
        <v>0</v>
      </c>
      <c r="M1661" t="s">
        <v>25</v>
      </c>
      <c r="N1661" t="s">
        <v>21</v>
      </c>
    </row>
    <row r="1662" spans="1:14" x14ac:dyDescent="0.3">
      <c r="A1662">
        <v>2024002660</v>
      </c>
      <c r="B1662" s="1">
        <v>45454</v>
      </c>
      <c r="C1662" s="11">
        <f t="shared" si="75"/>
        <v>2024</v>
      </c>
      <c r="D1662" t="s">
        <v>85</v>
      </c>
      <c r="E1662" t="s">
        <v>67</v>
      </c>
      <c r="F1662" t="s">
        <v>68</v>
      </c>
      <c r="G1662" t="s">
        <v>36</v>
      </c>
      <c r="H1662">
        <v>1</v>
      </c>
      <c r="I1662" s="2">
        <v>409.5</v>
      </c>
      <c r="J1662" s="2">
        <v>409.5</v>
      </c>
      <c r="K1662" s="2">
        <f t="shared" si="76"/>
        <v>409.5</v>
      </c>
      <c r="L1662" s="2">
        <f t="shared" si="77"/>
        <v>0</v>
      </c>
      <c r="M1662" t="s">
        <v>55</v>
      </c>
      <c r="N1662" t="s">
        <v>21</v>
      </c>
    </row>
    <row r="1663" spans="1:14" x14ac:dyDescent="0.3">
      <c r="A1663">
        <v>2024002661</v>
      </c>
      <c r="B1663" s="1">
        <v>45336</v>
      </c>
      <c r="C1663" s="11">
        <f t="shared" si="75"/>
        <v>2024</v>
      </c>
      <c r="D1663" t="s">
        <v>11</v>
      </c>
      <c r="E1663" t="s">
        <v>53</v>
      </c>
      <c r="F1663" t="s">
        <v>54</v>
      </c>
      <c r="G1663" t="s">
        <v>36</v>
      </c>
      <c r="H1663">
        <v>1</v>
      </c>
      <c r="I1663" s="2">
        <v>125.2</v>
      </c>
      <c r="J1663" s="2">
        <v>125.2</v>
      </c>
      <c r="K1663" s="2">
        <f t="shared" si="76"/>
        <v>125.2</v>
      </c>
      <c r="L1663" s="2">
        <f t="shared" si="77"/>
        <v>0</v>
      </c>
      <c r="M1663" t="s">
        <v>25</v>
      </c>
      <c r="N1663" t="s">
        <v>21</v>
      </c>
    </row>
    <row r="1664" spans="1:14" x14ac:dyDescent="0.3">
      <c r="A1664">
        <v>2024002662</v>
      </c>
      <c r="B1664" s="1">
        <v>45496</v>
      </c>
      <c r="C1664" s="11">
        <f t="shared" si="75"/>
        <v>2024</v>
      </c>
      <c r="D1664" t="s">
        <v>235</v>
      </c>
      <c r="E1664" t="s">
        <v>34</v>
      </c>
      <c r="F1664" t="s">
        <v>35</v>
      </c>
      <c r="G1664" t="s">
        <v>36</v>
      </c>
      <c r="H1664">
        <v>1</v>
      </c>
      <c r="I1664" s="2">
        <v>13.48</v>
      </c>
      <c r="J1664" s="2">
        <v>13.48</v>
      </c>
      <c r="K1664" s="2">
        <f t="shared" si="76"/>
        <v>13.48</v>
      </c>
      <c r="L1664" s="2">
        <f t="shared" si="77"/>
        <v>0</v>
      </c>
      <c r="M1664" t="s">
        <v>15</v>
      </c>
      <c r="N1664" t="s">
        <v>16</v>
      </c>
    </row>
    <row r="1665" spans="1:14" x14ac:dyDescent="0.3">
      <c r="A1665">
        <v>2024002663</v>
      </c>
      <c r="B1665" s="1">
        <v>45485</v>
      </c>
      <c r="C1665" s="11">
        <f t="shared" si="75"/>
        <v>2024</v>
      </c>
      <c r="D1665" t="s">
        <v>303</v>
      </c>
      <c r="E1665" t="s">
        <v>53</v>
      </c>
      <c r="F1665" t="s">
        <v>54</v>
      </c>
      <c r="G1665" t="s">
        <v>36</v>
      </c>
      <c r="H1665">
        <v>3</v>
      </c>
      <c r="I1665" s="2">
        <v>120.07</v>
      </c>
      <c r="J1665" s="2">
        <v>360.21</v>
      </c>
      <c r="K1665" s="2">
        <f t="shared" si="76"/>
        <v>360.21</v>
      </c>
      <c r="L1665" s="2">
        <f t="shared" si="77"/>
        <v>0</v>
      </c>
      <c r="M1665" t="s">
        <v>61</v>
      </c>
      <c r="N1665" t="s">
        <v>26</v>
      </c>
    </row>
    <row r="1666" spans="1:14" x14ac:dyDescent="0.3">
      <c r="A1666">
        <v>2024002664</v>
      </c>
      <c r="B1666" s="1">
        <v>45554</v>
      </c>
      <c r="C1666" s="11">
        <f t="shared" si="75"/>
        <v>2024</v>
      </c>
      <c r="D1666" t="s">
        <v>11</v>
      </c>
      <c r="E1666" t="s">
        <v>18</v>
      </c>
      <c r="F1666" t="s">
        <v>19</v>
      </c>
      <c r="G1666" t="s">
        <v>14</v>
      </c>
      <c r="H1666">
        <v>2</v>
      </c>
      <c r="I1666" s="2">
        <v>618.52</v>
      </c>
      <c r="J1666" s="2">
        <v>1237.04</v>
      </c>
      <c r="K1666" s="2">
        <f t="shared" si="76"/>
        <v>1237.04</v>
      </c>
      <c r="L1666" s="2">
        <f t="shared" si="77"/>
        <v>0</v>
      </c>
      <c r="M1666" t="s">
        <v>31</v>
      </c>
      <c r="N1666" t="s">
        <v>21</v>
      </c>
    </row>
    <row r="1667" spans="1:14" x14ac:dyDescent="0.3">
      <c r="A1667">
        <v>2024002665</v>
      </c>
      <c r="B1667" s="1">
        <v>45408</v>
      </c>
      <c r="C1667" s="11">
        <f t="shared" ref="C1667:C1730" si="78">YEAR(B1667)</f>
        <v>2024</v>
      </c>
      <c r="D1667" t="s">
        <v>337</v>
      </c>
      <c r="E1667" t="s">
        <v>46</v>
      </c>
      <c r="F1667" t="s">
        <v>47</v>
      </c>
      <c r="G1667" t="s">
        <v>36</v>
      </c>
      <c r="H1667">
        <v>1</v>
      </c>
      <c r="I1667" s="2">
        <v>90.07</v>
      </c>
      <c r="J1667" s="2">
        <v>90.07</v>
      </c>
      <c r="K1667" s="2">
        <f t="shared" ref="K1667:K1730" si="79">I1667*H1667</f>
        <v>90.07</v>
      </c>
      <c r="L1667" s="2">
        <f t="shared" ref="L1667:L1730" si="80">J1667-K1667</f>
        <v>0</v>
      </c>
      <c r="M1667" t="s">
        <v>25</v>
      </c>
      <c r="N1667" t="s">
        <v>32</v>
      </c>
    </row>
    <row r="1668" spans="1:14" x14ac:dyDescent="0.3">
      <c r="A1668">
        <v>2024002666</v>
      </c>
      <c r="B1668" s="1">
        <v>45586</v>
      </c>
      <c r="C1668" s="11">
        <f t="shared" si="78"/>
        <v>2024</v>
      </c>
      <c r="D1668" t="s">
        <v>112</v>
      </c>
      <c r="E1668" t="s">
        <v>18</v>
      </c>
      <c r="F1668" t="s">
        <v>19</v>
      </c>
      <c r="G1668" t="s">
        <v>14</v>
      </c>
      <c r="H1668">
        <v>1</v>
      </c>
      <c r="I1668" s="2">
        <v>589.72</v>
      </c>
      <c r="J1668" s="2">
        <v>589.72</v>
      </c>
      <c r="K1668" s="2">
        <f t="shared" si="79"/>
        <v>589.72</v>
      </c>
      <c r="L1668" s="2">
        <f t="shared" si="80"/>
        <v>0</v>
      </c>
      <c r="M1668" t="s">
        <v>20</v>
      </c>
      <c r="N1668" t="s">
        <v>16</v>
      </c>
    </row>
    <row r="1669" spans="1:14" x14ac:dyDescent="0.3">
      <c r="A1669">
        <v>2024002667</v>
      </c>
      <c r="B1669" s="1">
        <v>45497</v>
      </c>
      <c r="C1669" s="11">
        <f t="shared" si="78"/>
        <v>2024</v>
      </c>
      <c r="D1669" t="s">
        <v>227</v>
      </c>
      <c r="E1669" t="s">
        <v>43</v>
      </c>
      <c r="F1669" t="s">
        <v>44</v>
      </c>
      <c r="G1669" t="s">
        <v>36</v>
      </c>
      <c r="H1669">
        <v>2</v>
      </c>
      <c r="I1669" s="2">
        <v>1254.0899999999999</v>
      </c>
      <c r="J1669" s="2">
        <v>2508.1799999999998</v>
      </c>
      <c r="K1669" s="2">
        <f t="shared" si="79"/>
        <v>2508.1799999999998</v>
      </c>
      <c r="L1669" s="2">
        <f t="shared" si="80"/>
        <v>0</v>
      </c>
      <c r="M1669" t="s">
        <v>57</v>
      </c>
      <c r="N1669" t="s">
        <v>21</v>
      </c>
    </row>
    <row r="1670" spans="1:14" x14ac:dyDescent="0.3">
      <c r="A1670">
        <v>2024002668</v>
      </c>
      <c r="B1670" s="1">
        <v>45374</v>
      </c>
      <c r="C1670" s="11">
        <f t="shared" si="78"/>
        <v>2024</v>
      </c>
      <c r="D1670" t="s">
        <v>193</v>
      </c>
      <c r="E1670" t="s">
        <v>67</v>
      </c>
      <c r="F1670" t="s">
        <v>68</v>
      </c>
      <c r="G1670" t="s">
        <v>36</v>
      </c>
      <c r="H1670">
        <v>1</v>
      </c>
      <c r="I1670" s="2">
        <v>412.07</v>
      </c>
      <c r="J1670" s="2">
        <v>412.07</v>
      </c>
      <c r="K1670" s="2">
        <f t="shared" si="79"/>
        <v>412.07</v>
      </c>
      <c r="L1670" s="2">
        <f t="shared" si="80"/>
        <v>0</v>
      </c>
      <c r="M1670" t="s">
        <v>15</v>
      </c>
      <c r="N1670" t="s">
        <v>32</v>
      </c>
    </row>
    <row r="1671" spans="1:14" x14ac:dyDescent="0.3">
      <c r="A1671">
        <v>2024002669</v>
      </c>
      <c r="B1671" s="1">
        <v>45341</v>
      </c>
      <c r="C1671" s="11">
        <f t="shared" si="78"/>
        <v>2024</v>
      </c>
      <c r="D1671" t="s">
        <v>77</v>
      </c>
      <c r="E1671" t="s">
        <v>53</v>
      </c>
      <c r="F1671" t="s">
        <v>54</v>
      </c>
      <c r="G1671" t="s">
        <v>36</v>
      </c>
      <c r="H1671">
        <v>2</v>
      </c>
      <c r="I1671" s="2">
        <v>120.65</v>
      </c>
      <c r="J1671" s="2">
        <v>241.3</v>
      </c>
      <c r="K1671" s="2">
        <f t="shared" si="79"/>
        <v>241.3</v>
      </c>
      <c r="L1671" s="2">
        <f t="shared" si="80"/>
        <v>0</v>
      </c>
      <c r="M1671" t="s">
        <v>38</v>
      </c>
      <c r="N1671" t="s">
        <v>26</v>
      </c>
    </row>
    <row r="1672" spans="1:14" x14ac:dyDescent="0.3">
      <c r="A1672">
        <v>2024002670</v>
      </c>
      <c r="B1672" s="1">
        <v>45567</v>
      </c>
      <c r="C1672" s="11">
        <f t="shared" si="78"/>
        <v>2024</v>
      </c>
      <c r="D1672" t="s">
        <v>11</v>
      </c>
      <c r="E1672" t="s">
        <v>34</v>
      </c>
      <c r="F1672" t="s">
        <v>35</v>
      </c>
      <c r="G1672" t="s">
        <v>36</v>
      </c>
      <c r="H1672">
        <v>1</v>
      </c>
      <c r="I1672" s="2">
        <v>14.25</v>
      </c>
      <c r="J1672" s="2">
        <v>14.25</v>
      </c>
      <c r="K1672" s="2">
        <f t="shared" si="79"/>
        <v>14.25</v>
      </c>
      <c r="L1672" s="2">
        <f t="shared" si="80"/>
        <v>0</v>
      </c>
      <c r="M1672" t="s">
        <v>57</v>
      </c>
      <c r="N1672" t="s">
        <v>26</v>
      </c>
    </row>
    <row r="1673" spans="1:14" x14ac:dyDescent="0.3">
      <c r="A1673">
        <v>2024002671</v>
      </c>
      <c r="B1673" s="1">
        <v>45381</v>
      </c>
      <c r="C1673" s="11">
        <f t="shared" si="78"/>
        <v>2024</v>
      </c>
      <c r="D1673" t="s">
        <v>11</v>
      </c>
      <c r="E1673" t="s">
        <v>23</v>
      </c>
      <c r="F1673" t="s">
        <v>24</v>
      </c>
      <c r="G1673" t="s">
        <v>14</v>
      </c>
      <c r="H1673">
        <v>4</v>
      </c>
      <c r="I1673" s="2">
        <v>75.760000000000005</v>
      </c>
      <c r="J1673" s="2">
        <v>303.04000000000002</v>
      </c>
      <c r="K1673" s="2">
        <f t="shared" si="79"/>
        <v>303.04000000000002</v>
      </c>
      <c r="L1673" s="2">
        <f t="shared" si="80"/>
        <v>0</v>
      </c>
      <c r="M1673" t="s">
        <v>57</v>
      </c>
      <c r="N1673" t="s">
        <v>26</v>
      </c>
    </row>
    <row r="1674" spans="1:14" x14ac:dyDescent="0.3">
      <c r="A1674">
        <v>2024002672</v>
      </c>
      <c r="B1674" s="1">
        <v>45597</v>
      </c>
      <c r="C1674" s="11">
        <f t="shared" si="78"/>
        <v>2024</v>
      </c>
      <c r="D1674" t="s">
        <v>49</v>
      </c>
      <c r="E1674" t="s">
        <v>46</v>
      </c>
      <c r="F1674" t="s">
        <v>47</v>
      </c>
      <c r="G1674" t="s">
        <v>36</v>
      </c>
      <c r="H1674">
        <v>2</v>
      </c>
      <c r="I1674" s="2">
        <v>93.42</v>
      </c>
      <c r="J1674" s="2">
        <v>186.84</v>
      </c>
      <c r="K1674" s="2">
        <f t="shared" si="79"/>
        <v>186.84</v>
      </c>
      <c r="L1674" s="2">
        <f t="shared" si="80"/>
        <v>0</v>
      </c>
      <c r="M1674" t="s">
        <v>61</v>
      </c>
      <c r="N1674" t="s">
        <v>32</v>
      </c>
    </row>
    <row r="1675" spans="1:14" x14ac:dyDescent="0.3">
      <c r="A1675">
        <v>2024002673</v>
      </c>
      <c r="B1675" s="1">
        <v>45407</v>
      </c>
      <c r="C1675" s="11">
        <f t="shared" si="78"/>
        <v>2024</v>
      </c>
      <c r="D1675" t="s">
        <v>300</v>
      </c>
      <c r="E1675" t="s">
        <v>23</v>
      </c>
      <c r="F1675" t="s">
        <v>24</v>
      </c>
      <c r="G1675" t="s">
        <v>14</v>
      </c>
      <c r="H1675">
        <v>3</v>
      </c>
      <c r="I1675" s="2">
        <v>76.64</v>
      </c>
      <c r="J1675" s="2">
        <v>229.92</v>
      </c>
      <c r="K1675" s="2">
        <f t="shared" si="79"/>
        <v>229.92000000000002</v>
      </c>
      <c r="L1675" s="2">
        <f t="shared" si="80"/>
        <v>0</v>
      </c>
      <c r="M1675" t="s">
        <v>64</v>
      </c>
      <c r="N1675" t="s">
        <v>32</v>
      </c>
    </row>
    <row r="1676" spans="1:14" x14ac:dyDescent="0.3">
      <c r="A1676">
        <v>2024002674</v>
      </c>
      <c r="B1676" s="1">
        <v>45337</v>
      </c>
      <c r="C1676" s="11">
        <f t="shared" si="78"/>
        <v>2024</v>
      </c>
      <c r="D1676" t="s">
        <v>76</v>
      </c>
      <c r="E1676" t="s">
        <v>46</v>
      </c>
      <c r="F1676" t="s">
        <v>47</v>
      </c>
      <c r="G1676" t="s">
        <v>36</v>
      </c>
      <c r="H1676">
        <v>1</v>
      </c>
      <c r="I1676" s="2">
        <v>88.33</v>
      </c>
      <c r="J1676" s="2">
        <v>88.33</v>
      </c>
      <c r="K1676" s="2">
        <f t="shared" si="79"/>
        <v>88.33</v>
      </c>
      <c r="L1676" s="2">
        <f t="shared" si="80"/>
        <v>0</v>
      </c>
      <c r="M1676" t="s">
        <v>61</v>
      </c>
      <c r="N1676" t="s">
        <v>16</v>
      </c>
    </row>
    <row r="1677" spans="1:14" x14ac:dyDescent="0.3">
      <c r="A1677">
        <v>2024002675</v>
      </c>
      <c r="B1677" s="1">
        <v>45419</v>
      </c>
      <c r="C1677" s="11">
        <f t="shared" si="78"/>
        <v>2024</v>
      </c>
      <c r="D1677" t="s">
        <v>11</v>
      </c>
      <c r="E1677" t="s">
        <v>23</v>
      </c>
      <c r="F1677" t="s">
        <v>24</v>
      </c>
      <c r="G1677" t="s">
        <v>14</v>
      </c>
      <c r="H1677">
        <v>1</v>
      </c>
      <c r="I1677" s="2">
        <v>78.11</v>
      </c>
      <c r="J1677" s="2">
        <v>78.11</v>
      </c>
      <c r="K1677" s="2">
        <f t="shared" si="79"/>
        <v>78.11</v>
      </c>
      <c r="L1677" s="2">
        <f t="shared" si="80"/>
        <v>0</v>
      </c>
      <c r="M1677" t="s">
        <v>55</v>
      </c>
      <c r="N1677" t="s">
        <v>26</v>
      </c>
    </row>
    <row r="1678" spans="1:14" x14ac:dyDescent="0.3">
      <c r="A1678">
        <v>2024002676</v>
      </c>
      <c r="B1678" s="1">
        <v>45297</v>
      </c>
      <c r="C1678" s="11">
        <f t="shared" si="78"/>
        <v>2024</v>
      </c>
      <c r="D1678" t="s">
        <v>81</v>
      </c>
      <c r="E1678" t="s">
        <v>53</v>
      </c>
      <c r="F1678" t="s">
        <v>54</v>
      </c>
      <c r="G1678" t="s">
        <v>36</v>
      </c>
      <c r="H1678">
        <v>1</v>
      </c>
      <c r="I1678" s="2">
        <v>125.63</v>
      </c>
      <c r="J1678" s="2">
        <v>125.63</v>
      </c>
      <c r="K1678" s="2">
        <f t="shared" si="79"/>
        <v>125.63</v>
      </c>
      <c r="L1678" s="2">
        <f t="shared" si="80"/>
        <v>0</v>
      </c>
      <c r="M1678" t="s">
        <v>31</v>
      </c>
      <c r="N1678" t="s">
        <v>16</v>
      </c>
    </row>
    <row r="1679" spans="1:14" x14ac:dyDescent="0.3">
      <c r="A1679">
        <v>2024002677</v>
      </c>
      <c r="B1679" s="1">
        <v>45552</v>
      </c>
      <c r="C1679" s="11">
        <f t="shared" si="78"/>
        <v>2024</v>
      </c>
      <c r="D1679" t="s">
        <v>200</v>
      </c>
      <c r="E1679" t="s">
        <v>18</v>
      </c>
      <c r="F1679" t="s">
        <v>19</v>
      </c>
      <c r="G1679" t="s">
        <v>14</v>
      </c>
      <c r="H1679">
        <v>4</v>
      </c>
      <c r="I1679" s="2">
        <v>622.77</v>
      </c>
      <c r="J1679" s="2">
        <v>2491.08</v>
      </c>
      <c r="K1679" s="2">
        <f t="shared" si="79"/>
        <v>2491.08</v>
      </c>
      <c r="L1679" s="2">
        <f t="shared" si="80"/>
        <v>0</v>
      </c>
      <c r="M1679" t="s">
        <v>20</v>
      </c>
      <c r="N1679" t="s">
        <v>32</v>
      </c>
    </row>
    <row r="1680" spans="1:14" x14ac:dyDescent="0.3">
      <c r="A1680">
        <v>2024002678</v>
      </c>
      <c r="B1680" s="1">
        <v>45604</v>
      </c>
      <c r="C1680" s="11">
        <f t="shared" si="78"/>
        <v>2024</v>
      </c>
      <c r="D1680" t="s">
        <v>11</v>
      </c>
      <c r="E1680" t="s">
        <v>46</v>
      </c>
      <c r="F1680" t="s">
        <v>47</v>
      </c>
      <c r="G1680" t="s">
        <v>36</v>
      </c>
      <c r="H1680">
        <v>1</v>
      </c>
      <c r="I1680" s="2">
        <v>89.09</v>
      </c>
      <c r="J1680" s="2">
        <v>89.09</v>
      </c>
      <c r="K1680" s="2">
        <f t="shared" si="79"/>
        <v>89.09</v>
      </c>
      <c r="L1680" s="2">
        <f t="shared" si="80"/>
        <v>0</v>
      </c>
      <c r="M1680" t="s">
        <v>25</v>
      </c>
      <c r="N1680" t="s">
        <v>16</v>
      </c>
    </row>
    <row r="1681" spans="1:14" x14ac:dyDescent="0.3">
      <c r="A1681">
        <v>2024002679</v>
      </c>
      <c r="B1681" s="1">
        <v>45566</v>
      </c>
      <c r="C1681" s="11">
        <f t="shared" si="78"/>
        <v>2024</v>
      </c>
      <c r="D1681" t="s">
        <v>313</v>
      </c>
      <c r="E1681" t="s">
        <v>53</v>
      </c>
      <c r="F1681" t="s">
        <v>54</v>
      </c>
      <c r="G1681" t="s">
        <v>36</v>
      </c>
      <c r="H1681">
        <v>2</v>
      </c>
      <c r="I1681" s="2">
        <v>129.91999999999999</v>
      </c>
      <c r="J1681" s="2">
        <v>259.83999999999997</v>
      </c>
      <c r="K1681" s="2">
        <f t="shared" si="79"/>
        <v>259.83999999999997</v>
      </c>
      <c r="L1681" s="2">
        <f t="shared" si="80"/>
        <v>0</v>
      </c>
      <c r="M1681" t="s">
        <v>48</v>
      </c>
      <c r="N1681" t="s">
        <v>21</v>
      </c>
    </row>
    <row r="1682" spans="1:14" x14ac:dyDescent="0.3">
      <c r="A1682">
        <v>2024002680</v>
      </c>
      <c r="B1682" s="1">
        <v>45417</v>
      </c>
      <c r="C1682" s="11">
        <f t="shared" si="78"/>
        <v>2024</v>
      </c>
      <c r="D1682" t="s">
        <v>223</v>
      </c>
      <c r="E1682" t="s">
        <v>23</v>
      </c>
      <c r="F1682" t="s">
        <v>24</v>
      </c>
      <c r="G1682" t="s">
        <v>14</v>
      </c>
      <c r="H1682">
        <v>1</v>
      </c>
      <c r="I1682" s="2">
        <v>84.74</v>
      </c>
      <c r="J1682" s="2">
        <v>84.74</v>
      </c>
      <c r="K1682" s="2">
        <f t="shared" si="79"/>
        <v>84.74</v>
      </c>
      <c r="L1682" s="2">
        <f t="shared" si="80"/>
        <v>0</v>
      </c>
      <c r="M1682" t="s">
        <v>25</v>
      </c>
      <c r="N1682" t="s">
        <v>32</v>
      </c>
    </row>
    <row r="1683" spans="1:14" x14ac:dyDescent="0.3">
      <c r="A1683">
        <v>2024002681</v>
      </c>
      <c r="B1683" s="1">
        <v>45482</v>
      </c>
      <c r="C1683" s="11">
        <f t="shared" si="78"/>
        <v>2024</v>
      </c>
      <c r="D1683" t="s">
        <v>316</v>
      </c>
      <c r="E1683" t="s">
        <v>67</v>
      </c>
      <c r="F1683" t="s">
        <v>68</v>
      </c>
      <c r="G1683" t="s">
        <v>36</v>
      </c>
      <c r="H1683">
        <v>2</v>
      </c>
      <c r="I1683" s="2">
        <v>342.96</v>
      </c>
      <c r="J1683" s="2">
        <v>685.92</v>
      </c>
      <c r="K1683" s="2">
        <f t="shared" si="79"/>
        <v>685.92</v>
      </c>
      <c r="L1683" s="2">
        <f t="shared" si="80"/>
        <v>0</v>
      </c>
      <c r="M1683" t="s">
        <v>48</v>
      </c>
      <c r="N1683" t="s">
        <v>21</v>
      </c>
    </row>
    <row r="1684" spans="1:14" x14ac:dyDescent="0.3">
      <c r="A1684">
        <v>2024002682</v>
      </c>
      <c r="B1684" s="1">
        <v>45623</v>
      </c>
      <c r="C1684" s="11">
        <f t="shared" si="78"/>
        <v>2024</v>
      </c>
      <c r="D1684" t="s">
        <v>236</v>
      </c>
      <c r="E1684" t="s">
        <v>40</v>
      </c>
      <c r="F1684" t="s">
        <v>41</v>
      </c>
      <c r="G1684" t="s">
        <v>36</v>
      </c>
      <c r="H1684">
        <v>1</v>
      </c>
      <c r="I1684" s="2">
        <v>48.55</v>
      </c>
      <c r="J1684" s="2">
        <v>48.55</v>
      </c>
      <c r="K1684" s="2">
        <f t="shared" si="79"/>
        <v>48.55</v>
      </c>
      <c r="L1684" s="2">
        <f t="shared" si="80"/>
        <v>0</v>
      </c>
      <c r="M1684" t="s">
        <v>38</v>
      </c>
      <c r="N1684" t="s">
        <v>16</v>
      </c>
    </row>
    <row r="1685" spans="1:14" x14ac:dyDescent="0.3">
      <c r="A1685">
        <v>2024002683</v>
      </c>
      <c r="B1685" s="1">
        <v>45495</v>
      </c>
      <c r="C1685" s="11">
        <f t="shared" si="78"/>
        <v>2024</v>
      </c>
      <c r="D1685" t="s">
        <v>124</v>
      </c>
      <c r="E1685" t="s">
        <v>43</v>
      </c>
      <c r="F1685" t="s">
        <v>44</v>
      </c>
      <c r="G1685" t="s">
        <v>36</v>
      </c>
      <c r="H1685">
        <v>1</v>
      </c>
      <c r="I1685" s="2">
        <v>1197.1300000000001</v>
      </c>
      <c r="J1685" s="2">
        <v>1197.1300000000001</v>
      </c>
      <c r="K1685" s="2">
        <f t="shared" si="79"/>
        <v>1197.1300000000001</v>
      </c>
      <c r="L1685" s="2">
        <f t="shared" si="80"/>
        <v>0</v>
      </c>
      <c r="M1685" t="s">
        <v>48</v>
      </c>
      <c r="N1685" t="s">
        <v>26</v>
      </c>
    </row>
    <row r="1686" spans="1:14" x14ac:dyDescent="0.3">
      <c r="A1686">
        <v>2024002684</v>
      </c>
      <c r="B1686" s="1">
        <v>45492</v>
      </c>
      <c r="C1686" s="11">
        <f t="shared" si="78"/>
        <v>2024</v>
      </c>
      <c r="D1686" t="s">
        <v>11</v>
      </c>
      <c r="E1686" t="s">
        <v>53</v>
      </c>
      <c r="F1686" t="s">
        <v>54</v>
      </c>
      <c r="G1686" t="s">
        <v>36</v>
      </c>
      <c r="H1686">
        <v>2</v>
      </c>
      <c r="I1686" s="2">
        <v>127.56</v>
      </c>
      <c r="J1686" s="2">
        <v>255.12</v>
      </c>
      <c r="K1686" s="2">
        <f t="shared" si="79"/>
        <v>255.12</v>
      </c>
      <c r="L1686" s="2">
        <f t="shared" si="80"/>
        <v>0</v>
      </c>
      <c r="M1686" t="s">
        <v>20</v>
      </c>
      <c r="N1686" t="s">
        <v>21</v>
      </c>
    </row>
    <row r="1687" spans="1:14" x14ac:dyDescent="0.3">
      <c r="A1687">
        <v>2024002685</v>
      </c>
      <c r="B1687" s="1">
        <v>45425</v>
      </c>
      <c r="C1687" s="11">
        <f t="shared" si="78"/>
        <v>2024</v>
      </c>
      <c r="D1687" t="s">
        <v>180</v>
      </c>
      <c r="E1687" t="s">
        <v>12</v>
      </c>
      <c r="F1687" t="s">
        <v>13</v>
      </c>
      <c r="G1687" t="s">
        <v>14</v>
      </c>
      <c r="H1687">
        <v>1</v>
      </c>
      <c r="I1687" s="2">
        <v>364.91</v>
      </c>
      <c r="J1687" s="2">
        <v>364.91</v>
      </c>
      <c r="K1687" s="2">
        <f t="shared" si="79"/>
        <v>364.91</v>
      </c>
      <c r="L1687" s="2">
        <f t="shared" si="80"/>
        <v>0</v>
      </c>
      <c r="M1687" t="s">
        <v>20</v>
      </c>
      <c r="N1687" t="s">
        <v>16</v>
      </c>
    </row>
    <row r="1688" spans="1:14" x14ac:dyDescent="0.3">
      <c r="A1688">
        <v>2024002686</v>
      </c>
      <c r="B1688" s="1">
        <v>45404</v>
      </c>
      <c r="C1688" s="11">
        <f t="shared" si="78"/>
        <v>2024</v>
      </c>
      <c r="D1688" t="s">
        <v>232</v>
      </c>
      <c r="E1688" t="s">
        <v>40</v>
      </c>
      <c r="F1688" t="s">
        <v>41</v>
      </c>
      <c r="G1688" t="s">
        <v>36</v>
      </c>
      <c r="H1688">
        <v>1</v>
      </c>
      <c r="I1688" s="2">
        <v>48.06</v>
      </c>
      <c r="J1688" s="2">
        <v>48.06</v>
      </c>
      <c r="K1688" s="2">
        <f t="shared" si="79"/>
        <v>48.06</v>
      </c>
      <c r="L1688" s="2">
        <f t="shared" si="80"/>
        <v>0</v>
      </c>
      <c r="M1688" t="s">
        <v>55</v>
      </c>
      <c r="N1688" t="s">
        <v>32</v>
      </c>
    </row>
    <row r="1689" spans="1:14" x14ac:dyDescent="0.3">
      <c r="A1689">
        <v>2024002687</v>
      </c>
      <c r="B1689" s="1">
        <v>45394</v>
      </c>
      <c r="C1689" s="11">
        <f t="shared" si="78"/>
        <v>2024</v>
      </c>
      <c r="D1689" t="s">
        <v>283</v>
      </c>
      <c r="E1689" t="s">
        <v>18</v>
      </c>
      <c r="F1689" t="s">
        <v>19</v>
      </c>
      <c r="G1689" t="s">
        <v>14</v>
      </c>
      <c r="H1689">
        <v>1</v>
      </c>
      <c r="I1689" s="2">
        <v>589.07000000000005</v>
      </c>
      <c r="J1689" s="2">
        <v>589.07000000000005</v>
      </c>
      <c r="K1689" s="2">
        <f t="shared" si="79"/>
        <v>589.07000000000005</v>
      </c>
      <c r="L1689" s="2">
        <f t="shared" si="80"/>
        <v>0</v>
      </c>
      <c r="M1689" t="s">
        <v>38</v>
      </c>
      <c r="N1689" t="s">
        <v>26</v>
      </c>
    </row>
    <row r="1690" spans="1:14" x14ac:dyDescent="0.3">
      <c r="A1690">
        <v>2024002688</v>
      </c>
      <c r="B1690" s="1">
        <v>45605</v>
      </c>
      <c r="C1690" s="11">
        <f t="shared" si="78"/>
        <v>2024</v>
      </c>
      <c r="D1690" t="s">
        <v>248</v>
      </c>
      <c r="E1690" t="s">
        <v>28</v>
      </c>
      <c r="F1690" t="s">
        <v>29</v>
      </c>
      <c r="G1690" t="s">
        <v>30</v>
      </c>
      <c r="H1690">
        <v>2</v>
      </c>
      <c r="I1690" s="2">
        <v>24.71</v>
      </c>
      <c r="J1690" s="2">
        <v>49.42</v>
      </c>
      <c r="K1690" s="2">
        <f t="shared" si="79"/>
        <v>49.42</v>
      </c>
      <c r="L1690" s="2">
        <f t="shared" si="80"/>
        <v>0</v>
      </c>
      <c r="M1690" t="s">
        <v>20</v>
      </c>
      <c r="N1690" t="s">
        <v>32</v>
      </c>
    </row>
    <row r="1691" spans="1:14" x14ac:dyDescent="0.3">
      <c r="A1691">
        <v>2024002689</v>
      </c>
      <c r="B1691" s="1">
        <v>45548</v>
      </c>
      <c r="C1691" s="11">
        <f t="shared" si="78"/>
        <v>2024</v>
      </c>
      <c r="D1691" t="s">
        <v>265</v>
      </c>
      <c r="E1691" t="s">
        <v>28</v>
      </c>
      <c r="F1691" t="s">
        <v>29</v>
      </c>
      <c r="G1691" t="s">
        <v>30</v>
      </c>
      <c r="H1691">
        <v>1</v>
      </c>
      <c r="I1691" s="2">
        <v>25.19</v>
      </c>
      <c r="J1691" s="2">
        <v>25.19</v>
      </c>
      <c r="K1691" s="2">
        <f t="shared" si="79"/>
        <v>25.19</v>
      </c>
      <c r="L1691" s="2">
        <f t="shared" si="80"/>
        <v>0</v>
      </c>
      <c r="M1691" t="s">
        <v>55</v>
      </c>
      <c r="N1691" t="s">
        <v>32</v>
      </c>
    </row>
    <row r="1692" spans="1:14" x14ac:dyDescent="0.3">
      <c r="A1692">
        <v>2024002690</v>
      </c>
      <c r="B1692" s="1">
        <v>45336</v>
      </c>
      <c r="C1692" s="11">
        <f t="shared" si="78"/>
        <v>2024</v>
      </c>
      <c r="D1692" t="s">
        <v>135</v>
      </c>
      <c r="E1692" t="s">
        <v>12</v>
      </c>
      <c r="F1692" t="s">
        <v>13</v>
      </c>
      <c r="G1692" t="s">
        <v>14</v>
      </c>
      <c r="H1692">
        <v>2</v>
      </c>
      <c r="I1692" s="2">
        <v>353.68</v>
      </c>
      <c r="J1692" s="2">
        <v>707.36</v>
      </c>
      <c r="K1692" s="2">
        <f t="shared" si="79"/>
        <v>707.36</v>
      </c>
      <c r="L1692" s="2">
        <f t="shared" si="80"/>
        <v>0</v>
      </c>
      <c r="M1692" t="s">
        <v>57</v>
      </c>
      <c r="N1692" t="s">
        <v>32</v>
      </c>
    </row>
    <row r="1693" spans="1:14" x14ac:dyDescent="0.3">
      <c r="A1693">
        <v>2024002691</v>
      </c>
      <c r="B1693" s="1">
        <v>45612</v>
      </c>
      <c r="C1693" s="11">
        <f t="shared" si="78"/>
        <v>2024</v>
      </c>
      <c r="D1693" t="s">
        <v>108</v>
      </c>
      <c r="E1693" t="s">
        <v>23</v>
      </c>
      <c r="F1693" t="s">
        <v>24</v>
      </c>
      <c r="G1693" t="s">
        <v>14</v>
      </c>
      <c r="H1693">
        <v>1</v>
      </c>
      <c r="I1693" s="2">
        <v>82.46</v>
      </c>
      <c r="J1693" s="2">
        <v>82.46</v>
      </c>
      <c r="K1693" s="2">
        <f t="shared" si="79"/>
        <v>82.46</v>
      </c>
      <c r="L1693" s="2">
        <f t="shared" si="80"/>
        <v>0</v>
      </c>
      <c r="M1693" t="s">
        <v>48</v>
      </c>
      <c r="N1693" t="s">
        <v>32</v>
      </c>
    </row>
    <row r="1694" spans="1:14" x14ac:dyDescent="0.3">
      <c r="A1694">
        <v>2024002692</v>
      </c>
      <c r="B1694" s="1">
        <v>45572</v>
      </c>
      <c r="C1694" s="11">
        <f t="shared" si="78"/>
        <v>2024</v>
      </c>
      <c r="D1694" t="s">
        <v>102</v>
      </c>
      <c r="E1694" t="s">
        <v>34</v>
      </c>
      <c r="F1694" t="s">
        <v>35</v>
      </c>
      <c r="G1694" t="s">
        <v>36</v>
      </c>
      <c r="H1694">
        <v>2</v>
      </c>
      <c r="I1694" s="2">
        <v>14.25</v>
      </c>
      <c r="J1694" s="2">
        <v>28.5</v>
      </c>
      <c r="K1694" s="2">
        <f t="shared" si="79"/>
        <v>28.5</v>
      </c>
      <c r="L1694" s="2">
        <f t="shared" si="80"/>
        <v>0</v>
      </c>
      <c r="M1694" t="s">
        <v>55</v>
      </c>
      <c r="N1694" t="s">
        <v>32</v>
      </c>
    </row>
    <row r="1695" spans="1:14" x14ac:dyDescent="0.3">
      <c r="A1695">
        <v>2024002693</v>
      </c>
      <c r="B1695" s="1">
        <v>45515</v>
      </c>
      <c r="C1695" s="11">
        <f t="shared" si="78"/>
        <v>2024</v>
      </c>
      <c r="D1695" t="s">
        <v>154</v>
      </c>
      <c r="E1695" t="s">
        <v>46</v>
      </c>
      <c r="F1695" t="s">
        <v>47</v>
      </c>
      <c r="G1695" t="s">
        <v>36</v>
      </c>
      <c r="H1695">
        <v>3</v>
      </c>
      <c r="I1695" s="2">
        <v>90.39</v>
      </c>
      <c r="J1695" s="2">
        <v>271.17</v>
      </c>
      <c r="K1695" s="2">
        <f t="shared" si="79"/>
        <v>271.17</v>
      </c>
      <c r="L1695" s="2">
        <f t="shared" si="80"/>
        <v>0</v>
      </c>
      <c r="M1695" t="s">
        <v>15</v>
      </c>
      <c r="N1695" t="s">
        <v>32</v>
      </c>
    </row>
    <row r="1696" spans="1:14" x14ac:dyDescent="0.3">
      <c r="A1696">
        <v>2024002694</v>
      </c>
      <c r="B1696" s="1">
        <v>45444</v>
      </c>
      <c r="C1696" s="11">
        <f t="shared" si="78"/>
        <v>2024</v>
      </c>
      <c r="D1696" t="s">
        <v>212</v>
      </c>
      <c r="E1696" t="s">
        <v>46</v>
      </c>
      <c r="F1696" t="s">
        <v>47</v>
      </c>
      <c r="G1696" t="s">
        <v>36</v>
      </c>
      <c r="H1696">
        <v>1</v>
      </c>
      <c r="I1696" s="2">
        <v>95.85</v>
      </c>
      <c r="J1696" s="2">
        <v>95.85</v>
      </c>
      <c r="K1696" s="2">
        <f t="shared" si="79"/>
        <v>95.85</v>
      </c>
      <c r="L1696" s="2">
        <f t="shared" si="80"/>
        <v>0</v>
      </c>
      <c r="M1696" t="s">
        <v>31</v>
      </c>
      <c r="N1696" t="s">
        <v>26</v>
      </c>
    </row>
    <row r="1697" spans="1:14" x14ac:dyDescent="0.3">
      <c r="A1697">
        <v>2024002695</v>
      </c>
      <c r="B1697" s="1">
        <v>45537</v>
      </c>
      <c r="C1697" s="11">
        <f t="shared" si="78"/>
        <v>2024</v>
      </c>
      <c r="D1697" t="s">
        <v>277</v>
      </c>
      <c r="E1697" t="s">
        <v>34</v>
      </c>
      <c r="F1697" t="s">
        <v>35</v>
      </c>
      <c r="G1697" t="s">
        <v>36</v>
      </c>
      <c r="H1697">
        <v>5</v>
      </c>
      <c r="I1697" s="2">
        <v>13.95</v>
      </c>
      <c r="J1697" s="2">
        <v>69.75</v>
      </c>
      <c r="K1697" s="2">
        <f t="shared" si="79"/>
        <v>69.75</v>
      </c>
      <c r="L1697" s="2">
        <f t="shared" si="80"/>
        <v>0</v>
      </c>
      <c r="M1697" t="s">
        <v>57</v>
      </c>
      <c r="N1697" t="s">
        <v>16</v>
      </c>
    </row>
    <row r="1698" spans="1:14" x14ac:dyDescent="0.3">
      <c r="A1698">
        <v>2024002696</v>
      </c>
      <c r="B1698" s="1">
        <v>45463</v>
      </c>
      <c r="C1698" s="11">
        <f t="shared" si="78"/>
        <v>2024</v>
      </c>
      <c r="D1698" t="s">
        <v>336</v>
      </c>
      <c r="E1698" t="s">
        <v>43</v>
      </c>
      <c r="F1698" t="s">
        <v>44</v>
      </c>
      <c r="G1698" t="s">
        <v>36</v>
      </c>
      <c r="H1698">
        <v>2</v>
      </c>
      <c r="I1698" s="2">
        <v>1253.48</v>
      </c>
      <c r="J1698" s="2">
        <v>2506.96</v>
      </c>
      <c r="K1698" s="2">
        <f t="shared" si="79"/>
        <v>2506.96</v>
      </c>
      <c r="L1698" s="2">
        <f t="shared" si="80"/>
        <v>0</v>
      </c>
      <c r="M1698" t="s">
        <v>61</v>
      </c>
      <c r="N1698" t="s">
        <v>26</v>
      </c>
    </row>
    <row r="1699" spans="1:14" x14ac:dyDescent="0.3">
      <c r="A1699">
        <v>2024002697</v>
      </c>
      <c r="B1699" s="1">
        <v>45397</v>
      </c>
      <c r="C1699" s="11">
        <f t="shared" si="78"/>
        <v>2024</v>
      </c>
      <c r="D1699" t="s">
        <v>301</v>
      </c>
      <c r="E1699" t="s">
        <v>18</v>
      </c>
      <c r="F1699" t="s">
        <v>19</v>
      </c>
      <c r="G1699" t="s">
        <v>14</v>
      </c>
      <c r="H1699">
        <v>1</v>
      </c>
      <c r="I1699" s="2">
        <v>593.87</v>
      </c>
      <c r="J1699" s="2">
        <v>593.87</v>
      </c>
      <c r="K1699" s="2">
        <f t="shared" si="79"/>
        <v>593.87</v>
      </c>
      <c r="L1699" s="2">
        <f t="shared" si="80"/>
        <v>0</v>
      </c>
      <c r="M1699" t="s">
        <v>61</v>
      </c>
      <c r="N1699" t="s">
        <v>32</v>
      </c>
    </row>
    <row r="1700" spans="1:14" x14ac:dyDescent="0.3">
      <c r="A1700">
        <v>2024002698</v>
      </c>
      <c r="B1700" s="1">
        <v>45377</v>
      </c>
      <c r="C1700" s="11">
        <f t="shared" si="78"/>
        <v>2024</v>
      </c>
      <c r="D1700" t="s">
        <v>226</v>
      </c>
      <c r="E1700" t="s">
        <v>34</v>
      </c>
      <c r="F1700" t="s">
        <v>35</v>
      </c>
      <c r="G1700" t="s">
        <v>36</v>
      </c>
      <c r="H1700">
        <v>3</v>
      </c>
      <c r="I1700" s="2">
        <v>15.91</v>
      </c>
      <c r="J1700" s="2">
        <v>47.73</v>
      </c>
      <c r="K1700" s="2">
        <f t="shared" si="79"/>
        <v>47.730000000000004</v>
      </c>
      <c r="L1700" s="2">
        <f t="shared" si="80"/>
        <v>0</v>
      </c>
      <c r="M1700" t="s">
        <v>61</v>
      </c>
      <c r="N1700" t="s">
        <v>26</v>
      </c>
    </row>
    <row r="1701" spans="1:14" x14ac:dyDescent="0.3">
      <c r="A1701">
        <v>2024002699</v>
      </c>
      <c r="B1701" s="1">
        <v>45372</v>
      </c>
      <c r="C1701" s="11">
        <f t="shared" si="78"/>
        <v>2024</v>
      </c>
      <c r="D1701" t="s">
        <v>60</v>
      </c>
      <c r="E1701" t="s">
        <v>53</v>
      </c>
      <c r="F1701" t="s">
        <v>54</v>
      </c>
      <c r="G1701" t="s">
        <v>36</v>
      </c>
      <c r="H1701">
        <v>2</v>
      </c>
      <c r="I1701" s="2">
        <v>117.94</v>
      </c>
      <c r="J1701" s="2">
        <v>235.88</v>
      </c>
      <c r="K1701" s="2">
        <f t="shared" si="79"/>
        <v>235.88</v>
      </c>
      <c r="L1701" s="2">
        <f t="shared" si="80"/>
        <v>0</v>
      </c>
      <c r="M1701" t="s">
        <v>55</v>
      </c>
      <c r="N1701" t="s">
        <v>32</v>
      </c>
    </row>
    <row r="1702" spans="1:14" x14ac:dyDescent="0.3">
      <c r="A1702">
        <v>2024002700</v>
      </c>
      <c r="B1702" s="1">
        <v>45362</v>
      </c>
      <c r="C1702" s="11">
        <f t="shared" si="78"/>
        <v>2024</v>
      </c>
      <c r="D1702" t="s">
        <v>126</v>
      </c>
      <c r="E1702" t="s">
        <v>18</v>
      </c>
      <c r="F1702" t="s">
        <v>19</v>
      </c>
      <c r="G1702" t="s">
        <v>14</v>
      </c>
      <c r="H1702">
        <v>2</v>
      </c>
      <c r="I1702" s="2">
        <v>598.51</v>
      </c>
      <c r="J1702" s="2">
        <v>1197.02</v>
      </c>
      <c r="K1702" s="2">
        <f t="shared" si="79"/>
        <v>1197.02</v>
      </c>
      <c r="L1702" s="2">
        <f t="shared" si="80"/>
        <v>0</v>
      </c>
      <c r="M1702" t="s">
        <v>15</v>
      </c>
      <c r="N1702" t="s">
        <v>16</v>
      </c>
    </row>
    <row r="1703" spans="1:14" x14ac:dyDescent="0.3">
      <c r="A1703">
        <v>2024002701</v>
      </c>
      <c r="B1703" s="1">
        <v>45648</v>
      </c>
      <c r="C1703" s="11">
        <f t="shared" si="78"/>
        <v>2024</v>
      </c>
      <c r="D1703" t="s">
        <v>168</v>
      </c>
      <c r="E1703" t="s">
        <v>12</v>
      </c>
      <c r="F1703" t="s">
        <v>13</v>
      </c>
      <c r="G1703" t="s">
        <v>14</v>
      </c>
      <c r="H1703">
        <v>5</v>
      </c>
      <c r="I1703" s="2">
        <v>369.21</v>
      </c>
      <c r="J1703" s="2">
        <v>1846.05</v>
      </c>
      <c r="K1703" s="2">
        <f t="shared" si="79"/>
        <v>1846.05</v>
      </c>
      <c r="L1703" s="2">
        <f t="shared" si="80"/>
        <v>0</v>
      </c>
      <c r="M1703" t="s">
        <v>15</v>
      </c>
      <c r="N1703" t="s">
        <v>26</v>
      </c>
    </row>
    <row r="1704" spans="1:14" x14ac:dyDescent="0.3">
      <c r="A1704">
        <v>2024002702</v>
      </c>
      <c r="B1704" s="1">
        <v>45328</v>
      </c>
      <c r="C1704" s="11">
        <f t="shared" si="78"/>
        <v>2024</v>
      </c>
      <c r="D1704" t="s">
        <v>342</v>
      </c>
      <c r="E1704" t="s">
        <v>18</v>
      </c>
      <c r="F1704" t="s">
        <v>19</v>
      </c>
      <c r="G1704" t="s">
        <v>14</v>
      </c>
      <c r="H1704">
        <v>1</v>
      </c>
      <c r="I1704" s="2">
        <v>604.33000000000004</v>
      </c>
      <c r="J1704" s="2">
        <v>604.33000000000004</v>
      </c>
      <c r="K1704" s="2">
        <f t="shared" si="79"/>
        <v>604.33000000000004</v>
      </c>
      <c r="L1704" s="2">
        <f t="shared" si="80"/>
        <v>0</v>
      </c>
      <c r="M1704" t="s">
        <v>57</v>
      </c>
      <c r="N1704" t="s">
        <v>16</v>
      </c>
    </row>
    <row r="1705" spans="1:14" x14ac:dyDescent="0.3">
      <c r="A1705">
        <v>2024002703</v>
      </c>
      <c r="B1705" s="1">
        <v>45579</v>
      </c>
      <c r="C1705" s="11">
        <f t="shared" si="78"/>
        <v>2024</v>
      </c>
      <c r="D1705" t="s">
        <v>11</v>
      </c>
      <c r="E1705" t="s">
        <v>67</v>
      </c>
      <c r="F1705" t="s">
        <v>68</v>
      </c>
      <c r="G1705" t="s">
        <v>36</v>
      </c>
      <c r="H1705">
        <v>2</v>
      </c>
      <c r="I1705" s="2">
        <v>363.33</v>
      </c>
      <c r="J1705" s="2">
        <v>726.66</v>
      </c>
      <c r="K1705" s="2">
        <f t="shared" si="79"/>
        <v>726.66</v>
      </c>
      <c r="L1705" s="2">
        <f t="shared" si="80"/>
        <v>0</v>
      </c>
      <c r="M1705" t="s">
        <v>15</v>
      </c>
      <c r="N1705" t="s">
        <v>26</v>
      </c>
    </row>
    <row r="1706" spans="1:14" x14ac:dyDescent="0.3">
      <c r="A1706">
        <v>2024002704</v>
      </c>
      <c r="B1706" s="1">
        <v>45511</v>
      </c>
      <c r="C1706" s="11">
        <f t="shared" si="78"/>
        <v>2024</v>
      </c>
      <c r="D1706" t="s">
        <v>198</v>
      </c>
      <c r="E1706" t="s">
        <v>23</v>
      </c>
      <c r="F1706" t="s">
        <v>24</v>
      </c>
      <c r="G1706" t="s">
        <v>14</v>
      </c>
      <c r="H1706">
        <v>2</v>
      </c>
      <c r="I1706" s="2">
        <v>86.56</v>
      </c>
      <c r="J1706" s="2">
        <v>173.12</v>
      </c>
      <c r="K1706" s="2">
        <f t="shared" si="79"/>
        <v>173.12</v>
      </c>
      <c r="L1706" s="2">
        <f t="shared" si="80"/>
        <v>0</v>
      </c>
      <c r="M1706" t="s">
        <v>64</v>
      </c>
      <c r="N1706" t="s">
        <v>26</v>
      </c>
    </row>
    <row r="1707" spans="1:14" x14ac:dyDescent="0.3">
      <c r="A1707">
        <v>2024002705</v>
      </c>
      <c r="B1707" s="1">
        <v>45587</v>
      </c>
      <c r="C1707" s="11">
        <f t="shared" si="78"/>
        <v>2024</v>
      </c>
      <c r="D1707" t="s">
        <v>347</v>
      </c>
      <c r="E1707" t="s">
        <v>46</v>
      </c>
      <c r="F1707" t="s">
        <v>47</v>
      </c>
      <c r="G1707" t="s">
        <v>36</v>
      </c>
      <c r="H1707">
        <v>1</v>
      </c>
      <c r="I1707" s="2">
        <v>81.349999999999994</v>
      </c>
      <c r="J1707" s="2">
        <v>81.349999999999994</v>
      </c>
      <c r="K1707" s="2">
        <f t="shared" si="79"/>
        <v>81.349999999999994</v>
      </c>
      <c r="L1707" s="2">
        <f t="shared" si="80"/>
        <v>0</v>
      </c>
      <c r="M1707" t="s">
        <v>15</v>
      </c>
      <c r="N1707" t="s">
        <v>21</v>
      </c>
    </row>
    <row r="1708" spans="1:14" x14ac:dyDescent="0.3">
      <c r="A1708">
        <v>2024002706</v>
      </c>
      <c r="B1708" s="1">
        <v>45339</v>
      </c>
      <c r="C1708" s="11">
        <f t="shared" si="78"/>
        <v>2024</v>
      </c>
      <c r="D1708" t="s">
        <v>11</v>
      </c>
      <c r="E1708" t="s">
        <v>53</v>
      </c>
      <c r="F1708" t="s">
        <v>54</v>
      </c>
      <c r="G1708" t="s">
        <v>36</v>
      </c>
      <c r="H1708">
        <v>1</v>
      </c>
      <c r="I1708" s="2">
        <v>123.79</v>
      </c>
      <c r="J1708" s="2">
        <v>123.79</v>
      </c>
      <c r="K1708" s="2">
        <f t="shared" si="79"/>
        <v>123.79</v>
      </c>
      <c r="L1708" s="2">
        <f t="shared" si="80"/>
        <v>0</v>
      </c>
      <c r="M1708" t="s">
        <v>38</v>
      </c>
      <c r="N1708" t="s">
        <v>32</v>
      </c>
    </row>
    <row r="1709" spans="1:14" x14ac:dyDescent="0.3">
      <c r="A1709">
        <v>2024002707</v>
      </c>
      <c r="B1709" s="1">
        <v>45368</v>
      </c>
      <c r="C1709" s="11">
        <f t="shared" si="78"/>
        <v>2024</v>
      </c>
      <c r="D1709" t="s">
        <v>322</v>
      </c>
      <c r="E1709" t="s">
        <v>28</v>
      </c>
      <c r="F1709" t="s">
        <v>29</v>
      </c>
      <c r="G1709" t="s">
        <v>30</v>
      </c>
      <c r="H1709">
        <v>1</v>
      </c>
      <c r="I1709" s="2">
        <v>25.96</v>
      </c>
      <c r="J1709" s="2">
        <v>25.96</v>
      </c>
      <c r="K1709" s="2">
        <f t="shared" si="79"/>
        <v>25.96</v>
      </c>
      <c r="L1709" s="2">
        <f t="shared" si="80"/>
        <v>0</v>
      </c>
      <c r="M1709" t="s">
        <v>48</v>
      </c>
      <c r="N1709" t="s">
        <v>26</v>
      </c>
    </row>
    <row r="1710" spans="1:14" x14ac:dyDescent="0.3">
      <c r="A1710">
        <v>2024002708</v>
      </c>
      <c r="B1710" s="1">
        <v>45455</v>
      </c>
      <c r="C1710" s="11">
        <f t="shared" si="78"/>
        <v>2024</v>
      </c>
      <c r="D1710" t="s">
        <v>99</v>
      </c>
      <c r="E1710" t="s">
        <v>34</v>
      </c>
      <c r="F1710" t="s">
        <v>35</v>
      </c>
      <c r="G1710" t="s">
        <v>36</v>
      </c>
      <c r="H1710">
        <v>1</v>
      </c>
      <c r="I1710" s="2">
        <v>14.85</v>
      </c>
      <c r="J1710" s="2">
        <v>14.85</v>
      </c>
      <c r="K1710" s="2">
        <f t="shared" si="79"/>
        <v>14.85</v>
      </c>
      <c r="L1710" s="2">
        <f t="shared" si="80"/>
        <v>0</v>
      </c>
      <c r="M1710" t="s">
        <v>57</v>
      </c>
      <c r="N1710" t="s">
        <v>16</v>
      </c>
    </row>
    <row r="1711" spans="1:14" x14ac:dyDescent="0.3">
      <c r="A1711">
        <v>2024002709</v>
      </c>
      <c r="B1711" s="1">
        <v>45348</v>
      </c>
      <c r="C1711" s="11">
        <f t="shared" si="78"/>
        <v>2024</v>
      </c>
      <c r="D1711" t="s">
        <v>314</v>
      </c>
      <c r="E1711" t="s">
        <v>12</v>
      </c>
      <c r="F1711" t="s">
        <v>13</v>
      </c>
      <c r="G1711" t="s">
        <v>14</v>
      </c>
      <c r="H1711">
        <v>1</v>
      </c>
      <c r="I1711" s="2">
        <v>359.8</v>
      </c>
      <c r="J1711" s="2">
        <v>359.8</v>
      </c>
      <c r="K1711" s="2">
        <f t="shared" si="79"/>
        <v>359.8</v>
      </c>
      <c r="L1711" s="2">
        <f t="shared" si="80"/>
        <v>0</v>
      </c>
      <c r="M1711" t="s">
        <v>15</v>
      </c>
      <c r="N1711" t="s">
        <v>26</v>
      </c>
    </row>
    <row r="1712" spans="1:14" x14ac:dyDescent="0.3">
      <c r="A1712">
        <v>2024002710</v>
      </c>
      <c r="B1712" s="1">
        <v>45457</v>
      </c>
      <c r="C1712" s="11">
        <f t="shared" si="78"/>
        <v>2024</v>
      </c>
      <c r="D1712" t="s">
        <v>152</v>
      </c>
      <c r="E1712" t="s">
        <v>28</v>
      </c>
      <c r="F1712" t="s">
        <v>29</v>
      </c>
      <c r="G1712" t="s">
        <v>30</v>
      </c>
      <c r="H1712">
        <v>1</v>
      </c>
      <c r="I1712" s="2">
        <v>25.93</v>
      </c>
      <c r="J1712" s="2">
        <v>25.93</v>
      </c>
      <c r="K1712" s="2">
        <f t="shared" si="79"/>
        <v>25.93</v>
      </c>
      <c r="L1712" s="2">
        <f t="shared" si="80"/>
        <v>0</v>
      </c>
      <c r="M1712" t="s">
        <v>25</v>
      </c>
      <c r="N1712" t="s">
        <v>26</v>
      </c>
    </row>
    <row r="1713" spans="1:14" x14ac:dyDescent="0.3">
      <c r="A1713">
        <v>2024002711</v>
      </c>
      <c r="B1713" s="1">
        <v>45459</v>
      </c>
      <c r="C1713" s="11">
        <f t="shared" si="78"/>
        <v>2024</v>
      </c>
      <c r="D1713" t="s">
        <v>298</v>
      </c>
      <c r="E1713" t="s">
        <v>28</v>
      </c>
      <c r="F1713" t="s">
        <v>29</v>
      </c>
      <c r="G1713" t="s">
        <v>30</v>
      </c>
      <c r="H1713">
        <v>2</v>
      </c>
      <c r="I1713" s="2">
        <v>24.7</v>
      </c>
      <c r="J1713" s="2">
        <v>49.4</v>
      </c>
      <c r="K1713" s="2">
        <f t="shared" si="79"/>
        <v>49.4</v>
      </c>
      <c r="L1713" s="2">
        <f t="shared" si="80"/>
        <v>0</v>
      </c>
      <c r="M1713" t="s">
        <v>57</v>
      </c>
      <c r="N1713" t="s">
        <v>32</v>
      </c>
    </row>
    <row r="1714" spans="1:14" x14ac:dyDescent="0.3">
      <c r="A1714">
        <v>2024002712</v>
      </c>
      <c r="B1714" s="1">
        <v>45447</v>
      </c>
      <c r="C1714" s="11">
        <f t="shared" si="78"/>
        <v>2024</v>
      </c>
      <c r="D1714" t="s">
        <v>157</v>
      </c>
      <c r="E1714" t="s">
        <v>43</v>
      </c>
      <c r="F1714" t="s">
        <v>44</v>
      </c>
      <c r="G1714" t="s">
        <v>36</v>
      </c>
      <c r="H1714">
        <v>3</v>
      </c>
      <c r="I1714" s="2">
        <v>1186.82</v>
      </c>
      <c r="J1714" s="2">
        <v>3560.46</v>
      </c>
      <c r="K1714" s="2">
        <f t="shared" si="79"/>
        <v>3560.46</v>
      </c>
      <c r="L1714" s="2">
        <f t="shared" si="80"/>
        <v>0</v>
      </c>
      <c r="M1714" t="s">
        <v>15</v>
      </c>
      <c r="N1714" t="s">
        <v>32</v>
      </c>
    </row>
    <row r="1715" spans="1:14" x14ac:dyDescent="0.3">
      <c r="A1715">
        <v>2024002713</v>
      </c>
      <c r="B1715" s="1">
        <v>45546</v>
      </c>
      <c r="C1715" s="11">
        <f t="shared" si="78"/>
        <v>2024</v>
      </c>
      <c r="D1715" t="s">
        <v>58</v>
      </c>
      <c r="E1715" t="s">
        <v>28</v>
      </c>
      <c r="F1715" t="s">
        <v>29</v>
      </c>
      <c r="G1715" t="s">
        <v>30</v>
      </c>
      <c r="H1715">
        <v>2</v>
      </c>
      <c r="I1715" s="2">
        <v>24.6</v>
      </c>
      <c r="J1715" s="2">
        <v>49.2</v>
      </c>
      <c r="K1715" s="2">
        <f t="shared" si="79"/>
        <v>49.2</v>
      </c>
      <c r="L1715" s="2">
        <f t="shared" si="80"/>
        <v>0</v>
      </c>
      <c r="M1715" t="s">
        <v>15</v>
      </c>
      <c r="N1715" t="s">
        <v>32</v>
      </c>
    </row>
    <row r="1716" spans="1:14" x14ac:dyDescent="0.3">
      <c r="A1716">
        <v>2024002714</v>
      </c>
      <c r="B1716" s="1">
        <v>45336</v>
      </c>
      <c r="C1716" s="11">
        <f t="shared" si="78"/>
        <v>2024</v>
      </c>
      <c r="D1716" t="s">
        <v>123</v>
      </c>
      <c r="E1716" t="s">
        <v>43</v>
      </c>
      <c r="F1716" t="s">
        <v>44</v>
      </c>
      <c r="G1716" t="s">
        <v>36</v>
      </c>
      <c r="H1716">
        <v>1</v>
      </c>
      <c r="I1716" s="2">
        <v>1136.0999999999999</v>
      </c>
      <c r="J1716" s="2">
        <v>1136.0999999999999</v>
      </c>
      <c r="K1716" s="2">
        <f t="shared" si="79"/>
        <v>1136.0999999999999</v>
      </c>
      <c r="L1716" s="2">
        <f t="shared" si="80"/>
        <v>0</v>
      </c>
      <c r="M1716" t="s">
        <v>55</v>
      </c>
      <c r="N1716" t="s">
        <v>32</v>
      </c>
    </row>
    <row r="1717" spans="1:14" x14ac:dyDescent="0.3">
      <c r="A1717">
        <v>2024002715</v>
      </c>
      <c r="B1717" s="1">
        <v>45597</v>
      </c>
      <c r="C1717" s="11">
        <f t="shared" si="78"/>
        <v>2024</v>
      </c>
      <c r="D1717" t="s">
        <v>275</v>
      </c>
      <c r="E1717" t="s">
        <v>46</v>
      </c>
      <c r="F1717" t="s">
        <v>47</v>
      </c>
      <c r="G1717" t="s">
        <v>36</v>
      </c>
      <c r="H1717">
        <v>2</v>
      </c>
      <c r="I1717" s="2">
        <v>89.05</v>
      </c>
      <c r="J1717" s="2">
        <v>178.1</v>
      </c>
      <c r="K1717" s="2">
        <f t="shared" si="79"/>
        <v>178.1</v>
      </c>
      <c r="L1717" s="2">
        <f t="shared" si="80"/>
        <v>0</v>
      </c>
      <c r="M1717" t="s">
        <v>31</v>
      </c>
      <c r="N1717" t="s">
        <v>32</v>
      </c>
    </row>
    <row r="1718" spans="1:14" x14ac:dyDescent="0.3">
      <c r="A1718">
        <v>2024002716</v>
      </c>
      <c r="B1718" s="1">
        <v>45653</v>
      </c>
      <c r="C1718" s="11">
        <f t="shared" si="78"/>
        <v>2024</v>
      </c>
      <c r="D1718" t="s">
        <v>82</v>
      </c>
      <c r="E1718" t="s">
        <v>23</v>
      </c>
      <c r="F1718" t="s">
        <v>24</v>
      </c>
      <c r="G1718" t="s">
        <v>14</v>
      </c>
      <c r="H1718">
        <v>1</v>
      </c>
      <c r="I1718" s="2">
        <v>83.44</v>
      </c>
      <c r="J1718" s="2">
        <v>83.44</v>
      </c>
      <c r="K1718" s="2">
        <f t="shared" si="79"/>
        <v>83.44</v>
      </c>
      <c r="L1718" s="2">
        <f t="shared" si="80"/>
        <v>0</v>
      </c>
      <c r="M1718" t="s">
        <v>25</v>
      </c>
      <c r="N1718" t="s">
        <v>26</v>
      </c>
    </row>
    <row r="1719" spans="1:14" x14ac:dyDescent="0.3">
      <c r="A1719">
        <v>2024002717</v>
      </c>
      <c r="B1719" s="1">
        <v>45599</v>
      </c>
      <c r="C1719" s="11">
        <f t="shared" si="78"/>
        <v>2024</v>
      </c>
      <c r="D1719" t="s">
        <v>11</v>
      </c>
      <c r="E1719" t="s">
        <v>34</v>
      </c>
      <c r="F1719" t="s">
        <v>35</v>
      </c>
      <c r="G1719" t="s">
        <v>36</v>
      </c>
      <c r="H1719">
        <v>2</v>
      </c>
      <c r="I1719" s="2">
        <v>15.61</v>
      </c>
      <c r="J1719" s="2">
        <v>31.22</v>
      </c>
      <c r="K1719" s="2">
        <f t="shared" si="79"/>
        <v>31.22</v>
      </c>
      <c r="L1719" s="2">
        <f t="shared" si="80"/>
        <v>0</v>
      </c>
      <c r="M1719" t="s">
        <v>61</v>
      </c>
      <c r="N1719" t="s">
        <v>21</v>
      </c>
    </row>
    <row r="1720" spans="1:14" x14ac:dyDescent="0.3">
      <c r="A1720">
        <v>2024002718</v>
      </c>
      <c r="B1720" s="1">
        <v>45425</v>
      </c>
      <c r="C1720" s="11">
        <f t="shared" si="78"/>
        <v>2024</v>
      </c>
      <c r="D1720" t="s">
        <v>306</v>
      </c>
      <c r="E1720" t="s">
        <v>23</v>
      </c>
      <c r="F1720" t="s">
        <v>24</v>
      </c>
      <c r="G1720" t="s">
        <v>14</v>
      </c>
      <c r="H1720">
        <v>1</v>
      </c>
      <c r="I1720" s="2">
        <v>86.84</v>
      </c>
      <c r="J1720" s="2">
        <v>86.84</v>
      </c>
      <c r="K1720" s="2">
        <f t="shared" si="79"/>
        <v>86.84</v>
      </c>
      <c r="L1720" s="2">
        <f t="shared" si="80"/>
        <v>0</v>
      </c>
      <c r="M1720" t="s">
        <v>15</v>
      </c>
      <c r="N1720" t="s">
        <v>16</v>
      </c>
    </row>
    <row r="1721" spans="1:14" x14ac:dyDescent="0.3">
      <c r="A1721">
        <v>2024002719</v>
      </c>
      <c r="B1721" s="1">
        <v>45608</v>
      </c>
      <c r="C1721" s="11">
        <f t="shared" si="78"/>
        <v>2024</v>
      </c>
      <c r="D1721" t="s">
        <v>172</v>
      </c>
      <c r="E1721" t="s">
        <v>46</v>
      </c>
      <c r="F1721" t="s">
        <v>47</v>
      </c>
      <c r="G1721" t="s">
        <v>36</v>
      </c>
      <c r="H1721">
        <v>5</v>
      </c>
      <c r="I1721" s="2">
        <v>92.34</v>
      </c>
      <c r="J1721" s="2">
        <v>461.7</v>
      </c>
      <c r="K1721" s="2">
        <f t="shared" si="79"/>
        <v>461.70000000000005</v>
      </c>
      <c r="L1721" s="2">
        <f t="shared" si="80"/>
        <v>0</v>
      </c>
      <c r="M1721" t="s">
        <v>55</v>
      </c>
      <c r="N1721" t="s">
        <v>21</v>
      </c>
    </row>
    <row r="1722" spans="1:14" x14ac:dyDescent="0.3">
      <c r="A1722">
        <v>2024002720</v>
      </c>
      <c r="B1722" s="1">
        <v>45522</v>
      </c>
      <c r="C1722" s="11">
        <f t="shared" si="78"/>
        <v>2024</v>
      </c>
      <c r="D1722" t="s">
        <v>11</v>
      </c>
      <c r="E1722" t="s">
        <v>28</v>
      </c>
      <c r="F1722" t="s">
        <v>29</v>
      </c>
      <c r="G1722" t="s">
        <v>30</v>
      </c>
      <c r="H1722">
        <v>1</v>
      </c>
      <c r="I1722" s="2">
        <v>24.92</v>
      </c>
      <c r="J1722" s="2">
        <v>24.92</v>
      </c>
      <c r="K1722" s="2">
        <f t="shared" si="79"/>
        <v>24.92</v>
      </c>
      <c r="L1722" s="2">
        <f t="shared" si="80"/>
        <v>0</v>
      </c>
      <c r="M1722" t="s">
        <v>25</v>
      </c>
      <c r="N1722" t="s">
        <v>16</v>
      </c>
    </row>
    <row r="1723" spans="1:14" x14ac:dyDescent="0.3">
      <c r="A1723">
        <v>2024002721</v>
      </c>
      <c r="B1723" s="1">
        <v>45578</v>
      </c>
      <c r="C1723" s="11">
        <f t="shared" si="78"/>
        <v>2024</v>
      </c>
      <c r="D1723" t="s">
        <v>293</v>
      </c>
      <c r="E1723" t="s">
        <v>12</v>
      </c>
      <c r="F1723" t="s">
        <v>13</v>
      </c>
      <c r="G1723" t="s">
        <v>14</v>
      </c>
      <c r="H1723">
        <v>2</v>
      </c>
      <c r="I1723" s="2">
        <v>326.16000000000003</v>
      </c>
      <c r="J1723" s="2">
        <v>652.32000000000005</v>
      </c>
      <c r="K1723" s="2">
        <f t="shared" si="79"/>
        <v>652.32000000000005</v>
      </c>
      <c r="L1723" s="2">
        <f t="shared" si="80"/>
        <v>0</v>
      </c>
      <c r="M1723" t="s">
        <v>15</v>
      </c>
      <c r="N1723" t="s">
        <v>32</v>
      </c>
    </row>
    <row r="1724" spans="1:14" x14ac:dyDescent="0.3">
      <c r="A1724">
        <v>2024002722</v>
      </c>
      <c r="B1724" s="1">
        <v>45473</v>
      </c>
      <c r="C1724" s="11">
        <f t="shared" si="78"/>
        <v>2024</v>
      </c>
      <c r="D1724" t="s">
        <v>70</v>
      </c>
      <c r="E1724" t="s">
        <v>67</v>
      </c>
      <c r="F1724" t="s">
        <v>68</v>
      </c>
      <c r="G1724" t="s">
        <v>36</v>
      </c>
      <c r="H1724">
        <v>2</v>
      </c>
      <c r="I1724" s="2">
        <v>376.12</v>
      </c>
      <c r="J1724" s="2">
        <v>752.24</v>
      </c>
      <c r="K1724" s="2">
        <f t="shared" si="79"/>
        <v>752.24</v>
      </c>
      <c r="L1724" s="2">
        <f t="shared" si="80"/>
        <v>0</v>
      </c>
      <c r="M1724" t="s">
        <v>15</v>
      </c>
      <c r="N1724" t="s">
        <v>26</v>
      </c>
    </row>
    <row r="1725" spans="1:14" x14ac:dyDescent="0.3">
      <c r="A1725">
        <v>2024002723</v>
      </c>
      <c r="B1725" s="1">
        <v>45641</v>
      </c>
      <c r="C1725" s="11">
        <f t="shared" si="78"/>
        <v>2024</v>
      </c>
      <c r="D1725" t="s">
        <v>169</v>
      </c>
      <c r="E1725" t="s">
        <v>46</v>
      </c>
      <c r="F1725" t="s">
        <v>47</v>
      </c>
      <c r="G1725" t="s">
        <v>36</v>
      </c>
      <c r="H1725">
        <v>1</v>
      </c>
      <c r="I1725" s="2">
        <v>85.44</v>
      </c>
      <c r="J1725" s="2">
        <v>85.44</v>
      </c>
      <c r="K1725" s="2">
        <f t="shared" si="79"/>
        <v>85.44</v>
      </c>
      <c r="L1725" s="2">
        <f t="shared" si="80"/>
        <v>0</v>
      </c>
      <c r="M1725" t="s">
        <v>64</v>
      </c>
      <c r="N1725" t="s">
        <v>32</v>
      </c>
    </row>
    <row r="1726" spans="1:14" x14ac:dyDescent="0.3">
      <c r="A1726">
        <v>2024002724</v>
      </c>
      <c r="B1726" s="1">
        <v>45564</v>
      </c>
      <c r="C1726" s="11">
        <f t="shared" si="78"/>
        <v>2024</v>
      </c>
      <c r="D1726" t="s">
        <v>39</v>
      </c>
      <c r="E1726" t="s">
        <v>23</v>
      </c>
      <c r="F1726" t="s">
        <v>24</v>
      </c>
      <c r="G1726" t="s">
        <v>14</v>
      </c>
      <c r="H1726">
        <v>2</v>
      </c>
      <c r="I1726" s="2">
        <v>73.7</v>
      </c>
      <c r="J1726" s="2">
        <v>147.4</v>
      </c>
      <c r="K1726" s="2">
        <f t="shared" si="79"/>
        <v>147.4</v>
      </c>
      <c r="L1726" s="2">
        <f t="shared" si="80"/>
        <v>0</v>
      </c>
      <c r="M1726" t="s">
        <v>15</v>
      </c>
      <c r="N1726" t="s">
        <v>21</v>
      </c>
    </row>
    <row r="1727" spans="1:14" x14ac:dyDescent="0.3">
      <c r="A1727">
        <v>2024002725</v>
      </c>
      <c r="B1727" s="1">
        <v>45643</v>
      </c>
      <c r="C1727" s="11">
        <f t="shared" si="78"/>
        <v>2024</v>
      </c>
      <c r="D1727" t="s">
        <v>81</v>
      </c>
      <c r="E1727" t="s">
        <v>40</v>
      </c>
      <c r="F1727" t="s">
        <v>41</v>
      </c>
      <c r="G1727" t="s">
        <v>36</v>
      </c>
      <c r="H1727">
        <v>1</v>
      </c>
      <c r="I1727" s="2">
        <v>44.08</v>
      </c>
      <c r="J1727" s="2">
        <v>44.08</v>
      </c>
      <c r="K1727" s="2">
        <f t="shared" si="79"/>
        <v>44.08</v>
      </c>
      <c r="L1727" s="2">
        <f t="shared" si="80"/>
        <v>0</v>
      </c>
      <c r="M1727" t="s">
        <v>57</v>
      </c>
      <c r="N1727" t="s">
        <v>21</v>
      </c>
    </row>
    <row r="1728" spans="1:14" x14ac:dyDescent="0.3">
      <c r="A1728">
        <v>2024002726</v>
      </c>
      <c r="B1728" s="1">
        <v>45620</v>
      </c>
      <c r="C1728" s="11">
        <f t="shared" si="78"/>
        <v>2024</v>
      </c>
      <c r="D1728" t="s">
        <v>302</v>
      </c>
      <c r="E1728" t="s">
        <v>43</v>
      </c>
      <c r="F1728" t="s">
        <v>44</v>
      </c>
      <c r="G1728" t="s">
        <v>36</v>
      </c>
      <c r="H1728">
        <v>1</v>
      </c>
      <c r="I1728" s="2">
        <v>1246.3800000000001</v>
      </c>
      <c r="J1728" s="2">
        <v>1246.3800000000001</v>
      </c>
      <c r="K1728" s="2">
        <f t="shared" si="79"/>
        <v>1246.3800000000001</v>
      </c>
      <c r="L1728" s="2">
        <f t="shared" si="80"/>
        <v>0</v>
      </c>
      <c r="M1728" t="s">
        <v>55</v>
      </c>
      <c r="N1728" t="s">
        <v>21</v>
      </c>
    </row>
    <row r="1729" spans="1:14" x14ac:dyDescent="0.3">
      <c r="A1729">
        <v>2024002727</v>
      </c>
      <c r="B1729" s="1">
        <v>45578</v>
      </c>
      <c r="C1729" s="11">
        <f t="shared" si="78"/>
        <v>2024</v>
      </c>
      <c r="D1729" t="s">
        <v>170</v>
      </c>
      <c r="E1729" t="s">
        <v>67</v>
      </c>
      <c r="F1729" t="s">
        <v>68</v>
      </c>
      <c r="G1729" t="s">
        <v>36</v>
      </c>
      <c r="H1729">
        <v>2</v>
      </c>
      <c r="I1729" s="2">
        <v>432.13</v>
      </c>
      <c r="J1729" s="2">
        <v>864.26</v>
      </c>
      <c r="K1729" s="2">
        <f t="shared" si="79"/>
        <v>864.26</v>
      </c>
      <c r="L1729" s="2">
        <f t="shared" si="80"/>
        <v>0</v>
      </c>
      <c r="M1729" t="s">
        <v>25</v>
      </c>
      <c r="N1729" t="s">
        <v>26</v>
      </c>
    </row>
    <row r="1730" spans="1:14" x14ac:dyDescent="0.3">
      <c r="A1730">
        <v>2024002728</v>
      </c>
      <c r="B1730" s="1">
        <v>45401</v>
      </c>
      <c r="C1730" s="11">
        <f t="shared" si="78"/>
        <v>2024</v>
      </c>
      <c r="D1730" t="s">
        <v>270</v>
      </c>
      <c r="E1730" t="s">
        <v>46</v>
      </c>
      <c r="F1730" t="s">
        <v>47</v>
      </c>
      <c r="G1730" t="s">
        <v>36</v>
      </c>
      <c r="H1730">
        <v>1</v>
      </c>
      <c r="I1730" s="2">
        <v>91.35</v>
      </c>
      <c r="J1730" s="2">
        <v>91.35</v>
      </c>
      <c r="K1730" s="2">
        <f t="shared" si="79"/>
        <v>91.35</v>
      </c>
      <c r="L1730" s="2">
        <f t="shared" si="80"/>
        <v>0</v>
      </c>
      <c r="M1730" t="s">
        <v>64</v>
      </c>
      <c r="N1730" t="s">
        <v>32</v>
      </c>
    </row>
    <row r="1731" spans="1:14" x14ac:dyDescent="0.3">
      <c r="A1731">
        <v>2024002729</v>
      </c>
      <c r="B1731" s="1">
        <v>45532</v>
      </c>
      <c r="C1731" s="11">
        <f t="shared" ref="C1731:C1794" si="81">YEAR(B1731)</f>
        <v>2024</v>
      </c>
      <c r="D1731" t="s">
        <v>11</v>
      </c>
      <c r="E1731" t="s">
        <v>40</v>
      </c>
      <c r="F1731" t="s">
        <v>41</v>
      </c>
      <c r="G1731" t="s">
        <v>36</v>
      </c>
      <c r="H1731">
        <v>3</v>
      </c>
      <c r="I1731" s="2">
        <v>46.73</v>
      </c>
      <c r="J1731" s="2">
        <v>140.19</v>
      </c>
      <c r="K1731" s="2">
        <f t="shared" ref="K1731:K1794" si="82">I1731*H1731</f>
        <v>140.19</v>
      </c>
      <c r="L1731" s="2">
        <f t="shared" ref="L1731:L1794" si="83">J1731-K1731</f>
        <v>0</v>
      </c>
      <c r="M1731" t="s">
        <v>61</v>
      </c>
      <c r="N1731" t="s">
        <v>16</v>
      </c>
    </row>
    <row r="1732" spans="1:14" x14ac:dyDescent="0.3">
      <c r="A1732">
        <v>2024002730</v>
      </c>
      <c r="B1732" s="1">
        <v>45511</v>
      </c>
      <c r="C1732" s="11">
        <f t="shared" si="81"/>
        <v>2024</v>
      </c>
      <c r="D1732" t="s">
        <v>11</v>
      </c>
      <c r="E1732" t="s">
        <v>34</v>
      </c>
      <c r="F1732" t="s">
        <v>35</v>
      </c>
      <c r="G1732" t="s">
        <v>36</v>
      </c>
      <c r="H1732">
        <v>3</v>
      </c>
      <c r="I1732" s="2">
        <v>15.39</v>
      </c>
      <c r="J1732" s="2">
        <v>46.17</v>
      </c>
      <c r="K1732" s="2">
        <f t="shared" si="82"/>
        <v>46.17</v>
      </c>
      <c r="L1732" s="2">
        <f t="shared" si="83"/>
        <v>0</v>
      </c>
      <c r="M1732" t="s">
        <v>20</v>
      </c>
      <c r="N1732" t="s">
        <v>16</v>
      </c>
    </row>
    <row r="1733" spans="1:14" x14ac:dyDescent="0.3">
      <c r="A1733">
        <v>2024002731</v>
      </c>
      <c r="B1733" s="1">
        <v>45480</v>
      </c>
      <c r="C1733" s="11">
        <f t="shared" si="81"/>
        <v>2024</v>
      </c>
      <c r="D1733" t="s">
        <v>346</v>
      </c>
      <c r="E1733" t="s">
        <v>43</v>
      </c>
      <c r="F1733" t="s">
        <v>44</v>
      </c>
      <c r="G1733" t="s">
        <v>36</v>
      </c>
      <c r="H1733">
        <v>1</v>
      </c>
      <c r="I1733" s="2">
        <v>1095.22</v>
      </c>
      <c r="J1733" s="2">
        <v>1095.22</v>
      </c>
      <c r="K1733" s="2">
        <f t="shared" si="82"/>
        <v>1095.22</v>
      </c>
      <c r="L1733" s="2">
        <f t="shared" si="83"/>
        <v>0</v>
      </c>
      <c r="M1733" t="s">
        <v>31</v>
      </c>
      <c r="N1733" t="s">
        <v>21</v>
      </c>
    </row>
    <row r="1734" spans="1:14" x14ac:dyDescent="0.3">
      <c r="A1734">
        <v>2024002732</v>
      </c>
      <c r="B1734" s="1">
        <v>45619</v>
      </c>
      <c r="C1734" s="11">
        <f t="shared" si="81"/>
        <v>2024</v>
      </c>
      <c r="D1734" t="s">
        <v>279</v>
      </c>
      <c r="E1734" t="s">
        <v>23</v>
      </c>
      <c r="F1734" t="s">
        <v>24</v>
      </c>
      <c r="G1734" t="s">
        <v>14</v>
      </c>
      <c r="H1734">
        <v>1</v>
      </c>
      <c r="I1734" s="2">
        <v>80.22</v>
      </c>
      <c r="J1734" s="2">
        <v>80.22</v>
      </c>
      <c r="K1734" s="2">
        <f t="shared" si="82"/>
        <v>80.22</v>
      </c>
      <c r="L1734" s="2">
        <f t="shared" si="83"/>
        <v>0</v>
      </c>
      <c r="M1734" t="s">
        <v>48</v>
      </c>
      <c r="N1734" t="s">
        <v>32</v>
      </c>
    </row>
    <row r="1735" spans="1:14" x14ac:dyDescent="0.3">
      <c r="A1735">
        <v>2024002733</v>
      </c>
      <c r="B1735" s="1">
        <v>45368</v>
      </c>
      <c r="C1735" s="11">
        <f t="shared" si="81"/>
        <v>2024</v>
      </c>
      <c r="D1735" t="s">
        <v>347</v>
      </c>
      <c r="E1735" t="s">
        <v>18</v>
      </c>
      <c r="F1735" t="s">
        <v>19</v>
      </c>
      <c r="G1735" t="s">
        <v>14</v>
      </c>
      <c r="H1735">
        <v>1</v>
      </c>
      <c r="I1735" s="2">
        <v>594.57000000000005</v>
      </c>
      <c r="J1735" s="2">
        <v>594.57000000000005</v>
      </c>
      <c r="K1735" s="2">
        <f t="shared" si="82"/>
        <v>594.57000000000005</v>
      </c>
      <c r="L1735" s="2">
        <f t="shared" si="83"/>
        <v>0</v>
      </c>
      <c r="M1735" t="s">
        <v>38</v>
      </c>
      <c r="N1735" t="s">
        <v>32</v>
      </c>
    </row>
    <row r="1736" spans="1:14" x14ac:dyDescent="0.3">
      <c r="A1736">
        <v>2024002734</v>
      </c>
      <c r="B1736" s="1">
        <v>45455</v>
      </c>
      <c r="C1736" s="11">
        <f t="shared" si="81"/>
        <v>2024</v>
      </c>
      <c r="D1736" t="s">
        <v>338</v>
      </c>
      <c r="E1736" t="s">
        <v>46</v>
      </c>
      <c r="F1736" t="s">
        <v>47</v>
      </c>
      <c r="G1736" t="s">
        <v>36</v>
      </c>
      <c r="H1736">
        <v>1</v>
      </c>
      <c r="I1736" s="2">
        <v>90.67</v>
      </c>
      <c r="J1736" s="2">
        <v>90.67</v>
      </c>
      <c r="K1736" s="2">
        <f t="shared" si="82"/>
        <v>90.67</v>
      </c>
      <c r="L1736" s="2">
        <f t="shared" si="83"/>
        <v>0</v>
      </c>
      <c r="M1736" t="s">
        <v>61</v>
      </c>
      <c r="N1736" t="s">
        <v>26</v>
      </c>
    </row>
    <row r="1737" spans="1:14" x14ac:dyDescent="0.3">
      <c r="A1737">
        <v>2024002735</v>
      </c>
      <c r="B1737" s="1">
        <v>45636</v>
      </c>
      <c r="C1737" s="11">
        <f t="shared" si="81"/>
        <v>2024</v>
      </c>
      <c r="D1737" t="s">
        <v>129</v>
      </c>
      <c r="E1737" t="s">
        <v>53</v>
      </c>
      <c r="F1737" t="s">
        <v>54</v>
      </c>
      <c r="G1737" t="s">
        <v>36</v>
      </c>
      <c r="H1737">
        <v>2</v>
      </c>
      <c r="I1737" s="2">
        <v>129.19</v>
      </c>
      <c r="J1737" s="2">
        <v>258.38</v>
      </c>
      <c r="K1737" s="2">
        <f t="shared" si="82"/>
        <v>258.38</v>
      </c>
      <c r="L1737" s="2">
        <f t="shared" si="83"/>
        <v>0</v>
      </c>
      <c r="M1737" t="s">
        <v>20</v>
      </c>
      <c r="N1737" t="s">
        <v>21</v>
      </c>
    </row>
    <row r="1738" spans="1:14" x14ac:dyDescent="0.3">
      <c r="A1738">
        <v>2024002736</v>
      </c>
      <c r="B1738" s="1">
        <v>45498</v>
      </c>
      <c r="C1738" s="11">
        <f t="shared" si="81"/>
        <v>2024</v>
      </c>
      <c r="D1738" t="s">
        <v>203</v>
      </c>
      <c r="E1738" t="s">
        <v>67</v>
      </c>
      <c r="F1738" t="s">
        <v>68</v>
      </c>
      <c r="G1738" t="s">
        <v>36</v>
      </c>
      <c r="H1738">
        <v>3</v>
      </c>
      <c r="I1738" s="2">
        <v>408.81</v>
      </c>
      <c r="J1738" s="2">
        <v>1226.43</v>
      </c>
      <c r="K1738" s="2">
        <f t="shared" si="82"/>
        <v>1226.43</v>
      </c>
      <c r="L1738" s="2">
        <f t="shared" si="83"/>
        <v>0</v>
      </c>
      <c r="M1738" t="s">
        <v>15</v>
      </c>
      <c r="N1738" t="s">
        <v>21</v>
      </c>
    </row>
    <row r="1739" spans="1:14" x14ac:dyDescent="0.3">
      <c r="A1739">
        <v>2024002737</v>
      </c>
      <c r="B1739" s="1">
        <v>45456</v>
      </c>
      <c r="C1739" s="11">
        <f t="shared" si="81"/>
        <v>2024</v>
      </c>
      <c r="D1739" t="s">
        <v>112</v>
      </c>
      <c r="E1739" t="s">
        <v>12</v>
      </c>
      <c r="F1739" t="s">
        <v>13</v>
      </c>
      <c r="G1739" t="s">
        <v>14</v>
      </c>
      <c r="H1739">
        <v>5</v>
      </c>
      <c r="I1739" s="2">
        <v>354.68</v>
      </c>
      <c r="J1739" s="2">
        <v>1773.4</v>
      </c>
      <c r="K1739" s="2">
        <f t="shared" si="82"/>
        <v>1773.4</v>
      </c>
      <c r="L1739" s="2">
        <f t="shared" si="83"/>
        <v>0</v>
      </c>
      <c r="M1739" t="s">
        <v>15</v>
      </c>
      <c r="N1739" t="s">
        <v>21</v>
      </c>
    </row>
    <row r="1740" spans="1:14" x14ac:dyDescent="0.3">
      <c r="A1740">
        <v>2024002738</v>
      </c>
      <c r="B1740" s="1">
        <v>45519</v>
      </c>
      <c r="C1740" s="11">
        <f t="shared" si="81"/>
        <v>2024</v>
      </c>
      <c r="D1740" t="s">
        <v>11</v>
      </c>
      <c r="E1740" t="s">
        <v>40</v>
      </c>
      <c r="F1740" t="s">
        <v>41</v>
      </c>
      <c r="G1740" t="s">
        <v>36</v>
      </c>
      <c r="H1740">
        <v>1</v>
      </c>
      <c r="I1740" s="2">
        <v>48.04</v>
      </c>
      <c r="J1740" s="2">
        <v>48.04</v>
      </c>
      <c r="K1740" s="2">
        <f t="shared" si="82"/>
        <v>48.04</v>
      </c>
      <c r="L1740" s="2">
        <f t="shared" si="83"/>
        <v>0</v>
      </c>
      <c r="M1740" t="s">
        <v>20</v>
      </c>
      <c r="N1740" t="s">
        <v>21</v>
      </c>
    </row>
    <row r="1741" spans="1:14" x14ac:dyDescent="0.3">
      <c r="A1741">
        <v>2024002739</v>
      </c>
      <c r="B1741" s="1">
        <v>45386</v>
      </c>
      <c r="C1741" s="11">
        <f t="shared" si="81"/>
        <v>2024</v>
      </c>
      <c r="D1741" t="s">
        <v>342</v>
      </c>
      <c r="E1741" t="s">
        <v>67</v>
      </c>
      <c r="F1741" t="s">
        <v>68</v>
      </c>
      <c r="G1741" t="s">
        <v>36</v>
      </c>
      <c r="H1741">
        <v>2</v>
      </c>
      <c r="I1741" s="2">
        <v>441.99</v>
      </c>
      <c r="J1741" s="2">
        <v>883.98</v>
      </c>
      <c r="K1741" s="2">
        <f t="shared" si="82"/>
        <v>883.98</v>
      </c>
      <c r="L1741" s="2">
        <f t="shared" si="83"/>
        <v>0</v>
      </c>
      <c r="M1741" t="s">
        <v>61</v>
      </c>
      <c r="N1741" t="s">
        <v>16</v>
      </c>
    </row>
    <row r="1742" spans="1:14" x14ac:dyDescent="0.3">
      <c r="A1742">
        <v>2024002740</v>
      </c>
      <c r="B1742" s="1">
        <v>45567</v>
      </c>
      <c r="C1742" s="11">
        <f t="shared" si="81"/>
        <v>2024</v>
      </c>
      <c r="D1742" t="s">
        <v>204</v>
      </c>
      <c r="E1742" t="s">
        <v>23</v>
      </c>
      <c r="F1742" t="s">
        <v>24</v>
      </c>
      <c r="G1742" t="s">
        <v>14</v>
      </c>
      <c r="H1742">
        <v>1</v>
      </c>
      <c r="I1742" s="2">
        <v>79.25</v>
      </c>
      <c r="J1742" s="2">
        <v>79.25</v>
      </c>
      <c r="K1742" s="2">
        <f t="shared" si="82"/>
        <v>79.25</v>
      </c>
      <c r="L1742" s="2">
        <f t="shared" si="83"/>
        <v>0</v>
      </c>
      <c r="M1742" t="s">
        <v>38</v>
      </c>
      <c r="N1742" t="s">
        <v>26</v>
      </c>
    </row>
    <row r="1743" spans="1:14" x14ac:dyDescent="0.3">
      <c r="A1743">
        <v>2024002741</v>
      </c>
      <c r="B1743" s="1">
        <v>45482</v>
      </c>
      <c r="C1743" s="11">
        <f t="shared" si="81"/>
        <v>2024</v>
      </c>
      <c r="D1743" t="s">
        <v>202</v>
      </c>
      <c r="E1743" t="s">
        <v>43</v>
      </c>
      <c r="F1743" t="s">
        <v>44</v>
      </c>
      <c r="G1743" t="s">
        <v>36</v>
      </c>
      <c r="H1743">
        <v>1</v>
      </c>
      <c r="I1743" s="2">
        <v>1069.74</v>
      </c>
      <c r="J1743" s="2">
        <v>1069.74</v>
      </c>
      <c r="K1743" s="2">
        <f t="shared" si="82"/>
        <v>1069.74</v>
      </c>
      <c r="L1743" s="2">
        <f t="shared" si="83"/>
        <v>0</v>
      </c>
      <c r="M1743" t="s">
        <v>38</v>
      </c>
      <c r="N1743" t="s">
        <v>26</v>
      </c>
    </row>
    <row r="1744" spans="1:14" x14ac:dyDescent="0.3">
      <c r="A1744">
        <v>2024002742</v>
      </c>
      <c r="B1744" s="1">
        <v>45501</v>
      </c>
      <c r="C1744" s="11">
        <f t="shared" si="81"/>
        <v>2024</v>
      </c>
      <c r="D1744" t="s">
        <v>258</v>
      </c>
      <c r="E1744" t="s">
        <v>53</v>
      </c>
      <c r="F1744" t="s">
        <v>54</v>
      </c>
      <c r="G1744" t="s">
        <v>36</v>
      </c>
      <c r="H1744">
        <v>2</v>
      </c>
      <c r="I1744" s="2">
        <v>114.07</v>
      </c>
      <c r="J1744" s="2">
        <v>228.14</v>
      </c>
      <c r="K1744" s="2">
        <f t="shared" si="82"/>
        <v>228.14</v>
      </c>
      <c r="L1744" s="2">
        <f t="shared" si="83"/>
        <v>0</v>
      </c>
      <c r="M1744" t="s">
        <v>38</v>
      </c>
      <c r="N1744" t="s">
        <v>21</v>
      </c>
    </row>
    <row r="1745" spans="1:14" x14ac:dyDescent="0.3">
      <c r="A1745">
        <v>2024002743</v>
      </c>
      <c r="B1745" s="1">
        <v>45657</v>
      </c>
      <c r="C1745" s="11">
        <f t="shared" si="81"/>
        <v>2024</v>
      </c>
      <c r="D1745" t="s">
        <v>11</v>
      </c>
      <c r="E1745" t="s">
        <v>34</v>
      </c>
      <c r="F1745" t="s">
        <v>35</v>
      </c>
      <c r="G1745" t="s">
        <v>36</v>
      </c>
      <c r="H1745">
        <v>1</v>
      </c>
      <c r="I1745" s="2">
        <v>15.54</v>
      </c>
      <c r="J1745" s="2">
        <v>15.54</v>
      </c>
      <c r="K1745" s="2">
        <f t="shared" si="82"/>
        <v>15.54</v>
      </c>
      <c r="L1745" s="2">
        <f t="shared" si="83"/>
        <v>0</v>
      </c>
      <c r="M1745" t="s">
        <v>61</v>
      </c>
      <c r="N1745" t="s">
        <v>16</v>
      </c>
    </row>
    <row r="1746" spans="1:14" x14ac:dyDescent="0.3">
      <c r="A1746">
        <v>2024001669</v>
      </c>
      <c r="B1746" s="1">
        <v>45372</v>
      </c>
      <c r="C1746" s="11">
        <f t="shared" si="81"/>
        <v>2024</v>
      </c>
      <c r="D1746" t="s">
        <v>70</v>
      </c>
      <c r="E1746" t="s">
        <v>53</v>
      </c>
      <c r="F1746" t="s">
        <v>54</v>
      </c>
      <c r="G1746" t="s">
        <v>36</v>
      </c>
      <c r="H1746">
        <v>1</v>
      </c>
      <c r="I1746" s="2">
        <v>111.77</v>
      </c>
      <c r="J1746" s="2">
        <v>111.77</v>
      </c>
      <c r="K1746" s="2">
        <f t="shared" si="82"/>
        <v>111.77</v>
      </c>
      <c r="L1746" s="2">
        <f t="shared" si="83"/>
        <v>0</v>
      </c>
      <c r="M1746" t="s">
        <v>61</v>
      </c>
      <c r="N1746" t="s">
        <v>16</v>
      </c>
    </row>
    <row r="1747" spans="1:14" x14ac:dyDescent="0.3">
      <c r="A1747">
        <v>2024002745</v>
      </c>
      <c r="B1747" s="1">
        <v>45547</v>
      </c>
      <c r="C1747" s="11">
        <f t="shared" si="81"/>
        <v>2024</v>
      </c>
      <c r="D1747" t="s">
        <v>201</v>
      </c>
      <c r="E1747" t="s">
        <v>23</v>
      </c>
      <c r="F1747" t="s">
        <v>24</v>
      </c>
      <c r="G1747" t="s">
        <v>14</v>
      </c>
      <c r="H1747">
        <v>1</v>
      </c>
      <c r="I1747" s="2">
        <v>82.77</v>
      </c>
      <c r="J1747" s="2">
        <v>82.77</v>
      </c>
      <c r="K1747" s="2">
        <f t="shared" si="82"/>
        <v>82.77</v>
      </c>
      <c r="L1747" s="2">
        <f t="shared" si="83"/>
        <v>0</v>
      </c>
      <c r="M1747" t="s">
        <v>55</v>
      </c>
      <c r="N1747" t="s">
        <v>26</v>
      </c>
    </row>
    <row r="1748" spans="1:14" x14ac:dyDescent="0.3">
      <c r="A1748">
        <v>2024002746</v>
      </c>
      <c r="B1748" s="1">
        <v>45586</v>
      </c>
      <c r="C1748" s="11">
        <f t="shared" si="81"/>
        <v>2024</v>
      </c>
      <c r="D1748" t="s">
        <v>127</v>
      </c>
      <c r="E1748" t="s">
        <v>23</v>
      </c>
      <c r="F1748" t="s">
        <v>24</v>
      </c>
      <c r="G1748" t="s">
        <v>14</v>
      </c>
      <c r="H1748">
        <v>3</v>
      </c>
      <c r="I1748" s="2">
        <v>74.53</v>
      </c>
      <c r="J1748" s="2">
        <v>223.59</v>
      </c>
      <c r="K1748" s="2">
        <f t="shared" si="82"/>
        <v>223.59</v>
      </c>
      <c r="L1748" s="2">
        <f t="shared" si="83"/>
        <v>0</v>
      </c>
      <c r="M1748" t="s">
        <v>20</v>
      </c>
      <c r="N1748" t="s">
        <v>26</v>
      </c>
    </row>
    <row r="1749" spans="1:14" x14ac:dyDescent="0.3">
      <c r="A1749">
        <v>2024002747</v>
      </c>
      <c r="B1749" s="1">
        <v>45647</v>
      </c>
      <c r="C1749" s="11">
        <f t="shared" si="81"/>
        <v>2024</v>
      </c>
      <c r="D1749" t="s">
        <v>11</v>
      </c>
      <c r="E1749" t="s">
        <v>28</v>
      </c>
      <c r="F1749" t="s">
        <v>29</v>
      </c>
      <c r="G1749" t="s">
        <v>30</v>
      </c>
      <c r="H1749">
        <v>1</v>
      </c>
      <c r="I1749" s="2">
        <v>24.63</v>
      </c>
      <c r="J1749" s="2">
        <v>24.63</v>
      </c>
      <c r="K1749" s="2">
        <f t="shared" si="82"/>
        <v>24.63</v>
      </c>
      <c r="L1749" s="2">
        <f t="shared" si="83"/>
        <v>0</v>
      </c>
      <c r="M1749" t="s">
        <v>38</v>
      </c>
      <c r="N1749" t="s">
        <v>26</v>
      </c>
    </row>
    <row r="1750" spans="1:14" x14ac:dyDescent="0.3">
      <c r="A1750">
        <v>2024002748</v>
      </c>
      <c r="B1750" s="1">
        <v>45635</v>
      </c>
      <c r="C1750" s="11">
        <f t="shared" si="81"/>
        <v>2024</v>
      </c>
      <c r="D1750" t="s">
        <v>145</v>
      </c>
      <c r="E1750" t="s">
        <v>23</v>
      </c>
      <c r="F1750" t="s">
        <v>24</v>
      </c>
      <c r="G1750" t="s">
        <v>14</v>
      </c>
      <c r="H1750">
        <v>1</v>
      </c>
      <c r="I1750" s="2">
        <v>75.58</v>
      </c>
      <c r="J1750" s="2">
        <v>75.58</v>
      </c>
      <c r="K1750" s="2">
        <f t="shared" si="82"/>
        <v>75.58</v>
      </c>
      <c r="L1750" s="2">
        <f t="shared" si="83"/>
        <v>0</v>
      </c>
      <c r="M1750" t="s">
        <v>20</v>
      </c>
      <c r="N1750" t="s">
        <v>21</v>
      </c>
    </row>
    <row r="1751" spans="1:14" x14ac:dyDescent="0.3">
      <c r="A1751">
        <v>2024002749</v>
      </c>
      <c r="B1751" s="1">
        <v>45488</v>
      </c>
      <c r="C1751" s="11">
        <f t="shared" si="81"/>
        <v>2024</v>
      </c>
      <c r="D1751" t="s">
        <v>225</v>
      </c>
      <c r="E1751" t="s">
        <v>12</v>
      </c>
      <c r="F1751" t="s">
        <v>13</v>
      </c>
      <c r="G1751" t="s">
        <v>14</v>
      </c>
      <c r="H1751">
        <v>3</v>
      </c>
      <c r="I1751" s="2">
        <v>332.44</v>
      </c>
      <c r="J1751" s="2">
        <v>997.32</v>
      </c>
      <c r="K1751" s="2">
        <f t="shared" si="82"/>
        <v>997.31999999999994</v>
      </c>
      <c r="L1751" s="2">
        <f t="shared" si="83"/>
        <v>0</v>
      </c>
      <c r="M1751" t="s">
        <v>55</v>
      </c>
      <c r="N1751" t="s">
        <v>21</v>
      </c>
    </row>
    <row r="1752" spans="1:14" x14ac:dyDescent="0.3">
      <c r="A1752">
        <v>2024002750</v>
      </c>
      <c r="B1752" s="1">
        <v>45411</v>
      </c>
      <c r="C1752" s="11">
        <f t="shared" si="81"/>
        <v>2024</v>
      </c>
      <c r="D1752" t="s">
        <v>11</v>
      </c>
      <c r="E1752" t="s">
        <v>28</v>
      </c>
      <c r="F1752" t="s">
        <v>29</v>
      </c>
      <c r="G1752" t="s">
        <v>30</v>
      </c>
      <c r="H1752">
        <v>3</v>
      </c>
      <c r="I1752" s="2">
        <v>23.35</v>
      </c>
      <c r="J1752" s="2">
        <v>70.05</v>
      </c>
      <c r="K1752" s="2">
        <f t="shared" si="82"/>
        <v>70.050000000000011</v>
      </c>
      <c r="L1752" s="2">
        <f t="shared" si="83"/>
        <v>0</v>
      </c>
      <c r="M1752" t="s">
        <v>25</v>
      </c>
      <c r="N1752" t="s">
        <v>16</v>
      </c>
    </row>
    <row r="1753" spans="1:14" x14ac:dyDescent="0.3">
      <c r="A1753">
        <v>2024002751</v>
      </c>
      <c r="B1753" s="1">
        <v>45343</v>
      </c>
      <c r="C1753" s="11">
        <f t="shared" si="81"/>
        <v>2024</v>
      </c>
      <c r="D1753" t="s">
        <v>271</v>
      </c>
      <c r="E1753" t="s">
        <v>23</v>
      </c>
      <c r="F1753" t="s">
        <v>24</v>
      </c>
      <c r="G1753" t="s">
        <v>14</v>
      </c>
      <c r="H1753">
        <v>2</v>
      </c>
      <c r="I1753" s="2">
        <v>79.680000000000007</v>
      </c>
      <c r="J1753" s="2">
        <v>159.36000000000001</v>
      </c>
      <c r="K1753" s="2">
        <f t="shared" si="82"/>
        <v>159.36000000000001</v>
      </c>
      <c r="L1753" s="2">
        <f t="shared" si="83"/>
        <v>0</v>
      </c>
      <c r="M1753" t="s">
        <v>64</v>
      </c>
      <c r="N1753" t="s">
        <v>32</v>
      </c>
    </row>
    <row r="1754" spans="1:14" x14ac:dyDescent="0.3">
      <c r="A1754">
        <v>2024002752</v>
      </c>
      <c r="B1754" s="1">
        <v>45326</v>
      </c>
      <c r="C1754" s="11">
        <f t="shared" si="81"/>
        <v>2024</v>
      </c>
      <c r="D1754" t="s">
        <v>108</v>
      </c>
      <c r="E1754" t="s">
        <v>28</v>
      </c>
      <c r="F1754" t="s">
        <v>29</v>
      </c>
      <c r="G1754" t="s">
        <v>30</v>
      </c>
      <c r="H1754">
        <v>1</v>
      </c>
      <c r="I1754" s="2">
        <v>25.58</v>
      </c>
      <c r="J1754" s="2">
        <v>25.58</v>
      </c>
      <c r="K1754" s="2">
        <f t="shared" si="82"/>
        <v>25.58</v>
      </c>
      <c r="L1754" s="2">
        <f t="shared" si="83"/>
        <v>0</v>
      </c>
      <c r="M1754" t="s">
        <v>57</v>
      </c>
      <c r="N1754" t="s">
        <v>32</v>
      </c>
    </row>
    <row r="1755" spans="1:14" x14ac:dyDescent="0.3">
      <c r="A1755">
        <v>2024002753</v>
      </c>
      <c r="B1755" s="1">
        <v>45569</v>
      </c>
      <c r="C1755" s="11">
        <f t="shared" si="81"/>
        <v>2024</v>
      </c>
      <c r="D1755" t="s">
        <v>238</v>
      </c>
      <c r="E1755" t="s">
        <v>43</v>
      </c>
      <c r="F1755" t="s">
        <v>44</v>
      </c>
      <c r="G1755" t="s">
        <v>36</v>
      </c>
      <c r="H1755">
        <v>1</v>
      </c>
      <c r="I1755" s="2">
        <v>1226.3</v>
      </c>
      <c r="J1755" s="2">
        <v>1226.3</v>
      </c>
      <c r="K1755" s="2">
        <f t="shared" si="82"/>
        <v>1226.3</v>
      </c>
      <c r="L1755" s="2">
        <f t="shared" si="83"/>
        <v>0</v>
      </c>
      <c r="M1755" t="s">
        <v>61</v>
      </c>
      <c r="N1755" t="s">
        <v>16</v>
      </c>
    </row>
    <row r="1756" spans="1:14" x14ac:dyDescent="0.3">
      <c r="A1756">
        <v>2024002754</v>
      </c>
      <c r="B1756" s="1">
        <v>45355</v>
      </c>
      <c r="C1756" s="11">
        <f t="shared" si="81"/>
        <v>2024</v>
      </c>
      <c r="D1756" t="s">
        <v>221</v>
      </c>
      <c r="E1756" t="s">
        <v>67</v>
      </c>
      <c r="F1756" t="s">
        <v>68</v>
      </c>
      <c r="G1756" t="s">
        <v>36</v>
      </c>
      <c r="H1756">
        <v>1</v>
      </c>
      <c r="I1756" s="2">
        <v>348.36</v>
      </c>
      <c r="J1756" s="2">
        <v>348.36</v>
      </c>
      <c r="K1756" s="2">
        <f t="shared" si="82"/>
        <v>348.36</v>
      </c>
      <c r="L1756" s="2">
        <f t="shared" si="83"/>
        <v>0</v>
      </c>
      <c r="M1756" t="s">
        <v>57</v>
      </c>
      <c r="N1756" t="s">
        <v>26</v>
      </c>
    </row>
    <row r="1757" spans="1:14" x14ac:dyDescent="0.3">
      <c r="A1757">
        <v>2024002755</v>
      </c>
      <c r="B1757" s="1">
        <v>45306</v>
      </c>
      <c r="C1757" s="11">
        <f t="shared" si="81"/>
        <v>2024</v>
      </c>
      <c r="D1757" t="s">
        <v>235</v>
      </c>
      <c r="E1757" t="s">
        <v>53</v>
      </c>
      <c r="F1757" t="s">
        <v>54</v>
      </c>
      <c r="G1757" t="s">
        <v>36</v>
      </c>
      <c r="H1757">
        <v>1</v>
      </c>
      <c r="I1757" s="2">
        <v>115</v>
      </c>
      <c r="J1757" s="2">
        <v>115</v>
      </c>
      <c r="K1757" s="2">
        <f t="shared" si="82"/>
        <v>115</v>
      </c>
      <c r="L1757" s="2">
        <f t="shared" si="83"/>
        <v>0</v>
      </c>
      <c r="M1757" t="s">
        <v>20</v>
      </c>
      <c r="N1757" t="s">
        <v>16</v>
      </c>
    </row>
    <row r="1758" spans="1:14" x14ac:dyDescent="0.3">
      <c r="A1758">
        <v>2024002756</v>
      </c>
      <c r="B1758" s="1">
        <v>45459</v>
      </c>
      <c r="C1758" s="11">
        <f t="shared" si="81"/>
        <v>2024</v>
      </c>
      <c r="D1758" t="s">
        <v>11</v>
      </c>
      <c r="E1758" t="s">
        <v>40</v>
      </c>
      <c r="F1758" t="s">
        <v>41</v>
      </c>
      <c r="G1758" t="s">
        <v>36</v>
      </c>
      <c r="H1758">
        <v>2</v>
      </c>
      <c r="I1758" s="2">
        <v>39.74</v>
      </c>
      <c r="J1758" s="2">
        <v>79.48</v>
      </c>
      <c r="K1758" s="2">
        <f t="shared" si="82"/>
        <v>79.48</v>
      </c>
      <c r="L1758" s="2">
        <f t="shared" si="83"/>
        <v>0</v>
      </c>
      <c r="M1758" t="s">
        <v>15</v>
      </c>
      <c r="N1758" t="s">
        <v>16</v>
      </c>
    </row>
    <row r="1759" spans="1:14" x14ac:dyDescent="0.3">
      <c r="A1759">
        <v>2024002757</v>
      </c>
      <c r="B1759" s="1">
        <v>45523</v>
      </c>
      <c r="C1759" s="11">
        <f t="shared" si="81"/>
        <v>2024</v>
      </c>
      <c r="D1759" t="s">
        <v>158</v>
      </c>
      <c r="E1759" t="s">
        <v>12</v>
      </c>
      <c r="F1759" t="s">
        <v>13</v>
      </c>
      <c r="G1759" t="s">
        <v>14</v>
      </c>
      <c r="H1759">
        <v>1</v>
      </c>
      <c r="I1759" s="2">
        <v>339.23</v>
      </c>
      <c r="J1759" s="2">
        <v>339.23</v>
      </c>
      <c r="K1759" s="2">
        <f t="shared" si="82"/>
        <v>339.23</v>
      </c>
      <c r="L1759" s="2">
        <f t="shared" si="83"/>
        <v>0</v>
      </c>
      <c r="M1759" t="s">
        <v>38</v>
      </c>
      <c r="N1759" t="s">
        <v>32</v>
      </c>
    </row>
    <row r="1760" spans="1:14" x14ac:dyDescent="0.3">
      <c r="A1760">
        <v>2024002758</v>
      </c>
      <c r="B1760" s="1">
        <v>45386</v>
      </c>
      <c r="C1760" s="11">
        <f t="shared" si="81"/>
        <v>2024</v>
      </c>
      <c r="D1760" t="s">
        <v>174</v>
      </c>
      <c r="E1760" t="s">
        <v>40</v>
      </c>
      <c r="F1760" t="s">
        <v>41</v>
      </c>
      <c r="G1760" t="s">
        <v>36</v>
      </c>
      <c r="H1760">
        <v>1</v>
      </c>
      <c r="I1760" s="2">
        <v>49.51</v>
      </c>
      <c r="J1760" s="2">
        <v>49.51</v>
      </c>
      <c r="K1760" s="2">
        <f t="shared" si="82"/>
        <v>49.51</v>
      </c>
      <c r="L1760" s="2">
        <f t="shared" si="83"/>
        <v>0</v>
      </c>
      <c r="M1760" t="s">
        <v>38</v>
      </c>
      <c r="N1760" t="s">
        <v>32</v>
      </c>
    </row>
    <row r="1761" spans="1:14" x14ac:dyDescent="0.3">
      <c r="A1761">
        <v>2024002759</v>
      </c>
      <c r="B1761" s="1">
        <v>45632</v>
      </c>
      <c r="C1761" s="11">
        <f t="shared" si="81"/>
        <v>2024</v>
      </c>
      <c r="D1761" t="s">
        <v>279</v>
      </c>
      <c r="E1761" t="s">
        <v>12</v>
      </c>
      <c r="F1761" t="s">
        <v>13</v>
      </c>
      <c r="G1761" t="s">
        <v>14</v>
      </c>
      <c r="H1761">
        <v>2</v>
      </c>
      <c r="I1761" s="2">
        <v>353.9</v>
      </c>
      <c r="J1761" s="2">
        <v>707.8</v>
      </c>
      <c r="K1761" s="2">
        <f t="shared" si="82"/>
        <v>707.8</v>
      </c>
      <c r="L1761" s="2">
        <f t="shared" si="83"/>
        <v>0</v>
      </c>
      <c r="M1761" t="s">
        <v>25</v>
      </c>
      <c r="N1761" t="s">
        <v>21</v>
      </c>
    </row>
    <row r="1762" spans="1:14" x14ac:dyDescent="0.3">
      <c r="A1762">
        <v>2024002760</v>
      </c>
      <c r="B1762" s="1">
        <v>45566</v>
      </c>
      <c r="C1762" s="11">
        <f t="shared" si="81"/>
        <v>2024</v>
      </c>
      <c r="D1762" t="s">
        <v>113</v>
      </c>
      <c r="E1762" t="s">
        <v>34</v>
      </c>
      <c r="F1762" t="s">
        <v>35</v>
      </c>
      <c r="G1762" t="s">
        <v>36</v>
      </c>
      <c r="H1762">
        <v>2</v>
      </c>
      <c r="I1762" s="2">
        <v>14</v>
      </c>
      <c r="J1762" s="2">
        <v>28</v>
      </c>
      <c r="K1762" s="2">
        <f t="shared" si="82"/>
        <v>28</v>
      </c>
      <c r="L1762" s="2">
        <f t="shared" si="83"/>
        <v>0</v>
      </c>
      <c r="M1762" t="s">
        <v>57</v>
      </c>
      <c r="N1762" t="s">
        <v>16</v>
      </c>
    </row>
    <row r="1763" spans="1:14" x14ac:dyDescent="0.3">
      <c r="A1763">
        <v>2024002761</v>
      </c>
      <c r="B1763" s="1">
        <v>45403</v>
      </c>
      <c r="C1763" s="11">
        <f t="shared" si="81"/>
        <v>2024</v>
      </c>
      <c r="D1763" t="s">
        <v>11</v>
      </c>
      <c r="E1763" t="s">
        <v>18</v>
      </c>
      <c r="F1763" t="s">
        <v>19</v>
      </c>
      <c r="G1763" t="s">
        <v>14</v>
      </c>
      <c r="H1763">
        <v>4</v>
      </c>
      <c r="I1763" s="2">
        <v>613.6</v>
      </c>
      <c r="J1763" s="2">
        <v>2454.4</v>
      </c>
      <c r="K1763" s="2">
        <f t="shared" si="82"/>
        <v>2454.4</v>
      </c>
      <c r="L1763" s="2">
        <f t="shared" si="83"/>
        <v>0</v>
      </c>
      <c r="M1763" t="s">
        <v>20</v>
      </c>
      <c r="N1763" t="s">
        <v>21</v>
      </c>
    </row>
    <row r="1764" spans="1:14" x14ac:dyDescent="0.3">
      <c r="A1764">
        <v>2024002762</v>
      </c>
      <c r="B1764" s="1">
        <v>45627</v>
      </c>
      <c r="C1764" s="11">
        <f t="shared" si="81"/>
        <v>2024</v>
      </c>
      <c r="D1764" t="s">
        <v>228</v>
      </c>
      <c r="E1764" t="s">
        <v>23</v>
      </c>
      <c r="F1764" t="s">
        <v>24</v>
      </c>
      <c r="G1764" t="s">
        <v>14</v>
      </c>
      <c r="H1764">
        <v>1</v>
      </c>
      <c r="I1764" s="2">
        <v>84.75</v>
      </c>
      <c r="J1764" s="2">
        <v>84.75</v>
      </c>
      <c r="K1764" s="2">
        <f t="shared" si="82"/>
        <v>84.75</v>
      </c>
      <c r="L1764" s="2">
        <f t="shared" si="83"/>
        <v>0</v>
      </c>
      <c r="M1764" t="s">
        <v>20</v>
      </c>
      <c r="N1764" t="s">
        <v>21</v>
      </c>
    </row>
    <row r="1765" spans="1:14" x14ac:dyDescent="0.3">
      <c r="A1765">
        <v>2024002763</v>
      </c>
      <c r="B1765" s="1">
        <v>45613</v>
      </c>
      <c r="C1765" s="11">
        <f t="shared" si="81"/>
        <v>2024</v>
      </c>
      <c r="D1765" t="s">
        <v>269</v>
      </c>
      <c r="E1765" t="s">
        <v>53</v>
      </c>
      <c r="F1765" t="s">
        <v>54</v>
      </c>
      <c r="G1765" t="s">
        <v>36</v>
      </c>
      <c r="H1765">
        <v>2</v>
      </c>
      <c r="I1765" s="2">
        <v>120.11</v>
      </c>
      <c r="J1765" s="2">
        <v>240.22</v>
      </c>
      <c r="K1765" s="2">
        <f t="shared" si="82"/>
        <v>240.22</v>
      </c>
      <c r="L1765" s="2">
        <f t="shared" si="83"/>
        <v>0</v>
      </c>
      <c r="M1765" t="s">
        <v>25</v>
      </c>
      <c r="N1765" t="s">
        <v>32</v>
      </c>
    </row>
    <row r="1766" spans="1:14" x14ac:dyDescent="0.3">
      <c r="A1766">
        <v>2024002764</v>
      </c>
      <c r="B1766" s="1">
        <v>45452</v>
      </c>
      <c r="C1766" s="11">
        <f t="shared" si="81"/>
        <v>2024</v>
      </c>
      <c r="D1766" t="s">
        <v>220</v>
      </c>
      <c r="E1766" t="s">
        <v>40</v>
      </c>
      <c r="F1766" t="s">
        <v>41</v>
      </c>
      <c r="G1766" t="s">
        <v>36</v>
      </c>
      <c r="H1766">
        <v>1</v>
      </c>
      <c r="I1766" s="2">
        <v>42.85</v>
      </c>
      <c r="J1766" s="2">
        <v>42.85</v>
      </c>
      <c r="K1766" s="2">
        <f t="shared" si="82"/>
        <v>42.85</v>
      </c>
      <c r="L1766" s="2">
        <f t="shared" si="83"/>
        <v>0</v>
      </c>
      <c r="M1766" t="s">
        <v>20</v>
      </c>
      <c r="N1766" t="s">
        <v>16</v>
      </c>
    </row>
    <row r="1767" spans="1:14" x14ac:dyDescent="0.3">
      <c r="A1767">
        <v>2024002765</v>
      </c>
      <c r="B1767" s="1">
        <v>45576</v>
      </c>
      <c r="C1767" s="11">
        <f t="shared" si="81"/>
        <v>2024</v>
      </c>
      <c r="D1767" t="s">
        <v>282</v>
      </c>
      <c r="E1767" t="s">
        <v>28</v>
      </c>
      <c r="F1767" t="s">
        <v>29</v>
      </c>
      <c r="G1767" t="s">
        <v>30</v>
      </c>
      <c r="H1767">
        <v>2</v>
      </c>
      <c r="I1767" s="2">
        <v>24.01</v>
      </c>
      <c r="J1767" s="2">
        <v>48.02</v>
      </c>
      <c r="K1767" s="2">
        <f t="shared" si="82"/>
        <v>48.02</v>
      </c>
      <c r="L1767" s="2">
        <f t="shared" si="83"/>
        <v>0</v>
      </c>
      <c r="M1767" t="s">
        <v>55</v>
      </c>
      <c r="N1767" t="s">
        <v>26</v>
      </c>
    </row>
    <row r="1768" spans="1:14" x14ac:dyDescent="0.3">
      <c r="A1768">
        <v>2024002766</v>
      </c>
      <c r="B1768" s="1">
        <v>45612</v>
      </c>
      <c r="C1768" s="11">
        <f t="shared" si="81"/>
        <v>2024</v>
      </c>
      <c r="D1768" t="s">
        <v>243</v>
      </c>
      <c r="E1768" t="s">
        <v>12</v>
      </c>
      <c r="F1768" t="s">
        <v>13</v>
      </c>
      <c r="G1768" t="s">
        <v>14</v>
      </c>
      <c r="H1768">
        <v>2</v>
      </c>
      <c r="I1768" s="2">
        <v>365.1</v>
      </c>
      <c r="J1768" s="2">
        <v>730.2</v>
      </c>
      <c r="K1768" s="2">
        <f t="shared" si="82"/>
        <v>730.2</v>
      </c>
      <c r="L1768" s="2">
        <f t="shared" si="83"/>
        <v>0</v>
      </c>
      <c r="M1768" t="s">
        <v>57</v>
      </c>
      <c r="N1768" t="s">
        <v>16</v>
      </c>
    </row>
    <row r="1769" spans="1:14" x14ac:dyDescent="0.3">
      <c r="A1769">
        <v>2024002767</v>
      </c>
      <c r="B1769" s="1">
        <v>45592</v>
      </c>
      <c r="C1769" s="11">
        <f t="shared" si="81"/>
        <v>2024</v>
      </c>
      <c r="D1769" t="s">
        <v>260</v>
      </c>
      <c r="E1769" t="s">
        <v>40</v>
      </c>
      <c r="F1769" t="s">
        <v>41</v>
      </c>
      <c r="G1769" t="s">
        <v>36</v>
      </c>
      <c r="H1769">
        <v>1</v>
      </c>
      <c r="I1769" s="2">
        <v>44.09</v>
      </c>
      <c r="J1769" s="2">
        <v>44.09</v>
      </c>
      <c r="K1769" s="2">
        <f t="shared" si="82"/>
        <v>44.09</v>
      </c>
      <c r="L1769" s="2">
        <f t="shared" si="83"/>
        <v>0</v>
      </c>
      <c r="M1769" t="s">
        <v>48</v>
      </c>
      <c r="N1769" t="s">
        <v>21</v>
      </c>
    </row>
    <row r="1770" spans="1:14" x14ac:dyDescent="0.3">
      <c r="A1770">
        <v>2024002768</v>
      </c>
      <c r="B1770" s="1">
        <v>45397</v>
      </c>
      <c r="C1770" s="11">
        <f t="shared" si="81"/>
        <v>2024</v>
      </c>
      <c r="D1770" t="s">
        <v>128</v>
      </c>
      <c r="E1770" t="s">
        <v>12</v>
      </c>
      <c r="F1770" t="s">
        <v>13</v>
      </c>
      <c r="G1770" t="s">
        <v>14</v>
      </c>
      <c r="H1770">
        <v>2</v>
      </c>
      <c r="I1770" s="2">
        <v>330.83</v>
      </c>
      <c r="J1770" s="2">
        <v>661.66</v>
      </c>
      <c r="K1770" s="2">
        <f t="shared" si="82"/>
        <v>661.66</v>
      </c>
      <c r="L1770" s="2">
        <f t="shared" si="83"/>
        <v>0</v>
      </c>
      <c r="M1770" t="s">
        <v>31</v>
      </c>
      <c r="N1770" t="s">
        <v>26</v>
      </c>
    </row>
    <row r="1771" spans="1:14" x14ac:dyDescent="0.3">
      <c r="A1771">
        <v>2024002769</v>
      </c>
      <c r="B1771" s="1">
        <v>45446</v>
      </c>
      <c r="C1771" s="11">
        <f t="shared" si="81"/>
        <v>2024</v>
      </c>
      <c r="D1771" t="s">
        <v>174</v>
      </c>
      <c r="E1771" t="s">
        <v>28</v>
      </c>
      <c r="F1771" t="s">
        <v>29</v>
      </c>
      <c r="G1771" t="s">
        <v>30</v>
      </c>
      <c r="H1771">
        <v>1</v>
      </c>
      <c r="I1771" s="2">
        <v>25.04</v>
      </c>
      <c r="J1771" s="2">
        <v>25.04</v>
      </c>
      <c r="K1771" s="2">
        <f t="shared" si="82"/>
        <v>25.04</v>
      </c>
      <c r="L1771" s="2">
        <f t="shared" si="83"/>
        <v>0</v>
      </c>
      <c r="M1771" t="s">
        <v>55</v>
      </c>
      <c r="N1771" t="s">
        <v>26</v>
      </c>
    </row>
    <row r="1772" spans="1:14" x14ac:dyDescent="0.3">
      <c r="A1772">
        <v>2024002770</v>
      </c>
      <c r="B1772" s="1">
        <v>45571</v>
      </c>
      <c r="C1772" s="11">
        <f t="shared" si="81"/>
        <v>2024</v>
      </c>
      <c r="D1772" t="s">
        <v>166</v>
      </c>
      <c r="E1772" t="s">
        <v>46</v>
      </c>
      <c r="F1772" t="s">
        <v>47</v>
      </c>
      <c r="G1772" t="s">
        <v>36</v>
      </c>
      <c r="H1772">
        <v>4</v>
      </c>
      <c r="I1772" s="2">
        <v>84.77</v>
      </c>
      <c r="J1772" s="2">
        <v>339.08</v>
      </c>
      <c r="K1772" s="2">
        <f t="shared" si="82"/>
        <v>339.08</v>
      </c>
      <c r="L1772" s="2">
        <f t="shared" si="83"/>
        <v>0</v>
      </c>
      <c r="M1772" t="s">
        <v>64</v>
      </c>
      <c r="N1772" t="s">
        <v>16</v>
      </c>
    </row>
    <row r="1773" spans="1:14" x14ac:dyDescent="0.3">
      <c r="A1773">
        <v>2024002771</v>
      </c>
      <c r="B1773" s="1">
        <v>45494</v>
      </c>
      <c r="C1773" s="11">
        <f t="shared" si="81"/>
        <v>2024</v>
      </c>
      <c r="D1773" t="s">
        <v>66</v>
      </c>
      <c r="E1773" t="s">
        <v>43</v>
      </c>
      <c r="F1773" t="s">
        <v>44</v>
      </c>
      <c r="G1773" t="s">
        <v>36</v>
      </c>
      <c r="H1773">
        <v>2</v>
      </c>
      <c r="I1773" s="2">
        <v>1243.83</v>
      </c>
      <c r="J1773" s="2">
        <v>2487.66</v>
      </c>
      <c r="K1773" s="2">
        <f t="shared" si="82"/>
        <v>2487.66</v>
      </c>
      <c r="L1773" s="2">
        <f t="shared" si="83"/>
        <v>0</v>
      </c>
      <c r="M1773" t="s">
        <v>15</v>
      </c>
      <c r="N1773" t="s">
        <v>32</v>
      </c>
    </row>
    <row r="1774" spans="1:14" x14ac:dyDescent="0.3">
      <c r="A1774">
        <v>2024002772</v>
      </c>
      <c r="B1774" s="1">
        <v>45336</v>
      </c>
      <c r="C1774" s="11">
        <f t="shared" si="81"/>
        <v>2024</v>
      </c>
      <c r="D1774" t="s">
        <v>256</v>
      </c>
      <c r="E1774" t="s">
        <v>67</v>
      </c>
      <c r="F1774" t="s">
        <v>68</v>
      </c>
      <c r="G1774" t="s">
        <v>36</v>
      </c>
      <c r="H1774">
        <v>1</v>
      </c>
      <c r="I1774" s="2">
        <v>396.89</v>
      </c>
      <c r="J1774" s="2">
        <v>396.89</v>
      </c>
      <c r="K1774" s="2">
        <f t="shared" si="82"/>
        <v>396.89</v>
      </c>
      <c r="L1774" s="2">
        <f t="shared" si="83"/>
        <v>0</v>
      </c>
      <c r="M1774" t="s">
        <v>31</v>
      </c>
      <c r="N1774" t="s">
        <v>21</v>
      </c>
    </row>
    <row r="1775" spans="1:14" x14ac:dyDescent="0.3">
      <c r="A1775">
        <v>2024002773</v>
      </c>
      <c r="B1775" s="1">
        <v>45424</v>
      </c>
      <c r="C1775" s="11">
        <f t="shared" si="81"/>
        <v>2024</v>
      </c>
      <c r="D1775" t="s">
        <v>272</v>
      </c>
      <c r="E1775" t="s">
        <v>46</v>
      </c>
      <c r="F1775" t="s">
        <v>47</v>
      </c>
      <c r="G1775" t="s">
        <v>36</v>
      </c>
      <c r="H1775">
        <v>2</v>
      </c>
      <c r="I1775" s="2">
        <v>87.77</v>
      </c>
      <c r="J1775" s="2">
        <v>175.54</v>
      </c>
      <c r="K1775" s="2">
        <f t="shared" si="82"/>
        <v>175.54</v>
      </c>
      <c r="L1775" s="2">
        <f t="shared" si="83"/>
        <v>0</v>
      </c>
      <c r="M1775" t="s">
        <v>61</v>
      </c>
      <c r="N1775" t="s">
        <v>16</v>
      </c>
    </row>
    <row r="1776" spans="1:14" x14ac:dyDescent="0.3">
      <c r="A1776">
        <v>2024002774</v>
      </c>
      <c r="B1776" s="1">
        <v>45292</v>
      </c>
      <c r="C1776" s="11">
        <f t="shared" si="81"/>
        <v>2024</v>
      </c>
      <c r="D1776" t="s">
        <v>339</v>
      </c>
      <c r="E1776" t="s">
        <v>46</v>
      </c>
      <c r="F1776" t="s">
        <v>47</v>
      </c>
      <c r="G1776" t="s">
        <v>36</v>
      </c>
      <c r="H1776">
        <v>5</v>
      </c>
      <c r="I1776" s="2">
        <v>97.32</v>
      </c>
      <c r="J1776" s="2">
        <v>486.6</v>
      </c>
      <c r="K1776" s="2">
        <f t="shared" si="82"/>
        <v>486.59999999999997</v>
      </c>
      <c r="L1776" s="2">
        <f t="shared" si="83"/>
        <v>0</v>
      </c>
      <c r="M1776" t="s">
        <v>48</v>
      </c>
      <c r="N1776" t="s">
        <v>26</v>
      </c>
    </row>
    <row r="1777" spans="1:14" x14ac:dyDescent="0.3">
      <c r="A1777">
        <v>2024002775</v>
      </c>
      <c r="B1777" s="1">
        <v>45508</v>
      </c>
      <c r="C1777" s="11">
        <f t="shared" si="81"/>
        <v>2024</v>
      </c>
      <c r="D1777" t="s">
        <v>11</v>
      </c>
      <c r="E1777" t="s">
        <v>23</v>
      </c>
      <c r="F1777" t="s">
        <v>24</v>
      </c>
      <c r="G1777" t="s">
        <v>14</v>
      </c>
      <c r="H1777">
        <v>1</v>
      </c>
      <c r="I1777" s="2">
        <v>78.849999999999994</v>
      </c>
      <c r="J1777" s="2">
        <v>78.849999999999994</v>
      </c>
      <c r="K1777" s="2">
        <f t="shared" si="82"/>
        <v>78.849999999999994</v>
      </c>
      <c r="L1777" s="2">
        <f t="shared" si="83"/>
        <v>0</v>
      </c>
      <c r="M1777" t="s">
        <v>15</v>
      </c>
      <c r="N1777" t="s">
        <v>32</v>
      </c>
    </row>
    <row r="1778" spans="1:14" x14ac:dyDescent="0.3">
      <c r="A1778">
        <v>2024002776</v>
      </c>
      <c r="B1778" s="1">
        <v>45449</v>
      </c>
      <c r="C1778" s="11">
        <f t="shared" si="81"/>
        <v>2024</v>
      </c>
      <c r="D1778" t="s">
        <v>42</v>
      </c>
      <c r="E1778" t="s">
        <v>67</v>
      </c>
      <c r="F1778" t="s">
        <v>68</v>
      </c>
      <c r="G1778" t="s">
        <v>36</v>
      </c>
      <c r="H1778">
        <v>1</v>
      </c>
      <c r="I1778" s="2">
        <v>416.05</v>
      </c>
      <c r="J1778" s="2">
        <v>416.05</v>
      </c>
      <c r="K1778" s="2">
        <f t="shared" si="82"/>
        <v>416.05</v>
      </c>
      <c r="L1778" s="2">
        <f t="shared" si="83"/>
        <v>0</v>
      </c>
      <c r="M1778" t="s">
        <v>64</v>
      </c>
      <c r="N1778" t="s">
        <v>16</v>
      </c>
    </row>
    <row r="1779" spans="1:14" x14ac:dyDescent="0.3">
      <c r="A1779">
        <v>2024002777</v>
      </c>
      <c r="B1779" s="1">
        <v>45344</v>
      </c>
      <c r="C1779" s="11">
        <f t="shared" si="81"/>
        <v>2024</v>
      </c>
      <c r="D1779" t="s">
        <v>72</v>
      </c>
      <c r="E1779" t="s">
        <v>53</v>
      </c>
      <c r="F1779" t="s">
        <v>54</v>
      </c>
      <c r="G1779" t="s">
        <v>36</v>
      </c>
      <c r="H1779">
        <v>3</v>
      </c>
      <c r="I1779" s="2">
        <v>121.98</v>
      </c>
      <c r="J1779" s="2">
        <v>365.94</v>
      </c>
      <c r="K1779" s="2">
        <f t="shared" si="82"/>
        <v>365.94</v>
      </c>
      <c r="L1779" s="2">
        <f t="shared" si="83"/>
        <v>0</v>
      </c>
      <c r="M1779" t="s">
        <v>64</v>
      </c>
      <c r="N1779" t="s">
        <v>16</v>
      </c>
    </row>
    <row r="1780" spans="1:14" x14ac:dyDescent="0.3">
      <c r="A1780">
        <v>2024002778</v>
      </c>
      <c r="B1780" s="1">
        <v>45554</v>
      </c>
      <c r="C1780" s="11">
        <f t="shared" si="81"/>
        <v>2024</v>
      </c>
      <c r="D1780" t="s">
        <v>11</v>
      </c>
      <c r="E1780" t="s">
        <v>23</v>
      </c>
      <c r="F1780" t="s">
        <v>24</v>
      </c>
      <c r="G1780" t="s">
        <v>14</v>
      </c>
      <c r="H1780">
        <v>1</v>
      </c>
      <c r="I1780" s="2">
        <v>77.33</v>
      </c>
      <c r="J1780" s="2">
        <v>77.33</v>
      </c>
      <c r="K1780" s="2">
        <f t="shared" si="82"/>
        <v>77.33</v>
      </c>
      <c r="L1780" s="2">
        <f t="shared" si="83"/>
        <v>0</v>
      </c>
      <c r="M1780" t="s">
        <v>48</v>
      </c>
      <c r="N1780" t="s">
        <v>16</v>
      </c>
    </row>
    <row r="1781" spans="1:14" x14ac:dyDescent="0.3">
      <c r="A1781">
        <v>2024002779</v>
      </c>
      <c r="B1781" s="1">
        <v>45598</v>
      </c>
      <c r="C1781" s="11">
        <f t="shared" si="81"/>
        <v>2024</v>
      </c>
      <c r="D1781" t="s">
        <v>174</v>
      </c>
      <c r="E1781" t="s">
        <v>46</v>
      </c>
      <c r="F1781" t="s">
        <v>47</v>
      </c>
      <c r="G1781" t="s">
        <v>36</v>
      </c>
      <c r="H1781">
        <v>1</v>
      </c>
      <c r="I1781" s="2">
        <v>89.06</v>
      </c>
      <c r="J1781" s="2">
        <v>89.06</v>
      </c>
      <c r="K1781" s="2">
        <f t="shared" si="82"/>
        <v>89.06</v>
      </c>
      <c r="L1781" s="2">
        <f t="shared" si="83"/>
        <v>0</v>
      </c>
      <c r="M1781" t="s">
        <v>55</v>
      </c>
      <c r="N1781" t="s">
        <v>26</v>
      </c>
    </row>
    <row r="1782" spans="1:14" x14ac:dyDescent="0.3">
      <c r="A1782">
        <v>2024002780</v>
      </c>
      <c r="B1782" s="1">
        <v>45504</v>
      </c>
      <c r="C1782" s="11">
        <f t="shared" si="81"/>
        <v>2024</v>
      </c>
      <c r="D1782" t="s">
        <v>294</v>
      </c>
      <c r="E1782" t="s">
        <v>43</v>
      </c>
      <c r="F1782" t="s">
        <v>44</v>
      </c>
      <c r="G1782" t="s">
        <v>36</v>
      </c>
      <c r="H1782">
        <v>1</v>
      </c>
      <c r="I1782" s="2">
        <v>1193.3900000000001</v>
      </c>
      <c r="J1782" s="2">
        <v>1193.3900000000001</v>
      </c>
      <c r="K1782" s="2">
        <f t="shared" si="82"/>
        <v>1193.3900000000001</v>
      </c>
      <c r="L1782" s="2">
        <f t="shared" si="83"/>
        <v>0</v>
      </c>
      <c r="M1782" t="s">
        <v>20</v>
      </c>
      <c r="N1782" t="s">
        <v>32</v>
      </c>
    </row>
    <row r="1783" spans="1:14" x14ac:dyDescent="0.3">
      <c r="A1783">
        <v>2024002781</v>
      </c>
      <c r="B1783" s="1">
        <v>45536</v>
      </c>
      <c r="C1783" s="11">
        <f t="shared" si="81"/>
        <v>2024</v>
      </c>
      <c r="D1783" t="s">
        <v>223</v>
      </c>
      <c r="E1783" t="s">
        <v>43</v>
      </c>
      <c r="F1783" t="s">
        <v>44</v>
      </c>
      <c r="G1783" t="s">
        <v>36</v>
      </c>
      <c r="H1783">
        <v>1</v>
      </c>
      <c r="I1783" s="2">
        <v>1239.9000000000001</v>
      </c>
      <c r="J1783" s="2">
        <v>1239.9000000000001</v>
      </c>
      <c r="K1783" s="2">
        <f t="shared" si="82"/>
        <v>1239.9000000000001</v>
      </c>
      <c r="L1783" s="2">
        <f t="shared" si="83"/>
        <v>0</v>
      </c>
      <c r="M1783" t="s">
        <v>64</v>
      </c>
      <c r="N1783" t="s">
        <v>26</v>
      </c>
    </row>
    <row r="1784" spans="1:14" x14ac:dyDescent="0.3">
      <c r="A1784">
        <v>2024002782</v>
      </c>
      <c r="B1784" s="1">
        <v>45340</v>
      </c>
      <c r="C1784" s="11">
        <f t="shared" si="81"/>
        <v>2024</v>
      </c>
      <c r="D1784" t="s">
        <v>123</v>
      </c>
      <c r="E1784" t="s">
        <v>43</v>
      </c>
      <c r="F1784" t="s">
        <v>44</v>
      </c>
      <c r="G1784" t="s">
        <v>36</v>
      </c>
      <c r="H1784">
        <v>3</v>
      </c>
      <c r="I1784" s="2">
        <v>1164.69</v>
      </c>
      <c r="J1784" s="2">
        <v>3494.07</v>
      </c>
      <c r="K1784" s="2">
        <f t="shared" si="82"/>
        <v>3494.07</v>
      </c>
      <c r="L1784" s="2">
        <f t="shared" si="83"/>
        <v>0</v>
      </c>
      <c r="M1784" t="s">
        <v>38</v>
      </c>
      <c r="N1784" t="s">
        <v>26</v>
      </c>
    </row>
    <row r="1785" spans="1:14" x14ac:dyDescent="0.3">
      <c r="A1785">
        <v>2024002783</v>
      </c>
      <c r="B1785" s="1">
        <v>45437</v>
      </c>
      <c r="C1785" s="11">
        <f t="shared" si="81"/>
        <v>2024</v>
      </c>
      <c r="D1785" t="s">
        <v>213</v>
      </c>
      <c r="E1785" t="s">
        <v>23</v>
      </c>
      <c r="F1785" t="s">
        <v>24</v>
      </c>
      <c r="G1785" t="s">
        <v>14</v>
      </c>
      <c r="H1785">
        <v>1</v>
      </c>
      <c r="I1785" s="2">
        <v>83.69</v>
      </c>
      <c r="J1785" s="2">
        <v>83.69</v>
      </c>
      <c r="K1785" s="2">
        <f t="shared" si="82"/>
        <v>83.69</v>
      </c>
      <c r="L1785" s="2">
        <f t="shared" si="83"/>
        <v>0</v>
      </c>
      <c r="M1785" t="s">
        <v>57</v>
      </c>
      <c r="N1785" t="s">
        <v>21</v>
      </c>
    </row>
    <row r="1786" spans="1:14" x14ac:dyDescent="0.3">
      <c r="A1786">
        <v>2024002784</v>
      </c>
      <c r="B1786" s="1">
        <v>45399</v>
      </c>
      <c r="C1786" s="11">
        <f t="shared" si="81"/>
        <v>2024</v>
      </c>
      <c r="D1786" t="s">
        <v>340</v>
      </c>
      <c r="E1786" t="s">
        <v>40</v>
      </c>
      <c r="F1786" t="s">
        <v>41</v>
      </c>
      <c r="G1786" t="s">
        <v>36</v>
      </c>
      <c r="H1786">
        <v>5</v>
      </c>
      <c r="I1786" s="2">
        <v>43.39</v>
      </c>
      <c r="J1786" s="2">
        <v>216.95</v>
      </c>
      <c r="K1786" s="2">
        <f t="shared" si="82"/>
        <v>216.95</v>
      </c>
      <c r="L1786" s="2">
        <f t="shared" si="83"/>
        <v>0</v>
      </c>
      <c r="M1786" t="s">
        <v>64</v>
      </c>
      <c r="N1786" t="s">
        <v>16</v>
      </c>
    </row>
    <row r="1787" spans="1:14" x14ac:dyDescent="0.3">
      <c r="A1787">
        <v>2024002785</v>
      </c>
      <c r="B1787" s="1">
        <v>45385</v>
      </c>
      <c r="C1787" s="11">
        <f t="shared" si="81"/>
        <v>2024</v>
      </c>
      <c r="D1787" t="s">
        <v>320</v>
      </c>
      <c r="E1787" t="s">
        <v>28</v>
      </c>
      <c r="F1787" t="s">
        <v>29</v>
      </c>
      <c r="G1787" t="s">
        <v>30</v>
      </c>
      <c r="H1787">
        <v>2</v>
      </c>
      <c r="I1787" s="2">
        <v>26.18</v>
      </c>
      <c r="J1787" s="2">
        <v>52.36</v>
      </c>
      <c r="K1787" s="2">
        <f t="shared" si="82"/>
        <v>52.36</v>
      </c>
      <c r="L1787" s="2">
        <f t="shared" si="83"/>
        <v>0</v>
      </c>
      <c r="M1787" t="s">
        <v>61</v>
      </c>
      <c r="N1787" t="s">
        <v>16</v>
      </c>
    </row>
    <row r="1788" spans="1:14" x14ac:dyDescent="0.3">
      <c r="A1788">
        <v>2024002786</v>
      </c>
      <c r="B1788" s="1">
        <v>45307</v>
      </c>
      <c r="C1788" s="11">
        <f t="shared" si="81"/>
        <v>2024</v>
      </c>
      <c r="D1788" t="s">
        <v>123</v>
      </c>
      <c r="E1788" t="s">
        <v>46</v>
      </c>
      <c r="F1788" t="s">
        <v>47</v>
      </c>
      <c r="G1788" t="s">
        <v>36</v>
      </c>
      <c r="H1788">
        <v>1</v>
      </c>
      <c r="I1788" s="2">
        <v>104.44</v>
      </c>
      <c r="J1788" s="2">
        <v>104.44</v>
      </c>
      <c r="K1788" s="2">
        <f t="shared" si="82"/>
        <v>104.44</v>
      </c>
      <c r="L1788" s="2">
        <f t="shared" si="83"/>
        <v>0</v>
      </c>
      <c r="M1788" t="s">
        <v>61</v>
      </c>
      <c r="N1788" t="s">
        <v>21</v>
      </c>
    </row>
    <row r="1789" spans="1:14" x14ac:dyDescent="0.3">
      <c r="A1789">
        <v>2024002787</v>
      </c>
      <c r="B1789" s="1">
        <v>45459</v>
      </c>
      <c r="C1789" s="11">
        <f t="shared" si="81"/>
        <v>2024</v>
      </c>
      <c r="D1789" t="s">
        <v>307</v>
      </c>
      <c r="E1789" t="s">
        <v>34</v>
      </c>
      <c r="F1789" t="s">
        <v>35</v>
      </c>
      <c r="G1789" t="s">
        <v>36</v>
      </c>
      <c r="H1789">
        <v>2</v>
      </c>
      <c r="I1789" s="2">
        <v>14.39</v>
      </c>
      <c r="J1789" s="2">
        <v>28.78</v>
      </c>
      <c r="K1789" s="2">
        <f t="shared" si="82"/>
        <v>28.78</v>
      </c>
      <c r="L1789" s="2">
        <f t="shared" si="83"/>
        <v>0</v>
      </c>
      <c r="M1789" t="s">
        <v>64</v>
      </c>
      <c r="N1789" t="s">
        <v>16</v>
      </c>
    </row>
    <row r="1790" spans="1:14" x14ac:dyDescent="0.3">
      <c r="A1790">
        <v>2024002788</v>
      </c>
      <c r="B1790" s="1">
        <v>45587</v>
      </c>
      <c r="C1790" s="11">
        <f t="shared" si="81"/>
        <v>2024</v>
      </c>
      <c r="D1790" t="s">
        <v>197</v>
      </c>
      <c r="E1790" t="s">
        <v>67</v>
      </c>
      <c r="F1790" t="s">
        <v>68</v>
      </c>
      <c r="G1790" t="s">
        <v>36</v>
      </c>
      <c r="H1790">
        <v>2</v>
      </c>
      <c r="I1790" s="2">
        <v>390.58</v>
      </c>
      <c r="J1790" s="2">
        <v>781.16</v>
      </c>
      <c r="K1790" s="2">
        <f t="shared" si="82"/>
        <v>781.16</v>
      </c>
      <c r="L1790" s="2">
        <f t="shared" si="83"/>
        <v>0</v>
      </c>
      <c r="M1790" t="s">
        <v>64</v>
      </c>
      <c r="N1790" t="s">
        <v>32</v>
      </c>
    </row>
    <row r="1791" spans="1:14" x14ac:dyDescent="0.3">
      <c r="A1791">
        <v>2024002789</v>
      </c>
      <c r="B1791" s="1">
        <v>45415</v>
      </c>
      <c r="C1791" s="11">
        <f t="shared" si="81"/>
        <v>2024</v>
      </c>
      <c r="D1791" t="s">
        <v>82</v>
      </c>
      <c r="E1791" t="s">
        <v>43</v>
      </c>
      <c r="F1791" t="s">
        <v>44</v>
      </c>
      <c r="G1791" t="s">
        <v>36</v>
      </c>
      <c r="H1791">
        <v>2</v>
      </c>
      <c r="I1791" s="2">
        <v>1267.27</v>
      </c>
      <c r="J1791" s="2">
        <v>2534.54</v>
      </c>
      <c r="K1791" s="2">
        <f t="shared" si="82"/>
        <v>2534.54</v>
      </c>
      <c r="L1791" s="2">
        <f t="shared" si="83"/>
        <v>0</v>
      </c>
      <c r="M1791" t="s">
        <v>57</v>
      </c>
      <c r="N1791" t="s">
        <v>21</v>
      </c>
    </row>
    <row r="1792" spans="1:14" x14ac:dyDescent="0.3">
      <c r="A1792">
        <v>2024002790</v>
      </c>
      <c r="B1792" s="1">
        <v>45338</v>
      </c>
      <c r="C1792" s="11">
        <f t="shared" si="81"/>
        <v>2024</v>
      </c>
      <c r="D1792" t="s">
        <v>72</v>
      </c>
      <c r="E1792" t="s">
        <v>40</v>
      </c>
      <c r="F1792" t="s">
        <v>41</v>
      </c>
      <c r="G1792" t="s">
        <v>36</v>
      </c>
      <c r="H1792">
        <v>2</v>
      </c>
      <c r="I1792" s="2">
        <v>46.25</v>
      </c>
      <c r="J1792" s="2">
        <v>92.5</v>
      </c>
      <c r="K1792" s="2">
        <f t="shared" si="82"/>
        <v>92.5</v>
      </c>
      <c r="L1792" s="2">
        <f t="shared" si="83"/>
        <v>0</v>
      </c>
      <c r="M1792" t="s">
        <v>61</v>
      </c>
      <c r="N1792" t="s">
        <v>21</v>
      </c>
    </row>
    <row r="1793" spans="1:14" x14ac:dyDescent="0.3">
      <c r="A1793">
        <v>2024002791</v>
      </c>
      <c r="B1793" s="1">
        <v>45301</v>
      </c>
      <c r="C1793" s="11">
        <f t="shared" si="81"/>
        <v>2024</v>
      </c>
      <c r="D1793" t="s">
        <v>183</v>
      </c>
      <c r="E1793" t="s">
        <v>28</v>
      </c>
      <c r="F1793" t="s">
        <v>29</v>
      </c>
      <c r="G1793" t="s">
        <v>30</v>
      </c>
      <c r="H1793">
        <v>1</v>
      </c>
      <c r="I1793" s="2">
        <v>25.79</v>
      </c>
      <c r="J1793" s="2">
        <v>25.79</v>
      </c>
      <c r="K1793" s="2">
        <f t="shared" si="82"/>
        <v>25.79</v>
      </c>
      <c r="L1793" s="2">
        <f t="shared" si="83"/>
        <v>0</v>
      </c>
      <c r="M1793" t="s">
        <v>57</v>
      </c>
      <c r="N1793" t="s">
        <v>32</v>
      </c>
    </row>
    <row r="1794" spans="1:14" x14ac:dyDescent="0.3">
      <c r="A1794">
        <v>2024002792</v>
      </c>
      <c r="B1794" s="1">
        <v>45417</v>
      </c>
      <c r="C1794" s="11">
        <f t="shared" si="81"/>
        <v>2024</v>
      </c>
      <c r="D1794" t="s">
        <v>11</v>
      </c>
      <c r="E1794" t="s">
        <v>18</v>
      </c>
      <c r="F1794" t="s">
        <v>19</v>
      </c>
      <c r="G1794" t="s">
        <v>14</v>
      </c>
      <c r="H1794">
        <v>5</v>
      </c>
      <c r="I1794" s="2">
        <v>603.23</v>
      </c>
      <c r="J1794" s="2">
        <v>3016.15</v>
      </c>
      <c r="K1794" s="2">
        <f t="shared" si="82"/>
        <v>3016.15</v>
      </c>
      <c r="L1794" s="2">
        <f t="shared" si="83"/>
        <v>0</v>
      </c>
      <c r="M1794" t="s">
        <v>55</v>
      </c>
      <c r="N1794" t="s">
        <v>26</v>
      </c>
    </row>
    <row r="1795" spans="1:14" x14ac:dyDescent="0.3">
      <c r="A1795">
        <v>2024002793</v>
      </c>
      <c r="B1795" s="1">
        <v>45363</v>
      </c>
      <c r="C1795" s="11">
        <f t="shared" ref="C1795:C1858" si="84">YEAR(B1795)</f>
        <v>2024</v>
      </c>
      <c r="D1795" t="s">
        <v>329</v>
      </c>
      <c r="E1795" t="s">
        <v>46</v>
      </c>
      <c r="F1795" t="s">
        <v>47</v>
      </c>
      <c r="G1795" t="s">
        <v>36</v>
      </c>
      <c r="H1795">
        <v>1</v>
      </c>
      <c r="I1795" s="2">
        <v>94.49</v>
      </c>
      <c r="J1795" s="2">
        <v>94.49</v>
      </c>
      <c r="K1795" s="2">
        <f t="shared" ref="K1795:K1858" si="85">I1795*H1795</f>
        <v>94.49</v>
      </c>
      <c r="L1795" s="2">
        <f t="shared" ref="L1795:L1858" si="86">J1795-K1795</f>
        <v>0</v>
      </c>
      <c r="M1795" t="s">
        <v>48</v>
      </c>
      <c r="N1795" t="s">
        <v>32</v>
      </c>
    </row>
    <row r="1796" spans="1:14" x14ac:dyDescent="0.3">
      <c r="A1796">
        <v>2024002794</v>
      </c>
      <c r="B1796" s="1">
        <v>45443</v>
      </c>
      <c r="C1796" s="11">
        <f t="shared" si="84"/>
        <v>2024</v>
      </c>
      <c r="D1796" t="s">
        <v>110</v>
      </c>
      <c r="E1796" t="s">
        <v>23</v>
      </c>
      <c r="F1796" t="s">
        <v>24</v>
      </c>
      <c r="G1796" t="s">
        <v>14</v>
      </c>
      <c r="H1796">
        <v>1</v>
      </c>
      <c r="I1796" s="2">
        <v>76.95</v>
      </c>
      <c r="J1796" s="2">
        <v>76.95</v>
      </c>
      <c r="K1796" s="2">
        <f t="shared" si="85"/>
        <v>76.95</v>
      </c>
      <c r="L1796" s="2">
        <f t="shared" si="86"/>
        <v>0</v>
      </c>
      <c r="M1796" t="s">
        <v>61</v>
      </c>
      <c r="N1796" t="s">
        <v>16</v>
      </c>
    </row>
    <row r="1797" spans="1:14" x14ac:dyDescent="0.3">
      <c r="A1797">
        <v>2024002795</v>
      </c>
      <c r="B1797" s="1">
        <v>45622</v>
      </c>
      <c r="C1797" s="11">
        <f t="shared" si="84"/>
        <v>2024</v>
      </c>
      <c r="D1797" t="s">
        <v>164</v>
      </c>
      <c r="E1797" t="s">
        <v>53</v>
      </c>
      <c r="F1797" t="s">
        <v>54</v>
      </c>
      <c r="G1797" t="s">
        <v>36</v>
      </c>
      <c r="H1797">
        <v>2</v>
      </c>
      <c r="I1797" s="2">
        <v>117.03</v>
      </c>
      <c r="J1797" s="2">
        <v>234.06</v>
      </c>
      <c r="K1797" s="2">
        <f t="shared" si="85"/>
        <v>234.06</v>
      </c>
      <c r="L1797" s="2">
        <f t="shared" si="86"/>
        <v>0</v>
      </c>
      <c r="M1797" t="s">
        <v>55</v>
      </c>
      <c r="N1797" t="s">
        <v>32</v>
      </c>
    </row>
    <row r="1798" spans="1:14" x14ac:dyDescent="0.3">
      <c r="A1798">
        <v>2024002796</v>
      </c>
      <c r="B1798" s="1">
        <v>45594</v>
      </c>
      <c r="C1798" s="11">
        <f t="shared" si="84"/>
        <v>2024</v>
      </c>
      <c r="D1798" t="s">
        <v>278</v>
      </c>
      <c r="E1798" t="s">
        <v>53</v>
      </c>
      <c r="F1798" t="s">
        <v>54</v>
      </c>
      <c r="G1798" t="s">
        <v>36</v>
      </c>
      <c r="H1798">
        <v>3</v>
      </c>
      <c r="I1798" s="2">
        <v>115.28</v>
      </c>
      <c r="J1798" s="2">
        <v>345.84</v>
      </c>
      <c r="K1798" s="2">
        <f t="shared" si="85"/>
        <v>345.84000000000003</v>
      </c>
      <c r="L1798" s="2">
        <f t="shared" si="86"/>
        <v>0</v>
      </c>
      <c r="M1798" t="s">
        <v>20</v>
      </c>
      <c r="N1798" t="s">
        <v>32</v>
      </c>
    </row>
    <row r="1799" spans="1:14" x14ac:dyDescent="0.3">
      <c r="A1799">
        <v>2024002797</v>
      </c>
      <c r="B1799" s="1">
        <v>45327</v>
      </c>
      <c r="C1799" s="11">
        <f t="shared" si="84"/>
        <v>2024</v>
      </c>
      <c r="D1799" t="s">
        <v>173</v>
      </c>
      <c r="E1799" t="s">
        <v>40</v>
      </c>
      <c r="F1799" t="s">
        <v>41</v>
      </c>
      <c r="G1799" t="s">
        <v>36</v>
      </c>
      <c r="H1799">
        <v>1</v>
      </c>
      <c r="I1799" s="2">
        <v>42.8</v>
      </c>
      <c r="J1799" s="2">
        <v>42.8</v>
      </c>
      <c r="K1799" s="2">
        <f t="shared" si="85"/>
        <v>42.8</v>
      </c>
      <c r="L1799" s="2">
        <f t="shared" si="86"/>
        <v>0</v>
      </c>
      <c r="M1799" t="s">
        <v>15</v>
      </c>
      <c r="N1799" t="s">
        <v>21</v>
      </c>
    </row>
    <row r="1800" spans="1:14" x14ac:dyDescent="0.3">
      <c r="A1800">
        <v>2024002798</v>
      </c>
      <c r="B1800" s="1">
        <v>45382</v>
      </c>
      <c r="C1800" s="11">
        <f t="shared" si="84"/>
        <v>2024</v>
      </c>
      <c r="D1800" t="s">
        <v>139</v>
      </c>
      <c r="E1800" t="s">
        <v>34</v>
      </c>
      <c r="F1800" t="s">
        <v>35</v>
      </c>
      <c r="G1800" t="s">
        <v>36</v>
      </c>
      <c r="H1800">
        <v>2</v>
      </c>
      <c r="I1800" s="2">
        <v>15.82</v>
      </c>
      <c r="J1800" s="2">
        <v>31.64</v>
      </c>
      <c r="K1800" s="2">
        <f t="shared" si="85"/>
        <v>31.64</v>
      </c>
      <c r="L1800" s="2">
        <f t="shared" si="86"/>
        <v>0</v>
      </c>
      <c r="M1800" t="s">
        <v>64</v>
      </c>
      <c r="N1800" t="s">
        <v>26</v>
      </c>
    </row>
    <row r="1801" spans="1:14" x14ac:dyDescent="0.3">
      <c r="A1801">
        <v>2024002799</v>
      </c>
      <c r="B1801" s="1">
        <v>45478</v>
      </c>
      <c r="C1801" s="11">
        <f t="shared" si="84"/>
        <v>2024</v>
      </c>
      <c r="D1801" t="s">
        <v>279</v>
      </c>
      <c r="E1801" t="s">
        <v>53</v>
      </c>
      <c r="F1801" t="s">
        <v>54</v>
      </c>
      <c r="G1801" t="s">
        <v>36</v>
      </c>
      <c r="H1801">
        <v>1</v>
      </c>
      <c r="I1801" s="2">
        <v>115.95</v>
      </c>
      <c r="J1801" s="2">
        <v>115.95</v>
      </c>
      <c r="K1801" s="2">
        <f t="shared" si="85"/>
        <v>115.95</v>
      </c>
      <c r="L1801" s="2">
        <f t="shared" si="86"/>
        <v>0</v>
      </c>
      <c r="M1801" t="s">
        <v>25</v>
      </c>
      <c r="N1801" t="s">
        <v>32</v>
      </c>
    </row>
    <row r="1802" spans="1:14" x14ac:dyDescent="0.3">
      <c r="A1802">
        <v>2024002800</v>
      </c>
      <c r="B1802" s="1">
        <v>45519</v>
      </c>
      <c r="C1802" s="11">
        <f t="shared" si="84"/>
        <v>2024</v>
      </c>
      <c r="D1802" t="s">
        <v>171</v>
      </c>
      <c r="E1802" t="s">
        <v>28</v>
      </c>
      <c r="F1802" t="s">
        <v>29</v>
      </c>
      <c r="G1802" t="s">
        <v>30</v>
      </c>
      <c r="H1802">
        <v>2</v>
      </c>
      <c r="I1802" s="2">
        <v>24.13</v>
      </c>
      <c r="J1802" s="2">
        <v>48.26</v>
      </c>
      <c r="K1802" s="2">
        <f t="shared" si="85"/>
        <v>48.26</v>
      </c>
      <c r="L1802" s="2">
        <f t="shared" si="86"/>
        <v>0</v>
      </c>
      <c r="M1802" t="s">
        <v>31</v>
      </c>
      <c r="N1802" t="s">
        <v>21</v>
      </c>
    </row>
    <row r="1803" spans="1:14" x14ac:dyDescent="0.3">
      <c r="A1803">
        <v>2024002801</v>
      </c>
      <c r="B1803" s="1">
        <v>45583</v>
      </c>
      <c r="C1803" s="11">
        <f t="shared" si="84"/>
        <v>2024</v>
      </c>
      <c r="D1803" t="s">
        <v>345</v>
      </c>
      <c r="E1803" t="s">
        <v>46</v>
      </c>
      <c r="F1803" t="s">
        <v>47</v>
      </c>
      <c r="G1803" t="s">
        <v>36</v>
      </c>
      <c r="H1803">
        <v>3</v>
      </c>
      <c r="I1803" s="2">
        <v>96.6</v>
      </c>
      <c r="J1803" s="2">
        <v>289.8</v>
      </c>
      <c r="K1803" s="2">
        <f t="shared" si="85"/>
        <v>289.79999999999995</v>
      </c>
      <c r="L1803" s="2">
        <f t="shared" si="86"/>
        <v>0</v>
      </c>
      <c r="M1803" t="s">
        <v>64</v>
      </c>
      <c r="N1803" t="s">
        <v>16</v>
      </c>
    </row>
    <row r="1804" spans="1:14" x14ac:dyDescent="0.3">
      <c r="A1804">
        <v>2024002802</v>
      </c>
      <c r="B1804" s="1">
        <v>45603</v>
      </c>
      <c r="C1804" s="11">
        <f t="shared" si="84"/>
        <v>2024</v>
      </c>
      <c r="D1804" t="s">
        <v>101</v>
      </c>
      <c r="E1804" t="s">
        <v>53</v>
      </c>
      <c r="F1804" t="s">
        <v>54</v>
      </c>
      <c r="G1804" t="s">
        <v>36</v>
      </c>
      <c r="H1804">
        <v>1</v>
      </c>
      <c r="I1804" s="2">
        <v>118.36</v>
      </c>
      <c r="J1804" s="2">
        <v>118.36</v>
      </c>
      <c r="K1804" s="2">
        <f t="shared" si="85"/>
        <v>118.36</v>
      </c>
      <c r="L1804" s="2">
        <f t="shared" si="86"/>
        <v>0</v>
      </c>
      <c r="M1804" t="s">
        <v>48</v>
      </c>
      <c r="N1804" t="s">
        <v>16</v>
      </c>
    </row>
    <row r="1805" spans="1:14" x14ac:dyDescent="0.3">
      <c r="A1805">
        <v>2024002803</v>
      </c>
      <c r="B1805" s="1">
        <v>45437</v>
      </c>
      <c r="C1805" s="11">
        <f t="shared" si="84"/>
        <v>2024</v>
      </c>
      <c r="D1805" t="s">
        <v>106</v>
      </c>
      <c r="E1805" t="s">
        <v>53</v>
      </c>
      <c r="F1805" t="s">
        <v>54</v>
      </c>
      <c r="G1805" t="s">
        <v>36</v>
      </c>
      <c r="H1805">
        <v>1</v>
      </c>
      <c r="I1805" s="2">
        <v>132.06</v>
      </c>
      <c r="J1805" s="2">
        <v>132.06</v>
      </c>
      <c r="K1805" s="2">
        <f t="shared" si="85"/>
        <v>132.06</v>
      </c>
      <c r="L1805" s="2">
        <f t="shared" si="86"/>
        <v>0</v>
      </c>
      <c r="M1805" t="s">
        <v>15</v>
      </c>
      <c r="N1805" t="s">
        <v>26</v>
      </c>
    </row>
    <row r="1806" spans="1:14" x14ac:dyDescent="0.3">
      <c r="A1806">
        <v>2024002804</v>
      </c>
      <c r="B1806" s="1">
        <v>45557</v>
      </c>
      <c r="C1806" s="11">
        <f t="shared" si="84"/>
        <v>2024</v>
      </c>
      <c r="D1806" t="s">
        <v>269</v>
      </c>
      <c r="E1806" t="s">
        <v>46</v>
      </c>
      <c r="F1806" t="s">
        <v>47</v>
      </c>
      <c r="G1806" t="s">
        <v>36</v>
      </c>
      <c r="H1806">
        <v>1</v>
      </c>
      <c r="I1806" s="2">
        <v>86.83</v>
      </c>
      <c r="J1806" s="2">
        <v>86.83</v>
      </c>
      <c r="K1806" s="2">
        <f t="shared" si="85"/>
        <v>86.83</v>
      </c>
      <c r="L1806" s="2">
        <f t="shared" si="86"/>
        <v>0</v>
      </c>
      <c r="M1806" t="s">
        <v>48</v>
      </c>
      <c r="N1806" t="s">
        <v>26</v>
      </c>
    </row>
    <row r="1807" spans="1:14" x14ac:dyDescent="0.3">
      <c r="A1807">
        <v>2024002805</v>
      </c>
      <c r="B1807" s="1">
        <v>45428</v>
      </c>
      <c r="C1807" s="11">
        <f t="shared" si="84"/>
        <v>2024</v>
      </c>
      <c r="D1807" t="s">
        <v>11</v>
      </c>
      <c r="E1807" t="s">
        <v>18</v>
      </c>
      <c r="F1807" t="s">
        <v>19</v>
      </c>
      <c r="G1807" t="s">
        <v>14</v>
      </c>
      <c r="H1807">
        <v>2</v>
      </c>
      <c r="I1807" s="2">
        <v>559.51</v>
      </c>
      <c r="J1807" s="2">
        <v>1119.02</v>
      </c>
      <c r="K1807" s="2">
        <f t="shared" si="85"/>
        <v>1119.02</v>
      </c>
      <c r="L1807" s="2">
        <f t="shared" si="86"/>
        <v>0</v>
      </c>
      <c r="M1807" t="s">
        <v>48</v>
      </c>
      <c r="N1807" t="s">
        <v>32</v>
      </c>
    </row>
    <row r="1808" spans="1:14" x14ac:dyDescent="0.3">
      <c r="A1808">
        <v>2024002806</v>
      </c>
      <c r="B1808" s="1">
        <v>45458</v>
      </c>
      <c r="C1808" s="11">
        <f t="shared" si="84"/>
        <v>2024</v>
      </c>
      <c r="D1808" t="s">
        <v>134</v>
      </c>
      <c r="E1808" t="s">
        <v>67</v>
      </c>
      <c r="F1808" t="s">
        <v>68</v>
      </c>
      <c r="G1808" t="s">
        <v>36</v>
      </c>
      <c r="H1808">
        <v>2</v>
      </c>
      <c r="I1808" s="2">
        <v>440.19</v>
      </c>
      <c r="J1808" s="2">
        <v>880.38</v>
      </c>
      <c r="K1808" s="2">
        <f t="shared" si="85"/>
        <v>880.38</v>
      </c>
      <c r="L1808" s="2">
        <f t="shared" si="86"/>
        <v>0</v>
      </c>
      <c r="M1808" t="s">
        <v>20</v>
      </c>
      <c r="N1808" t="s">
        <v>26</v>
      </c>
    </row>
    <row r="1809" spans="1:14" x14ac:dyDescent="0.3">
      <c r="A1809">
        <v>2024002807</v>
      </c>
      <c r="B1809" s="1">
        <v>45630</v>
      </c>
      <c r="C1809" s="11">
        <f t="shared" si="84"/>
        <v>2024</v>
      </c>
      <c r="D1809" t="s">
        <v>346</v>
      </c>
      <c r="E1809" t="s">
        <v>67</v>
      </c>
      <c r="F1809" t="s">
        <v>68</v>
      </c>
      <c r="G1809" t="s">
        <v>36</v>
      </c>
      <c r="H1809">
        <v>1</v>
      </c>
      <c r="I1809" s="2">
        <v>379.13</v>
      </c>
      <c r="J1809" s="2">
        <v>379.13</v>
      </c>
      <c r="K1809" s="2">
        <f t="shared" si="85"/>
        <v>379.13</v>
      </c>
      <c r="L1809" s="2">
        <f t="shared" si="86"/>
        <v>0</v>
      </c>
      <c r="M1809" t="s">
        <v>38</v>
      </c>
      <c r="N1809" t="s">
        <v>26</v>
      </c>
    </row>
    <row r="1810" spans="1:14" x14ac:dyDescent="0.3">
      <c r="A1810">
        <v>2024002808</v>
      </c>
      <c r="B1810" s="1">
        <v>45438</v>
      </c>
      <c r="C1810" s="11">
        <f t="shared" si="84"/>
        <v>2024</v>
      </c>
      <c r="D1810" t="s">
        <v>100</v>
      </c>
      <c r="E1810" t="s">
        <v>53</v>
      </c>
      <c r="F1810" t="s">
        <v>54</v>
      </c>
      <c r="G1810" t="s">
        <v>36</v>
      </c>
      <c r="H1810">
        <v>1</v>
      </c>
      <c r="I1810" s="2">
        <v>111.14</v>
      </c>
      <c r="J1810" s="2">
        <v>111.14</v>
      </c>
      <c r="K1810" s="2">
        <f t="shared" si="85"/>
        <v>111.14</v>
      </c>
      <c r="L1810" s="2">
        <f t="shared" si="86"/>
        <v>0</v>
      </c>
      <c r="M1810" t="s">
        <v>31</v>
      </c>
      <c r="N1810" t="s">
        <v>21</v>
      </c>
    </row>
    <row r="1811" spans="1:14" x14ac:dyDescent="0.3">
      <c r="A1811">
        <v>2024002809</v>
      </c>
      <c r="B1811" s="1">
        <v>45503</v>
      </c>
      <c r="C1811" s="11">
        <f t="shared" si="84"/>
        <v>2024</v>
      </c>
      <c r="D1811" t="s">
        <v>11</v>
      </c>
      <c r="E1811" t="s">
        <v>18</v>
      </c>
      <c r="F1811" t="s">
        <v>19</v>
      </c>
      <c r="G1811" t="s">
        <v>14</v>
      </c>
      <c r="H1811">
        <v>2</v>
      </c>
      <c r="I1811" s="2">
        <v>631.73</v>
      </c>
      <c r="J1811" s="2">
        <v>1263.46</v>
      </c>
      <c r="K1811" s="2">
        <f t="shared" si="85"/>
        <v>1263.46</v>
      </c>
      <c r="L1811" s="2">
        <f t="shared" si="86"/>
        <v>0</v>
      </c>
      <c r="M1811" t="s">
        <v>31</v>
      </c>
      <c r="N1811" t="s">
        <v>32</v>
      </c>
    </row>
    <row r="1812" spans="1:14" x14ac:dyDescent="0.3">
      <c r="A1812">
        <v>2024001027</v>
      </c>
      <c r="B1812" s="1">
        <v>45389</v>
      </c>
      <c r="C1812" s="11">
        <f t="shared" si="84"/>
        <v>2024</v>
      </c>
      <c r="D1812" t="s">
        <v>203</v>
      </c>
      <c r="E1812" t="s">
        <v>67</v>
      </c>
      <c r="F1812" t="s">
        <v>68</v>
      </c>
      <c r="G1812" t="s">
        <v>36</v>
      </c>
      <c r="H1812">
        <v>1</v>
      </c>
      <c r="I1812" s="2">
        <v>420.54</v>
      </c>
      <c r="J1812" s="2">
        <v>420.54</v>
      </c>
      <c r="K1812" s="2">
        <f t="shared" si="85"/>
        <v>420.54</v>
      </c>
      <c r="L1812" s="2">
        <f t="shared" si="86"/>
        <v>0</v>
      </c>
      <c r="M1812" t="s">
        <v>20</v>
      </c>
      <c r="N1812" t="s">
        <v>26</v>
      </c>
    </row>
    <row r="1813" spans="1:14" x14ac:dyDescent="0.3">
      <c r="A1813">
        <v>2024002811</v>
      </c>
      <c r="B1813" s="1">
        <v>45524</v>
      </c>
      <c r="C1813" s="11">
        <f t="shared" si="84"/>
        <v>2024</v>
      </c>
      <c r="D1813" t="s">
        <v>149</v>
      </c>
      <c r="E1813" t="s">
        <v>18</v>
      </c>
      <c r="F1813" t="s">
        <v>19</v>
      </c>
      <c r="G1813" t="s">
        <v>14</v>
      </c>
      <c r="H1813">
        <v>2</v>
      </c>
      <c r="I1813" s="2">
        <v>581.08000000000004</v>
      </c>
      <c r="J1813" s="2">
        <v>1162.1600000000001</v>
      </c>
      <c r="K1813" s="2">
        <f t="shared" si="85"/>
        <v>1162.1600000000001</v>
      </c>
      <c r="L1813" s="2">
        <f t="shared" si="86"/>
        <v>0</v>
      </c>
      <c r="M1813" t="s">
        <v>20</v>
      </c>
      <c r="N1813" t="s">
        <v>21</v>
      </c>
    </row>
    <row r="1814" spans="1:14" x14ac:dyDescent="0.3">
      <c r="A1814">
        <v>2024002812</v>
      </c>
      <c r="B1814" s="1">
        <v>45602</v>
      </c>
      <c r="C1814" s="11">
        <f t="shared" si="84"/>
        <v>2024</v>
      </c>
      <c r="D1814" t="s">
        <v>340</v>
      </c>
      <c r="E1814" t="s">
        <v>46</v>
      </c>
      <c r="F1814" t="s">
        <v>47</v>
      </c>
      <c r="G1814" t="s">
        <v>36</v>
      </c>
      <c r="H1814">
        <v>1</v>
      </c>
      <c r="I1814" s="2">
        <v>94.5</v>
      </c>
      <c r="J1814" s="2">
        <v>94.5</v>
      </c>
      <c r="K1814" s="2">
        <f t="shared" si="85"/>
        <v>94.5</v>
      </c>
      <c r="L1814" s="2">
        <f t="shared" si="86"/>
        <v>0</v>
      </c>
      <c r="M1814" t="s">
        <v>61</v>
      </c>
      <c r="N1814" t="s">
        <v>26</v>
      </c>
    </row>
    <row r="1815" spans="1:14" x14ac:dyDescent="0.3">
      <c r="A1815">
        <v>2024002813</v>
      </c>
      <c r="B1815" s="1">
        <v>45360</v>
      </c>
      <c r="C1815" s="11">
        <f t="shared" si="84"/>
        <v>2024</v>
      </c>
      <c r="D1815" t="s">
        <v>99</v>
      </c>
      <c r="E1815" t="s">
        <v>67</v>
      </c>
      <c r="F1815" t="s">
        <v>68</v>
      </c>
      <c r="G1815" t="s">
        <v>36</v>
      </c>
      <c r="H1815">
        <v>2</v>
      </c>
      <c r="I1815" s="2">
        <v>414.17</v>
      </c>
      <c r="J1815" s="2">
        <v>828.34</v>
      </c>
      <c r="K1815" s="2">
        <f t="shared" si="85"/>
        <v>828.34</v>
      </c>
      <c r="L1815" s="2">
        <f t="shared" si="86"/>
        <v>0</v>
      </c>
      <c r="M1815" t="s">
        <v>31</v>
      </c>
      <c r="N1815" t="s">
        <v>32</v>
      </c>
    </row>
    <row r="1816" spans="1:14" x14ac:dyDescent="0.3">
      <c r="A1816">
        <v>2024002814</v>
      </c>
      <c r="B1816" s="1">
        <v>45587</v>
      </c>
      <c r="C1816" s="11">
        <f t="shared" si="84"/>
        <v>2024</v>
      </c>
      <c r="D1816" t="s">
        <v>287</v>
      </c>
      <c r="E1816" t="s">
        <v>67</v>
      </c>
      <c r="F1816" t="s">
        <v>68</v>
      </c>
      <c r="G1816" t="s">
        <v>36</v>
      </c>
      <c r="H1816">
        <v>1</v>
      </c>
      <c r="I1816" s="2">
        <v>402.32</v>
      </c>
      <c r="J1816" s="2">
        <v>402.32</v>
      </c>
      <c r="K1816" s="2">
        <f t="shared" si="85"/>
        <v>402.32</v>
      </c>
      <c r="L1816" s="2">
        <f t="shared" si="86"/>
        <v>0</v>
      </c>
      <c r="M1816" t="s">
        <v>57</v>
      </c>
      <c r="N1816" t="s">
        <v>21</v>
      </c>
    </row>
    <row r="1817" spans="1:14" x14ac:dyDescent="0.3">
      <c r="A1817">
        <v>2024002815</v>
      </c>
      <c r="B1817" s="1">
        <v>45481</v>
      </c>
      <c r="C1817" s="11">
        <f t="shared" si="84"/>
        <v>2024</v>
      </c>
      <c r="D1817" t="s">
        <v>11</v>
      </c>
      <c r="E1817" t="s">
        <v>18</v>
      </c>
      <c r="F1817" t="s">
        <v>19</v>
      </c>
      <c r="G1817" t="s">
        <v>14</v>
      </c>
      <c r="H1817">
        <v>3</v>
      </c>
      <c r="I1817" s="2">
        <v>596.02</v>
      </c>
      <c r="J1817" s="2">
        <v>1788.06</v>
      </c>
      <c r="K1817" s="2">
        <f t="shared" si="85"/>
        <v>1788.06</v>
      </c>
      <c r="L1817" s="2">
        <f t="shared" si="86"/>
        <v>0</v>
      </c>
      <c r="M1817" t="s">
        <v>64</v>
      </c>
      <c r="N1817" t="s">
        <v>26</v>
      </c>
    </row>
    <row r="1818" spans="1:14" x14ac:dyDescent="0.3">
      <c r="A1818">
        <v>2024002816</v>
      </c>
      <c r="B1818" s="1">
        <v>45351</v>
      </c>
      <c r="C1818" s="11">
        <f t="shared" si="84"/>
        <v>2024</v>
      </c>
      <c r="D1818" t="s">
        <v>197</v>
      </c>
      <c r="E1818" t="s">
        <v>23</v>
      </c>
      <c r="F1818" t="s">
        <v>24</v>
      </c>
      <c r="G1818" t="s">
        <v>14</v>
      </c>
      <c r="H1818">
        <v>4</v>
      </c>
      <c r="I1818" s="2">
        <v>80.510000000000005</v>
      </c>
      <c r="J1818" s="2">
        <v>322.04000000000002</v>
      </c>
      <c r="K1818" s="2">
        <f t="shared" si="85"/>
        <v>322.04000000000002</v>
      </c>
      <c r="L1818" s="2">
        <f t="shared" si="86"/>
        <v>0</v>
      </c>
      <c r="M1818" t="s">
        <v>25</v>
      </c>
      <c r="N1818" t="s">
        <v>26</v>
      </c>
    </row>
    <row r="1819" spans="1:14" x14ac:dyDescent="0.3">
      <c r="A1819">
        <v>2024002817</v>
      </c>
      <c r="B1819" s="1">
        <v>45437</v>
      </c>
      <c r="C1819" s="11">
        <f t="shared" si="84"/>
        <v>2024</v>
      </c>
      <c r="D1819" t="s">
        <v>147</v>
      </c>
      <c r="E1819" t="s">
        <v>12</v>
      </c>
      <c r="F1819" t="s">
        <v>13</v>
      </c>
      <c r="G1819" t="s">
        <v>14</v>
      </c>
      <c r="H1819">
        <v>1</v>
      </c>
      <c r="I1819" s="2">
        <v>339.65</v>
      </c>
      <c r="J1819" s="2">
        <v>339.65</v>
      </c>
      <c r="K1819" s="2">
        <f t="shared" si="85"/>
        <v>339.65</v>
      </c>
      <c r="L1819" s="2">
        <f t="shared" si="86"/>
        <v>0</v>
      </c>
      <c r="M1819" t="s">
        <v>48</v>
      </c>
      <c r="N1819" t="s">
        <v>26</v>
      </c>
    </row>
    <row r="1820" spans="1:14" x14ac:dyDescent="0.3">
      <c r="A1820">
        <v>2024002818</v>
      </c>
      <c r="B1820" s="1">
        <v>45605</v>
      </c>
      <c r="C1820" s="11">
        <f t="shared" si="84"/>
        <v>2024</v>
      </c>
      <c r="D1820" t="s">
        <v>11</v>
      </c>
      <c r="E1820" t="s">
        <v>34</v>
      </c>
      <c r="F1820" t="s">
        <v>35</v>
      </c>
      <c r="G1820" t="s">
        <v>36</v>
      </c>
      <c r="H1820">
        <v>2</v>
      </c>
      <c r="I1820" s="2">
        <v>14.92</v>
      </c>
      <c r="J1820" s="2">
        <v>29.84</v>
      </c>
      <c r="K1820" s="2">
        <f t="shared" si="85"/>
        <v>29.84</v>
      </c>
      <c r="L1820" s="2">
        <f t="shared" si="86"/>
        <v>0</v>
      </c>
      <c r="M1820" t="s">
        <v>57</v>
      </c>
      <c r="N1820" t="s">
        <v>26</v>
      </c>
    </row>
    <row r="1821" spans="1:14" x14ac:dyDescent="0.3">
      <c r="A1821">
        <v>2024002819</v>
      </c>
      <c r="B1821" s="1">
        <v>45602</v>
      </c>
      <c r="C1821" s="11">
        <f t="shared" si="84"/>
        <v>2024</v>
      </c>
      <c r="D1821" t="s">
        <v>187</v>
      </c>
      <c r="E1821" t="s">
        <v>53</v>
      </c>
      <c r="F1821" t="s">
        <v>54</v>
      </c>
      <c r="G1821" t="s">
        <v>36</v>
      </c>
      <c r="H1821">
        <v>1</v>
      </c>
      <c r="I1821" s="2">
        <v>134.19</v>
      </c>
      <c r="J1821" s="2">
        <v>134.19</v>
      </c>
      <c r="K1821" s="2">
        <f t="shared" si="85"/>
        <v>134.19</v>
      </c>
      <c r="L1821" s="2">
        <f t="shared" si="86"/>
        <v>0</v>
      </c>
      <c r="M1821" t="s">
        <v>15</v>
      </c>
      <c r="N1821" t="s">
        <v>21</v>
      </c>
    </row>
    <row r="1822" spans="1:14" x14ac:dyDescent="0.3">
      <c r="A1822">
        <v>2024002820</v>
      </c>
      <c r="B1822" s="1">
        <v>45581</v>
      </c>
      <c r="C1822" s="11">
        <f t="shared" si="84"/>
        <v>2024</v>
      </c>
      <c r="D1822" t="s">
        <v>198</v>
      </c>
      <c r="E1822" t="s">
        <v>40</v>
      </c>
      <c r="F1822" t="s">
        <v>41</v>
      </c>
      <c r="G1822" t="s">
        <v>36</v>
      </c>
      <c r="H1822">
        <v>1</v>
      </c>
      <c r="I1822" s="2">
        <v>46.77</v>
      </c>
      <c r="J1822" s="2">
        <v>46.77</v>
      </c>
      <c r="K1822" s="2">
        <f t="shared" si="85"/>
        <v>46.77</v>
      </c>
      <c r="L1822" s="2">
        <f t="shared" si="86"/>
        <v>0</v>
      </c>
      <c r="M1822" t="s">
        <v>64</v>
      </c>
      <c r="N1822" t="s">
        <v>32</v>
      </c>
    </row>
    <row r="1823" spans="1:14" x14ac:dyDescent="0.3">
      <c r="A1823">
        <v>2024002821</v>
      </c>
      <c r="B1823" s="1">
        <v>45323</v>
      </c>
      <c r="C1823" s="11">
        <f t="shared" si="84"/>
        <v>2024</v>
      </c>
      <c r="D1823" t="s">
        <v>342</v>
      </c>
      <c r="E1823" t="s">
        <v>67</v>
      </c>
      <c r="F1823" t="s">
        <v>68</v>
      </c>
      <c r="G1823" t="s">
        <v>36</v>
      </c>
      <c r="H1823">
        <v>1</v>
      </c>
      <c r="I1823" s="2">
        <v>409.23</v>
      </c>
      <c r="J1823" s="2">
        <v>409.23</v>
      </c>
      <c r="K1823" s="2">
        <f t="shared" si="85"/>
        <v>409.23</v>
      </c>
      <c r="L1823" s="2">
        <f t="shared" si="86"/>
        <v>0</v>
      </c>
      <c r="M1823" t="s">
        <v>38</v>
      </c>
      <c r="N1823" t="s">
        <v>26</v>
      </c>
    </row>
    <row r="1824" spans="1:14" x14ac:dyDescent="0.3">
      <c r="A1824">
        <v>2024002822</v>
      </c>
      <c r="B1824" s="1">
        <v>45603</v>
      </c>
      <c r="C1824" s="11">
        <f t="shared" si="84"/>
        <v>2024</v>
      </c>
      <c r="D1824" t="s">
        <v>279</v>
      </c>
      <c r="E1824" t="s">
        <v>23</v>
      </c>
      <c r="F1824" t="s">
        <v>24</v>
      </c>
      <c r="G1824" t="s">
        <v>14</v>
      </c>
      <c r="H1824">
        <v>2</v>
      </c>
      <c r="I1824" s="2">
        <v>78.23</v>
      </c>
      <c r="J1824" s="2">
        <v>156.46</v>
      </c>
      <c r="K1824" s="2">
        <f t="shared" si="85"/>
        <v>156.46</v>
      </c>
      <c r="L1824" s="2">
        <f t="shared" si="86"/>
        <v>0</v>
      </c>
      <c r="M1824" t="s">
        <v>61</v>
      </c>
      <c r="N1824" t="s">
        <v>32</v>
      </c>
    </row>
    <row r="1825" spans="1:14" x14ac:dyDescent="0.3">
      <c r="A1825">
        <v>2024002823</v>
      </c>
      <c r="B1825" s="1">
        <v>45362</v>
      </c>
      <c r="C1825" s="11">
        <f t="shared" si="84"/>
        <v>2024</v>
      </c>
      <c r="D1825" t="s">
        <v>221</v>
      </c>
      <c r="E1825" t="s">
        <v>28</v>
      </c>
      <c r="F1825" t="s">
        <v>29</v>
      </c>
      <c r="G1825" t="s">
        <v>30</v>
      </c>
      <c r="H1825">
        <v>1</v>
      </c>
      <c r="I1825" s="2">
        <v>25.93</v>
      </c>
      <c r="J1825" s="2">
        <v>25.93</v>
      </c>
      <c r="K1825" s="2">
        <f t="shared" si="85"/>
        <v>25.93</v>
      </c>
      <c r="L1825" s="2">
        <f t="shared" si="86"/>
        <v>0</v>
      </c>
      <c r="M1825" t="s">
        <v>38</v>
      </c>
      <c r="N1825" t="s">
        <v>26</v>
      </c>
    </row>
    <row r="1826" spans="1:14" x14ac:dyDescent="0.3">
      <c r="A1826">
        <v>2024002824</v>
      </c>
      <c r="B1826" s="1">
        <v>45584</v>
      </c>
      <c r="C1826" s="11">
        <f t="shared" si="84"/>
        <v>2024</v>
      </c>
      <c r="D1826" t="s">
        <v>128</v>
      </c>
      <c r="E1826" t="s">
        <v>43</v>
      </c>
      <c r="F1826" t="s">
        <v>44</v>
      </c>
      <c r="G1826" t="s">
        <v>36</v>
      </c>
      <c r="H1826">
        <v>1</v>
      </c>
      <c r="I1826" s="2">
        <v>1225.21</v>
      </c>
      <c r="J1826" s="2">
        <v>1225.21</v>
      </c>
      <c r="K1826" s="2">
        <f t="shared" si="85"/>
        <v>1225.21</v>
      </c>
      <c r="L1826" s="2">
        <f t="shared" si="86"/>
        <v>0</v>
      </c>
      <c r="M1826" t="s">
        <v>64</v>
      </c>
      <c r="N1826" t="s">
        <v>32</v>
      </c>
    </row>
    <row r="1827" spans="1:14" x14ac:dyDescent="0.3">
      <c r="A1827">
        <v>2024002825</v>
      </c>
      <c r="B1827" s="1">
        <v>45470</v>
      </c>
      <c r="C1827" s="11">
        <f t="shared" si="84"/>
        <v>2024</v>
      </c>
      <c r="D1827" t="s">
        <v>230</v>
      </c>
      <c r="E1827" t="s">
        <v>28</v>
      </c>
      <c r="F1827" t="s">
        <v>29</v>
      </c>
      <c r="G1827" t="s">
        <v>30</v>
      </c>
      <c r="H1827">
        <v>1</v>
      </c>
      <c r="I1827" s="2">
        <v>24.62</v>
      </c>
      <c r="J1827" s="2">
        <v>24.62</v>
      </c>
      <c r="K1827" s="2">
        <f t="shared" si="85"/>
        <v>24.62</v>
      </c>
      <c r="L1827" s="2">
        <f t="shared" si="86"/>
        <v>0</v>
      </c>
      <c r="M1827" t="s">
        <v>64</v>
      </c>
      <c r="N1827" t="s">
        <v>32</v>
      </c>
    </row>
    <row r="1828" spans="1:14" x14ac:dyDescent="0.3">
      <c r="A1828">
        <v>2024002826</v>
      </c>
      <c r="B1828" s="1">
        <v>45577</v>
      </c>
      <c r="C1828" s="11">
        <f t="shared" si="84"/>
        <v>2024</v>
      </c>
      <c r="D1828" t="s">
        <v>319</v>
      </c>
      <c r="E1828" t="s">
        <v>12</v>
      </c>
      <c r="F1828" t="s">
        <v>13</v>
      </c>
      <c r="G1828" t="s">
        <v>14</v>
      </c>
      <c r="H1828">
        <v>1</v>
      </c>
      <c r="I1828" s="2">
        <v>325.68</v>
      </c>
      <c r="J1828" s="2">
        <v>325.68</v>
      </c>
      <c r="K1828" s="2">
        <f t="shared" si="85"/>
        <v>325.68</v>
      </c>
      <c r="L1828" s="2">
        <f t="shared" si="86"/>
        <v>0</v>
      </c>
      <c r="M1828" t="s">
        <v>55</v>
      </c>
      <c r="N1828" t="s">
        <v>26</v>
      </c>
    </row>
    <row r="1829" spans="1:14" x14ac:dyDescent="0.3">
      <c r="A1829">
        <v>2024002827</v>
      </c>
      <c r="B1829" s="1">
        <v>45484</v>
      </c>
      <c r="C1829" s="11">
        <f t="shared" si="84"/>
        <v>2024</v>
      </c>
      <c r="D1829" t="s">
        <v>191</v>
      </c>
      <c r="E1829" t="s">
        <v>40</v>
      </c>
      <c r="F1829" t="s">
        <v>41</v>
      </c>
      <c r="G1829" t="s">
        <v>36</v>
      </c>
      <c r="H1829">
        <v>1</v>
      </c>
      <c r="I1829" s="2">
        <v>44.73</v>
      </c>
      <c r="J1829" s="2">
        <v>44.73</v>
      </c>
      <c r="K1829" s="2">
        <f t="shared" si="85"/>
        <v>44.73</v>
      </c>
      <c r="L1829" s="2">
        <f t="shared" si="86"/>
        <v>0</v>
      </c>
      <c r="M1829" t="s">
        <v>64</v>
      </c>
      <c r="N1829" t="s">
        <v>21</v>
      </c>
    </row>
    <row r="1830" spans="1:14" x14ac:dyDescent="0.3">
      <c r="A1830">
        <v>2024002828</v>
      </c>
      <c r="B1830" s="1">
        <v>45561</v>
      </c>
      <c r="C1830" s="11">
        <f t="shared" si="84"/>
        <v>2024</v>
      </c>
      <c r="D1830" t="s">
        <v>51</v>
      </c>
      <c r="E1830" t="s">
        <v>34</v>
      </c>
      <c r="F1830" t="s">
        <v>35</v>
      </c>
      <c r="G1830" t="s">
        <v>36</v>
      </c>
      <c r="H1830">
        <v>1</v>
      </c>
      <c r="I1830" s="2">
        <v>14.13</v>
      </c>
      <c r="J1830" s="2">
        <v>14.13</v>
      </c>
      <c r="K1830" s="2">
        <f t="shared" si="85"/>
        <v>14.13</v>
      </c>
      <c r="L1830" s="2">
        <f t="shared" si="86"/>
        <v>0</v>
      </c>
      <c r="M1830" t="s">
        <v>38</v>
      </c>
      <c r="N1830" t="s">
        <v>26</v>
      </c>
    </row>
    <row r="1831" spans="1:14" x14ac:dyDescent="0.3">
      <c r="A1831">
        <v>2024002829</v>
      </c>
      <c r="B1831" s="1">
        <v>45507</v>
      </c>
      <c r="C1831" s="11">
        <f t="shared" si="84"/>
        <v>2024</v>
      </c>
      <c r="D1831" t="s">
        <v>107</v>
      </c>
      <c r="E1831" t="s">
        <v>12</v>
      </c>
      <c r="F1831" t="s">
        <v>13</v>
      </c>
      <c r="G1831" t="s">
        <v>14</v>
      </c>
      <c r="H1831">
        <v>4</v>
      </c>
      <c r="I1831" s="2">
        <v>321.99</v>
      </c>
      <c r="J1831" s="2">
        <v>1287.96</v>
      </c>
      <c r="K1831" s="2">
        <f t="shared" si="85"/>
        <v>1287.96</v>
      </c>
      <c r="L1831" s="2">
        <f t="shared" si="86"/>
        <v>0</v>
      </c>
      <c r="M1831" t="s">
        <v>55</v>
      </c>
      <c r="N1831" t="s">
        <v>26</v>
      </c>
    </row>
    <row r="1832" spans="1:14" x14ac:dyDescent="0.3">
      <c r="A1832">
        <v>2024002830</v>
      </c>
      <c r="B1832" s="1">
        <v>45487</v>
      </c>
      <c r="C1832" s="11">
        <f t="shared" si="84"/>
        <v>2024</v>
      </c>
      <c r="D1832" t="s">
        <v>123</v>
      </c>
      <c r="E1832" t="s">
        <v>53</v>
      </c>
      <c r="F1832" t="s">
        <v>54</v>
      </c>
      <c r="G1832" t="s">
        <v>36</v>
      </c>
      <c r="H1832">
        <v>1</v>
      </c>
      <c r="I1832" s="2">
        <v>117.72</v>
      </c>
      <c r="J1832" s="2">
        <v>117.72</v>
      </c>
      <c r="K1832" s="2">
        <f t="shared" si="85"/>
        <v>117.72</v>
      </c>
      <c r="L1832" s="2">
        <f t="shared" si="86"/>
        <v>0</v>
      </c>
      <c r="M1832" t="s">
        <v>15</v>
      </c>
      <c r="N1832" t="s">
        <v>16</v>
      </c>
    </row>
    <row r="1833" spans="1:14" x14ac:dyDescent="0.3">
      <c r="A1833">
        <v>2024002831</v>
      </c>
      <c r="B1833" s="1">
        <v>45564</v>
      </c>
      <c r="C1833" s="11">
        <f t="shared" si="84"/>
        <v>2024</v>
      </c>
      <c r="D1833" t="s">
        <v>183</v>
      </c>
      <c r="E1833" t="s">
        <v>67</v>
      </c>
      <c r="F1833" t="s">
        <v>68</v>
      </c>
      <c r="G1833" t="s">
        <v>36</v>
      </c>
      <c r="H1833">
        <v>1</v>
      </c>
      <c r="I1833" s="2">
        <v>401.17</v>
      </c>
      <c r="J1833" s="2">
        <v>401.17</v>
      </c>
      <c r="K1833" s="2">
        <f t="shared" si="85"/>
        <v>401.17</v>
      </c>
      <c r="L1833" s="2">
        <f t="shared" si="86"/>
        <v>0</v>
      </c>
      <c r="M1833" t="s">
        <v>55</v>
      </c>
      <c r="N1833" t="s">
        <v>32</v>
      </c>
    </row>
    <row r="1834" spans="1:14" x14ac:dyDescent="0.3">
      <c r="A1834">
        <v>2024002832</v>
      </c>
      <c r="B1834" s="1">
        <v>45465</v>
      </c>
      <c r="C1834" s="11">
        <f t="shared" si="84"/>
        <v>2024</v>
      </c>
      <c r="D1834" t="s">
        <v>109</v>
      </c>
      <c r="E1834" t="s">
        <v>18</v>
      </c>
      <c r="F1834" t="s">
        <v>19</v>
      </c>
      <c r="G1834" t="s">
        <v>14</v>
      </c>
      <c r="H1834">
        <v>1</v>
      </c>
      <c r="I1834" s="2">
        <v>626.13</v>
      </c>
      <c r="J1834" s="2">
        <v>626.13</v>
      </c>
      <c r="K1834" s="2">
        <f t="shared" si="85"/>
        <v>626.13</v>
      </c>
      <c r="L1834" s="2">
        <f t="shared" si="86"/>
        <v>0</v>
      </c>
      <c r="M1834" t="s">
        <v>48</v>
      </c>
      <c r="N1834" t="s">
        <v>26</v>
      </c>
    </row>
    <row r="1835" spans="1:14" x14ac:dyDescent="0.3">
      <c r="A1835">
        <v>2024002833</v>
      </c>
      <c r="B1835" s="1">
        <v>45473</v>
      </c>
      <c r="C1835" s="11">
        <f t="shared" si="84"/>
        <v>2024</v>
      </c>
      <c r="D1835" t="s">
        <v>272</v>
      </c>
      <c r="E1835" t="s">
        <v>28</v>
      </c>
      <c r="F1835" t="s">
        <v>29</v>
      </c>
      <c r="G1835" t="s">
        <v>30</v>
      </c>
      <c r="H1835">
        <v>3</v>
      </c>
      <c r="I1835" s="2">
        <v>25.57</v>
      </c>
      <c r="J1835" s="2">
        <v>76.709999999999994</v>
      </c>
      <c r="K1835" s="2">
        <f t="shared" si="85"/>
        <v>76.710000000000008</v>
      </c>
      <c r="L1835" s="2">
        <f t="shared" si="86"/>
        <v>0</v>
      </c>
      <c r="M1835" t="s">
        <v>61</v>
      </c>
      <c r="N1835" t="s">
        <v>16</v>
      </c>
    </row>
    <row r="1836" spans="1:14" x14ac:dyDescent="0.3">
      <c r="A1836">
        <v>2024002834</v>
      </c>
      <c r="B1836" s="1">
        <v>45512</v>
      </c>
      <c r="C1836" s="11">
        <f t="shared" si="84"/>
        <v>2024</v>
      </c>
      <c r="D1836" t="s">
        <v>114</v>
      </c>
      <c r="E1836" t="s">
        <v>23</v>
      </c>
      <c r="F1836" t="s">
        <v>24</v>
      </c>
      <c r="G1836" t="s">
        <v>14</v>
      </c>
      <c r="H1836">
        <v>1</v>
      </c>
      <c r="I1836" s="2">
        <v>72.64</v>
      </c>
      <c r="J1836" s="2">
        <v>72.64</v>
      </c>
      <c r="K1836" s="2">
        <f t="shared" si="85"/>
        <v>72.64</v>
      </c>
      <c r="L1836" s="2">
        <f t="shared" si="86"/>
        <v>0</v>
      </c>
      <c r="M1836" t="s">
        <v>64</v>
      </c>
      <c r="N1836" t="s">
        <v>26</v>
      </c>
    </row>
    <row r="1837" spans="1:14" x14ac:dyDescent="0.3">
      <c r="A1837">
        <v>2024002835</v>
      </c>
      <c r="B1837" s="1">
        <v>45623</v>
      </c>
      <c r="C1837" s="11">
        <f t="shared" si="84"/>
        <v>2024</v>
      </c>
      <c r="D1837" t="s">
        <v>70</v>
      </c>
      <c r="E1837" t="s">
        <v>28</v>
      </c>
      <c r="F1837" t="s">
        <v>29</v>
      </c>
      <c r="G1837" t="s">
        <v>30</v>
      </c>
      <c r="H1837">
        <v>5</v>
      </c>
      <c r="I1837" s="2">
        <v>25.31</v>
      </c>
      <c r="J1837" s="2">
        <v>126.55</v>
      </c>
      <c r="K1837" s="2">
        <f t="shared" si="85"/>
        <v>126.55</v>
      </c>
      <c r="L1837" s="2">
        <f t="shared" si="86"/>
        <v>0</v>
      </c>
      <c r="M1837" t="s">
        <v>25</v>
      </c>
      <c r="N1837" t="s">
        <v>21</v>
      </c>
    </row>
    <row r="1838" spans="1:14" x14ac:dyDescent="0.3">
      <c r="A1838">
        <v>2024002836</v>
      </c>
      <c r="B1838" s="1">
        <v>45458</v>
      </c>
      <c r="C1838" s="11">
        <f t="shared" si="84"/>
        <v>2024</v>
      </c>
      <c r="D1838" t="s">
        <v>171</v>
      </c>
      <c r="E1838" t="s">
        <v>46</v>
      </c>
      <c r="F1838" t="s">
        <v>47</v>
      </c>
      <c r="G1838" t="s">
        <v>36</v>
      </c>
      <c r="H1838">
        <v>3</v>
      </c>
      <c r="I1838" s="2">
        <v>81.16</v>
      </c>
      <c r="J1838" s="2">
        <v>243.48</v>
      </c>
      <c r="K1838" s="2">
        <f t="shared" si="85"/>
        <v>243.48</v>
      </c>
      <c r="L1838" s="2">
        <f t="shared" si="86"/>
        <v>0</v>
      </c>
      <c r="M1838" t="s">
        <v>38</v>
      </c>
      <c r="N1838" t="s">
        <v>32</v>
      </c>
    </row>
    <row r="1839" spans="1:14" x14ac:dyDescent="0.3">
      <c r="A1839">
        <v>2024002837</v>
      </c>
      <c r="B1839" s="1">
        <v>45599</v>
      </c>
      <c r="C1839" s="11">
        <f t="shared" si="84"/>
        <v>2024</v>
      </c>
      <c r="D1839" t="s">
        <v>289</v>
      </c>
      <c r="E1839" t="s">
        <v>46</v>
      </c>
      <c r="F1839" t="s">
        <v>47</v>
      </c>
      <c r="G1839" t="s">
        <v>36</v>
      </c>
      <c r="H1839">
        <v>1</v>
      </c>
      <c r="I1839" s="2">
        <v>95.2</v>
      </c>
      <c r="J1839" s="2">
        <v>95.2</v>
      </c>
      <c r="K1839" s="2">
        <f t="shared" si="85"/>
        <v>95.2</v>
      </c>
      <c r="L1839" s="2">
        <f t="shared" si="86"/>
        <v>0</v>
      </c>
      <c r="M1839" t="s">
        <v>31</v>
      </c>
      <c r="N1839" t="s">
        <v>16</v>
      </c>
    </row>
    <row r="1840" spans="1:14" x14ac:dyDescent="0.3">
      <c r="A1840">
        <v>2024002838</v>
      </c>
      <c r="B1840" s="1">
        <v>45637</v>
      </c>
      <c r="C1840" s="11">
        <f t="shared" si="84"/>
        <v>2024</v>
      </c>
      <c r="D1840" t="s">
        <v>89</v>
      </c>
      <c r="E1840" t="s">
        <v>43</v>
      </c>
      <c r="F1840" t="s">
        <v>44</v>
      </c>
      <c r="G1840" t="s">
        <v>36</v>
      </c>
      <c r="H1840">
        <v>3</v>
      </c>
      <c r="I1840" s="2">
        <v>1327.15</v>
      </c>
      <c r="J1840" s="2">
        <v>3981.45</v>
      </c>
      <c r="K1840" s="2">
        <f t="shared" si="85"/>
        <v>3981.4500000000003</v>
      </c>
      <c r="L1840" s="2">
        <f t="shared" si="86"/>
        <v>0</v>
      </c>
      <c r="M1840" t="s">
        <v>48</v>
      </c>
      <c r="N1840" t="s">
        <v>21</v>
      </c>
    </row>
    <row r="1841" spans="1:14" x14ac:dyDescent="0.3">
      <c r="A1841">
        <v>2024002839</v>
      </c>
      <c r="B1841" s="1">
        <v>45467</v>
      </c>
      <c r="C1841" s="11">
        <f t="shared" si="84"/>
        <v>2024</v>
      </c>
      <c r="D1841" t="s">
        <v>102</v>
      </c>
      <c r="E1841" t="s">
        <v>23</v>
      </c>
      <c r="F1841" t="s">
        <v>24</v>
      </c>
      <c r="G1841" t="s">
        <v>14</v>
      </c>
      <c r="H1841">
        <v>1</v>
      </c>
      <c r="I1841" s="2">
        <v>74.7</v>
      </c>
      <c r="J1841" s="2">
        <v>74.7</v>
      </c>
      <c r="K1841" s="2">
        <f t="shared" si="85"/>
        <v>74.7</v>
      </c>
      <c r="L1841" s="2">
        <f t="shared" si="86"/>
        <v>0</v>
      </c>
      <c r="M1841" t="s">
        <v>64</v>
      </c>
      <c r="N1841" t="s">
        <v>21</v>
      </c>
    </row>
    <row r="1842" spans="1:14" x14ac:dyDescent="0.3">
      <c r="A1842">
        <v>2024002840</v>
      </c>
      <c r="B1842" s="1">
        <v>45531</v>
      </c>
      <c r="C1842" s="11">
        <f t="shared" si="84"/>
        <v>2024</v>
      </c>
      <c r="D1842" t="s">
        <v>245</v>
      </c>
      <c r="E1842" t="s">
        <v>23</v>
      </c>
      <c r="F1842" t="s">
        <v>24</v>
      </c>
      <c r="G1842" t="s">
        <v>14</v>
      </c>
      <c r="H1842">
        <v>1</v>
      </c>
      <c r="I1842" s="2">
        <v>81.790000000000006</v>
      </c>
      <c r="J1842" s="2">
        <v>81.790000000000006</v>
      </c>
      <c r="K1842" s="2">
        <f t="shared" si="85"/>
        <v>81.790000000000006</v>
      </c>
      <c r="L1842" s="2">
        <f t="shared" si="86"/>
        <v>0</v>
      </c>
      <c r="M1842" t="s">
        <v>38</v>
      </c>
      <c r="N1842" t="s">
        <v>32</v>
      </c>
    </row>
    <row r="1843" spans="1:14" x14ac:dyDescent="0.3">
      <c r="A1843">
        <v>2024002841</v>
      </c>
      <c r="B1843" s="1">
        <v>45587</v>
      </c>
      <c r="C1843" s="11">
        <f t="shared" si="84"/>
        <v>2024</v>
      </c>
      <c r="D1843" t="s">
        <v>315</v>
      </c>
      <c r="E1843" t="s">
        <v>67</v>
      </c>
      <c r="F1843" t="s">
        <v>68</v>
      </c>
      <c r="G1843" t="s">
        <v>36</v>
      </c>
      <c r="H1843">
        <v>1</v>
      </c>
      <c r="I1843" s="2">
        <v>406.49</v>
      </c>
      <c r="J1843" s="2">
        <v>406.49</v>
      </c>
      <c r="K1843" s="2">
        <f t="shared" si="85"/>
        <v>406.49</v>
      </c>
      <c r="L1843" s="2">
        <f t="shared" si="86"/>
        <v>0</v>
      </c>
      <c r="M1843" t="s">
        <v>15</v>
      </c>
      <c r="N1843" t="s">
        <v>32</v>
      </c>
    </row>
    <row r="1844" spans="1:14" x14ac:dyDescent="0.3">
      <c r="A1844">
        <v>2024002842</v>
      </c>
      <c r="B1844" s="1">
        <v>45633</v>
      </c>
      <c r="C1844" s="11">
        <f t="shared" si="84"/>
        <v>2024</v>
      </c>
      <c r="D1844" t="s">
        <v>208</v>
      </c>
      <c r="E1844" t="s">
        <v>43</v>
      </c>
      <c r="F1844" t="s">
        <v>44</v>
      </c>
      <c r="G1844" t="s">
        <v>36</v>
      </c>
      <c r="H1844">
        <v>1</v>
      </c>
      <c r="I1844" s="2">
        <v>1816.07</v>
      </c>
      <c r="J1844" s="2">
        <v>1816.07</v>
      </c>
      <c r="K1844" s="2">
        <f t="shared" si="85"/>
        <v>1816.07</v>
      </c>
      <c r="L1844" s="2">
        <f t="shared" si="86"/>
        <v>0</v>
      </c>
      <c r="M1844" t="s">
        <v>20</v>
      </c>
      <c r="N1844" t="s">
        <v>32</v>
      </c>
    </row>
    <row r="1845" spans="1:14" x14ac:dyDescent="0.3">
      <c r="A1845">
        <v>2024002843</v>
      </c>
      <c r="B1845" s="1">
        <v>45607</v>
      </c>
      <c r="C1845" s="11">
        <f t="shared" si="84"/>
        <v>2024</v>
      </c>
      <c r="D1845" t="s">
        <v>22</v>
      </c>
      <c r="E1845" t="s">
        <v>40</v>
      </c>
      <c r="F1845" t="s">
        <v>41</v>
      </c>
      <c r="G1845" t="s">
        <v>36</v>
      </c>
      <c r="H1845">
        <v>1</v>
      </c>
      <c r="I1845" s="2">
        <v>43.76</v>
      </c>
      <c r="J1845" s="2">
        <v>43.76</v>
      </c>
      <c r="K1845" s="2">
        <f t="shared" si="85"/>
        <v>43.76</v>
      </c>
      <c r="L1845" s="2">
        <f t="shared" si="86"/>
        <v>0</v>
      </c>
      <c r="M1845" t="s">
        <v>15</v>
      </c>
      <c r="N1845" t="s">
        <v>26</v>
      </c>
    </row>
    <row r="1846" spans="1:14" x14ac:dyDescent="0.3">
      <c r="A1846">
        <v>2024002844</v>
      </c>
      <c r="B1846" s="1">
        <v>45536</v>
      </c>
      <c r="C1846" s="11">
        <f t="shared" si="84"/>
        <v>2024</v>
      </c>
      <c r="D1846" t="s">
        <v>240</v>
      </c>
      <c r="E1846" t="s">
        <v>53</v>
      </c>
      <c r="F1846" t="s">
        <v>54</v>
      </c>
      <c r="G1846" t="s">
        <v>36</v>
      </c>
      <c r="H1846">
        <v>2</v>
      </c>
      <c r="I1846" s="2">
        <v>113.13</v>
      </c>
      <c r="J1846" s="2">
        <v>226.26</v>
      </c>
      <c r="K1846" s="2">
        <f t="shared" si="85"/>
        <v>226.26</v>
      </c>
      <c r="L1846" s="2">
        <f t="shared" si="86"/>
        <v>0</v>
      </c>
      <c r="M1846" t="s">
        <v>55</v>
      </c>
      <c r="N1846" t="s">
        <v>21</v>
      </c>
    </row>
    <row r="1847" spans="1:14" x14ac:dyDescent="0.3">
      <c r="A1847">
        <v>2024002845</v>
      </c>
      <c r="B1847" s="1">
        <v>45548</v>
      </c>
      <c r="C1847" s="11">
        <f t="shared" si="84"/>
        <v>2024</v>
      </c>
      <c r="D1847" t="s">
        <v>144</v>
      </c>
      <c r="E1847" t="s">
        <v>53</v>
      </c>
      <c r="F1847" t="s">
        <v>54</v>
      </c>
      <c r="G1847" t="s">
        <v>36</v>
      </c>
      <c r="H1847">
        <v>1</v>
      </c>
      <c r="I1847" s="2">
        <v>117.19</v>
      </c>
      <c r="J1847" s="2">
        <v>117.19</v>
      </c>
      <c r="K1847" s="2">
        <f t="shared" si="85"/>
        <v>117.19</v>
      </c>
      <c r="L1847" s="2">
        <f t="shared" si="86"/>
        <v>0</v>
      </c>
      <c r="M1847" t="s">
        <v>25</v>
      </c>
      <c r="N1847" t="s">
        <v>21</v>
      </c>
    </row>
    <row r="1848" spans="1:14" x14ac:dyDescent="0.3">
      <c r="A1848">
        <v>2024002846</v>
      </c>
      <c r="B1848" s="1">
        <v>45650</v>
      </c>
      <c r="C1848" s="11">
        <f t="shared" si="84"/>
        <v>2024</v>
      </c>
      <c r="D1848" t="s">
        <v>178</v>
      </c>
      <c r="E1848" t="s">
        <v>34</v>
      </c>
      <c r="F1848" t="s">
        <v>35</v>
      </c>
      <c r="G1848" t="s">
        <v>36</v>
      </c>
      <c r="H1848">
        <v>2</v>
      </c>
      <c r="I1848" s="2">
        <v>15.11</v>
      </c>
      <c r="J1848" s="2">
        <v>30.22</v>
      </c>
      <c r="K1848" s="2">
        <f t="shared" si="85"/>
        <v>30.22</v>
      </c>
      <c r="L1848" s="2">
        <f t="shared" si="86"/>
        <v>0</v>
      </c>
      <c r="M1848" t="s">
        <v>48</v>
      </c>
      <c r="N1848" t="s">
        <v>16</v>
      </c>
    </row>
    <row r="1849" spans="1:14" x14ac:dyDescent="0.3">
      <c r="A1849">
        <v>2024002847</v>
      </c>
      <c r="B1849" s="1">
        <v>45469</v>
      </c>
      <c r="C1849" s="11">
        <f t="shared" si="84"/>
        <v>2024</v>
      </c>
      <c r="D1849" t="s">
        <v>11</v>
      </c>
      <c r="E1849" t="s">
        <v>28</v>
      </c>
      <c r="F1849" t="s">
        <v>29</v>
      </c>
      <c r="G1849" t="s">
        <v>30</v>
      </c>
      <c r="H1849">
        <v>5</v>
      </c>
      <c r="I1849" s="2">
        <v>23.75</v>
      </c>
      <c r="J1849" s="2">
        <v>118.75</v>
      </c>
      <c r="K1849" s="2">
        <f t="shared" si="85"/>
        <v>118.75</v>
      </c>
      <c r="L1849" s="2">
        <f t="shared" si="86"/>
        <v>0</v>
      </c>
      <c r="M1849" t="s">
        <v>48</v>
      </c>
      <c r="N1849" t="s">
        <v>32</v>
      </c>
    </row>
    <row r="1850" spans="1:14" x14ac:dyDescent="0.3">
      <c r="A1850">
        <v>2024002848</v>
      </c>
      <c r="B1850" s="1">
        <v>45530</v>
      </c>
      <c r="C1850" s="11">
        <f t="shared" si="84"/>
        <v>2024</v>
      </c>
      <c r="D1850" t="s">
        <v>11</v>
      </c>
      <c r="E1850" t="s">
        <v>40</v>
      </c>
      <c r="F1850" t="s">
        <v>41</v>
      </c>
      <c r="G1850" t="s">
        <v>36</v>
      </c>
      <c r="H1850">
        <v>2</v>
      </c>
      <c r="I1850" s="2">
        <v>45.12</v>
      </c>
      <c r="J1850" s="2">
        <v>90.24</v>
      </c>
      <c r="K1850" s="2">
        <f t="shared" si="85"/>
        <v>90.24</v>
      </c>
      <c r="L1850" s="2">
        <f t="shared" si="86"/>
        <v>0</v>
      </c>
      <c r="M1850" t="s">
        <v>31</v>
      </c>
      <c r="N1850" t="s">
        <v>16</v>
      </c>
    </row>
    <row r="1851" spans="1:14" x14ac:dyDescent="0.3">
      <c r="A1851">
        <v>2024002849</v>
      </c>
      <c r="B1851" s="1">
        <v>45414</v>
      </c>
      <c r="C1851" s="11">
        <f t="shared" si="84"/>
        <v>2024</v>
      </c>
      <c r="D1851" t="s">
        <v>271</v>
      </c>
      <c r="E1851" t="s">
        <v>40</v>
      </c>
      <c r="F1851" t="s">
        <v>41</v>
      </c>
      <c r="G1851" t="s">
        <v>36</v>
      </c>
      <c r="H1851">
        <v>1</v>
      </c>
      <c r="I1851" s="2">
        <v>41.46</v>
      </c>
      <c r="J1851" s="2">
        <v>41.46</v>
      </c>
      <c r="K1851" s="2">
        <f t="shared" si="85"/>
        <v>41.46</v>
      </c>
      <c r="L1851" s="2">
        <f t="shared" si="86"/>
        <v>0</v>
      </c>
      <c r="M1851" t="s">
        <v>20</v>
      </c>
      <c r="N1851" t="s">
        <v>26</v>
      </c>
    </row>
    <row r="1852" spans="1:14" x14ac:dyDescent="0.3">
      <c r="A1852">
        <v>2024002850</v>
      </c>
      <c r="B1852" s="1">
        <v>45418</v>
      </c>
      <c r="C1852" s="11">
        <f t="shared" si="84"/>
        <v>2024</v>
      </c>
      <c r="D1852" t="s">
        <v>198</v>
      </c>
      <c r="E1852" t="s">
        <v>12</v>
      </c>
      <c r="F1852" t="s">
        <v>13</v>
      </c>
      <c r="G1852" t="s">
        <v>14</v>
      </c>
      <c r="H1852">
        <v>2</v>
      </c>
      <c r="I1852" s="2">
        <v>351.25</v>
      </c>
      <c r="J1852" s="2">
        <v>702.5</v>
      </c>
      <c r="K1852" s="2">
        <f t="shared" si="85"/>
        <v>702.5</v>
      </c>
      <c r="L1852" s="2">
        <f t="shared" si="86"/>
        <v>0</v>
      </c>
      <c r="M1852" t="s">
        <v>15</v>
      </c>
      <c r="N1852" t="s">
        <v>21</v>
      </c>
    </row>
    <row r="1853" spans="1:14" x14ac:dyDescent="0.3">
      <c r="A1853">
        <v>2024002851</v>
      </c>
      <c r="B1853" s="1">
        <v>45636</v>
      </c>
      <c r="C1853" s="11">
        <f t="shared" si="84"/>
        <v>2024</v>
      </c>
      <c r="D1853" t="s">
        <v>11</v>
      </c>
      <c r="E1853" t="s">
        <v>28</v>
      </c>
      <c r="F1853" t="s">
        <v>29</v>
      </c>
      <c r="G1853" t="s">
        <v>30</v>
      </c>
      <c r="H1853">
        <v>1</v>
      </c>
      <c r="I1853" s="2">
        <v>24.59</v>
      </c>
      <c r="J1853" s="2">
        <v>24.59</v>
      </c>
      <c r="K1853" s="2">
        <f t="shared" si="85"/>
        <v>24.59</v>
      </c>
      <c r="L1853" s="2">
        <f t="shared" si="86"/>
        <v>0</v>
      </c>
      <c r="M1853" t="s">
        <v>20</v>
      </c>
      <c r="N1853" t="s">
        <v>21</v>
      </c>
    </row>
    <row r="1854" spans="1:14" x14ac:dyDescent="0.3">
      <c r="A1854">
        <v>2024002852</v>
      </c>
      <c r="B1854" s="1">
        <v>45343</v>
      </c>
      <c r="C1854" s="11">
        <f t="shared" si="84"/>
        <v>2024</v>
      </c>
      <c r="D1854" t="s">
        <v>144</v>
      </c>
      <c r="E1854" t="s">
        <v>18</v>
      </c>
      <c r="F1854" t="s">
        <v>19</v>
      </c>
      <c r="G1854" t="s">
        <v>14</v>
      </c>
      <c r="H1854">
        <v>1</v>
      </c>
      <c r="I1854" s="2">
        <v>585.24</v>
      </c>
      <c r="J1854" s="2">
        <v>585.24</v>
      </c>
      <c r="K1854" s="2">
        <f t="shared" si="85"/>
        <v>585.24</v>
      </c>
      <c r="L1854" s="2">
        <f t="shared" si="86"/>
        <v>0</v>
      </c>
      <c r="M1854" t="s">
        <v>20</v>
      </c>
      <c r="N1854" t="s">
        <v>32</v>
      </c>
    </row>
    <row r="1855" spans="1:14" x14ac:dyDescent="0.3">
      <c r="A1855">
        <v>2024002853</v>
      </c>
      <c r="B1855" s="1">
        <v>45512</v>
      </c>
      <c r="C1855" s="11">
        <f t="shared" si="84"/>
        <v>2024</v>
      </c>
      <c r="D1855" t="s">
        <v>79</v>
      </c>
      <c r="E1855" t="s">
        <v>34</v>
      </c>
      <c r="F1855" t="s">
        <v>35</v>
      </c>
      <c r="G1855" t="s">
        <v>36</v>
      </c>
      <c r="H1855">
        <v>1</v>
      </c>
      <c r="I1855" s="2">
        <v>15.09</v>
      </c>
      <c r="J1855" s="2">
        <v>15.09</v>
      </c>
      <c r="K1855" s="2">
        <f t="shared" si="85"/>
        <v>15.09</v>
      </c>
      <c r="L1855" s="2">
        <f t="shared" si="86"/>
        <v>0</v>
      </c>
      <c r="M1855" t="s">
        <v>15</v>
      </c>
      <c r="N1855" t="s">
        <v>32</v>
      </c>
    </row>
    <row r="1856" spans="1:14" x14ac:dyDescent="0.3">
      <c r="A1856">
        <v>2024002854</v>
      </c>
      <c r="B1856" s="1">
        <v>45460</v>
      </c>
      <c r="C1856" s="11">
        <f t="shared" si="84"/>
        <v>2024</v>
      </c>
      <c r="D1856" t="s">
        <v>303</v>
      </c>
      <c r="E1856" t="s">
        <v>28</v>
      </c>
      <c r="F1856" t="s">
        <v>29</v>
      </c>
      <c r="G1856" t="s">
        <v>30</v>
      </c>
      <c r="H1856">
        <v>1</v>
      </c>
      <c r="I1856" s="2">
        <v>23.83</v>
      </c>
      <c r="J1856" s="2">
        <v>23.83</v>
      </c>
      <c r="K1856" s="2">
        <f t="shared" si="85"/>
        <v>23.83</v>
      </c>
      <c r="L1856" s="2">
        <f t="shared" si="86"/>
        <v>0</v>
      </c>
      <c r="M1856" t="s">
        <v>38</v>
      </c>
      <c r="N1856" t="s">
        <v>26</v>
      </c>
    </row>
    <row r="1857" spans="1:14" x14ac:dyDescent="0.3">
      <c r="A1857">
        <v>2024002855</v>
      </c>
      <c r="B1857" s="1">
        <v>45657</v>
      </c>
      <c r="C1857" s="11">
        <f t="shared" si="84"/>
        <v>2024</v>
      </c>
      <c r="D1857" t="s">
        <v>193</v>
      </c>
      <c r="E1857" t="s">
        <v>18</v>
      </c>
      <c r="F1857" t="s">
        <v>19</v>
      </c>
      <c r="G1857" t="s">
        <v>14</v>
      </c>
      <c r="H1857">
        <v>1</v>
      </c>
      <c r="I1857" s="2">
        <v>635.04</v>
      </c>
      <c r="J1857" s="2">
        <v>635.04</v>
      </c>
      <c r="K1857" s="2">
        <f t="shared" si="85"/>
        <v>635.04</v>
      </c>
      <c r="L1857" s="2">
        <f t="shared" si="86"/>
        <v>0</v>
      </c>
      <c r="M1857" t="s">
        <v>57</v>
      </c>
      <c r="N1857" t="s">
        <v>26</v>
      </c>
    </row>
    <row r="1858" spans="1:14" x14ac:dyDescent="0.3">
      <c r="A1858">
        <v>2024002856</v>
      </c>
      <c r="B1858" s="1">
        <v>45376</v>
      </c>
      <c r="C1858" s="11">
        <f t="shared" si="84"/>
        <v>2024</v>
      </c>
      <c r="D1858" t="s">
        <v>265</v>
      </c>
      <c r="E1858" t="s">
        <v>23</v>
      </c>
      <c r="F1858" t="s">
        <v>24</v>
      </c>
      <c r="G1858" t="s">
        <v>14</v>
      </c>
      <c r="H1858">
        <v>4</v>
      </c>
      <c r="I1858" s="2">
        <v>76.61</v>
      </c>
      <c r="J1858" s="2">
        <v>306.44</v>
      </c>
      <c r="K1858" s="2">
        <f t="shared" si="85"/>
        <v>306.44</v>
      </c>
      <c r="L1858" s="2">
        <f t="shared" si="86"/>
        <v>0</v>
      </c>
      <c r="M1858" t="s">
        <v>61</v>
      </c>
      <c r="N1858" t="s">
        <v>26</v>
      </c>
    </row>
    <row r="1859" spans="1:14" x14ac:dyDescent="0.3">
      <c r="A1859">
        <v>2024002857</v>
      </c>
      <c r="B1859" s="1">
        <v>45328</v>
      </c>
      <c r="C1859" s="11">
        <f t="shared" ref="C1859:C1922" si="87">YEAR(B1859)</f>
        <v>2024</v>
      </c>
      <c r="D1859" t="s">
        <v>126</v>
      </c>
      <c r="E1859" t="s">
        <v>40</v>
      </c>
      <c r="F1859" t="s">
        <v>41</v>
      </c>
      <c r="G1859" t="s">
        <v>36</v>
      </c>
      <c r="H1859">
        <v>2</v>
      </c>
      <c r="I1859" s="2">
        <v>43.03</v>
      </c>
      <c r="J1859" s="2">
        <v>86.06</v>
      </c>
      <c r="K1859" s="2">
        <f t="shared" ref="K1859:K1922" si="88">I1859*H1859</f>
        <v>86.06</v>
      </c>
      <c r="L1859" s="2">
        <f t="shared" ref="L1859:L1922" si="89">J1859-K1859</f>
        <v>0</v>
      </c>
      <c r="M1859" t="s">
        <v>48</v>
      </c>
      <c r="N1859" t="s">
        <v>32</v>
      </c>
    </row>
    <row r="1860" spans="1:14" x14ac:dyDescent="0.3">
      <c r="A1860">
        <v>2024002858</v>
      </c>
      <c r="B1860" s="1">
        <v>45584</v>
      </c>
      <c r="C1860" s="11">
        <f t="shared" si="87"/>
        <v>2024</v>
      </c>
      <c r="D1860" t="s">
        <v>143</v>
      </c>
      <c r="E1860" t="s">
        <v>34</v>
      </c>
      <c r="F1860" t="s">
        <v>35</v>
      </c>
      <c r="G1860" t="s">
        <v>36</v>
      </c>
      <c r="H1860">
        <v>1</v>
      </c>
      <c r="I1860" s="2">
        <v>15.58</v>
      </c>
      <c r="J1860" s="2">
        <v>15.58</v>
      </c>
      <c r="K1860" s="2">
        <f t="shared" si="88"/>
        <v>15.58</v>
      </c>
      <c r="L1860" s="2">
        <f t="shared" si="89"/>
        <v>0</v>
      </c>
      <c r="M1860" t="s">
        <v>31</v>
      </c>
      <c r="N1860" t="s">
        <v>16</v>
      </c>
    </row>
    <row r="1861" spans="1:14" x14ac:dyDescent="0.3">
      <c r="A1861">
        <v>2024002859</v>
      </c>
      <c r="B1861" s="1">
        <v>45386</v>
      </c>
      <c r="C1861" s="11">
        <f t="shared" si="87"/>
        <v>2024</v>
      </c>
      <c r="D1861" t="s">
        <v>253</v>
      </c>
      <c r="E1861" t="s">
        <v>34</v>
      </c>
      <c r="F1861" t="s">
        <v>35</v>
      </c>
      <c r="G1861" t="s">
        <v>36</v>
      </c>
      <c r="H1861">
        <v>1</v>
      </c>
      <c r="I1861" s="2">
        <v>15.49</v>
      </c>
      <c r="J1861" s="2">
        <v>15.49</v>
      </c>
      <c r="K1861" s="2">
        <f t="shared" si="88"/>
        <v>15.49</v>
      </c>
      <c r="L1861" s="2">
        <f t="shared" si="89"/>
        <v>0</v>
      </c>
      <c r="M1861" t="s">
        <v>48</v>
      </c>
      <c r="N1861" t="s">
        <v>16</v>
      </c>
    </row>
    <row r="1862" spans="1:14" x14ac:dyDescent="0.3">
      <c r="A1862">
        <v>2024002860</v>
      </c>
      <c r="B1862" s="1">
        <v>45589</v>
      </c>
      <c r="C1862" s="11">
        <f t="shared" si="87"/>
        <v>2024</v>
      </c>
      <c r="D1862" t="s">
        <v>78</v>
      </c>
      <c r="E1862" t="s">
        <v>28</v>
      </c>
      <c r="F1862" t="s">
        <v>29</v>
      </c>
      <c r="G1862" t="s">
        <v>30</v>
      </c>
      <c r="H1862">
        <v>1</v>
      </c>
      <c r="I1862" s="2">
        <v>23.84</v>
      </c>
      <c r="J1862" s="2">
        <v>23.84</v>
      </c>
      <c r="K1862" s="2">
        <f t="shared" si="88"/>
        <v>23.84</v>
      </c>
      <c r="L1862" s="2">
        <f t="shared" si="89"/>
        <v>0</v>
      </c>
      <c r="M1862" t="s">
        <v>48</v>
      </c>
      <c r="N1862" t="s">
        <v>26</v>
      </c>
    </row>
    <row r="1863" spans="1:14" x14ac:dyDescent="0.3">
      <c r="A1863">
        <v>2024002861</v>
      </c>
      <c r="B1863" s="1">
        <v>45355</v>
      </c>
      <c r="C1863" s="11">
        <f t="shared" si="87"/>
        <v>2024</v>
      </c>
      <c r="D1863" t="s">
        <v>11</v>
      </c>
      <c r="E1863" t="s">
        <v>18</v>
      </c>
      <c r="F1863" t="s">
        <v>19</v>
      </c>
      <c r="G1863" t="s">
        <v>14</v>
      </c>
      <c r="H1863">
        <v>2</v>
      </c>
      <c r="I1863" s="2">
        <v>638.65</v>
      </c>
      <c r="J1863" s="2">
        <v>1277.3</v>
      </c>
      <c r="K1863" s="2">
        <f t="shared" si="88"/>
        <v>1277.3</v>
      </c>
      <c r="L1863" s="2">
        <f t="shared" si="89"/>
        <v>0</v>
      </c>
      <c r="M1863" t="s">
        <v>61</v>
      </c>
      <c r="N1863" t="s">
        <v>26</v>
      </c>
    </row>
    <row r="1864" spans="1:14" x14ac:dyDescent="0.3">
      <c r="A1864">
        <v>2024002862</v>
      </c>
      <c r="B1864" s="1">
        <v>45397</v>
      </c>
      <c r="C1864" s="11">
        <f t="shared" si="87"/>
        <v>2024</v>
      </c>
      <c r="D1864" t="s">
        <v>155</v>
      </c>
      <c r="E1864" t="s">
        <v>67</v>
      </c>
      <c r="F1864" t="s">
        <v>68</v>
      </c>
      <c r="G1864" t="s">
        <v>36</v>
      </c>
      <c r="H1864">
        <v>1</v>
      </c>
      <c r="I1864" s="2">
        <v>393.52</v>
      </c>
      <c r="J1864" s="2">
        <v>393.52</v>
      </c>
      <c r="K1864" s="2">
        <f t="shared" si="88"/>
        <v>393.52</v>
      </c>
      <c r="L1864" s="2">
        <f t="shared" si="89"/>
        <v>0</v>
      </c>
      <c r="M1864" t="s">
        <v>31</v>
      </c>
      <c r="N1864" t="s">
        <v>26</v>
      </c>
    </row>
    <row r="1865" spans="1:14" x14ac:dyDescent="0.3">
      <c r="A1865">
        <v>2024002863</v>
      </c>
      <c r="B1865" s="1">
        <v>45361</v>
      </c>
      <c r="C1865" s="11">
        <f t="shared" si="87"/>
        <v>2024</v>
      </c>
      <c r="D1865" t="s">
        <v>215</v>
      </c>
      <c r="E1865" t="s">
        <v>46</v>
      </c>
      <c r="F1865" t="s">
        <v>47</v>
      </c>
      <c r="G1865" t="s">
        <v>36</v>
      </c>
      <c r="H1865">
        <v>2</v>
      </c>
      <c r="I1865" s="2">
        <v>90.95</v>
      </c>
      <c r="J1865" s="2">
        <v>181.9</v>
      </c>
      <c r="K1865" s="2">
        <f t="shared" si="88"/>
        <v>181.9</v>
      </c>
      <c r="L1865" s="2">
        <f t="shared" si="89"/>
        <v>0</v>
      </c>
      <c r="M1865" t="s">
        <v>15</v>
      </c>
      <c r="N1865" t="s">
        <v>16</v>
      </c>
    </row>
    <row r="1866" spans="1:14" x14ac:dyDescent="0.3">
      <c r="A1866">
        <v>2024002864</v>
      </c>
      <c r="B1866" s="1">
        <v>45322</v>
      </c>
      <c r="C1866" s="11">
        <f t="shared" si="87"/>
        <v>2024</v>
      </c>
      <c r="D1866" t="s">
        <v>106</v>
      </c>
      <c r="E1866" t="s">
        <v>34</v>
      </c>
      <c r="F1866" t="s">
        <v>35</v>
      </c>
      <c r="G1866" t="s">
        <v>36</v>
      </c>
      <c r="H1866">
        <v>1</v>
      </c>
      <c r="I1866" s="2">
        <v>15.36</v>
      </c>
      <c r="J1866" s="2">
        <v>15.36</v>
      </c>
      <c r="K1866" s="2">
        <f t="shared" si="88"/>
        <v>15.36</v>
      </c>
      <c r="L1866" s="2">
        <f t="shared" si="89"/>
        <v>0</v>
      </c>
      <c r="M1866" t="s">
        <v>25</v>
      </c>
      <c r="N1866" t="s">
        <v>21</v>
      </c>
    </row>
    <row r="1867" spans="1:14" x14ac:dyDescent="0.3">
      <c r="A1867">
        <v>2024002865</v>
      </c>
      <c r="B1867" s="1">
        <v>45572</v>
      </c>
      <c r="C1867" s="11">
        <f t="shared" si="87"/>
        <v>2024</v>
      </c>
      <c r="D1867" t="s">
        <v>286</v>
      </c>
      <c r="E1867" t="s">
        <v>34</v>
      </c>
      <c r="F1867" t="s">
        <v>35</v>
      </c>
      <c r="G1867" t="s">
        <v>36</v>
      </c>
      <c r="H1867">
        <v>3</v>
      </c>
      <c r="I1867" s="2">
        <v>16.04</v>
      </c>
      <c r="J1867" s="2">
        <v>48.12</v>
      </c>
      <c r="K1867" s="2">
        <f t="shared" si="88"/>
        <v>48.12</v>
      </c>
      <c r="L1867" s="2">
        <f t="shared" si="89"/>
        <v>0</v>
      </c>
      <c r="M1867" t="s">
        <v>64</v>
      </c>
      <c r="N1867" t="s">
        <v>21</v>
      </c>
    </row>
    <row r="1868" spans="1:14" x14ac:dyDescent="0.3">
      <c r="A1868">
        <v>2024002866</v>
      </c>
      <c r="B1868" s="1">
        <v>45494</v>
      </c>
      <c r="C1868" s="11">
        <f t="shared" si="87"/>
        <v>2024</v>
      </c>
      <c r="D1868" t="s">
        <v>317</v>
      </c>
      <c r="E1868" t="s">
        <v>34</v>
      </c>
      <c r="F1868" t="s">
        <v>35</v>
      </c>
      <c r="G1868" t="s">
        <v>36</v>
      </c>
      <c r="H1868">
        <v>1</v>
      </c>
      <c r="I1868" s="2">
        <v>15.72</v>
      </c>
      <c r="J1868" s="2">
        <v>15.72</v>
      </c>
      <c r="K1868" s="2">
        <f t="shared" si="88"/>
        <v>15.72</v>
      </c>
      <c r="L1868" s="2">
        <f t="shared" si="89"/>
        <v>0</v>
      </c>
      <c r="M1868" t="s">
        <v>31</v>
      </c>
      <c r="N1868" t="s">
        <v>16</v>
      </c>
    </row>
    <row r="1869" spans="1:14" x14ac:dyDescent="0.3">
      <c r="A1869">
        <v>2024002867</v>
      </c>
      <c r="B1869" s="1">
        <v>45295</v>
      </c>
      <c r="C1869" s="11">
        <f t="shared" si="87"/>
        <v>2024</v>
      </c>
      <c r="D1869" t="s">
        <v>313</v>
      </c>
      <c r="E1869" t="s">
        <v>34</v>
      </c>
      <c r="F1869" t="s">
        <v>35</v>
      </c>
      <c r="G1869" t="s">
        <v>36</v>
      </c>
      <c r="H1869">
        <v>4</v>
      </c>
      <c r="I1869" s="2">
        <v>15.72</v>
      </c>
      <c r="J1869" s="2">
        <v>62.88</v>
      </c>
      <c r="K1869" s="2">
        <f t="shared" si="88"/>
        <v>62.88</v>
      </c>
      <c r="L1869" s="2">
        <f t="shared" si="89"/>
        <v>0</v>
      </c>
      <c r="M1869" t="s">
        <v>31</v>
      </c>
      <c r="N1869" t="s">
        <v>26</v>
      </c>
    </row>
    <row r="1870" spans="1:14" x14ac:dyDescent="0.3">
      <c r="A1870">
        <v>2024002868</v>
      </c>
      <c r="B1870" s="1">
        <v>45371</v>
      </c>
      <c r="C1870" s="11">
        <f t="shared" si="87"/>
        <v>2024</v>
      </c>
      <c r="D1870" t="s">
        <v>11</v>
      </c>
      <c r="E1870" t="s">
        <v>46</v>
      </c>
      <c r="F1870" t="s">
        <v>47</v>
      </c>
      <c r="G1870" t="s">
        <v>36</v>
      </c>
      <c r="H1870">
        <v>2</v>
      </c>
      <c r="I1870" s="2">
        <v>90.37</v>
      </c>
      <c r="J1870" s="2">
        <v>180.74</v>
      </c>
      <c r="K1870" s="2">
        <f t="shared" si="88"/>
        <v>180.74</v>
      </c>
      <c r="L1870" s="2">
        <f t="shared" si="89"/>
        <v>0</v>
      </c>
      <c r="M1870" t="s">
        <v>25</v>
      </c>
      <c r="N1870" t="s">
        <v>21</v>
      </c>
    </row>
    <row r="1871" spans="1:14" x14ac:dyDescent="0.3">
      <c r="A1871">
        <v>2024002869</v>
      </c>
      <c r="B1871" s="1">
        <v>45294</v>
      </c>
      <c r="C1871" s="11">
        <f t="shared" si="87"/>
        <v>2024</v>
      </c>
      <c r="D1871" t="s">
        <v>344</v>
      </c>
      <c r="E1871" t="s">
        <v>18</v>
      </c>
      <c r="F1871" t="s">
        <v>19</v>
      </c>
      <c r="G1871" t="s">
        <v>14</v>
      </c>
      <c r="H1871">
        <v>2</v>
      </c>
      <c r="I1871" s="2">
        <v>635.37</v>
      </c>
      <c r="J1871" s="2">
        <v>1270.74</v>
      </c>
      <c r="K1871" s="2">
        <f t="shared" si="88"/>
        <v>1270.74</v>
      </c>
      <c r="L1871" s="2">
        <f t="shared" si="89"/>
        <v>0</v>
      </c>
      <c r="M1871" t="s">
        <v>48</v>
      </c>
      <c r="N1871" t="s">
        <v>21</v>
      </c>
    </row>
    <row r="1872" spans="1:14" x14ac:dyDescent="0.3">
      <c r="A1872">
        <v>2024002870</v>
      </c>
      <c r="B1872" s="1">
        <v>45554</v>
      </c>
      <c r="C1872" s="11">
        <f t="shared" si="87"/>
        <v>2024</v>
      </c>
      <c r="D1872" t="s">
        <v>287</v>
      </c>
      <c r="E1872" t="s">
        <v>18</v>
      </c>
      <c r="F1872" t="s">
        <v>19</v>
      </c>
      <c r="G1872" t="s">
        <v>14</v>
      </c>
      <c r="H1872">
        <v>3</v>
      </c>
      <c r="I1872" s="2">
        <v>597</v>
      </c>
      <c r="J1872" s="2">
        <v>1791</v>
      </c>
      <c r="K1872" s="2">
        <f t="shared" si="88"/>
        <v>1791</v>
      </c>
      <c r="L1872" s="2">
        <f t="shared" si="89"/>
        <v>0</v>
      </c>
      <c r="M1872" t="s">
        <v>31</v>
      </c>
      <c r="N1872" t="s">
        <v>26</v>
      </c>
    </row>
    <row r="1873" spans="1:14" x14ac:dyDescent="0.3">
      <c r="A1873">
        <v>2024002871</v>
      </c>
      <c r="B1873" s="1">
        <v>45406</v>
      </c>
      <c r="C1873" s="11">
        <f t="shared" si="87"/>
        <v>2024</v>
      </c>
      <c r="D1873" t="s">
        <v>151</v>
      </c>
      <c r="E1873" t="s">
        <v>67</v>
      </c>
      <c r="F1873" t="s">
        <v>68</v>
      </c>
      <c r="G1873" t="s">
        <v>36</v>
      </c>
      <c r="H1873">
        <v>3</v>
      </c>
      <c r="I1873" s="2">
        <v>390.6</v>
      </c>
      <c r="J1873" s="2">
        <v>1171.8</v>
      </c>
      <c r="K1873" s="2">
        <f t="shared" si="88"/>
        <v>1171.8000000000002</v>
      </c>
      <c r="L1873" s="2">
        <f t="shared" si="89"/>
        <v>0</v>
      </c>
      <c r="M1873" t="s">
        <v>15</v>
      </c>
      <c r="N1873" t="s">
        <v>21</v>
      </c>
    </row>
    <row r="1874" spans="1:14" x14ac:dyDescent="0.3">
      <c r="A1874">
        <v>2024002872</v>
      </c>
      <c r="B1874" s="1">
        <v>45597</v>
      </c>
      <c r="C1874" s="11">
        <f t="shared" si="87"/>
        <v>2024</v>
      </c>
      <c r="D1874" t="s">
        <v>103</v>
      </c>
      <c r="E1874" t="s">
        <v>40</v>
      </c>
      <c r="F1874" t="s">
        <v>41</v>
      </c>
      <c r="G1874" t="s">
        <v>36</v>
      </c>
      <c r="H1874">
        <v>0</v>
      </c>
      <c r="I1874" s="2">
        <v>44.87</v>
      </c>
      <c r="J1874" s="2">
        <v>0</v>
      </c>
      <c r="K1874" s="2">
        <f t="shared" si="88"/>
        <v>0</v>
      </c>
      <c r="L1874" s="2">
        <f t="shared" si="89"/>
        <v>0</v>
      </c>
      <c r="M1874" t="s">
        <v>25</v>
      </c>
      <c r="N1874" t="s">
        <v>21</v>
      </c>
    </row>
    <row r="1875" spans="1:14" x14ac:dyDescent="0.3">
      <c r="A1875">
        <v>2024002873</v>
      </c>
      <c r="B1875" s="1">
        <v>45523</v>
      </c>
      <c r="C1875" s="11">
        <f t="shared" si="87"/>
        <v>2024</v>
      </c>
      <c r="D1875" t="s">
        <v>195</v>
      </c>
      <c r="E1875" t="s">
        <v>18</v>
      </c>
      <c r="F1875" t="s">
        <v>19</v>
      </c>
      <c r="G1875" t="s">
        <v>14</v>
      </c>
      <c r="H1875">
        <v>2</v>
      </c>
      <c r="I1875" s="2">
        <v>655.54</v>
      </c>
      <c r="J1875" s="2">
        <v>1311.08</v>
      </c>
      <c r="K1875" s="2">
        <f t="shared" si="88"/>
        <v>1311.08</v>
      </c>
      <c r="L1875" s="2">
        <f t="shared" si="89"/>
        <v>0</v>
      </c>
      <c r="M1875" t="s">
        <v>38</v>
      </c>
      <c r="N1875" t="s">
        <v>21</v>
      </c>
    </row>
    <row r="1876" spans="1:14" x14ac:dyDescent="0.3">
      <c r="A1876">
        <v>2024002874</v>
      </c>
      <c r="B1876" s="1">
        <v>45566</v>
      </c>
      <c r="C1876" s="11">
        <f t="shared" si="87"/>
        <v>2024</v>
      </c>
      <c r="D1876" t="s">
        <v>301</v>
      </c>
      <c r="E1876" t="s">
        <v>40</v>
      </c>
      <c r="F1876" t="s">
        <v>41</v>
      </c>
      <c r="G1876" t="s">
        <v>36</v>
      </c>
      <c r="H1876">
        <v>1</v>
      </c>
      <c r="I1876" s="2">
        <v>45.77</v>
      </c>
      <c r="J1876" s="2">
        <v>45.77</v>
      </c>
      <c r="K1876" s="2">
        <f t="shared" si="88"/>
        <v>45.77</v>
      </c>
      <c r="L1876" s="2">
        <f t="shared" si="89"/>
        <v>0</v>
      </c>
      <c r="M1876" t="s">
        <v>31</v>
      </c>
      <c r="N1876" t="s">
        <v>32</v>
      </c>
    </row>
    <row r="1877" spans="1:14" x14ac:dyDescent="0.3">
      <c r="A1877">
        <v>2024002875</v>
      </c>
      <c r="B1877" s="1">
        <v>45501</v>
      </c>
      <c r="C1877" s="11">
        <f t="shared" si="87"/>
        <v>2024</v>
      </c>
      <c r="D1877" t="s">
        <v>11</v>
      </c>
      <c r="E1877" t="s">
        <v>34</v>
      </c>
      <c r="F1877" t="s">
        <v>35</v>
      </c>
      <c r="G1877" t="s">
        <v>36</v>
      </c>
      <c r="H1877">
        <v>1</v>
      </c>
      <c r="I1877" s="2">
        <v>14.43</v>
      </c>
      <c r="J1877" s="2">
        <v>14.43</v>
      </c>
      <c r="K1877" s="2">
        <f t="shared" si="88"/>
        <v>14.43</v>
      </c>
      <c r="L1877" s="2">
        <f t="shared" si="89"/>
        <v>0</v>
      </c>
      <c r="M1877" t="s">
        <v>20</v>
      </c>
      <c r="N1877" t="s">
        <v>32</v>
      </c>
    </row>
    <row r="1878" spans="1:14" x14ac:dyDescent="0.3">
      <c r="A1878">
        <v>2024002876</v>
      </c>
      <c r="B1878" s="1">
        <v>45597</v>
      </c>
      <c r="C1878" s="11">
        <f t="shared" si="87"/>
        <v>2024</v>
      </c>
      <c r="D1878" t="s">
        <v>177</v>
      </c>
      <c r="E1878" t="s">
        <v>40</v>
      </c>
      <c r="F1878" t="s">
        <v>41</v>
      </c>
      <c r="G1878" t="s">
        <v>36</v>
      </c>
      <c r="H1878">
        <v>2</v>
      </c>
      <c r="I1878" s="2">
        <v>41.36</v>
      </c>
      <c r="J1878" s="2">
        <v>82.72</v>
      </c>
      <c r="K1878" s="2">
        <f t="shared" si="88"/>
        <v>82.72</v>
      </c>
      <c r="L1878" s="2">
        <f t="shared" si="89"/>
        <v>0</v>
      </c>
      <c r="M1878" t="s">
        <v>31</v>
      </c>
      <c r="N1878" t="s">
        <v>26</v>
      </c>
    </row>
    <row r="1879" spans="1:14" x14ac:dyDescent="0.3">
      <c r="A1879">
        <v>2024002877</v>
      </c>
      <c r="B1879" s="1">
        <v>45632</v>
      </c>
      <c r="C1879" s="11">
        <f t="shared" si="87"/>
        <v>2024</v>
      </c>
      <c r="D1879" t="s">
        <v>260</v>
      </c>
      <c r="E1879" t="s">
        <v>34</v>
      </c>
      <c r="F1879" t="s">
        <v>35</v>
      </c>
      <c r="G1879" t="s">
        <v>36</v>
      </c>
      <c r="H1879">
        <v>1</v>
      </c>
      <c r="I1879" s="2">
        <v>15.47</v>
      </c>
      <c r="J1879" s="2">
        <v>15.47</v>
      </c>
      <c r="K1879" s="2">
        <f t="shared" si="88"/>
        <v>15.47</v>
      </c>
      <c r="L1879" s="2">
        <f t="shared" si="89"/>
        <v>0</v>
      </c>
      <c r="M1879" t="s">
        <v>38</v>
      </c>
      <c r="N1879" t="s">
        <v>26</v>
      </c>
    </row>
    <row r="1880" spans="1:14" x14ac:dyDescent="0.3">
      <c r="A1880">
        <v>2024002878</v>
      </c>
      <c r="B1880" s="1">
        <v>45309</v>
      </c>
      <c r="C1880" s="11">
        <f t="shared" si="87"/>
        <v>2024</v>
      </c>
      <c r="D1880" t="s">
        <v>190</v>
      </c>
      <c r="E1880" t="s">
        <v>34</v>
      </c>
      <c r="F1880" t="s">
        <v>35</v>
      </c>
      <c r="G1880" t="s">
        <v>36</v>
      </c>
      <c r="H1880">
        <v>1</v>
      </c>
      <c r="I1880" s="2">
        <v>15.26</v>
      </c>
      <c r="J1880" s="2">
        <v>15.26</v>
      </c>
      <c r="K1880" s="2">
        <f t="shared" si="88"/>
        <v>15.26</v>
      </c>
      <c r="L1880" s="2">
        <f t="shared" si="89"/>
        <v>0</v>
      </c>
      <c r="M1880" t="s">
        <v>57</v>
      </c>
      <c r="N1880" t="s">
        <v>21</v>
      </c>
    </row>
    <row r="1881" spans="1:14" x14ac:dyDescent="0.3">
      <c r="A1881">
        <v>2024002879</v>
      </c>
      <c r="B1881" s="1">
        <v>45411</v>
      </c>
      <c r="C1881" s="11">
        <f t="shared" si="87"/>
        <v>2024</v>
      </c>
      <c r="D1881" t="s">
        <v>321</v>
      </c>
      <c r="E1881" t="s">
        <v>40</v>
      </c>
      <c r="F1881" t="s">
        <v>41</v>
      </c>
      <c r="G1881" t="s">
        <v>36</v>
      </c>
      <c r="H1881">
        <v>2</v>
      </c>
      <c r="I1881" s="2">
        <v>50.64</v>
      </c>
      <c r="J1881" s="2">
        <v>101.28</v>
      </c>
      <c r="K1881" s="2">
        <f t="shared" si="88"/>
        <v>101.28</v>
      </c>
      <c r="L1881" s="2">
        <f t="shared" si="89"/>
        <v>0</v>
      </c>
      <c r="M1881" t="s">
        <v>31</v>
      </c>
      <c r="N1881" t="s">
        <v>26</v>
      </c>
    </row>
    <row r="1882" spans="1:14" x14ac:dyDescent="0.3">
      <c r="A1882">
        <v>2024002880</v>
      </c>
      <c r="B1882" s="1">
        <v>45449</v>
      </c>
      <c r="C1882" s="11">
        <f t="shared" si="87"/>
        <v>2024</v>
      </c>
      <c r="D1882" t="s">
        <v>11</v>
      </c>
      <c r="E1882" t="s">
        <v>40</v>
      </c>
      <c r="F1882" t="s">
        <v>41</v>
      </c>
      <c r="G1882" t="s">
        <v>36</v>
      </c>
      <c r="H1882">
        <v>3</v>
      </c>
      <c r="I1882" s="2">
        <v>47.86</v>
      </c>
      <c r="J1882" s="2">
        <v>143.58000000000001</v>
      </c>
      <c r="K1882" s="2">
        <f t="shared" si="88"/>
        <v>143.57999999999998</v>
      </c>
      <c r="L1882" s="2">
        <f t="shared" si="89"/>
        <v>0</v>
      </c>
      <c r="M1882" t="s">
        <v>61</v>
      </c>
      <c r="N1882" t="s">
        <v>26</v>
      </c>
    </row>
    <row r="1883" spans="1:14" x14ac:dyDescent="0.3">
      <c r="A1883">
        <v>2024002127</v>
      </c>
      <c r="B1883" s="1">
        <v>45532</v>
      </c>
      <c r="C1883" s="11">
        <f t="shared" si="87"/>
        <v>2024</v>
      </c>
      <c r="D1883" t="s">
        <v>85</v>
      </c>
      <c r="E1883" t="s">
        <v>53</v>
      </c>
      <c r="F1883" t="s">
        <v>54</v>
      </c>
      <c r="G1883" t="s">
        <v>36</v>
      </c>
      <c r="H1883">
        <v>1</v>
      </c>
      <c r="I1883" s="2">
        <v>110.53</v>
      </c>
      <c r="J1883" s="2">
        <v>110.53</v>
      </c>
      <c r="K1883" s="2">
        <f t="shared" si="88"/>
        <v>110.53</v>
      </c>
      <c r="L1883" s="2">
        <f t="shared" si="89"/>
        <v>0</v>
      </c>
      <c r="M1883" t="s">
        <v>20</v>
      </c>
      <c r="N1883" t="s">
        <v>21</v>
      </c>
    </row>
    <row r="1884" spans="1:14" x14ac:dyDescent="0.3">
      <c r="A1884">
        <v>2024002882</v>
      </c>
      <c r="B1884" s="1">
        <v>45460</v>
      </c>
      <c r="C1884" s="11">
        <f t="shared" si="87"/>
        <v>2024</v>
      </c>
      <c r="D1884" t="s">
        <v>316</v>
      </c>
      <c r="E1884" t="s">
        <v>53</v>
      </c>
      <c r="F1884" t="s">
        <v>54</v>
      </c>
      <c r="G1884" t="s">
        <v>36</v>
      </c>
      <c r="H1884">
        <v>3</v>
      </c>
      <c r="I1884" s="2">
        <v>108.52</v>
      </c>
      <c r="J1884" s="2">
        <v>325.56</v>
      </c>
      <c r="K1884" s="2">
        <f t="shared" si="88"/>
        <v>325.56</v>
      </c>
      <c r="L1884" s="2">
        <f t="shared" si="89"/>
        <v>0</v>
      </c>
      <c r="M1884" t="s">
        <v>48</v>
      </c>
      <c r="N1884" t="s">
        <v>32</v>
      </c>
    </row>
    <row r="1885" spans="1:14" x14ac:dyDescent="0.3">
      <c r="A1885">
        <v>2024002883</v>
      </c>
      <c r="B1885" s="1">
        <v>45634</v>
      </c>
      <c r="C1885" s="11">
        <f t="shared" si="87"/>
        <v>2024</v>
      </c>
      <c r="D1885" t="s">
        <v>104</v>
      </c>
      <c r="E1885" t="s">
        <v>18</v>
      </c>
      <c r="F1885" t="s">
        <v>19</v>
      </c>
      <c r="G1885" t="s">
        <v>14</v>
      </c>
      <c r="H1885">
        <v>1</v>
      </c>
      <c r="I1885" s="2">
        <v>598.5</v>
      </c>
      <c r="J1885" s="2">
        <v>598.5</v>
      </c>
      <c r="K1885" s="2">
        <f t="shared" si="88"/>
        <v>598.5</v>
      </c>
      <c r="L1885" s="2">
        <f t="shared" si="89"/>
        <v>0</v>
      </c>
      <c r="M1885" t="s">
        <v>15</v>
      </c>
      <c r="N1885" t="s">
        <v>21</v>
      </c>
    </row>
    <row r="1886" spans="1:14" x14ac:dyDescent="0.3">
      <c r="A1886">
        <v>2024002884</v>
      </c>
      <c r="B1886" s="1">
        <v>45304</v>
      </c>
      <c r="C1886" s="11">
        <f t="shared" si="87"/>
        <v>2024</v>
      </c>
      <c r="D1886" t="s">
        <v>342</v>
      </c>
      <c r="E1886" t="s">
        <v>23</v>
      </c>
      <c r="F1886" t="s">
        <v>24</v>
      </c>
      <c r="G1886" t="s">
        <v>14</v>
      </c>
      <c r="H1886">
        <v>1</v>
      </c>
      <c r="I1886" s="2">
        <v>82.72</v>
      </c>
      <c r="J1886" s="2">
        <v>82.72</v>
      </c>
      <c r="K1886" s="2">
        <f t="shared" si="88"/>
        <v>82.72</v>
      </c>
      <c r="L1886" s="2">
        <f t="shared" si="89"/>
        <v>0</v>
      </c>
      <c r="M1886" t="s">
        <v>55</v>
      </c>
      <c r="N1886" t="s">
        <v>16</v>
      </c>
    </row>
    <row r="1887" spans="1:14" x14ac:dyDescent="0.3">
      <c r="A1887">
        <v>2024002885</v>
      </c>
      <c r="B1887" s="1">
        <v>45490</v>
      </c>
      <c r="C1887" s="11">
        <f t="shared" si="87"/>
        <v>2024</v>
      </c>
      <c r="D1887" t="s">
        <v>330</v>
      </c>
      <c r="E1887" t="s">
        <v>40</v>
      </c>
      <c r="F1887" t="s">
        <v>41</v>
      </c>
      <c r="G1887" t="s">
        <v>36</v>
      </c>
      <c r="H1887">
        <v>2</v>
      </c>
      <c r="I1887" s="2">
        <v>41.86</v>
      </c>
      <c r="J1887" s="2">
        <v>83.72</v>
      </c>
      <c r="K1887" s="2">
        <f t="shared" si="88"/>
        <v>83.72</v>
      </c>
      <c r="L1887" s="2">
        <f t="shared" si="89"/>
        <v>0</v>
      </c>
      <c r="M1887" t="s">
        <v>55</v>
      </c>
      <c r="N1887" t="s">
        <v>16</v>
      </c>
    </row>
    <row r="1888" spans="1:14" x14ac:dyDescent="0.3">
      <c r="A1888">
        <v>2024002886</v>
      </c>
      <c r="B1888" s="1">
        <v>45321</v>
      </c>
      <c r="C1888" s="11">
        <f t="shared" si="87"/>
        <v>2024</v>
      </c>
      <c r="D1888" t="s">
        <v>11</v>
      </c>
      <c r="E1888" t="s">
        <v>40</v>
      </c>
      <c r="F1888" t="s">
        <v>41</v>
      </c>
      <c r="G1888" t="s">
        <v>36</v>
      </c>
      <c r="H1888">
        <v>1</v>
      </c>
      <c r="I1888" s="2">
        <v>39.200000000000003</v>
      </c>
      <c r="J1888" s="2">
        <v>39.200000000000003</v>
      </c>
      <c r="K1888" s="2">
        <f t="shared" si="88"/>
        <v>39.200000000000003</v>
      </c>
      <c r="L1888" s="2">
        <f t="shared" si="89"/>
        <v>0</v>
      </c>
      <c r="M1888" t="s">
        <v>55</v>
      </c>
      <c r="N1888" t="s">
        <v>21</v>
      </c>
    </row>
    <row r="1889" spans="1:14" x14ac:dyDescent="0.3">
      <c r="A1889">
        <v>2024002887</v>
      </c>
      <c r="B1889" s="1">
        <v>45314</v>
      </c>
      <c r="C1889" s="11">
        <f t="shared" si="87"/>
        <v>2024</v>
      </c>
      <c r="D1889" t="s">
        <v>11</v>
      </c>
      <c r="E1889" t="s">
        <v>46</v>
      </c>
      <c r="F1889" t="s">
        <v>47</v>
      </c>
      <c r="G1889" t="s">
        <v>36</v>
      </c>
      <c r="H1889">
        <v>3</v>
      </c>
      <c r="I1889" s="2">
        <v>87.43</v>
      </c>
      <c r="J1889" s="2">
        <v>262.29000000000002</v>
      </c>
      <c r="K1889" s="2">
        <f t="shared" si="88"/>
        <v>262.29000000000002</v>
      </c>
      <c r="L1889" s="2">
        <f t="shared" si="89"/>
        <v>0</v>
      </c>
      <c r="M1889" t="s">
        <v>57</v>
      </c>
      <c r="N1889" t="s">
        <v>21</v>
      </c>
    </row>
    <row r="1890" spans="1:14" x14ac:dyDescent="0.3">
      <c r="A1890">
        <v>2024002888</v>
      </c>
      <c r="B1890" s="1">
        <v>45391</v>
      </c>
      <c r="C1890" s="11">
        <f t="shared" si="87"/>
        <v>2024</v>
      </c>
      <c r="D1890" t="s">
        <v>149</v>
      </c>
      <c r="E1890" t="s">
        <v>34</v>
      </c>
      <c r="F1890" t="s">
        <v>35</v>
      </c>
      <c r="G1890" t="s">
        <v>36</v>
      </c>
      <c r="H1890">
        <v>1</v>
      </c>
      <c r="I1890" s="2">
        <v>14.73</v>
      </c>
      <c r="J1890" s="2">
        <v>14.73</v>
      </c>
      <c r="K1890" s="2">
        <f t="shared" si="88"/>
        <v>14.73</v>
      </c>
      <c r="L1890" s="2">
        <f t="shared" si="89"/>
        <v>0</v>
      </c>
      <c r="M1890" t="s">
        <v>15</v>
      </c>
      <c r="N1890" t="s">
        <v>16</v>
      </c>
    </row>
    <row r="1891" spans="1:14" x14ac:dyDescent="0.3">
      <c r="A1891">
        <v>2024002889</v>
      </c>
      <c r="B1891" s="1">
        <v>45632</v>
      </c>
      <c r="C1891" s="11">
        <f t="shared" si="87"/>
        <v>2024</v>
      </c>
      <c r="D1891" t="s">
        <v>233</v>
      </c>
      <c r="E1891" t="s">
        <v>46</v>
      </c>
      <c r="F1891" t="s">
        <v>47</v>
      </c>
      <c r="G1891" t="s">
        <v>36</v>
      </c>
      <c r="H1891">
        <v>1</v>
      </c>
      <c r="I1891" s="2">
        <v>96.59</v>
      </c>
      <c r="J1891" s="2">
        <v>96.59</v>
      </c>
      <c r="K1891" s="2">
        <f t="shared" si="88"/>
        <v>96.59</v>
      </c>
      <c r="L1891" s="2">
        <f t="shared" si="89"/>
        <v>0</v>
      </c>
      <c r="M1891" t="s">
        <v>31</v>
      </c>
      <c r="N1891" t="s">
        <v>26</v>
      </c>
    </row>
    <row r="1892" spans="1:14" x14ac:dyDescent="0.3">
      <c r="A1892">
        <v>2024002890</v>
      </c>
      <c r="B1892" s="1">
        <v>45657</v>
      </c>
      <c r="C1892" s="11">
        <f t="shared" si="87"/>
        <v>2024</v>
      </c>
      <c r="D1892" t="s">
        <v>99</v>
      </c>
      <c r="E1892" t="s">
        <v>53</v>
      </c>
      <c r="F1892" t="s">
        <v>54</v>
      </c>
      <c r="G1892" t="s">
        <v>36</v>
      </c>
      <c r="H1892">
        <v>1</v>
      </c>
      <c r="I1892" s="2">
        <v>127.65</v>
      </c>
      <c r="J1892" s="2">
        <v>127.65</v>
      </c>
      <c r="K1892" s="2">
        <f t="shared" si="88"/>
        <v>127.65</v>
      </c>
      <c r="L1892" s="2">
        <f t="shared" si="89"/>
        <v>0</v>
      </c>
      <c r="M1892" t="s">
        <v>55</v>
      </c>
      <c r="N1892" t="s">
        <v>21</v>
      </c>
    </row>
    <row r="1893" spans="1:14" x14ac:dyDescent="0.3">
      <c r="A1893">
        <v>2024002891</v>
      </c>
      <c r="B1893" s="1">
        <v>45413</v>
      </c>
      <c r="C1893" s="11">
        <f t="shared" si="87"/>
        <v>2024</v>
      </c>
      <c r="D1893" t="s">
        <v>121</v>
      </c>
      <c r="E1893" t="s">
        <v>28</v>
      </c>
      <c r="F1893" t="s">
        <v>29</v>
      </c>
      <c r="G1893" t="s">
        <v>30</v>
      </c>
      <c r="H1893">
        <v>1</v>
      </c>
      <c r="I1893" s="2">
        <v>23.58</v>
      </c>
      <c r="J1893" s="2">
        <v>23.58</v>
      </c>
      <c r="K1893" s="2">
        <f t="shared" si="88"/>
        <v>23.58</v>
      </c>
      <c r="L1893" s="2">
        <f t="shared" si="89"/>
        <v>0</v>
      </c>
      <c r="M1893" t="s">
        <v>48</v>
      </c>
      <c r="N1893" t="s">
        <v>21</v>
      </c>
    </row>
    <row r="1894" spans="1:14" x14ac:dyDescent="0.3">
      <c r="A1894">
        <v>2024002892</v>
      </c>
      <c r="B1894" s="1">
        <v>45639</v>
      </c>
      <c r="C1894" s="11">
        <f t="shared" si="87"/>
        <v>2024</v>
      </c>
      <c r="D1894" t="s">
        <v>71</v>
      </c>
      <c r="E1894" t="s">
        <v>18</v>
      </c>
      <c r="F1894" t="s">
        <v>19</v>
      </c>
      <c r="G1894" t="s">
        <v>14</v>
      </c>
      <c r="H1894">
        <v>2</v>
      </c>
      <c r="I1894" s="2">
        <v>634.29999999999995</v>
      </c>
      <c r="J1894" s="2">
        <v>1268.5999999999999</v>
      </c>
      <c r="K1894" s="2">
        <f t="shared" si="88"/>
        <v>1268.5999999999999</v>
      </c>
      <c r="L1894" s="2">
        <f t="shared" si="89"/>
        <v>0</v>
      </c>
      <c r="M1894" t="s">
        <v>55</v>
      </c>
      <c r="N1894" t="s">
        <v>26</v>
      </c>
    </row>
    <row r="1895" spans="1:14" x14ac:dyDescent="0.3">
      <c r="A1895">
        <v>2024002893</v>
      </c>
      <c r="B1895" s="1">
        <v>45534</v>
      </c>
      <c r="C1895" s="11">
        <f t="shared" si="87"/>
        <v>2024</v>
      </c>
      <c r="D1895" t="s">
        <v>247</v>
      </c>
      <c r="E1895" t="s">
        <v>40</v>
      </c>
      <c r="F1895" t="s">
        <v>41</v>
      </c>
      <c r="G1895" t="s">
        <v>36</v>
      </c>
      <c r="H1895">
        <v>1</v>
      </c>
      <c r="I1895" s="2">
        <v>45.42</v>
      </c>
      <c r="J1895" s="2">
        <v>45.42</v>
      </c>
      <c r="K1895" s="2">
        <f t="shared" si="88"/>
        <v>45.42</v>
      </c>
      <c r="L1895" s="2">
        <f t="shared" si="89"/>
        <v>0</v>
      </c>
      <c r="M1895" t="s">
        <v>31</v>
      </c>
      <c r="N1895" t="s">
        <v>16</v>
      </c>
    </row>
    <row r="1896" spans="1:14" x14ac:dyDescent="0.3">
      <c r="A1896">
        <v>2024002894</v>
      </c>
      <c r="B1896" s="1">
        <v>45457</v>
      </c>
      <c r="C1896" s="11">
        <f t="shared" si="87"/>
        <v>2024</v>
      </c>
      <c r="D1896" t="s">
        <v>218</v>
      </c>
      <c r="E1896" t="s">
        <v>46</v>
      </c>
      <c r="F1896" t="s">
        <v>47</v>
      </c>
      <c r="G1896" t="s">
        <v>36</v>
      </c>
      <c r="H1896">
        <v>1</v>
      </c>
      <c r="I1896" s="2">
        <v>83.69</v>
      </c>
      <c r="J1896" s="2">
        <v>83.69</v>
      </c>
      <c r="K1896" s="2">
        <f t="shared" si="88"/>
        <v>83.69</v>
      </c>
      <c r="L1896" s="2">
        <f t="shared" si="89"/>
        <v>0</v>
      </c>
      <c r="M1896" t="s">
        <v>61</v>
      </c>
      <c r="N1896" t="s">
        <v>32</v>
      </c>
    </row>
    <row r="1897" spans="1:14" x14ac:dyDescent="0.3">
      <c r="A1897">
        <v>2024002895</v>
      </c>
      <c r="B1897" s="1">
        <v>45387</v>
      </c>
      <c r="C1897" s="11">
        <f t="shared" si="87"/>
        <v>2024</v>
      </c>
      <c r="D1897" t="s">
        <v>155</v>
      </c>
      <c r="E1897" t="s">
        <v>23</v>
      </c>
      <c r="F1897" t="s">
        <v>24</v>
      </c>
      <c r="G1897" t="s">
        <v>14</v>
      </c>
      <c r="H1897">
        <v>3</v>
      </c>
      <c r="I1897" s="2">
        <v>72.98</v>
      </c>
      <c r="J1897" s="2">
        <v>218.94</v>
      </c>
      <c r="K1897" s="2">
        <f t="shared" si="88"/>
        <v>218.94</v>
      </c>
      <c r="L1897" s="2">
        <f t="shared" si="89"/>
        <v>0</v>
      </c>
      <c r="M1897" t="s">
        <v>38</v>
      </c>
      <c r="N1897" t="s">
        <v>32</v>
      </c>
    </row>
    <row r="1898" spans="1:14" x14ac:dyDescent="0.3">
      <c r="A1898">
        <v>2024002896</v>
      </c>
      <c r="B1898" s="1">
        <v>45625</v>
      </c>
      <c r="C1898" s="11">
        <f t="shared" si="87"/>
        <v>2024</v>
      </c>
      <c r="D1898" t="s">
        <v>63</v>
      </c>
      <c r="E1898" t="s">
        <v>18</v>
      </c>
      <c r="F1898" t="s">
        <v>19</v>
      </c>
      <c r="G1898" t="s">
        <v>14</v>
      </c>
      <c r="H1898">
        <v>3</v>
      </c>
      <c r="I1898" s="2">
        <v>558.9</v>
      </c>
      <c r="J1898" s="2">
        <v>1676.7</v>
      </c>
      <c r="K1898" s="2">
        <f t="shared" si="88"/>
        <v>1676.6999999999998</v>
      </c>
      <c r="L1898" s="2">
        <f t="shared" si="89"/>
        <v>0</v>
      </c>
      <c r="M1898" t="s">
        <v>20</v>
      </c>
      <c r="N1898" t="s">
        <v>32</v>
      </c>
    </row>
    <row r="1899" spans="1:14" x14ac:dyDescent="0.3">
      <c r="A1899">
        <v>2024002897</v>
      </c>
      <c r="B1899" s="1">
        <v>45551</v>
      </c>
      <c r="C1899" s="11">
        <f t="shared" si="87"/>
        <v>2024</v>
      </c>
      <c r="D1899" t="s">
        <v>11</v>
      </c>
      <c r="E1899" t="s">
        <v>46</v>
      </c>
      <c r="F1899" t="s">
        <v>47</v>
      </c>
      <c r="G1899" t="s">
        <v>36</v>
      </c>
      <c r="H1899">
        <v>3</v>
      </c>
      <c r="I1899" s="2">
        <v>85.59</v>
      </c>
      <c r="J1899" s="2">
        <v>256.77</v>
      </c>
      <c r="K1899" s="2">
        <f t="shared" si="88"/>
        <v>256.77</v>
      </c>
      <c r="L1899" s="2">
        <f t="shared" si="89"/>
        <v>0</v>
      </c>
      <c r="M1899" t="s">
        <v>25</v>
      </c>
      <c r="N1899" t="s">
        <v>16</v>
      </c>
    </row>
    <row r="1900" spans="1:14" x14ac:dyDescent="0.3">
      <c r="A1900">
        <v>2024002898</v>
      </c>
      <c r="B1900" s="1">
        <v>45552</v>
      </c>
      <c r="C1900" s="11">
        <f t="shared" si="87"/>
        <v>2024</v>
      </c>
      <c r="D1900" t="s">
        <v>141</v>
      </c>
      <c r="E1900" t="s">
        <v>23</v>
      </c>
      <c r="F1900" t="s">
        <v>24</v>
      </c>
      <c r="G1900" t="s">
        <v>14</v>
      </c>
      <c r="H1900">
        <v>3</v>
      </c>
      <c r="I1900" s="2">
        <v>84.37</v>
      </c>
      <c r="J1900" s="2">
        <v>253.11</v>
      </c>
      <c r="K1900" s="2">
        <f t="shared" si="88"/>
        <v>253.11</v>
      </c>
      <c r="L1900" s="2">
        <f t="shared" si="89"/>
        <v>0</v>
      </c>
      <c r="M1900" t="s">
        <v>20</v>
      </c>
      <c r="N1900" t="s">
        <v>21</v>
      </c>
    </row>
    <row r="1901" spans="1:14" x14ac:dyDescent="0.3">
      <c r="A1901">
        <v>2024002899</v>
      </c>
      <c r="B1901" s="1">
        <v>45562</v>
      </c>
      <c r="C1901" s="11">
        <f t="shared" si="87"/>
        <v>2024</v>
      </c>
      <c r="D1901" t="s">
        <v>236</v>
      </c>
      <c r="E1901" t="s">
        <v>34</v>
      </c>
      <c r="F1901" t="s">
        <v>35</v>
      </c>
      <c r="G1901" t="s">
        <v>36</v>
      </c>
      <c r="H1901">
        <v>3</v>
      </c>
      <c r="I1901" s="2">
        <v>14.96</v>
      </c>
      <c r="J1901" s="2">
        <v>44.88</v>
      </c>
      <c r="K1901" s="2">
        <f t="shared" si="88"/>
        <v>44.88</v>
      </c>
      <c r="L1901" s="2">
        <f t="shared" si="89"/>
        <v>0</v>
      </c>
      <c r="M1901" t="s">
        <v>57</v>
      </c>
      <c r="N1901" t="s">
        <v>26</v>
      </c>
    </row>
    <row r="1902" spans="1:14" x14ac:dyDescent="0.3">
      <c r="A1902">
        <v>2024002900</v>
      </c>
      <c r="B1902" s="1">
        <v>45383</v>
      </c>
      <c r="C1902" s="11">
        <f t="shared" si="87"/>
        <v>2024</v>
      </c>
      <c r="D1902" t="s">
        <v>11</v>
      </c>
      <c r="E1902" t="s">
        <v>43</v>
      </c>
      <c r="F1902" t="s">
        <v>44</v>
      </c>
      <c r="G1902" t="s">
        <v>36</v>
      </c>
      <c r="H1902">
        <v>2</v>
      </c>
      <c r="I1902" s="2">
        <v>1180.29</v>
      </c>
      <c r="J1902" s="2">
        <v>2360.58</v>
      </c>
      <c r="K1902" s="2">
        <f t="shared" si="88"/>
        <v>2360.58</v>
      </c>
      <c r="L1902" s="2">
        <f t="shared" si="89"/>
        <v>0</v>
      </c>
      <c r="M1902" t="s">
        <v>31</v>
      </c>
      <c r="N1902" t="s">
        <v>21</v>
      </c>
    </row>
    <row r="1903" spans="1:14" x14ac:dyDescent="0.3">
      <c r="A1903">
        <v>2024002901</v>
      </c>
      <c r="B1903" s="1">
        <v>45378</v>
      </c>
      <c r="C1903" s="11">
        <f t="shared" si="87"/>
        <v>2024</v>
      </c>
      <c r="D1903" t="s">
        <v>212</v>
      </c>
      <c r="E1903" t="s">
        <v>34</v>
      </c>
      <c r="F1903" t="s">
        <v>35</v>
      </c>
      <c r="G1903" t="s">
        <v>36</v>
      </c>
      <c r="H1903">
        <v>5</v>
      </c>
      <c r="I1903" s="2">
        <v>14.9</v>
      </c>
      <c r="J1903" s="2">
        <v>74.5</v>
      </c>
      <c r="K1903" s="2">
        <f t="shared" si="88"/>
        <v>74.5</v>
      </c>
      <c r="L1903" s="2">
        <f t="shared" si="89"/>
        <v>0</v>
      </c>
      <c r="M1903" t="s">
        <v>38</v>
      </c>
      <c r="N1903" t="s">
        <v>16</v>
      </c>
    </row>
    <row r="1904" spans="1:14" x14ac:dyDescent="0.3">
      <c r="A1904">
        <v>2024002902</v>
      </c>
      <c r="B1904" s="1">
        <v>45640</v>
      </c>
      <c r="C1904" s="11">
        <f t="shared" si="87"/>
        <v>2024</v>
      </c>
      <c r="D1904" t="s">
        <v>235</v>
      </c>
      <c r="E1904" t="s">
        <v>28</v>
      </c>
      <c r="F1904" t="s">
        <v>29</v>
      </c>
      <c r="G1904" t="s">
        <v>30</v>
      </c>
      <c r="H1904">
        <v>1</v>
      </c>
      <c r="I1904" s="2">
        <v>25.64</v>
      </c>
      <c r="J1904" s="2">
        <v>25.64</v>
      </c>
      <c r="K1904" s="2">
        <f t="shared" si="88"/>
        <v>25.64</v>
      </c>
      <c r="L1904" s="2">
        <f t="shared" si="89"/>
        <v>0</v>
      </c>
      <c r="M1904" t="s">
        <v>31</v>
      </c>
      <c r="N1904" t="s">
        <v>26</v>
      </c>
    </row>
    <row r="1905" spans="1:14" x14ac:dyDescent="0.3">
      <c r="A1905">
        <v>2024002903</v>
      </c>
      <c r="B1905" s="1">
        <v>45338</v>
      </c>
      <c r="C1905" s="11">
        <f t="shared" si="87"/>
        <v>2024</v>
      </c>
      <c r="D1905" t="s">
        <v>11</v>
      </c>
      <c r="E1905" t="s">
        <v>53</v>
      </c>
      <c r="F1905" t="s">
        <v>54</v>
      </c>
      <c r="G1905" t="s">
        <v>36</v>
      </c>
      <c r="H1905">
        <v>2</v>
      </c>
      <c r="I1905" s="2">
        <v>121.21</v>
      </c>
      <c r="J1905" s="2">
        <v>242.42</v>
      </c>
      <c r="K1905" s="2">
        <f t="shared" si="88"/>
        <v>242.42</v>
      </c>
      <c r="L1905" s="2">
        <f t="shared" si="89"/>
        <v>0</v>
      </c>
      <c r="M1905" t="s">
        <v>38</v>
      </c>
      <c r="N1905" t="s">
        <v>32</v>
      </c>
    </row>
    <row r="1906" spans="1:14" x14ac:dyDescent="0.3">
      <c r="A1906">
        <v>2024002904</v>
      </c>
      <c r="B1906" s="1">
        <v>45404</v>
      </c>
      <c r="C1906" s="11">
        <f t="shared" si="87"/>
        <v>2024</v>
      </c>
      <c r="D1906" t="s">
        <v>330</v>
      </c>
      <c r="E1906" t="s">
        <v>34</v>
      </c>
      <c r="F1906" t="s">
        <v>35</v>
      </c>
      <c r="G1906" t="s">
        <v>36</v>
      </c>
      <c r="H1906">
        <v>1</v>
      </c>
      <c r="I1906" s="2">
        <v>14.14</v>
      </c>
      <c r="J1906" s="2">
        <v>14.14</v>
      </c>
      <c r="K1906" s="2">
        <f t="shared" si="88"/>
        <v>14.14</v>
      </c>
      <c r="L1906" s="2">
        <f t="shared" si="89"/>
        <v>0</v>
      </c>
      <c r="M1906" t="s">
        <v>48</v>
      </c>
      <c r="N1906" t="s">
        <v>26</v>
      </c>
    </row>
    <row r="1907" spans="1:14" x14ac:dyDescent="0.3">
      <c r="A1907">
        <v>2024002905</v>
      </c>
      <c r="B1907" s="1">
        <v>45489</v>
      </c>
      <c r="C1907" s="11">
        <f t="shared" si="87"/>
        <v>2024</v>
      </c>
      <c r="D1907" t="s">
        <v>315</v>
      </c>
      <c r="E1907" t="s">
        <v>34</v>
      </c>
      <c r="F1907" t="s">
        <v>35</v>
      </c>
      <c r="G1907" t="s">
        <v>36</v>
      </c>
      <c r="H1907">
        <v>1</v>
      </c>
      <c r="I1907" s="2">
        <v>15.16</v>
      </c>
      <c r="J1907" s="2">
        <v>15.16</v>
      </c>
      <c r="K1907" s="2">
        <f t="shared" si="88"/>
        <v>15.16</v>
      </c>
      <c r="L1907" s="2">
        <f t="shared" si="89"/>
        <v>0</v>
      </c>
      <c r="M1907" t="s">
        <v>61</v>
      </c>
      <c r="N1907" t="s">
        <v>21</v>
      </c>
    </row>
    <row r="1908" spans="1:14" x14ac:dyDescent="0.3">
      <c r="A1908">
        <v>2024002906</v>
      </c>
      <c r="B1908" s="1">
        <v>45502</v>
      </c>
      <c r="C1908" s="11">
        <f t="shared" si="87"/>
        <v>2024</v>
      </c>
      <c r="D1908" t="s">
        <v>248</v>
      </c>
      <c r="E1908" t="s">
        <v>46</v>
      </c>
      <c r="F1908" t="s">
        <v>47</v>
      </c>
      <c r="G1908" t="s">
        <v>36</v>
      </c>
      <c r="H1908">
        <v>2</v>
      </c>
      <c r="I1908" s="2">
        <v>83.51</v>
      </c>
      <c r="J1908" s="2">
        <v>167.02</v>
      </c>
      <c r="K1908" s="2">
        <f t="shared" si="88"/>
        <v>167.02</v>
      </c>
      <c r="L1908" s="2">
        <f t="shared" si="89"/>
        <v>0</v>
      </c>
      <c r="M1908" t="s">
        <v>38</v>
      </c>
      <c r="N1908" t="s">
        <v>32</v>
      </c>
    </row>
    <row r="1909" spans="1:14" x14ac:dyDescent="0.3">
      <c r="A1909">
        <v>2024002907</v>
      </c>
      <c r="B1909" s="1">
        <v>45457</v>
      </c>
      <c r="C1909" s="11">
        <f t="shared" si="87"/>
        <v>2024</v>
      </c>
      <c r="D1909" t="s">
        <v>69</v>
      </c>
      <c r="E1909" t="s">
        <v>46</v>
      </c>
      <c r="F1909" t="s">
        <v>47</v>
      </c>
      <c r="G1909" t="s">
        <v>36</v>
      </c>
      <c r="H1909">
        <v>2</v>
      </c>
      <c r="I1909" s="2">
        <v>92.87</v>
      </c>
      <c r="J1909" s="2">
        <v>185.74</v>
      </c>
      <c r="K1909" s="2">
        <f t="shared" si="88"/>
        <v>185.74</v>
      </c>
      <c r="L1909" s="2">
        <f t="shared" si="89"/>
        <v>0</v>
      </c>
      <c r="M1909" t="s">
        <v>20</v>
      </c>
      <c r="N1909" t="s">
        <v>26</v>
      </c>
    </row>
    <row r="1910" spans="1:14" x14ac:dyDescent="0.3">
      <c r="A1910">
        <v>2024002908</v>
      </c>
      <c r="B1910" s="1">
        <v>45453</v>
      </c>
      <c r="C1910" s="11">
        <f t="shared" si="87"/>
        <v>2024</v>
      </c>
      <c r="D1910" t="s">
        <v>261</v>
      </c>
      <c r="E1910" t="s">
        <v>28</v>
      </c>
      <c r="F1910" t="s">
        <v>29</v>
      </c>
      <c r="G1910" t="s">
        <v>30</v>
      </c>
      <c r="H1910">
        <v>1</v>
      </c>
      <c r="I1910" s="2">
        <v>26.94</v>
      </c>
      <c r="J1910" s="2">
        <v>26.94</v>
      </c>
      <c r="K1910" s="2">
        <f t="shared" si="88"/>
        <v>26.94</v>
      </c>
      <c r="L1910" s="2">
        <f t="shared" si="89"/>
        <v>0</v>
      </c>
      <c r="M1910" t="s">
        <v>20</v>
      </c>
      <c r="N1910" t="s">
        <v>26</v>
      </c>
    </row>
    <row r="1911" spans="1:14" x14ac:dyDescent="0.3">
      <c r="A1911">
        <v>2024002909</v>
      </c>
      <c r="B1911" s="1">
        <v>45309</v>
      </c>
      <c r="C1911" s="11">
        <f t="shared" si="87"/>
        <v>2024</v>
      </c>
      <c r="D1911" t="s">
        <v>203</v>
      </c>
      <c r="E1911" t="s">
        <v>43</v>
      </c>
      <c r="F1911" t="s">
        <v>44</v>
      </c>
      <c r="G1911" t="s">
        <v>36</v>
      </c>
      <c r="H1911">
        <v>3</v>
      </c>
      <c r="I1911" s="2">
        <v>1196.7</v>
      </c>
      <c r="J1911" s="2">
        <v>3590.1</v>
      </c>
      <c r="K1911" s="2">
        <f t="shared" si="88"/>
        <v>3590.1000000000004</v>
      </c>
      <c r="L1911" s="2">
        <f t="shared" si="89"/>
        <v>0</v>
      </c>
      <c r="M1911" t="s">
        <v>31</v>
      </c>
      <c r="N1911" t="s">
        <v>16</v>
      </c>
    </row>
    <row r="1912" spans="1:14" x14ac:dyDescent="0.3">
      <c r="A1912">
        <v>2024002910</v>
      </c>
      <c r="B1912" s="1">
        <v>45455</v>
      </c>
      <c r="C1912" s="11">
        <f t="shared" si="87"/>
        <v>2024</v>
      </c>
      <c r="D1912" t="s">
        <v>122</v>
      </c>
      <c r="E1912" t="s">
        <v>40</v>
      </c>
      <c r="F1912" t="s">
        <v>41</v>
      </c>
      <c r="G1912" t="s">
        <v>36</v>
      </c>
      <c r="H1912">
        <v>2</v>
      </c>
      <c r="I1912" s="2">
        <v>44.3</v>
      </c>
      <c r="J1912" s="2">
        <v>88.6</v>
      </c>
      <c r="K1912" s="2">
        <f t="shared" si="88"/>
        <v>88.6</v>
      </c>
      <c r="L1912" s="2">
        <f t="shared" si="89"/>
        <v>0</v>
      </c>
      <c r="M1912" t="s">
        <v>64</v>
      </c>
      <c r="N1912" t="s">
        <v>26</v>
      </c>
    </row>
    <row r="1913" spans="1:14" x14ac:dyDescent="0.3">
      <c r="A1913">
        <v>2024002911</v>
      </c>
      <c r="B1913" s="1">
        <v>45569</v>
      </c>
      <c r="C1913" s="11">
        <f t="shared" si="87"/>
        <v>2024</v>
      </c>
      <c r="D1913" t="s">
        <v>33</v>
      </c>
      <c r="E1913" t="s">
        <v>18</v>
      </c>
      <c r="F1913" t="s">
        <v>19</v>
      </c>
      <c r="G1913" t="s">
        <v>14</v>
      </c>
      <c r="H1913">
        <v>2</v>
      </c>
      <c r="I1913" s="2">
        <v>605.76</v>
      </c>
      <c r="J1913" s="2">
        <v>1211.52</v>
      </c>
      <c r="K1913" s="2">
        <f t="shared" si="88"/>
        <v>1211.52</v>
      </c>
      <c r="L1913" s="2">
        <f t="shared" si="89"/>
        <v>0</v>
      </c>
      <c r="M1913" t="s">
        <v>55</v>
      </c>
      <c r="N1913" t="s">
        <v>26</v>
      </c>
    </row>
    <row r="1914" spans="1:14" x14ac:dyDescent="0.3">
      <c r="A1914">
        <v>2024002912</v>
      </c>
      <c r="B1914" s="1">
        <v>45344</v>
      </c>
      <c r="C1914" s="11">
        <f t="shared" si="87"/>
        <v>2024</v>
      </c>
      <c r="D1914" t="s">
        <v>303</v>
      </c>
      <c r="E1914" t="s">
        <v>53</v>
      </c>
      <c r="F1914" t="s">
        <v>54</v>
      </c>
      <c r="G1914" t="s">
        <v>36</v>
      </c>
      <c r="H1914">
        <v>2</v>
      </c>
      <c r="I1914" s="2">
        <v>109.66</v>
      </c>
      <c r="J1914" s="2">
        <v>219.32</v>
      </c>
      <c r="K1914" s="2">
        <f t="shared" si="88"/>
        <v>219.32</v>
      </c>
      <c r="L1914" s="2">
        <f t="shared" si="89"/>
        <v>0</v>
      </c>
      <c r="M1914" t="s">
        <v>38</v>
      </c>
      <c r="N1914" t="s">
        <v>32</v>
      </c>
    </row>
    <row r="1915" spans="1:14" x14ac:dyDescent="0.3">
      <c r="A1915">
        <v>2024002913</v>
      </c>
      <c r="B1915" s="1">
        <v>45374</v>
      </c>
      <c r="C1915" s="11">
        <f t="shared" si="87"/>
        <v>2024</v>
      </c>
      <c r="D1915" t="s">
        <v>58</v>
      </c>
      <c r="E1915" t="s">
        <v>40</v>
      </c>
      <c r="F1915" t="s">
        <v>41</v>
      </c>
      <c r="G1915" t="s">
        <v>36</v>
      </c>
      <c r="H1915">
        <v>1</v>
      </c>
      <c r="I1915" s="2">
        <v>45.54</v>
      </c>
      <c r="J1915" s="2">
        <v>45.54</v>
      </c>
      <c r="K1915" s="2">
        <f t="shared" si="88"/>
        <v>45.54</v>
      </c>
      <c r="L1915" s="2">
        <f t="shared" si="89"/>
        <v>0</v>
      </c>
      <c r="M1915" t="s">
        <v>38</v>
      </c>
      <c r="N1915" t="s">
        <v>16</v>
      </c>
    </row>
    <row r="1916" spans="1:14" x14ac:dyDescent="0.3">
      <c r="A1916">
        <v>2024002914</v>
      </c>
      <c r="B1916" s="1">
        <v>45630</v>
      </c>
      <c r="C1916" s="11">
        <f t="shared" si="87"/>
        <v>2024</v>
      </c>
      <c r="D1916" t="s">
        <v>135</v>
      </c>
      <c r="E1916" t="s">
        <v>53</v>
      </c>
      <c r="F1916" t="s">
        <v>54</v>
      </c>
      <c r="G1916" t="s">
        <v>36</v>
      </c>
      <c r="H1916">
        <v>1</v>
      </c>
      <c r="I1916" s="2">
        <v>113.58</v>
      </c>
      <c r="J1916" s="2">
        <v>113.58</v>
      </c>
      <c r="K1916" s="2">
        <f t="shared" si="88"/>
        <v>113.58</v>
      </c>
      <c r="L1916" s="2">
        <f t="shared" si="89"/>
        <v>0</v>
      </c>
      <c r="M1916" t="s">
        <v>48</v>
      </c>
      <c r="N1916" t="s">
        <v>26</v>
      </c>
    </row>
    <row r="1917" spans="1:14" x14ac:dyDescent="0.3">
      <c r="A1917">
        <v>2024002915</v>
      </c>
      <c r="B1917" s="1">
        <v>45537</v>
      </c>
      <c r="C1917" s="11">
        <f t="shared" si="87"/>
        <v>2024</v>
      </c>
      <c r="D1917" t="s">
        <v>81</v>
      </c>
      <c r="E1917" t="s">
        <v>18</v>
      </c>
      <c r="F1917" t="s">
        <v>19</v>
      </c>
      <c r="G1917" t="s">
        <v>14</v>
      </c>
      <c r="H1917">
        <v>4</v>
      </c>
      <c r="I1917" s="2">
        <v>553.79</v>
      </c>
      <c r="J1917" s="2">
        <v>2215.16</v>
      </c>
      <c r="K1917" s="2">
        <f t="shared" si="88"/>
        <v>2215.16</v>
      </c>
      <c r="L1917" s="2">
        <f t="shared" si="89"/>
        <v>0</v>
      </c>
      <c r="M1917" t="s">
        <v>55</v>
      </c>
      <c r="N1917" t="s">
        <v>21</v>
      </c>
    </row>
    <row r="1918" spans="1:14" x14ac:dyDescent="0.3">
      <c r="A1918">
        <v>2024002916</v>
      </c>
      <c r="B1918" s="1">
        <v>45314</v>
      </c>
      <c r="C1918" s="11">
        <f t="shared" si="87"/>
        <v>2024</v>
      </c>
      <c r="D1918" t="s">
        <v>79</v>
      </c>
      <c r="E1918" t="s">
        <v>43</v>
      </c>
      <c r="F1918" t="s">
        <v>44</v>
      </c>
      <c r="G1918" t="s">
        <v>36</v>
      </c>
      <c r="H1918">
        <v>4</v>
      </c>
      <c r="I1918" s="2">
        <v>1178.45</v>
      </c>
      <c r="J1918" s="2">
        <v>4713.8</v>
      </c>
      <c r="K1918" s="2">
        <f t="shared" si="88"/>
        <v>4713.8</v>
      </c>
      <c r="L1918" s="2">
        <f t="shared" si="89"/>
        <v>0</v>
      </c>
      <c r="M1918" t="s">
        <v>57</v>
      </c>
      <c r="N1918" t="s">
        <v>32</v>
      </c>
    </row>
    <row r="1919" spans="1:14" x14ac:dyDescent="0.3">
      <c r="A1919">
        <v>2024002917</v>
      </c>
      <c r="B1919" s="1">
        <v>45401</v>
      </c>
      <c r="C1919" s="11">
        <f t="shared" si="87"/>
        <v>2024</v>
      </c>
      <c r="D1919" t="s">
        <v>221</v>
      </c>
      <c r="E1919" t="s">
        <v>18</v>
      </c>
      <c r="F1919" t="s">
        <v>19</v>
      </c>
      <c r="G1919" t="s">
        <v>14</v>
      </c>
      <c r="H1919">
        <v>2</v>
      </c>
      <c r="I1919" s="2">
        <v>538.66</v>
      </c>
      <c r="J1919" s="2">
        <v>1077.32</v>
      </c>
      <c r="K1919" s="2">
        <f t="shared" si="88"/>
        <v>1077.32</v>
      </c>
      <c r="L1919" s="2">
        <f t="shared" si="89"/>
        <v>0</v>
      </c>
      <c r="M1919" t="s">
        <v>38</v>
      </c>
      <c r="N1919" t="s">
        <v>16</v>
      </c>
    </row>
    <row r="1920" spans="1:14" x14ac:dyDescent="0.3">
      <c r="A1920">
        <v>2024002918</v>
      </c>
      <c r="B1920" s="1">
        <v>45297</v>
      </c>
      <c r="C1920" s="11">
        <f t="shared" si="87"/>
        <v>2024</v>
      </c>
      <c r="D1920" t="s">
        <v>264</v>
      </c>
      <c r="E1920" t="s">
        <v>28</v>
      </c>
      <c r="F1920" t="s">
        <v>29</v>
      </c>
      <c r="G1920" t="s">
        <v>30</v>
      </c>
      <c r="H1920">
        <v>4</v>
      </c>
      <c r="I1920" s="2">
        <v>23.94</v>
      </c>
      <c r="J1920" s="2">
        <v>95.76</v>
      </c>
      <c r="K1920" s="2">
        <f t="shared" si="88"/>
        <v>95.76</v>
      </c>
      <c r="L1920" s="2">
        <f t="shared" si="89"/>
        <v>0</v>
      </c>
      <c r="M1920" t="s">
        <v>57</v>
      </c>
      <c r="N1920" t="s">
        <v>32</v>
      </c>
    </row>
    <row r="1921" spans="1:14" x14ac:dyDescent="0.3">
      <c r="A1921">
        <v>2024002919</v>
      </c>
      <c r="B1921" s="1">
        <v>45621</v>
      </c>
      <c r="C1921" s="11">
        <f t="shared" si="87"/>
        <v>2024</v>
      </c>
      <c r="D1921" t="s">
        <v>198</v>
      </c>
      <c r="E1921" t="s">
        <v>12</v>
      </c>
      <c r="F1921" t="s">
        <v>13</v>
      </c>
      <c r="G1921" t="s">
        <v>14</v>
      </c>
      <c r="H1921">
        <v>4</v>
      </c>
      <c r="I1921" s="2">
        <v>320.2</v>
      </c>
      <c r="J1921" s="2">
        <v>1280.8</v>
      </c>
      <c r="K1921" s="2">
        <f t="shared" si="88"/>
        <v>1280.8</v>
      </c>
      <c r="L1921" s="2">
        <f t="shared" si="89"/>
        <v>0</v>
      </c>
      <c r="M1921" t="s">
        <v>48</v>
      </c>
      <c r="N1921" t="s">
        <v>32</v>
      </c>
    </row>
    <row r="1922" spans="1:14" x14ac:dyDescent="0.3">
      <c r="A1922">
        <v>2024002920</v>
      </c>
      <c r="B1922" s="1">
        <v>45304</v>
      </c>
      <c r="C1922" s="11">
        <f t="shared" si="87"/>
        <v>2024</v>
      </c>
      <c r="D1922" t="s">
        <v>95</v>
      </c>
      <c r="E1922" t="s">
        <v>28</v>
      </c>
      <c r="F1922" t="s">
        <v>29</v>
      </c>
      <c r="G1922" t="s">
        <v>30</v>
      </c>
      <c r="H1922">
        <v>2</v>
      </c>
      <c r="I1922" s="2">
        <v>24.53</v>
      </c>
      <c r="J1922" s="2">
        <v>49.06</v>
      </c>
      <c r="K1922" s="2">
        <f t="shared" si="88"/>
        <v>49.06</v>
      </c>
      <c r="L1922" s="2">
        <f t="shared" si="89"/>
        <v>0</v>
      </c>
      <c r="M1922" t="s">
        <v>38</v>
      </c>
      <c r="N1922" t="s">
        <v>26</v>
      </c>
    </row>
    <row r="1923" spans="1:14" x14ac:dyDescent="0.3">
      <c r="A1923">
        <v>2024002921</v>
      </c>
      <c r="B1923" s="1">
        <v>45495</v>
      </c>
      <c r="C1923" s="11">
        <f t="shared" ref="C1923:C1986" si="90">YEAR(B1923)</f>
        <v>2024</v>
      </c>
      <c r="D1923" t="s">
        <v>37</v>
      </c>
      <c r="E1923" t="s">
        <v>34</v>
      </c>
      <c r="F1923" t="s">
        <v>35</v>
      </c>
      <c r="G1923" t="s">
        <v>36</v>
      </c>
      <c r="H1923">
        <v>1</v>
      </c>
      <c r="I1923" s="2">
        <v>16.18</v>
      </c>
      <c r="J1923" s="2">
        <v>16.18</v>
      </c>
      <c r="K1923" s="2">
        <f t="shared" ref="K1923:K1986" si="91">I1923*H1923</f>
        <v>16.18</v>
      </c>
      <c r="L1923" s="2">
        <f t="shared" ref="L1923:L1986" si="92">J1923-K1923</f>
        <v>0</v>
      </c>
      <c r="M1923" t="s">
        <v>25</v>
      </c>
      <c r="N1923" t="s">
        <v>16</v>
      </c>
    </row>
    <row r="1924" spans="1:14" x14ac:dyDescent="0.3">
      <c r="A1924">
        <v>2024002922</v>
      </c>
      <c r="B1924" s="1">
        <v>45364</v>
      </c>
      <c r="C1924" s="11">
        <f t="shared" si="90"/>
        <v>2024</v>
      </c>
      <c r="D1924" t="s">
        <v>246</v>
      </c>
      <c r="E1924" t="s">
        <v>46</v>
      </c>
      <c r="F1924" t="s">
        <v>47</v>
      </c>
      <c r="G1924" t="s">
        <v>36</v>
      </c>
      <c r="H1924">
        <v>2</v>
      </c>
      <c r="I1924" s="2">
        <v>94.65</v>
      </c>
      <c r="J1924" s="2">
        <v>189.3</v>
      </c>
      <c r="K1924" s="2">
        <f t="shared" si="91"/>
        <v>189.3</v>
      </c>
      <c r="L1924" s="2">
        <f t="shared" si="92"/>
        <v>0</v>
      </c>
      <c r="M1924" t="s">
        <v>57</v>
      </c>
      <c r="N1924" t="s">
        <v>16</v>
      </c>
    </row>
    <row r="1925" spans="1:14" x14ac:dyDescent="0.3">
      <c r="A1925">
        <v>2024002923</v>
      </c>
      <c r="B1925" s="1">
        <v>45481</v>
      </c>
      <c r="C1925" s="11">
        <f t="shared" si="90"/>
        <v>2024</v>
      </c>
      <c r="D1925" t="s">
        <v>112</v>
      </c>
      <c r="E1925" t="s">
        <v>67</v>
      </c>
      <c r="F1925" t="s">
        <v>68</v>
      </c>
      <c r="G1925" t="s">
        <v>36</v>
      </c>
      <c r="H1925">
        <v>1</v>
      </c>
      <c r="I1925" s="2">
        <v>394.95</v>
      </c>
      <c r="J1925" s="2">
        <v>394.95</v>
      </c>
      <c r="K1925" s="2">
        <f t="shared" si="91"/>
        <v>394.95</v>
      </c>
      <c r="L1925" s="2">
        <f t="shared" si="92"/>
        <v>0</v>
      </c>
      <c r="M1925" t="s">
        <v>25</v>
      </c>
      <c r="N1925" t="s">
        <v>16</v>
      </c>
    </row>
    <row r="1926" spans="1:14" x14ac:dyDescent="0.3">
      <c r="A1926">
        <v>2024002924</v>
      </c>
      <c r="B1926" s="1">
        <v>45509</v>
      </c>
      <c r="C1926" s="11">
        <f t="shared" si="90"/>
        <v>2024</v>
      </c>
      <c r="D1926" t="s">
        <v>185</v>
      </c>
      <c r="E1926" t="s">
        <v>23</v>
      </c>
      <c r="F1926" t="s">
        <v>24</v>
      </c>
      <c r="G1926" t="s">
        <v>14</v>
      </c>
      <c r="H1926">
        <v>1</v>
      </c>
      <c r="I1926" s="2">
        <v>78.540000000000006</v>
      </c>
      <c r="J1926" s="2">
        <v>78.540000000000006</v>
      </c>
      <c r="K1926" s="2">
        <f t="shared" si="91"/>
        <v>78.540000000000006</v>
      </c>
      <c r="L1926" s="2">
        <f t="shared" si="92"/>
        <v>0</v>
      </c>
      <c r="M1926" t="s">
        <v>61</v>
      </c>
      <c r="N1926" t="s">
        <v>16</v>
      </c>
    </row>
    <row r="1927" spans="1:14" x14ac:dyDescent="0.3">
      <c r="A1927">
        <v>2024002925</v>
      </c>
      <c r="B1927" s="1">
        <v>45419</v>
      </c>
      <c r="C1927" s="11">
        <f t="shared" si="90"/>
        <v>2024</v>
      </c>
      <c r="D1927" t="s">
        <v>123</v>
      </c>
      <c r="E1927" t="s">
        <v>18</v>
      </c>
      <c r="F1927" t="s">
        <v>19</v>
      </c>
      <c r="G1927" t="s">
        <v>14</v>
      </c>
      <c r="H1927">
        <v>2</v>
      </c>
      <c r="I1927" s="2">
        <v>608.29</v>
      </c>
      <c r="J1927" s="2">
        <v>1216.58</v>
      </c>
      <c r="K1927" s="2">
        <f t="shared" si="91"/>
        <v>1216.58</v>
      </c>
      <c r="L1927" s="2">
        <f t="shared" si="92"/>
        <v>0</v>
      </c>
      <c r="M1927" t="s">
        <v>61</v>
      </c>
      <c r="N1927" t="s">
        <v>16</v>
      </c>
    </row>
    <row r="1928" spans="1:14" x14ac:dyDescent="0.3">
      <c r="A1928">
        <v>2024002926</v>
      </c>
      <c r="B1928" s="1">
        <v>45396</v>
      </c>
      <c r="C1928" s="11">
        <f t="shared" si="90"/>
        <v>2024</v>
      </c>
      <c r="D1928" t="s">
        <v>225</v>
      </c>
      <c r="E1928" t="s">
        <v>34</v>
      </c>
      <c r="F1928" t="s">
        <v>35</v>
      </c>
      <c r="G1928" t="s">
        <v>36</v>
      </c>
      <c r="H1928">
        <v>3</v>
      </c>
      <c r="I1928" s="2">
        <v>13.81</v>
      </c>
      <c r="J1928" s="2">
        <v>41.43</v>
      </c>
      <c r="K1928" s="2">
        <f t="shared" si="91"/>
        <v>41.43</v>
      </c>
      <c r="L1928" s="2">
        <f t="shared" si="92"/>
        <v>0</v>
      </c>
      <c r="M1928" t="s">
        <v>55</v>
      </c>
      <c r="N1928" t="s">
        <v>21</v>
      </c>
    </row>
    <row r="1929" spans="1:14" x14ac:dyDescent="0.3">
      <c r="A1929">
        <v>2024002927</v>
      </c>
      <c r="B1929" s="1">
        <v>45595</v>
      </c>
      <c r="C1929" s="11">
        <f t="shared" si="90"/>
        <v>2024</v>
      </c>
      <c r="D1929" t="s">
        <v>289</v>
      </c>
      <c r="E1929" t="s">
        <v>18</v>
      </c>
      <c r="F1929" t="s">
        <v>19</v>
      </c>
      <c r="G1929" t="s">
        <v>14</v>
      </c>
      <c r="H1929">
        <v>4</v>
      </c>
      <c r="I1929" s="2">
        <v>639.58000000000004</v>
      </c>
      <c r="J1929" s="2">
        <v>2558.3200000000002</v>
      </c>
      <c r="K1929" s="2">
        <f t="shared" si="91"/>
        <v>2558.3200000000002</v>
      </c>
      <c r="L1929" s="2">
        <f t="shared" si="92"/>
        <v>0</v>
      </c>
      <c r="M1929" t="s">
        <v>55</v>
      </c>
      <c r="N1929" t="s">
        <v>26</v>
      </c>
    </row>
    <row r="1930" spans="1:14" x14ac:dyDescent="0.3">
      <c r="A1930">
        <v>2024002928</v>
      </c>
      <c r="B1930" s="1">
        <v>45487</v>
      </c>
      <c r="C1930" s="11">
        <f t="shared" si="90"/>
        <v>2024</v>
      </c>
      <c r="D1930" t="s">
        <v>11</v>
      </c>
      <c r="E1930" t="s">
        <v>43</v>
      </c>
      <c r="F1930" t="s">
        <v>44</v>
      </c>
      <c r="G1930" t="s">
        <v>36</v>
      </c>
      <c r="H1930">
        <v>1</v>
      </c>
      <c r="I1930" s="2">
        <v>1252.45</v>
      </c>
      <c r="J1930" s="2">
        <v>1252.45</v>
      </c>
      <c r="K1930" s="2">
        <f t="shared" si="91"/>
        <v>1252.45</v>
      </c>
      <c r="L1930" s="2">
        <f t="shared" si="92"/>
        <v>0</v>
      </c>
      <c r="M1930" t="s">
        <v>57</v>
      </c>
      <c r="N1930" t="s">
        <v>32</v>
      </c>
    </row>
    <row r="1931" spans="1:14" x14ac:dyDescent="0.3">
      <c r="A1931">
        <v>2024002929</v>
      </c>
      <c r="B1931" s="1">
        <v>45493</v>
      </c>
      <c r="C1931" s="11">
        <f t="shared" si="90"/>
        <v>2024</v>
      </c>
      <c r="D1931" t="s">
        <v>134</v>
      </c>
      <c r="E1931" t="s">
        <v>67</v>
      </c>
      <c r="F1931" t="s">
        <v>68</v>
      </c>
      <c r="G1931" t="s">
        <v>36</v>
      </c>
      <c r="H1931">
        <v>2</v>
      </c>
      <c r="I1931" s="2">
        <v>403.45</v>
      </c>
      <c r="J1931" s="2">
        <v>806.9</v>
      </c>
      <c r="K1931" s="2">
        <f t="shared" si="91"/>
        <v>806.9</v>
      </c>
      <c r="L1931" s="2">
        <f t="shared" si="92"/>
        <v>0</v>
      </c>
      <c r="M1931" t="s">
        <v>61</v>
      </c>
      <c r="N1931" t="s">
        <v>26</v>
      </c>
    </row>
    <row r="1932" spans="1:14" x14ac:dyDescent="0.3">
      <c r="A1932">
        <v>2024002930</v>
      </c>
      <c r="B1932" s="1">
        <v>45342</v>
      </c>
      <c r="C1932" s="11">
        <f t="shared" si="90"/>
        <v>2024</v>
      </c>
      <c r="D1932" t="s">
        <v>318</v>
      </c>
      <c r="E1932" t="s">
        <v>46</v>
      </c>
      <c r="F1932" t="s">
        <v>47</v>
      </c>
      <c r="G1932" t="s">
        <v>36</v>
      </c>
      <c r="H1932">
        <v>3</v>
      </c>
      <c r="I1932" s="2">
        <v>90.86</v>
      </c>
      <c r="J1932" s="2">
        <v>272.58</v>
      </c>
      <c r="K1932" s="2">
        <f t="shared" si="91"/>
        <v>272.58</v>
      </c>
      <c r="L1932" s="2">
        <f t="shared" si="92"/>
        <v>0</v>
      </c>
      <c r="M1932" t="s">
        <v>31</v>
      </c>
      <c r="N1932" t="s">
        <v>16</v>
      </c>
    </row>
    <row r="1933" spans="1:14" x14ac:dyDescent="0.3">
      <c r="A1933">
        <v>2024002931</v>
      </c>
      <c r="B1933" s="1">
        <v>45525</v>
      </c>
      <c r="C1933" s="11">
        <f t="shared" si="90"/>
        <v>2024</v>
      </c>
      <c r="D1933" t="s">
        <v>316</v>
      </c>
      <c r="E1933" t="s">
        <v>12</v>
      </c>
      <c r="F1933" t="s">
        <v>13</v>
      </c>
      <c r="G1933" t="s">
        <v>14</v>
      </c>
      <c r="H1933">
        <v>1</v>
      </c>
      <c r="I1933" s="2">
        <v>351.65</v>
      </c>
      <c r="J1933" s="2">
        <v>351.65</v>
      </c>
      <c r="K1933" s="2">
        <f t="shared" si="91"/>
        <v>351.65</v>
      </c>
      <c r="L1933" s="2">
        <f t="shared" si="92"/>
        <v>0</v>
      </c>
      <c r="M1933" t="s">
        <v>64</v>
      </c>
      <c r="N1933" t="s">
        <v>32</v>
      </c>
    </row>
    <row r="1934" spans="1:14" x14ac:dyDescent="0.3">
      <c r="A1934">
        <v>2024002932</v>
      </c>
      <c r="B1934" s="1">
        <v>45492</v>
      </c>
      <c r="C1934" s="11">
        <f t="shared" si="90"/>
        <v>2024</v>
      </c>
      <c r="D1934" t="s">
        <v>127</v>
      </c>
      <c r="E1934" t="s">
        <v>34</v>
      </c>
      <c r="F1934" t="s">
        <v>35</v>
      </c>
      <c r="G1934" t="s">
        <v>36</v>
      </c>
      <c r="H1934">
        <v>1</v>
      </c>
      <c r="I1934" s="2">
        <v>15.75</v>
      </c>
      <c r="J1934" s="2">
        <v>15.75</v>
      </c>
      <c r="K1934" s="2">
        <f t="shared" si="91"/>
        <v>15.75</v>
      </c>
      <c r="L1934" s="2">
        <f t="shared" si="92"/>
        <v>0</v>
      </c>
      <c r="M1934" t="s">
        <v>31</v>
      </c>
      <c r="N1934" t="s">
        <v>32</v>
      </c>
    </row>
    <row r="1935" spans="1:14" x14ac:dyDescent="0.3">
      <c r="A1935">
        <v>2024002933</v>
      </c>
      <c r="B1935" s="1">
        <v>45443</v>
      </c>
      <c r="C1935" s="11">
        <f t="shared" si="90"/>
        <v>2024</v>
      </c>
      <c r="D1935" t="s">
        <v>242</v>
      </c>
      <c r="E1935" t="s">
        <v>46</v>
      </c>
      <c r="F1935" t="s">
        <v>47</v>
      </c>
      <c r="G1935" t="s">
        <v>36</v>
      </c>
      <c r="H1935">
        <v>1</v>
      </c>
      <c r="I1935" s="2">
        <v>98.76</v>
      </c>
      <c r="J1935" s="2">
        <v>98.76</v>
      </c>
      <c r="K1935" s="2">
        <f t="shared" si="91"/>
        <v>98.76</v>
      </c>
      <c r="L1935" s="2">
        <f t="shared" si="92"/>
        <v>0</v>
      </c>
      <c r="M1935" t="s">
        <v>48</v>
      </c>
      <c r="N1935" t="s">
        <v>16</v>
      </c>
    </row>
    <row r="1936" spans="1:14" x14ac:dyDescent="0.3">
      <c r="A1936">
        <v>2024002374</v>
      </c>
      <c r="B1936" s="1">
        <v>45399</v>
      </c>
      <c r="C1936" s="11">
        <f t="shared" si="90"/>
        <v>2024</v>
      </c>
      <c r="D1936" t="s">
        <v>199</v>
      </c>
      <c r="E1936" t="s">
        <v>18</v>
      </c>
      <c r="F1936" t="s">
        <v>19</v>
      </c>
      <c r="G1936" t="s">
        <v>14</v>
      </c>
      <c r="H1936">
        <v>2</v>
      </c>
      <c r="I1936" s="2">
        <v>608.71</v>
      </c>
      <c r="J1936" s="2">
        <v>1217.42</v>
      </c>
      <c r="K1936" s="2">
        <f t="shared" si="91"/>
        <v>1217.42</v>
      </c>
      <c r="L1936" s="2">
        <f t="shared" si="92"/>
        <v>0</v>
      </c>
      <c r="M1936" t="s">
        <v>25</v>
      </c>
      <c r="N1936" t="s">
        <v>21</v>
      </c>
    </row>
    <row r="1937" spans="1:14" x14ac:dyDescent="0.3">
      <c r="A1937">
        <v>2024002935</v>
      </c>
      <c r="B1937" s="1">
        <v>45552</v>
      </c>
      <c r="C1937" s="11">
        <f t="shared" si="90"/>
        <v>2024</v>
      </c>
      <c r="D1937" t="s">
        <v>235</v>
      </c>
      <c r="E1937" t="s">
        <v>23</v>
      </c>
      <c r="F1937" t="s">
        <v>24</v>
      </c>
      <c r="G1937" t="s">
        <v>14</v>
      </c>
      <c r="H1937">
        <v>4</v>
      </c>
      <c r="I1937" s="2">
        <v>74.760000000000005</v>
      </c>
      <c r="J1937" s="2">
        <v>299.04000000000002</v>
      </c>
      <c r="K1937" s="2">
        <f t="shared" si="91"/>
        <v>299.04000000000002</v>
      </c>
      <c r="L1937" s="2">
        <f t="shared" si="92"/>
        <v>0</v>
      </c>
      <c r="M1937" t="s">
        <v>38</v>
      </c>
      <c r="N1937" t="s">
        <v>32</v>
      </c>
    </row>
    <row r="1938" spans="1:14" x14ac:dyDescent="0.3">
      <c r="A1938">
        <v>2024002936</v>
      </c>
      <c r="B1938" s="1">
        <v>45552</v>
      </c>
      <c r="C1938" s="11">
        <f t="shared" si="90"/>
        <v>2024</v>
      </c>
      <c r="D1938" t="s">
        <v>96</v>
      </c>
      <c r="E1938" t="s">
        <v>43</v>
      </c>
      <c r="F1938" t="s">
        <v>44</v>
      </c>
      <c r="G1938" t="s">
        <v>36</v>
      </c>
      <c r="H1938">
        <v>3</v>
      </c>
      <c r="I1938" s="2">
        <v>1157.5999999999999</v>
      </c>
      <c r="J1938" s="2">
        <v>3472.8</v>
      </c>
      <c r="K1938" s="2">
        <f t="shared" si="91"/>
        <v>3472.7999999999997</v>
      </c>
      <c r="L1938" s="2">
        <f t="shared" si="92"/>
        <v>0</v>
      </c>
      <c r="M1938" t="s">
        <v>64</v>
      </c>
      <c r="N1938" t="s">
        <v>26</v>
      </c>
    </row>
    <row r="1939" spans="1:14" x14ac:dyDescent="0.3">
      <c r="A1939">
        <v>2024002937</v>
      </c>
      <c r="B1939" s="1">
        <v>45567</v>
      </c>
      <c r="C1939" s="11">
        <f t="shared" si="90"/>
        <v>2024</v>
      </c>
      <c r="D1939" t="s">
        <v>178</v>
      </c>
      <c r="E1939" t="s">
        <v>53</v>
      </c>
      <c r="F1939" t="s">
        <v>54</v>
      </c>
      <c r="G1939" t="s">
        <v>36</v>
      </c>
      <c r="H1939">
        <v>1</v>
      </c>
      <c r="I1939" s="2">
        <v>124.32</v>
      </c>
      <c r="J1939" s="2">
        <v>124.32</v>
      </c>
      <c r="K1939" s="2">
        <f t="shared" si="91"/>
        <v>124.32</v>
      </c>
      <c r="L1939" s="2">
        <f t="shared" si="92"/>
        <v>0</v>
      </c>
      <c r="M1939" t="s">
        <v>15</v>
      </c>
      <c r="N1939" t="s">
        <v>26</v>
      </c>
    </row>
    <row r="1940" spans="1:14" x14ac:dyDescent="0.3">
      <c r="A1940">
        <v>2024002938</v>
      </c>
      <c r="B1940" s="1">
        <v>45404</v>
      </c>
      <c r="C1940" s="11">
        <f t="shared" si="90"/>
        <v>2024</v>
      </c>
      <c r="D1940" t="s">
        <v>265</v>
      </c>
      <c r="E1940" t="s">
        <v>18</v>
      </c>
      <c r="F1940" t="s">
        <v>19</v>
      </c>
      <c r="G1940" t="s">
        <v>14</v>
      </c>
      <c r="H1940">
        <v>1</v>
      </c>
      <c r="I1940" s="2">
        <v>594.89</v>
      </c>
      <c r="J1940" s="2">
        <v>594.89</v>
      </c>
      <c r="K1940" s="2">
        <f t="shared" si="91"/>
        <v>594.89</v>
      </c>
      <c r="L1940" s="2">
        <f t="shared" si="92"/>
        <v>0</v>
      </c>
      <c r="M1940" t="s">
        <v>55</v>
      </c>
      <c r="N1940" t="s">
        <v>16</v>
      </c>
    </row>
    <row r="1941" spans="1:14" x14ac:dyDescent="0.3">
      <c r="A1941">
        <v>2024002939</v>
      </c>
      <c r="B1941" s="1">
        <v>45381</v>
      </c>
      <c r="C1941" s="11">
        <f t="shared" si="90"/>
        <v>2024</v>
      </c>
      <c r="D1941" t="s">
        <v>168</v>
      </c>
      <c r="E1941" t="s">
        <v>23</v>
      </c>
      <c r="F1941" t="s">
        <v>24</v>
      </c>
      <c r="G1941" t="s">
        <v>14</v>
      </c>
      <c r="H1941">
        <v>1</v>
      </c>
      <c r="I1941" s="2">
        <v>81.37</v>
      </c>
      <c r="J1941" s="2">
        <v>81.37</v>
      </c>
      <c r="K1941" s="2">
        <f t="shared" si="91"/>
        <v>81.37</v>
      </c>
      <c r="L1941" s="2">
        <f t="shared" si="92"/>
        <v>0</v>
      </c>
      <c r="M1941" t="s">
        <v>31</v>
      </c>
      <c r="N1941" t="s">
        <v>26</v>
      </c>
    </row>
    <row r="1942" spans="1:14" x14ac:dyDescent="0.3">
      <c r="A1942">
        <v>2024002940</v>
      </c>
      <c r="B1942" s="1">
        <v>45491</v>
      </c>
      <c r="C1942" s="11">
        <f t="shared" si="90"/>
        <v>2024</v>
      </c>
      <c r="D1942" t="s">
        <v>302</v>
      </c>
      <c r="E1942" t="s">
        <v>53</v>
      </c>
      <c r="F1942" t="s">
        <v>54</v>
      </c>
      <c r="G1942" t="s">
        <v>36</v>
      </c>
      <c r="H1942">
        <v>1</v>
      </c>
      <c r="I1942" s="2">
        <v>122.83</v>
      </c>
      <c r="J1942" s="2">
        <v>122.83</v>
      </c>
      <c r="K1942" s="2">
        <f t="shared" si="91"/>
        <v>122.83</v>
      </c>
      <c r="L1942" s="2">
        <f t="shared" si="92"/>
        <v>0</v>
      </c>
      <c r="M1942" t="s">
        <v>15</v>
      </c>
      <c r="N1942" t="s">
        <v>26</v>
      </c>
    </row>
    <row r="1943" spans="1:14" x14ac:dyDescent="0.3">
      <c r="A1943">
        <v>2024002941</v>
      </c>
      <c r="B1943" s="1">
        <v>45592</v>
      </c>
      <c r="C1943" s="11">
        <f t="shared" si="90"/>
        <v>2024</v>
      </c>
      <c r="D1943" t="s">
        <v>75</v>
      </c>
      <c r="E1943" t="s">
        <v>34</v>
      </c>
      <c r="F1943" t="s">
        <v>35</v>
      </c>
      <c r="G1943" t="s">
        <v>36</v>
      </c>
      <c r="H1943">
        <v>2</v>
      </c>
      <c r="I1943" s="2">
        <v>15.95</v>
      </c>
      <c r="J1943" s="2">
        <v>31.9</v>
      </c>
      <c r="K1943" s="2">
        <f t="shared" si="91"/>
        <v>31.9</v>
      </c>
      <c r="L1943" s="2">
        <f t="shared" si="92"/>
        <v>0</v>
      </c>
      <c r="M1943" t="s">
        <v>64</v>
      </c>
      <c r="N1943" t="s">
        <v>16</v>
      </c>
    </row>
    <row r="1944" spans="1:14" x14ac:dyDescent="0.3">
      <c r="A1944">
        <v>2024002942</v>
      </c>
      <c r="B1944" s="1">
        <v>45419</v>
      </c>
      <c r="C1944" s="11">
        <f t="shared" si="90"/>
        <v>2024</v>
      </c>
      <c r="D1944" t="s">
        <v>168</v>
      </c>
      <c r="E1944" t="s">
        <v>34</v>
      </c>
      <c r="F1944" t="s">
        <v>35</v>
      </c>
      <c r="G1944" t="s">
        <v>36</v>
      </c>
      <c r="H1944">
        <v>2</v>
      </c>
      <c r="I1944" s="2">
        <v>13.68</v>
      </c>
      <c r="J1944" s="2">
        <v>27.36</v>
      </c>
      <c r="K1944" s="2">
        <f t="shared" si="91"/>
        <v>27.36</v>
      </c>
      <c r="L1944" s="2">
        <f t="shared" si="92"/>
        <v>0</v>
      </c>
      <c r="M1944" t="s">
        <v>64</v>
      </c>
      <c r="N1944" t="s">
        <v>21</v>
      </c>
    </row>
    <row r="1945" spans="1:14" x14ac:dyDescent="0.3">
      <c r="A1945">
        <v>2024002943</v>
      </c>
      <c r="B1945" s="1">
        <v>45408</v>
      </c>
      <c r="C1945" s="11">
        <f t="shared" si="90"/>
        <v>2024</v>
      </c>
      <c r="D1945" t="s">
        <v>83</v>
      </c>
      <c r="E1945" t="s">
        <v>67</v>
      </c>
      <c r="F1945" t="s">
        <v>68</v>
      </c>
      <c r="G1945" t="s">
        <v>36</v>
      </c>
      <c r="H1945">
        <v>2</v>
      </c>
      <c r="I1945" s="2">
        <v>419.86</v>
      </c>
      <c r="J1945" s="2">
        <v>839.72</v>
      </c>
      <c r="K1945" s="2">
        <f t="shared" si="91"/>
        <v>839.72</v>
      </c>
      <c r="L1945" s="2">
        <f t="shared" si="92"/>
        <v>0</v>
      </c>
      <c r="M1945" t="s">
        <v>48</v>
      </c>
      <c r="N1945" t="s">
        <v>26</v>
      </c>
    </row>
    <row r="1946" spans="1:14" x14ac:dyDescent="0.3">
      <c r="A1946">
        <v>2024002944</v>
      </c>
      <c r="B1946" s="1">
        <v>45500</v>
      </c>
      <c r="C1946" s="11">
        <f t="shared" si="90"/>
        <v>2024</v>
      </c>
      <c r="D1946" t="s">
        <v>11</v>
      </c>
      <c r="E1946" t="s">
        <v>23</v>
      </c>
      <c r="F1946" t="s">
        <v>24</v>
      </c>
      <c r="G1946" t="s">
        <v>14</v>
      </c>
      <c r="H1946">
        <v>1</v>
      </c>
      <c r="I1946" s="2">
        <v>80.63</v>
      </c>
      <c r="J1946" s="2">
        <v>80.63</v>
      </c>
      <c r="K1946" s="2">
        <f t="shared" si="91"/>
        <v>80.63</v>
      </c>
      <c r="L1946" s="2">
        <f t="shared" si="92"/>
        <v>0</v>
      </c>
      <c r="M1946" t="s">
        <v>48</v>
      </c>
      <c r="N1946" t="s">
        <v>32</v>
      </c>
    </row>
    <row r="1947" spans="1:14" x14ac:dyDescent="0.3">
      <c r="A1947">
        <v>2024002945</v>
      </c>
      <c r="B1947" s="1">
        <v>45540</v>
      </c>
      <c r="C1947" s="11">
        <f t="shared" si="90"/>
        <v>2024</v>
      </c>
      <c r="D1947" t="s">
        <v>97</v>
      </c>
      <c r="E1947" t="s">
        <v>34</v>
      </c>
      <c r="F1947" t="s">
        <v>35</v>
      </c>
      <c r="G1947" t="s">
        <v>36</v>
      </c>
      <c r="H1947">
        <v>3</v>
      </c>
      <c r="I1947" s="2">
        <v>15.67</v>
      </c>
      <c r="J1947" s="2">
        <v>47.01</v>
      </c>
      <c r="K1947" s="2">
        <f t="shared" si="91"/>
        <v>47.01</v>
      </c>
      <c r="L1947" s="2">
        <f t="shared" si="92"/>
        <v>0</v>
      </c>
      <c r="M1947" t="s">
        <v>57</v>
      </c>
      <c r="N1947" t="s">
        <v>32</v>
      </c>
    </row>
    <row r="1948" spans="1:14" x14ac:dyDescent="0.3">
      <c r="A1948">
        <v>2024002946</v>
      </c>
      <c r="B1948" s="1">
        <v>45606</v>
      </c>
      <c r="C1948" s="11">
        <f t="shared" si="90"/>
        <v>2024</v>
      </c>
      <c r="D1948" t="s">
        <v>81</v>
      </c>
      <c r="E1948" t="s">
        <v>53</v>
      </c>
      <c r="F1948" t="s">
        <v>54</v>
      </c>
      <c r="G1948" t="s">
        <v>36</v>
      </c>
      <c r="H1948">
        <v>1</v>
      </c>
      <c r="I1948" s="2">
        <v>126.61</v>
      </c>
      <c r="J1948" s="2">
        <v>126.61</v>
      </c>
      <c r="K1948" s="2">
        <f t="shared" si="91"/>
        <v>126.61</v>
      </c>
      <c r="L1948" s="2">
        <f t="shared" si="92"/>
        <v>0</v>
      </c>
      <c r="M1948" t="s">
        <v>15</v>
      </c>
      <c r="N1948" t="s">
        <v>21</v>
      </c>
    </row>
    <row r="1949" spans="1:14" x14ac:dyDescent="0.3">
      <c r="A1949">
        <v>2024002947</v>
      </c>
      <c r="B1949" s="1">
        <v>45304</v>
      </c>
      <c r="C1949" s="11">
        <f t="shared" si="90"/>
        <v>2024</v>
      </c>
      <c r="D1949" t="s">
        <v>155</v>
      </c>
      <c r="E1949" t="s">
        <v>53</v>
      </c>
      <c r="F1949" t="s">
        <v>54</v>
      </c>
      <c r="G1949" t="s">
        <v>36</v>
      </c>
      <c r="H1949">
        <v>1</v>
      </c>
      <c r="I1949" s="2">
        <v>111.47</v>
      </c>
      <c r="J1949" s="2">
        <v>111.47</v>
      </c>
      <c r="K1949" s="2">
        <f t="shared" si="91"/>
        <v>111.47</v>
      </c>
      <c r="L1949" s="2">
        <f t="shared" si="92"/>
        <v>0</v>
      </c>
      <c r="M1949" t="s">
        <v>15</v>
      </c>
      <c r="N1949" t="s">
        <v>21</v>
      </c>
    </row>
    <row r="1950" spans="1:14" x14ac:dyDescent="0.3">
      <c r="A1950">
        <v>2024002948</v>
      </c>
      <c r="B1950" s="1">
        <v>45336</v>
      </c>
      <c r="C1950" s="11">
        <f t="shared" si="90"/>
        <v>2024</v>
      </c>
      <c r="D1950" t="s">
        <v>298</v>
      </c>
      <c r="E1950" t="s">
        <v>53</v>
      </c>
      <c r="F1950" t="s">
        <v>54</v>
      </c>
      <c r="G1950" t="s">
        <v>36</v>
      </c>
      <c r="H1950">
        <v>1</v>
      </c>
      <c r="I1950" s="2">
        <v>124.78</v>
      </c>
      <c r="J1950" s="2">
        <v>124.78</v>
      </c>
      <c r="K1950" s="2">
        <f t="shared" si="91"/>
        <v>124.78</v>
      </c>
      <c r="L1950" s="2">
        <f t="shared" si="92"/>
        <v>0</v>
      </c>
      <c r="M1950" t="s">
        <v>55</v>
      </c>
      <c r="N1950" t="s">
        <v>16</v>
      </c>
    </row>
    <row r="1951" spans="1:14" x14ac:dyDescent="0.3">
      <c r="A1951">
        <v>2024002949</v>
      </c>
      <c r="B1951" s="1">
        <v>45405</v>
      </c>
      <c r="C1951" s="11">
        <f t="shared" si="90"/>
        <v>2024</v>
      </c>
      <c r="D1951" t="s">
        <v>247</v>
      </c>
      <c r="E1951" t="s">
        <v>67</v>
      </c>
      <c r="F1951" t="s">
        <v>68</v>
      </c>
      <c r="G1951" t="s">
        <v>36</v>
      </c>
      <c r="H1951">
        <v>2</v>
      </c>
      <c r="I1951" s="2">
        <v>384.68</v>
      </c>
      <c r="J1951" s="2">
        <v>769.36</v>
      </c>
      <c r="K1951" s="2">
        <f t="shared" si="91"/>
        <v>769.36</v>
      </c>
      <c r="L1951" s="2">
        <f t="shared" si="92"/>
        <v>0</v>
      </c>
      <c r="M1951" t="s">
        <v>31</v>
      </c>
      <c r="N1951" t="s">
        <v>16</v>
      </c>
    </row>
    <row r="1952" spans="1:14" x14ac:dyDescent="0.3">
      <c r="A1952">
        <v>2024002950</v>
      </c>
      <c r="B1952" s="1">
        <v>45629</v>
      </c>
      <c r="C1952" s="11">
        <f t="shared" si="90"/>
        <v>2024</v>
      </c>
      <c r="D1952" t="s">
        <v>11</v>
      </c>
      <c r="E1952" t="s">
        <v>40</v>
      </c>
      <c r="F1952" t="s">
        <v>41</v>
      </c>
      <c r="G1952" t="s">
        <v>36</v>
      </c>
      <c r="H1952">
        <v>1</v>
      </c>
      <c r="I1952" s="2">
        <v>46.57</v>
      </c>
      <c r="J1952" s="2">
        <v>46.57</v>
      </c>
      <c r="K1952" s="2">
        <f t="shared" si="91"/>
        <v>46.57</v>
      </c>
      <c r="L1952" s="2">
        <f t="shared" si="92"/>
        <v>0</v>
      </c>
      <c r="M1952" t="s">
        <v>25</v>
      </c>
      <c r="N1952" t="s">
        <v>16</v>
      </c>
    </row>
    <row r="1953" spans="1:14" x14ac:dyDescent="0.3">
      <c r="A1953">
        <v>2024002951</v>
      </c>
      <c r="B1953" s="1">
        <v>45523</v>
      </c>
      <c r="C1953" s="11">
        <f t="shared" si="90"/>
        <v>2024</v>
      </c>
      <c r="D1953" t="s">
        <v>304</v>
      </c>
      <c r="E1953" t="s">
        <v>40</v>
      </c>
      <c r="F1953" t="s">
        <v>41</v>
      </c>
      <c r="G1953" t="s">
        <v>36</v>
      </c>
      <c r="H1953">
        <v>1</v>
      </c>
      <c r="I1953" s="2">
        <v>48.7</v>
      </c>
      <c r="J1953" s="2">
        <v>48.7</v>
      </c>
      <c r="K1953" s="2">
        <f t="shared" si="91"/>
        <v>48.7</v>
      </c>
      <c r="L1953" s="2">
        <f t="shared" si="92"/>
        <v>0</v>
      </c>
      <c r="M1953" t="s">
        <v>48</v>
      </c>
      <c r="N1953" t="s">
        <v>26</v>
      </c>
    </row>
    <row r="1954" spans="1:14" x14ac:dyDescent="0.3">
      <c r="A1954">
        <v>2024002952</v>
      </c>
      <c r="B1954" s="1">
        <v>45426</v>
      </c>
      <c r="C1954" s="11">
        <f t="shared" si="90"/>
        <v>2024</v>
      </c>
      <c r="D1954" t="s">
        <v>45</v>
      </c>
      <c r="E1954" t="s">
        <v>43</v>
      </c>
      <c r="F1954" t="s">
        <v>44</v>
      </c>
      <c r="G1954" t="s">
        <v>36</v>
      </c>
      <c r="H1954">
        <v>0</v>
      </c>
      <c r="I1954" s="2">
        <v>1251.54</v>
      </c>
      <c r="J1954" s="2">
        <v>0</v>
      </c>
      <c r="K1954" s="2">
        <f t="shared" si="91"/>
        <v>0</v>
      </c>
      <c r="L1954" s="2">
        <f t="shared" si="92"/>
        <v>0</v>
      </c>
      <c r="M1954" t="s">
        <v>38</v>
      </c>
      <c r="N1954" t="s">
        <v>26</v>
      </c>
    </row>
    <row r="1955" spans="1:14" x14ac:dyDescent="0.3">
      <c r="A1955">
        <v>2024002953</v>
      </c>
      <c r="B1955" s="1">
        <v>45340</v>
      </c>
      <c r="C1955" s="11">
        <f t="shared" si="90"/>
        <v>2024</v>
      </c>
      <c r="D1955" t="s">
        <v>101</v>
      </c>
      <c r="E1955" t="s">
        <v>18</v>
      </c>
      <c r="F1955" t="s">
        <v>19</v>
      </c>
      <c r="G1955" t="s">
        <v>14</v>
      </c>
      <c r="H1955">
        <v>3</v>
      </c>
      <c r="I1955" s="2">
        <v>639.87</v>
      </c>
      <c r="J1955" s="2">
        <v>1919.61</v>
      </c>
      <c r="K1955" s="2">
        <f t="shared" si="91"/>
        <v>1919.6100000000001</v>
      </c>
      <c r="L1955" s="2">
        <f t="shared" si="92"/>
        <v>0</v>
      </c>
      <c r="M1955" t="s">
        <v>20</v>
      </c>
      <c r="N1955" t="s">
        <v>21</v>
      </c>
    </row>
    <row r="1956" spans="1:14" x14ac:dyDescent="0.3">
      <c r="A1956">
        <v>2024002954</v>
      </c>
      <c r="B1956" s="1">
        <v>45648</v>
      </c>
      <c r="C1956" s="11">
        <f t="shared" si="90"/>
        <v>2024</v>
      </c>
      <c r="D1956" t="s">
        <v>336</v>
      </c>
      <c r="E1956" t="s">
        <v>23</v>
      </c>
      <c r="F1956" t="s">
        <v>24</v>
      </c>
      <c r="G1956" t="s">
        <v>14</v>
      </c>
      <c r="H1956">
        <v>4</v>
      </c>
      <c r="I1956" s="2">
        <v>76.05</v>
      </c>
      <c r="J1956" s="2">
        <v>304.2</v>
      </c>
      <c r="K1956" s="2">
        <f t="shared" si="91"/>
        <v>304.2</v>
      </c>
      <c r="L1956" s="2">
        <f t="shared" si="92"/>
        <v>0</v>
      </c>
      <c r="M1956" t="s">
        <v>25</v>
      </c>
      <c r="N1956" t="s">
        <v>21</v>
      </c>
    </row>
    <row r="1957" spans="1:14" x14ac:dyDescent="0.3">
      <c r="A1957">
        <v>2024002955</v>
      </c>
      <c r="B1957" s="1">
        <v>45372</v>
      </c>
      <c r="C1957" s="11">
        <f t="shared" si="90"/>
        <v>2024</v>
      </c>
      <c r="D1957" t="s">
        <v>79</v>
      </c>
      <c r="E1957" t="s">
        <v>40</v>
      </c>
      <c r="F1957" t="s">
        <v>41</v>
      </c>
      <c r="G1957" t="s">
        <v>36</v>
      </c>
      <c r="H1957">
        <v>3</v>
      </c>
      <c r="I1957" s="2">
        <v>50.04</v>
      </c>
      <c r="J1957" s="2">
        <v>150.12</v>
      </c>
      <c r="K1957" s="2">
        <f t="shared" si="91"/>
        <v>150.12</v>
      </c>
      <c r="L1957" s="2">
        <f t="shared" si="92"/>
        <v>0</v>
      </c>
      <c r="M1957" t="s">
        <v>25</v>
      </c>
      <c r="N1957" t="s">
        <v>26</v>
      </c>
    </row>
    <row r="1958" spans="1:14" x14ac:dyDescent="0.3">
      <c r="A1958">
        <v>2024002956</v>
      </c>
      <c r="B1958" s="1">
        <v>45524</v>
      </c>
      <c r="C1958" s="11">
        <f t="shared" si="90"/>
        <v>2024</v>
      </c>
      <c r="D1958" t="s">
        <v>118</v>
      </c>
      <c r="E1958" t="s">
        <v>40</v>
      </c>
      <c r="F1958" t="s">
        <v>41</v>
      </c>
      <c r="G1958" t="s">
        <v>36</v>
      </c>
      <c r="H1958">
        <v>2</v>
      </c>
      <c r="I1958" s="2">
        <v>45.96</v>
      </c>
      <c r="J1958" s="2">
        <v>91.92</v>
      </c>
      <c r="K1958" s="2">
        <f t="shared" si="91"/>
        <v>91.92</v>
      </c>
      <c r="L1958" s="2">
        <f t="shared" si="92"/>
        <v>0</v>
      </c>
      <c r="M1958" t="s">
        <v>64</v>
      </c>
      <c r="N1958" t="s">
        <v>21</v>
      </c>
    </row>
    <row r="1959" spans="1:14" x14ac:dyDescent="0.3">
      <c r="A1959">
        <v>2024002957</v>
      </c>
      <c r="B1959" s="1">
        <v>45403</v>
      </c>
      <c r="C1959" s="11">
        <f t="shared" si="90"/>
        <v>2024</v>
      </c>
      <c r="D1959" t="s">
        <v>169</v>
      </c>
      <c r="E1959" t="s">
        <v>40</v>
      </c>
      <c r="F1959" t="s">
        <v>41</v>
      </c>
      <c r="G1959" t="s">
        <v>36</v>
      </c>
      <c r="H1959">
        <v>1</v>
      </c>
      <c r="I1959" s="2">
        <v>43.73</v>
      </c>
      <c r="J1959" s="2">
        <v>43.73</v>
      </c>
      <c r="K1959" s="2">
        <f t="shared" si="91"/>
        <v>43.73</v>
      </c>
      <c r="L1959" s="2">
        <f t="shared" si="92"/>
        <v>0</v>
      </c>
      <c r="M1959" t="s">
        <v>55</v>
      </c>
      <c r="N1959" t="s">
        <v>21</v>
      </c>
    </row>
    <row r="1960" spans="1:14" x14ac:dyDescent="0.3">
      <c r="A1960">
        <v>2024002958</v>
      </c>
      <c r="B1960" s="1">
        <v>45309</v>
      </c>
      <c r="C1960" s="11">
        <f t="shared" si="90"/>
        <v>2024</v>
      </c>
      <c r="D1960" t="s">
        <v>272</v>
      </c>
      <c r="E1960" t="s">
        <v>46</v>
      </c>
      <c r="F1960" t="s">
        <v>47</v>
      </c>
      <c r="G1960" t="s">
        <v>36</v>
      </c>
      <c r="H1960">
        <v>3</v>
      </c>
      <c r="I1960" s="2">
        <v>98.16</v>
      </c>
      <c r="J1960" s="2">
        <v>294.48</v>
      </c>
      <c r="K1960" s="2">
        <f t="shared" si="91"/>
        <v>294.48</v>
      </c>
      <c r="L1960" s="2">
        <f t="shared" si="92"/>
        <v>0</v>
      </c>
      <c r="M1960" t="s">
        <v>38</v>
      </c>
      <c r="N1960" t="s">
        <v>21</v>
      </c>
    </row>
    <row r="1961" spans="1:14" x14ac:dyDescent="0.3">
      <c r="A1961">
        <v>2024002959</v>
      </c>
      <c r="B1961" s="1">
        <v>45420</v>
      </c>
      <c r="C1961" s="11">
        <f t="shared" si="90"/>
        <v>2024</v>
      </c>
      <c r="D1961" t="s">
        <v>111</v>
      </c>
      <c r="E1961" t="s">
        <v>34</v>
      </c>
      <c r="F1961" t="s">
        <v>35</v>
      </c>
      <c r="G1961" t="s">
        <v>36</v>
      </c>
      <c r="H1961">
        <v>1</v>
      </c>
      <c r="I1961" s="2">
        <v>15.06</v>
      </c>
      <c r="J1961" s="2">
        <v>15.06</v>
      </c>
      <c r="K1961" s="2">
        <f t="shared" si="91"/>
        <v>15.06</v>
      </c>
      <c r="L1961" s="2">
        <f t="shared" si="92"/>
        <v>0</v>
      </c>
      <c r="M1961" t="s">
        <v>48</v>
      </c>
      <c r="N1961" t="s">
        <v>26</v>
      </c>
    </row>
    <row r="1962" spans="1:14" x14ac:dyDescent="0.3">
      <c r="A1962">
        <v>2024002960</v>
      </c>
      <c r="B1962" s="1">
        <v>45601</v>
      </c>
      <c r="C1962" s="11">
        <f t="shared" si="90"/>
        <v>2024</v>
      </c>
      <c r="D1962" t="s">
        <v>236</v>
      </c>
      <c r="E1962" t="s">
        <v>43</v>
      </c>
      <c r="F1962" t="s">
        <v>44</v>
      </c>
      <c r="G1962" t="s">
        <v>36</v>
      </c>
      <c r="H1962">
        <v>1</v>
      </c>
      <c r="I1962" s="2">
        <v>1194.4100000000001</v>
      </c>
      <c r="J1962" s="2">
        <v>1194.4100000000001</v>
      </c>
      <c r="K1962" s="2">
        <f t="shared" si="91"/>
        <v>1194.4100000000001</v>
      </c>
      <c r="L1962" s="2">
        <f t="shared" si="92"/>
        <v>0</v>
      </c>
      <c r="M1962" t="s">
        <v>20</v>
      </c>
      <c r="N1962" t="s">
        <v>32</v>
      </c>
    </row>
    <row r="1963" spans="1:14" x14ac:dyDescent="0.3">
      <c r="A1963">
        <v>2024002961</v>
      </c>
      <c r="B1963" s="1">
        <v>45506</v>
      </c>
      <c r="C1963" s="11">
        <f t="shared" si="90"/>
        <v>2024</v>
      </c>
      <c r="D1963" t="s">
        <v>214</v>
      </c>
      <c r="E1963" t="s">
        <v>53</v>
      </c>
      <c r="F1963" t="s">
        <v>54</v>
      </c>
      <c r="G1963" t="s">
        <v>36</v>
      </c>
      <c r="H1963">
        <v>3</v>
      </c>
      <c r="I1963" s="2">
        <v>122.71</v>
      </c>
      <c r="J1963" s="2">
        <v>368.13</v>
      </c>
      <c r="K1963" s="2">
        <f t="shared" si="91"/>
        <v>368.13</v>
      </c>
      <c r="L1963" s="2">
        <f t="shared" si="92"/>
        <v>0</v>
      </c>
      <c r="M1963" t="s">
        <v>31</v>
      </c>
      <c r="N1963" t="s">
        <v>21</v>
      </c>
    </row>
    <row r="1964" spans="1:14" x14ac:dyDescent="0.3">
      <c r="A1964">
        <v>2024002962</v>
      </c>
      <c r="B1964" s="1">
        <v>45525</v>
      </c>
      <c r="C1964" s="11">
        <f t="shared" si="90"/>
        <v>2024</v>
      </c>
      <c r="D1964" t="s">
        <v>211</v>
      </c>
      <c r="E1964" t="s">
        <v>12</v>
      </c>
      <c r="F1964" t="s">
        <v>13</v>
      </c>
      <c r="G1964" t="s">
        <v>14</v>
      </c>
      <c r="H1964">
        <v>3</v>
      </c>
      <c r="I1964" s="2">
        <v>326.63</v>
      </c>
      <c r="J1964" s="2">
        <v>979.89</v>
      </c>
      <c r="K1964" s="2">
        <f t="shared" si="91"/>
        <v>979.89</v>
      </c>
      <c r="L1964" s="2">
        <f t="shared" si="92"/>
        <v>0</v>
      </c>
      <c r="M1964" t="s">
        <v>64</v>
      </c>
      <c r="N1964" t="s">
        <v>26</v>
      </c>
    </row>
    <row r="1965" spans="1:14" x14ac:dyDescent="0.3">
      <c r="A1965">
        <v>2024002963</v>
      </c>
      <c r="B1965" s="1">
        <v>45408</v>
      </c>
      <c r="C1965" s="11">
        <f t="shared" si="90"/>
        <v>2024</v>
      </c>
      <c r="D1965" t="s">
        <v>11</v>
      </c>
      <c r="E1965" t="s">
        <v>43</v>
      </c>
      <c r="F1965" t="s">
        <v>44</v>
      </c>
      <c r="G1965" t="s">
        <v>36</v>
      </c>
      <c r="H1965">
        <v>4</v>
      </c>
      <c r="I1965" s="2">
        <v>1159.8599999999999</v>
      </c>
      <c r="J1965" s="2">
        <v>4639.4399999999996</v>
      </c>
      <c r="K1965" s="2">
        <f t="shared" si="91"/>
        <v>4639.4399999999996</v>
      </c>
      <c r="L1965" s="2">
        <f t="shared" si="92"/>
        <v>0</v>
      </c>
      <c r="M1965" t="s">
        <v>55</v>
      </c>
      <c r="N1965" t="s">
        <v>32</v>
      </c>
    </row>
    <row r="1966" spans="1:14" x14ac:dyDescent="0.3">
      <c r="A1966">
        <v>2024002964</v>
      </c>
      <c r="B1966" s="1">
        <v>45585</v>
      </c>
      <c r="C1966" s="11">
        <f t="shared" si="90"/>
        <v>2024</v>
      </c>
      <c r="D1966" t="s">
        <v>316</v>
      </c>
      <c r="E1966" t="s">
        <v>18</v>
      </c>
      <c r="F1966" t="s">
        <v>19</v>
      </c>
      <c r="G1966" t="s">
        <v>14</v>
      </c>
      <c r="H1966">
        <v>1</v>
      </c>
      <c r="I1966" s="2">
        <v>597.04</v>
      </c>
      <c r="J1966" s="2">
        <v>597.04</v>
      </c>
      <c r="K1966" s="2">
        <f t="shared" si="91"/>
        <v>597.04</v>
      </c>
      <c r="L1966" s="2">
        <f t="shared" si="92"/>
        <v>0</v>
      </c>
      <c r="M1966" t="s">
        <v>57</v>
      </c>
      <c r="N1966" t="s">
        <v>26</v>
      </c>
    </row>
    <row r="1967" spans="1:14" x14ac:dyDescent="0.3">
      <c r="A1967">
        <v>2024002965</v>
      </c>
      <c r="B1967" s="1">
        <v>45559</v>
      </c>
      <c r="C1967" s="11">
        <f t="shared" si="90"/>
        <v>2024</v>
      </c>
      <c r="D1967" t="s">
        <v>258</v>
      </c>
      <c r="E1967" t="s">
        <v>40</v>
      </c>
      <c r="F1967" t="s">
        <v>41</v>
      </c>
      <c r="G1967" t="s">
        <v>36</v>
      </c>
      <c r="H1967">
        <v>1</v>
      </c>
      <c r="I1967" s="2">
        <v>46.86</v>
      </c>
      <c r="J1967" s="2">
        <v>46.86</v>
      </c>
      <c r="K1967" s="2">
        <f t="shared" si="91"/>
        <v>46.86</v>
      </c>
      <c r="L1967" s="2">
        <f t="shared" si="92"/>
        <v>0</v>
      </c>
      <c r="M1967" t="s">
        <v>55</v>
      </c>
      <c r="N1967" t="s">
        <v>21</v>
      </c>
    </row>
    <row r="1968" spans="1:14" x14ac:dyDescent="0.3">
      <c r="A1968">
        <v>2024002966</v>
      </c>
      <c r="B1968" s="1">
        <v>45564</v>
      </c>
      <c r="C1968" s="11">
        <f t="shared" si="90"/>
        <v>2024</v>
      </c>
      <c r="D1968" t="s">
        <v>179</v>
      </c>
      <c r="E1968" t="s">
        <v>67</v>
      </c>
      <c r="F1968" t="s">
        <v>68</v>
      </c>
      <c r="G1968" t="s">
        <v>36</v>
      </c>
      <c r="H1968">
        <v>2</v>
      </c>
      <c r="I1968" s="2">
        <v>396.91</v>
      </c>
      <c r="J1968" s="2">
        <v>793.82</v>
      </c>
      <c r="K1968" s="2">
        <f t="shared" si="91"/>
        <v>793.82</v>
      </c>
      <c r="L1968" s="2">
        <f t="shared" si="92"/>
        <v>0</v>
      </c>
      <c r="M1968" t="s">
        <v>38</v>
      </c>
      <c r="N1968" t="s">
        <v>26</v>
      </c>
    </row>
    <row r="1969" spans="1:14" x14ac:dyDescent="0.3">
      <c r="A1969">
        <v>2024002967</v>
      </c>
      <c r="B1969" s="1">
        <v>45545</v>
      </c>
      <c r="C1969" s="11">
        <f t="shared" si="90"/>
        <v>2024</v>
      </c>
      <c r="D1969" t="s">
        <v>140</v>
      </c>
      <c r="E1969" t="s">
        <v>40</v>
      </c>
      <c r="F1969" t="s">
        <v>41</v>
      </c>
      <c r="G1969" t="s">
        <v>36</v>
      </c>
      <c r="H1969">
        <v>1</v>
      </c>
      <c r="I1969" s="2">
        <v>40.92</v>
      </c>
      <c r="J1969" s="2">
        <v>40.92</v>
      </c>
      <c r="K1969" s="2">
        <f t="shared" si="91"/>
        <v>40.92</v>
      </c>
      <c r="L1969" s="2">
        <f t="shared" si="92"/>
        <v>0</v>
      </c>
      <c r="M1969" t="s">
        <v>31</v>
      </c>
      <c r="N1969" t="s">
        <v>21</v>
      </c>
    </row>
    <row r="1970" spans="1:14" x14ac:dyDescent="0.3">
      <c r="A1970">
        <v>2024002968</v>
      </c>
      <c r="B1970" s="1">
        <v>45544</v>
      </c>
      <c r="C1970" s="11">
        <f t="shared" si="90"/>
        <v>2024</v>
      </c>
      <c r="D1970" t="s">
        <v>189</v>
      </c>
      <c r="E1970" t="s">
        <v>53</v>
      </c>
      <c r="F1970" t="s">
        <v>54</v>
      </c>
      <c r="G1970" t="s">
        <v>36</v>
      </c>
      <c r="H1970">
        <v>1</v>
      </c>
      <c r="I1970" s="2">
        <v>124.59</v>
      </c>
      <c r="J1970" s="2">
        <v>124.59</v>
      </c>
      <c r="K1970" s="2">
        <f t="shared" si="91"/>
        <v>124.59</v>
      </c>
      <c r="L1970" s="2">
        <f t="shared" si="92"/>
        <v>0</v>
      </c>
      <c r="M1970" t="s">
        <v>38</v>
      </c>
      <c r="N1970" t="s">
        <v>26</v>
      </c>
    </row>
    <row r="1971" spans="1:14" x14ac:dyDescent="0.3">
      <c r="A1971">
        <v>2024002969</v>
      </c>
      <c r="B1971" s="1">
        <v>45400</v>
      </c>
      <c r="C1971" s="11">
        <f t="shared" si="90"/>
        <v>2024</v>
      </c>
      <c r="D1971" t="s">
        <v>295</v>
      </c>
      <c r="E1971" t="s">
        <v>28</v>
      </c>
      <c r="F1971" t="s">
        <v>29</v>
      </c>
      <c r="G1971" t="s">
        <v>30</v>
      </c>
      <c r="H1971">
        <v>5</v>
      </c>
      <c r="I1971" s="2">
        <v>26.34</v>
      </c>
      <c r="J1971" s="2">
        <v>131.69999999999999</v>
      </c>
      <c r="K1971" s="2">
        <f t="shared" si="91"/>
        <v>131.69999999999999</v>
      </c>
      <c r="L1971" s="2">
        <f t="shared" si="92"/>
        <v>0</v>
      </c>
      <c r="M1971" t="s">
        <v>20</v>
      </c>
      <c r="N1971" t="s">
        <v>16</v>
      </c>
    </row>
    <row r="1972" spans="1:14" x14ac:dyDescent="0.3">
      <c r="A1972">
        <v>2024002970</v>
      </c>
      <c r="B1972" s="1">
        <v>45460</v>
      </c>
      <c r="C1972" s="11">
        <f t="shared" si="90"/>
        <v>2024</v>
      </c>
      <c r="D1972" t="s">
        <v>343</v>
      </c>
      <c r="E1972" t="s">
        <v>12</v>
      </c>
      <c r="F1972" t="s">
        <v>13</v>
      </c>
      <c r="G1972" t="s">
        <v>14</v>
      </c>
      <c r="H1972">
        <v>3</v>
      </c>
      <c r="I1972" s="2">
        <v>346.47</v>
      </c>
      <c r="J1972" s="2">
        <v>1039.4100000000001</v>
      </c>
      <c r="K1972" s="2">
        <f t="shared" si="91"/>
        <v>1039.4100000000001</v>
      </c>
      <c r="L1972" s="2">
        <f t="shared" si="92"/>
        <v>0</v>
      </c>
      <c r="M1972" t="s">
        <v>48</v>
      </c>
      <c r="N1972" t="s">
        <v>21</v>
      </c>
    </row>
    <row r="1973" spans="1:14" x14ac:dyDescent="0.3">
      <c r="A1973">
        <v>2024002971</v>
      </c>
      <c r="B1973" s="1">
        <v>45588</v>
      </c>
      <c r="C1973" s="11">
        <f t="shared" si="90"/>
        <v>2024</v>
      </c>
      <c r="D1973" t="s">
        <v>89</v>
      </c>
      <c r="E1973" t="s">
        <v>46</v>
      </c>
      <c r="F1973" t="s">
        <v>47</v>
      </c>
      <c r="G1973" t="s">
        <v>36</v>
      </c>
      <c r="H1973">
        <v>1</v>
      </c>
      <c r="I1973" s="2">
        <v>100.41</v>
      </c>
      <c r="J1973" s="2">
        <v>100.41</v>
      </c>
      <c r="K1973" s="2">
        <f t="shared" si="91"/>
        <v>100.41</v>
      </c>
      <c r="L1973" s="2">
        <f t="shared" si="92"/>
        <v>0</v>
      </c>
      <c r="M1973" t="s">
        <v>20</v>
      </c>
      <c r="N1973" t="s">
        <v>16</v>
      </c>
    </row>
    <row r="1974" spans="1:14" x14ac:dyDescent="0.3">
      <c r="A1974">
        <v>2024002972</v>
      </c>
      <c r="B1974" s="1">
        <v>45484</v>
      </c>
      <c r="C1974" s="11">
        <f t="shared" si="90"/>
        <v>2024</v>
      </c>
      <c r="D1974" t="s">
        <v>248</v>
      </c>
      <c r="E1974" t="s">
        <v>23</v>
      </c>
      <c r="F1974" t="s">
        <v>24</v>
      </c>
      <c r="G1974" t="s">
        <v>14</v>
      </c>
      <c r="H1974">
        <v>2</v>
      </c>
      <c r="I1974" s="2">
        <v>87.19</v>
      </c>
      <c r="J1974" s="2">
        <v>174.38</v>
      </c>
      <c r="K1974" s="2">
        <f t="shared" si="91"/>
        <v>174.38</v>
      </c>
      <c r="L1974" s="2">
        <f t="shared" si="92"/>
        <v>0</v>
      </c>
      <c r="M1974" t="s">
        <v>25</v>
      </c>
      <c r="N1974" t="s">
        <v>21</v>
      </c>
    </row>
    <row r="1975" spans="1:14" x14ac:dyDescent="0.3">
      <c r="A1975">
        <v>2024002973</v>
      </c>
      <c r="B1975" s="1">
        <v>45626</v>
      </c>
      <c r="C1975" s="11">
        <f t="shared" si="90"/>
        <v>2024</v>
      </c>
      <c r="D1975" t="s">
        <v>334</v>
      </c>
      <c r="E1975" t="s">
        <v>46</v>
      </c>
      <c r="F1975" t="s">
        <v>47</v>
      </c>
      <c r="G1975" t="s">
        <v>36</v>
      </c>
      <c r="H1975">
        <v>1</v>
      </c>
      <c r="I1975" s="2">
        <v>96.89</v>
      </c>
      <c r="J1975" s="2">
        <v>96.89</v>
      </c>
      <c r="K1975" s="2">
        <f t="shared" si="91"/>
        <v>96.89</v>
      </c>
      <c r="L1975" s="2">
        <f t="shared" si="92"/>
        <v>0</v>
      </c>
      <c r="M1975" t="s">
        <v>38</v>
      </c>
      <c r="N1975" t="s">
        <v>16</v>
      </c>
    </row>
    <row r="1976" spans="1:14" x14ac:dyDescent="0.3">
      <c r="A1976">
        <v>2024002974</v>
      </c>
      <c r="B1976" s="1">
        <v>45576</v>
      </c>
      <c r="C1976" s="11">
        <f t="shared" si="90"/>
        <v>2024</v>
      </c>
      <c r="D1976" t="s">
        <v>264</v>
      </c>
      <c r="E1976" t="s">
        <v>23</v>
      </c>
      <c r="F1976" t="s">
        <v>24</v>
      </c>
      <c r="G1976" t="s">
        <v>14</v>
      </c>
      <c r="H1976">
        <v>1</v>
      </c>
      <c r="I1976" s="2">
        <v>74.45</v>
      </c>
      <c r="J1976" s="2">
        <v>74.45</v>
      </c>
      <c r="K1976" s="2">
        <f t="shared" si="91"/>
        <v>74.45</v>
      </c>
      <c r="L1976" s="2">
        <f t="shared" si="92"/>
        <v>0</v>
      </c>
      <c r="M1976" t="s">
        <v>38</v>
      </c>
      <c r="N1976" t="s">
        <v>26</v>
      </c>
    </row>
    <row r="1977" spans="1:14" x14ac:dyDescent="0.3">
      <c r="A1977">
        <v>2024002975</v>
      </c>
      <c r="B1977" s="1">
        <v>45506</v>
      </c>
      <c r="C1977" s="11">
        <f t="shared" si="90"/>
        <v>2024</v>
      </c>
      <c r="D1977" t="s">
        <v>59</v>
      </c>
      <c r="E1977" t="s">
        <v>40</v>
      </c>
      <c r="F1977" t="s">
        <v>41</v>
      </c>
      <c r="G1977" t="s">
        <v>36</v>
      </c>
      <c r="H1977">
        <v>4</v>
      </c>
      <c r="I1977" s="2">
        <v>44.75</v>
      </c>
      <c r="J1977" s="2">
        <v>179</v>
      </c>
      <c r="K1977" s="2">
        <f t="shared" si="91"/>
        <v>179</v>
      </c>
      <c r="L1977" s="2">
        <f t="shared" si="92"/>
        <v>0</v>
      </c>
      <c r="M1977" t="s">
        <v>61</v>
      </c>
      <c r="N1977" t="s">
        <v>16</v>
      </c>
    </row>
    <row r="1978" spans="1:14" x14ac:dyDescent="0.3">
      <c r="A1978">
        <v>2024002976</v>
      </c>
      <c r="B1978" s="1">
        <v>45626</v>
      </c>
      <c r="C1978" s="11">
        <f t="shared" si="90"/>
        <v>2024</v>
      </c>
      <c r="D1978" t="s">
        <v>341</v>
      </c>
      <c r="E1978" t="s">
        <v>67</v>
      </c>
      <c r="F1978" t="s">
        <v>68</v>
      </c>
      <c r="G1978" t="s">
        <v>36</v>
      </c>
      <c r="H1978">
        <v>2</v>
      </c>
      <c r="I1978" s="2">
        <v>393.97</v>
      </c>
      <c r="J1978" s="2">
        <v>787.94</v>
      </c>
      <c r="K1978" s="2">
        <f t="shared" si="91"/>
        <v>787.94</v>
      </c>
      <c r="L1978" s="2">
        <f t="shared" si="92"/>
        <v>0</v>
      </c>
      <c r="M1978" t="s">
        <v>20</v>
      </c>
      <c r="N1978" t="s">
        <v>32</v>
      </c>
    </row>
    <row r="1979" spans="1:14" x14ac:dyDescent="0.3">
      <c r="A1979">
        <v>2024002977</v>
      </c>
      <c r="B1979" s="1">
        <v>45656</v>
      </c>
      <c r="C1979" s="11">
        <f t="shared" si="90"/>
        <v>2024</v>
      </c>
      <c r="D1979" t="s">
        <v>11</v>
      </c>
      <c r="E1979" t="s">
        <v>53</v>
      </c>
      <c r="F1979" t="s">
        <v>54</v>
      </c>
      <c r="G1979" t="s">
        <v>36</v>
      </c>
      <c r="H1979">
        <v>1</v>
      </c>
      <c r="I1979" s="2">
        <v>111.09</v>
      </c>
      <c r="J1979" s="2">
        <v>111.09</v>
      </c>
      <c r="K1979" s="2">
        <f t="shared" si="91"/>
        <v>111.09</v>
      </c>
      <c r="L1979" s="2">
        <f t="shared" si="92"/>
        <v>0</v>
      </c>
      <c r="M1979" t="s">
        <v>57</v>
      </c>
      <c r="N1979" t="s">
        <v>21</v>
      </c>
    </row>
    <row r="1980" spans="1:14" x14ac:dyDescent="0.3">
      <c r="A1980">
        <v>2024002978</v>
      </c>
      <c r="B1980" s="1">
        <v>45576</v>
      </c>
      <c r="C1980" s="11">
        <f t="shared" si="90"/>
        <v>2024</v>
      </c>
      <c r="D1980" t="s">
        <v>226</v>
      </c>
      <c r="E1980" t="s">
        <v>53</v>
      </c>
      <c r="F1980" t="s">
        <v>54</v>
      </c>
      <c r="G1980" t="s">
        <v>36</v>
      </c>
      <c r="H1980">
        <v>1</v>
      </c>
      <c r="I1980" s="2">
        <v>121.02</v>
      </c>
      <c r="J1980" s="2">
        <v>121.02</v>
      </c>
      <c r="K1980" s="2">
        <f t="shared" si="91"/>
        <v>121.02</v>
      </c>
      <c r="L1980" s="2">
        <f t="shared" si="92"/>
        <v>0</v>
      </c>
      <c r="M1980" t="s">
        <v>38</v>
      </c>
      <c r="N1980" t="s">
        <v>32</v>
      </c>
    </row>
    <row r="1981" spans="1:14" x14ac:dyDescent="0.3">
      <c r="A1981">
        <v>2024002979</v>
      </c>
      <c r="B1981" s="1">
        <v>45319</v>
      </c>
      <c r="C1981" s="11">
        <f t="shared" si="90"/>
        <v>2024</v>
      </c>
      <c r="D1981" t="s">
        <v>244</v>
      </c>
      <c r="E1981" t="s">
        <v>40</v>
      </c>
      <c r="F1981" t="s">
        <v>41</v>
      </c>
      <c r="G1981" t="s">
        <v>36</v>
      </c>
      <c r="H1981">
        <v>2</v>
      </c>
      <c r="I1981" s="2">
        <v>44.92</v>
      </c>
      <c r="J1981" s="2">
        <v>89.84</v>
      </c>
      <c r="K1981" s="2">
        <f t="shared" si="91"/>
        <v>89.84</v>
      </c>
      <c r="L1981" s="2">
        <f t="shared" si="92"/>
        <v>0</v>
      </c>
      <c r="M1981" t="s">
        <v>61</v>
      </c>
      <c r="N1981" t="s">
        <v>32</v>
      </c>
    </row>
    <row r="1982" spans="1:14" x14ac:dyDescent="0.3">
      <c r="A1982">
        <v>2024002980</v>
      </c>
      <c r="B1982" s="1">
        <v>45458</v>
      </c>
      <c r="C1982" s="11">
        <f t="shared" si="90"/>
        <v>2024</v>
      </c>
      <c r="D1982" t="s">
        <v>251</v>
      </c>
      <c r="E1982" t="s">
        <v>28</v>
      </c>
      <c r="F1982" t="s">
        <v>29</v>
      </c>
      <c r="G1982" t="s">
        <v>30</v>
      </c>
      <c r="H1982">
        <v>1</v>
      </c>
      <c r="I1982" s="2">
        <v>25.39</v>
      </c>
      <c r="J1982" s="2">
        <v>25.39</v>
      </c>
      <c r="K1982" s="2">
        <f t="shared" si="91"/>
        <v>25.39</v>
      </c>
      <c r="L1982" s="2">
        <f t="shared" si="92"/>
        <v>0</v>
      </c>
      <c r="M1982" t="s">
        <v>25</v>
      </c>
      <c r="N1982" t="s">
        <v>21</v>
      </c>
    </row>
    <row r="1983" spans="1:14" x14ac:dyDescent="0.3">
      <c r="A1983">
        <v>2024002981</v>
      </c>
      <c r="B1983" s="1">
        <v>45624</v>
      </c>
      <c r="C1983" s="11">
        <f t="shared" si="90"/>
        <v>2024</v>
      </c>
      <c r="D1983" t="s">
        <v>11</v>
      </c>
      <c r="E1983" t="s">
        <v>53</v>
      </c>
      <c r="F1983" t="s">
        <v>54</v>
      </c>
      <c r="G1983" t="s">
        <v>36</v>
      </c>
      <c r="H1983">
        <v>2</v>
      </c>
      <c r="I1983" s="2">
        <v>119.03</v>
      </c>
      <c r="J1983" s="2">
        <v>238.06</v>
      </c>
      <c r="K1983" s="2">
        <f t="shared" si="91"/>
        <v>238.06</v>
      </c>
      <c r="L1983" s="2">
        <f t="shared" si="92"/>
        <v>0</v>
      </c>
      <c r="M1983" t="s">
        <v>64</v>
      </c>
      <c r="N1983" t="s">
        <v>32</v>
      </c>
    </row>
    <row r="1984" spans="1:14" x14ac:dyDescent="0.3">
      <c r="A1984">
        <v>2024002982</v>
      </c>
      <c r="B1984" s="1">
        <v>45494</v>
      </c>
      <c r="C1984" s="11">
        <f t="shared" si="90"/>
        <v>2024</v>
      </c>
      <c r="D1984" t="s">
        <v>258</v>
      </c>
      <c r="E1984" t="s">
        <v>34</v>
      </c>
      <c r="F1984" t="s">
        <v>35</v>
      </c>
      <c r="G1984" t="s">
        <v>36</v>
      </c>
      <c r="H1984">
        <v>0</v>
      </c>
      <c r="I1984" s="2">
        <v>15.12</v>
      </c>
      <c r="J1984" s="2">
        <v>0</v>
      </c>
      <c r="K1984" s="2">
        <f t="shared" si="91"/>
        <v>0</v>
      </c>
      <c r="L1984" s="2">
        <f t="shared" si="92"/>
        <v>0</v>
      </c>
      <c r="M1984" t="s">
        <v>31</v>
      </c>
      <c r="N1984" t="s">
        <v>32</v>
      </c>
    </row>
    <row r="1985" spans="1:14" x14ac:dyDescent="0.3">
      <c r="A1985">
        <v>2024002983</v>
      </c>
      <c r="B1985" s="1">
        <v>45539</v>
      </c>
      <c r="C1985" s="11">
        <f t="shared" si="90"/>
        <v>2024</v>
      </c>
      <c r="D1985" t="s">
        <v>324</v>
      </c>
      <c r="E1985" t="s">
        <v>67</v>
      </c>
      <c r="F1985" t="s">
        <v>68</v>
      </c>
      <c r="G1985" t="s">
        <v>36</v>
      </c>
      <c r="H1985">
        <v>2</v>
      </c>
      <c r="I1985" s="2">
        <v>426.02</v>
      </c>
      <c r="J1985" s="2">
        <v>852.04</v>
      </c>
      <c r="K1985" s="2">
        <f t="shared" si="91"/>
        <v>852.04</v>
      </c>
      <c r="L1985" s="2">
        <f t="shared" si="92"/>
        <v>0</v>
      </c>
      <c r="M1985" t="s">
        <v>61</v>
      </c>
      <c r="N1985" t="s">
        <v>21</v>
      </c>
    </row>
    <row r="1986" spans="1:14" x14ac:dyDescent="0.3">
      <c r="A1986">
        <v>2024002984</v>
      </c>
      <c r="B1986" s="1">
        <v>45583</v>
      </c>
      <c r="C1986" s="11">
        <f t="shared" si="90"/>
        <v>2024</v>
      </c>
      <c r="D1986" t="s">
        <v>233</v>
      </c>
      <c r="E1986" t="s">
        <v>18</v>
      </c>
      <c r="F1986" t="s">
        <v>19</v>
      </c>
      <c r="G1986" t="s">
        <v>14</v>
      </c>
      <c r="H1986">
        <v>2</v>
      </c>
      <c r="I1986" s="2">
        <v>589.92999999999995</v>
      </c>
      <c r="J1986" s="2">
        <v>1179.8599999999999</v>
      </c>
      <c r="K1986" s="2">
        <f t="shared" si="91"/>
        <v>1179.8599999999999</v>
      </c>
      <c r="L1986" s="2">
        <f t="shared" si="92"/>
        <v>0</v>
      </c>
      <c r="M1986" t="s">
        <v>38</v>
      </c>
      <c r="N1986" t="s">
        <v>21</v>
      </c>
    </row>
    <row r="1987" spans="1:14" x14ac:dyDescent="0.3">
      <c r="A1987">
        <v>2024002985</v>
      </c>
      <c r="B1987" s="1">
        <v>45513</v>
      </c>
      <c r="C1987" s="11">
        <f t="shared" ref="C1987:C2050" si="93">YEAR(B1987)</f>
        <v>2024</v>
      </c>
      <c r="D1987" t="s">
        <v>203</v>
      </c>
      <c r="E1987" t="s">
        <v>12</v>
      </c>
      <c r="F1987" t="s">
        <v>13</v>
      </c>
      <c r="G1987" t="s">
        <v>14</v>
      </c>
      <c r="H1987">
        <v>1</v>
      </c>
      <c r="I1987" s="2">
        <v>329.79</v>
      </c>
      <c r="J1987" s="2">
        <v>329.79</v>
      </c>
      <c r="K1987" s="2">
        <f t="shared" ref="K1987:K2050" si="94">I1987*H1987</f>
        <v>329.79</v>
      </c>
      <c r="L1987" s="2">
        <f t="shared" ref="L1987:L2050" si="95">J1987-K1987</f>
        <v>0</v>
      </c>
      <c r="M1987" t="s">
        <v>25</v>
      </c>
      <c r="N1987" t="s">
        <v>26</v>
      </c>
    </row>
    <row r="1988" spans="1:14" x14ac:dyDescent="0.3">
      <c r="A1988">
        <v>2024002986</v>
      </c>
      <c r="B1988" s="1">
        <v>45442</v>
      </c>
      <c r="C1988" s="11">
        <f t="shared" si="93"/>
        <v>2024</v>
      </c>
      <c r="D1988" t="s">
        <v>88</v>
      </c>
      <c r="E1988" t="s">
        <v>40</v>
      </c>
      <c r="F1988" t="s">
        <v>41</v>
      </c>
      <c r="G1988" t="s">
        <v>36</v>
      </c>
      <c r="H1988">
        <v>3</v>
      </c>
      <c r="I1988" s="2">
        <v>44.15</v>
      </c>
      <c r="J1988" s="2">
        <v>132.44999999999999</v>
      </c>
      <c r="K1988" s="2">
        <f t="shared" si="94"/>
        <v>132.44999999999999</v>
      </c>
      <c r="L1988" s="2">
        <f t="shared" si="95"/>
        <v>0</v>
      </c>
      <c r="M1988" t="s">
        <v>57</v>
      </c>
      <c r="N1988" t="s">
        <v>26</v>
      </c>
    </row>
    <row r="1989" spans="1:14" x14ac:dyDescent="0.3">
      <c r="A1989">
        <v>2024002987</v>
      </c>
      <c r="B1989" s="1">
        <v>45369</v>
      </c>
      <c r="C1989" s="11">
        <f t="shared" si="93"/>
        <v>2024</v>
      </c>
      <c r="D1989" t="s">
        <v>11</v>
      </c>
      <c r="E1989" t="s">
        <v>67</v>
      </c>
      <c r="F1989" t="s">
        <v>68</v>
      </c>
      <c r="G1989" t="s">
        <v>36</v>
      </c>
      <c r="H1989">
        <v>5</v>
      </c>
      <c r="I1989" s="2">
        <v>382</v>
      </c>
      <c r="J1989" s="2">
        <v>1910</v>
      </c>
      <c r="K1989" s="2">
        <f t="shared" si="94"/>
        <v>1910</v>
      </c>
      <c r="L1989" s="2">
        <f t="shared" si="95"/>
        <v>0</v>
      </c>
      <c r="M1989" t="s">
        <v>61</v>
      </c>
      <c r="N1989" t="s">
        <v>26</v>
      </c>
    </row>
    <row r="1990" spans="1:14" x14ac:dyDescent="0.3">
      <c r="A1990">
        <v>2024002988</v>
      </c>
      <c r="B1990" s="1">
        <v>45654</v>
      </c>
      <c r="C1990" s="11">
        <f t="shared" si="93"/>
        <v>2024</v>
      </c>
      <c r="D1990" t="s">
        <v>206</v>
      </c>
      <c r="E1990" t="s">
        <v>12</v>
      </c>
      <c r="F1990" t="s">
        <v>13</v>
      </c>
      <c r="G1990" t="s">
        <v>14</v>
      </c>
      <c r="H1990">
        <v>3</v>
      </c>
      <c r="I1990" s="2">
        <v>335.99</v>
      </c>
      <c r="J1990" s="2">
        <v>1007.97</v>
      </c>
      <c r="K1990" s="2">
        <f t="shared" si="94"/>
        <v>1007.97</v>
      </c>
      <c r="L1990" s="2">
        <f t="shared" si="95"/>
        <v>0</v>
      </c>
      <c r="M1990" t="s">
        <v>64</v>
      </c>
      <c r="N1990" t="s">
        <v>26</v>
      </c>
    </row>
    <row r="1991" spans="1:14" x14ac:dyDescent="0.3">
      <c r="A1991">
        <v>2024002989</v>
      </c>
      <c r="B1991" s="1">
        <v>45541</v>
      </c>
      <c r="C1991" s="11">
        <f t="shared" si="93"/>
        <v>2024</v>
      </c>
      <c r="D1991" t="s">
        <v>116</v>
      </c>
      <c r="E1991" t="s">
        <v>53</v>
      </c>
      <c r="F1991" t="s">
        <v>54</v>
      </c>
      <c r="G1991" t="s">
        <v>36</v>
      </c>
      <c r="H1991">
        <v>2</v>
      </c>
      <c r="I1991" s="2">
        <v>118.22</v>
      </c>
      <c r="J1991" s="2">
        <v>236.44</v>
      </c>
      <c r="K1991" s="2">
        <f t="shared" si="94"/>
        <v>236.44</v>
      </c>
      <c r="L1991" s="2">
        <f t="shared" si="95"/>
        <v>0</v>
      </c>
      <c r="M1991" t="s">
        <v>15</v>
      </c>
      <c r="N1991" t="s">
        <v>16</v>
      </c>
    </row>
    <row r="1992" spans="1:14" x14ac:dyDescent="0.3">
      <c r="A1992">
        <v>2024002990</v>
      </c>
      <c r="B1992" s="1">
        <v>45485</v>
      </c>
      <c r="C1992" s="11">
        <f t="shared" si="93"/>
        <v>2024</v>
      </c>
      <c r="D1992" t="s">
        <v>11</v>
      </c>
      <c r="E1992" t="s">
        <v>67</v>
      </c>
      <c r="F1992" t="s">
        <v>68</v>
      </c>
      <c r="G1992" t="s">
        <v>36</v>
      </c>
      <c r="H1992">
        <v>1</v>
      </c>
      <c r="I1992" s="2">
        <v>376.48</v>
      </c>
      <c r="J1992" s="2">
        <v>376.48</v>
      </c>
      <c r="K1992" s="2">
        <f t="shared" si="94"/>
        <v>376.48</v>
      </c>
      <c r="L1992" s="2">
        <f t="shared" si="95"/>
        <v>0</v>
      </c>
      <c r="M1992" t="s">
        <v>57</v>
      </c>
      <c r="N1992" t="s">
        <v>21</v>
      </c>
    </row>
    <row r="1993" spans="1:14" x14ac:dyDescent="0.3">
      <c r="A1993">
        <v>2024002991</v>
      </c>
      <c r="B1993" s="1">
        <v>45362</v>
      </c>
      <c r="C1993" s="11">
        <f t="shared" si="93"/>
        <v>2024</v>
      </c>
      <c r="D1993" t="s">
        <v>217</v>
      </c>
      <c r="E1993" t="s">
        <v>53</v>
      </c>
      <c r="F1993" t="s">
        <v>54</v>
      </c>
      <c r="G1993" t="s">
        <v>36</v>
      </c>
      <c r="H1993">
        <v>4</v>
      </c>
      <c r="I1993" s="2">
        <v>117.77</v>
      </c>
      <c r="J1993" s="2">
        <v>471.08</v>
      </c>
      <c r="K1993" s="2">
        <f t="shared" si="94"/>
        <v>471.08</v>
      </c>
      <c r="L1993" s="2">
        <f t="shared" si="95"/>
        <v>0</v>
      </c>
      <c r="M1993" t="s">
        <v>31</v>
      </c>
      <c r="N1993" t="s">
        <v>32</v>
      </c>
    </row>
    <row r="1994" spans="1:14" x14ac:dyDescent="0.3">
      <c r="A1994">
        <v>2024002992</v>
      </c>
      <c r="B1994" s="1">
        <v>45592</v>
      </c>
      <c r="C1994" s="11">
        <f t="shared" si="93"/>
        <v>2024</v>
      </c>
      <c r="D1994" t="s">
        <v>336</v>
      </c>
      <c r="E1994" t="s">
        <v>40</v>
      </c>
      <c r="F1994" t="s">
        <v>41</v>
      </c>
      <c r="G1994" t="s">
        <v>36</v>
      </c>
      <c r="H1994">
        <v>2</v>
      </c>
      <c r="I1994" s="2">
        <v>41.74</v>
      </c>
      <c r="J1994" s="2">
        <v>83.48</v>
      </c>
      <c r="K1994" s="2">
        <f t="shared" si="94"/>
        <v>83.48</v>
      </c>
      <c r="L1994" s="2">
        <f t="shared" si="95"/>
        <v>0</v>
      </c>
      <c r="M1994" t="s">
        <v>20</v>
      </c>
      <c r="N1994" t="s">
        <v>32</v>
      </c>
    </row>
    <row r="1995" spans="1:14" x14ac:dyDescent="0.3">
      <c r="A1995">
        <v>2024002993</v>
      </c>
      <c r="B1995" s="1">
        <v>45306</v>
      </c>
      <c r="C1995" s="11">
        <f t="shared" si="93"/>
        <v>2024</v>
      </c>
      <c r="D1995" t="s">
        <v>291</v>
      </c>
      <c r="E1995" t="s">
        <v>46</v>
      </c>
      <c r="F1995" t="s">
        <v>47</v>
      </c>
      <c r="G1995" t="s">
        <v>36</v>
      </c>
      <c r="H1995">
        <v>1</v>
      </c>
      <c r="I1995" s="2">
        <v>84.73</v>
      </c>
      <c r="J1995" s="2">
        <v>84.73</v>
      </c>
      <c r="K1995" s="2">
        <f t="shared" si="94"/>
        <v>84.73</v>
      </c>
      <c r="L1995" s="2">
        <f t="shared" si="95"/>
        <v>0</v>
      </c>
      <c r="M1995" t="s">
        <v>20</v>
      </c>
      <c r="N1995" t="s">
        <v>26</v>
      </c>
    </row>
    <row r="1996" spans="1:14" x14ac:dyDescent="0.3">
      <c r="A1996">
        <v>2024002994</v>
      </c>
      <c r="B1996" s="1">
        <v>45325</v>
      </c>
      <c r="C1996" s="11">
        <f t="shared" si="93"/>
        <v>2024</v>
      </c>
      <c r="D1996" t="s">
        <v>110</v>
      </c>
      <c r="E1996" t="s">
        <v>34</v>
      </c>
      <c r="F1996" t="s">
        <v>35</v>
      </c>
      <c r="G1996" t="s">
        <v>36</v>
      </c>
      <c r="H1996">
        <v>3</v>
      </c>
      <c r="I1996" s="2">
        <v>15.01</v>
      </c>
      <c r="J1996" s="2">
        <v>45.03</v>
      </c>
      <c r="K1996" s="2">
        <f t="shared" si="94"/>
        <v>45.03</v>
      </c>
      <c r="L1996" s="2">
        <f t="shared" si="95"/>
        <v>0</v>
      </c>
      <c r="M1996" t="s">
        <v>38</v>
      </c>
      <c r="N1996" t="s">
        <v>32</v>
      </c>
    </row>
    <row r="1997" spans="1:14" x14ac:dyDescent="0.3">
      <c r="A1997">
        <v>2024002995</v>
      </c>
      <c r="B1997" s="1">
        <v>45507</v>
      </c>
      <c r="C1997" s="11">
        <f t="shared" si="93"/>
        <v>2024</v>
      </c>
      <c r="D1997" t="s">
        <v>149</v>
      </c>
      <c r="E1997" t="s">
        <v>46</v>
      </c>
      <c r="F1997" t="s">
        <v>47</v>
      </c>
      <c r="G1997" t="s">
        <v>36</v>
      </c>
      <c r="H1997">
        <v>1</v>
      </c>
      <c r="I1997" s="2">
        <v>94.1</v>
      </c>
      <c r="J1997" s="2">
        <v>94.1</v>
      </c>
      <c r="K1997" s="2">
        <f t="shared" si="94"/>
        <v>94.1</v>
      </c>
      <c r="L1997" s="2">
        <f t="shared" si="95"/>
        <v>0</v>
      </c>
      <c r="M1997" t="s">
        <v>15</v>
      </c>
      <c r="N1997" t="s">
        <v>16</v>
      </c>
    </row>
    <row r="1998" spans="1:14" x14ac:dyDescent="0.3">
      <c r="A1998">
        <v>2024002604</v>
      </c>
      <c r="B1998" s="1">
        <v>45477</v>
      </c>
      <c r="C1998" s="11">
        <f t="shared" si="93"/>
        <v>2024</v>
      </c>
      <c r="D1998" t="s">
        <v>106</v>
      </c>
      <c r="E1998" t="s">
        <v>43</v>
      </c>
      <c r="F1998" t="s">
        <v>44</v>
      </c>
      <c r="G1998" t="s">
        <v>36</v>
      </c>
      <c r="H1998">
        <v>1</v>
      </c>
      <c r="I1998" s="2">
        <v>1171.3800000000001</v>
      </c>
      <c r="J1998" s="2">
        <v>1171.3800000000001</v>
      </c>
      <c r="K1998" s="2">
        <f t="shared" si="94"/>
        <v>1171.3800000000001</v>
      </c>
      <c r="L1998" s="2">
        <f t="shared" si="95"/>
        <v>0</v>
      </c>
      <c r="M1998" t="s">
        <v>38</v>
      </c>
      <c r="N1998" t="s">
        <v>16</v>
      </c>
    </row>
    <row r="1999" spans="1:14" x14ac:dyDescent="0.3">
      <c r="A1999">
        <v>2024002997</v>
      </c>
      <c r="B1999" s="1">
        <v>45573</v>
      </c>
      <c r="C1999" s="11">
        <f t="shared" si="93"/>
        <v>2024</v>
      </c>
      <c r="D1999" t="s">
        <v>249</v>
      </c>
      <c r="E1999" t="s">
        <v>23</v>
      </c>
      <c r="F1999" t="s">
        <v>24</v>
      </c>
      <c r="G1999" t="s">
        <v>14</v>
      </c>
      <c r="H1999">
        <v>2</v>
      </c>
      <c r="I1999" s="2">
        <v>80.47</v>
      </c>
      <c r="J1999" s="2">
        <v>160.94</v>
      </c>
      <c r="K1999" s="2">
        <f t="shared" si="94"/>
        <v>160.94</v>
      </c>
      <c r="L1999" s="2">
        <f t="shared" si="95"/>
        <v>0</v>
      </c>
      <c r="M1999" t="s">
        <v>48</v>
      </c>
      <c r="N1999" t="s">
        <v>26</v>
      </c>
    </row>
    <row r="2000" spans="1:14" x14ac:dyDescent="0.3">
      <c r="A2000">
        <v>2024001738</v>
      </c>
      <c r="B2000" s="1">
        <v>45535</v>
      </c>
      <c r="C2000" s="11">
        <f t="shared" si="93"/>
        <v>2024</v>
      </c>
      <c r="D2000" t="s">
        <v>244</v>
      </c>
      <c r="E2000" t="s">
        <v>53</v>
      </c>
      <c r="F2000" t="s">
        <v>54</v>
      </c>
      <c r="G2000" t="s">
        <v>36</v>
      </c>
      <c r="H2000">
        <v>0</v>
      </c>
      <c r="I2000" s="2">
        <v>115.97</v>
      </c>
      <c r="J2000" s="2">
        <v>0</v>
      </c>
      <c r="K2000" s="2">
        <f t="shared" si="94"/>
        <v>0</v>
      </c>
      <c r="L2000" s="2">
        <f t="shared" si="95"/>
        <v>0</v>
      </c>
      <c r="M2000" t="s">
        <v>38</v>
      </c>
      <c r="N2000" t="s">
        <v>32</v>
      </c>
    </row>
    <row r="2001" spans="1:14" x14ac:dyDescent="0.3">
      <c r="A2001">
        <v>2024002999</v>
      </c>
      <c r="B2001" s="1">
        <v>45643</v>
      </c>
      <c r="C2001" s="11">
        <f t="shared" si="93"/>
        <v>2024</v>
      </c>
      <c r="D2001" t="s">
        <v>157</v>
      </c>
      <c r="E2001" t="s">
        <v>18</v>
      </c>
      <c r="F2001" t="s">
        <v>19</v>
      </c>
      <c r="G2001" t="s">
        <v>14</v>
      </c>
      <c r="H2001">
        <v>1</v>
      </c>
      <c r="I2001" s="2">
        <v>565.57000000000005</v>
      </c>
      <c r="J2001" s="2">
        <v>565.57000000000005</v>
      </c>
      <c r="K2001" s="2">
        <f t="shared" si="94"/>
        <v>565.57000000000005</v>
      </c>
      <c r="L2001" s="2">
        <f t="shared" si="95"/>
        <v>0</v>
      </c>
      <c r="M2001" t="s">
        <v>57</v>
      </c>
      <c r="N2001" t="s">
        <v>26</v>
      </c>
    </row>
    <row r="2002" spans="1:14" x14ac:dyDescent="0.3">
      <c r="A2002">
        <v>2024003000</v>
      </c>
      <c r="B2002" s="1">
        <v>45605</v>
      </c>
      <c r="C2002" s="11">
        <f t="shared" si="93"/>
        <v>2024</v>
      </c>
      <c r="D2002" t="s">
        <v>112</v>
      </c>
      <c r="E2002" t="s">
        <v>12</v>
      </c>
      <c r="F2002" t="s">
        <v>13</v>
      </c>
      <c r="G2002" t="s">
        <v>14</v>
      </c>
      <c r="H2002">
        <v>1</v>
      </c>
      <c r="I2002" s="2">
        <v>368.1</v>
      </c>
      <c r="J2002" s="2">
        <v>368.1</v>
      </c>
      <c r="K2002" s="2">
        <f t="shared" si="94"/>
        <v>368.1</v>
      </c>
      <c r="L2002" s="2">
        <f t="shared" si="95"/>
        <v>0</v>
      </c>
      <c r="M2002" t="s">
        <v>15</v>
      </c>
      <c r="N2002" t="s">
        <v>21</v>
      </c>
    </row>
    <row r="2003" spans="1:14" x14ac:dyDescent="0.3">
      <c r="A2003">
        <v>2024003001</v>
      </c>
      <c r="B2003" s="1">
        <v>45338</v>
      </c>
      <c r="C2003" s="11">
        <f t="shared" si="93"/>
        <v>2024</v>
      </c>
      <c r="D2003" t="s">
        <v>334</v>
      </c>
      <c r="E2003" t="s">
        <v>46</v>
      </c>
      <c r="F2003" t="s">
        <v>47</v>
      </c>
      <c r="G2003" t="s">
        <v>36</v>
      </c>
      <c r="H2003">
        <v>2</v>
      </c>
      <c r="I2003" s="2">
        <v>82.25</v>
      </c>
      <c r="J2003" s="2">
        <v>164.5</v>
      </c>
      <c r="K2003" s="2">
        <f t="shared" si="94"/>
        <v>164.5</v>
      </c>
      <c r="L2003" s="2">
        <f t="shared" si="95"/>
        <v>0</v>
      </c>
      <c r="M2003" t="s">
        <v>61</v>
      </c>
      <c r="N2003" t="s">
        <v>32</v>
      </c>
    </row>
    <row r="2004" spans="1:14" x14ac:dyDescent="0.3">
      <c r="A2004">
        <v>2024003002</v>
      </c>
      <c r="B2004" s="1">
        <v>45502</v>
      </c>
      <c r="C2004" s="11">
        <f t="shared" si="93"/>
        <v>2024</v>
      </c>
      <c r="D2004" t="s">
        <v>158</v>
      </c>
      <c r="E2004" t="s">
        <v>34</v>
      </c>
      <c r="F2004" t="s">
        <v>35</v>
      </c>
      <c r="G2004" t="s">
        <v>36</v>
      </c>
      <c r="H2004">
        <v>4</v>
      </c>
      <c r="I2004" s="2">
        <v>13.68</v>
      </c>
      <c r="J2004" s="2">
        <v>54.72</v>
      </c>
      <c r="K2004" s="2">
        <f t="shared" si="94"/>
        <v>54.72</v>
      </c>
      <c r="L2004" s="2">
        <f t="shared" si="95"/>
        <v>0</v>
      </c>
      <c r="M2004" t="s">
        <v>57</v>
      </c>
      <c r="N2004" t="s">
        <v>32</v>
      </c>
    </row>
    <row r="2005" spans="1:14" x14ac:dyDescent="0.3">
      <c r="A2005">
        <v>2024003003</v>
      </c>
      <c r="B2005" s="1">
        <v>45321</v>
      </c>
      <c r="C2005" s="11">
        <f t="shared" si="93"/>
        <v>2024</v>
      </c>
      <c r="D2005" t="s">
        <v>185</v>
      </c>
      <c r="E2005" t="s">
        <v>53</v>
      </c>
      <c r="F2005" t="s">
        <v>54</v>
      </c>
      <c r="G2005" t="s">
        <v>36</v>
      </c>
      <c r="H2005">
        <v>1</v>
      </c>
      <c r="I2005" s="2">
        <v>123.9</v>
      </c>
      <c r="J2005" s="2">
        <v>123.9</v>
      </c>
      <c r="K2005" s="2">
        <f t="shared" si="94"/>
        <v>123.9</v>
      </c>
      <c r="L2005" s="2">
        <f t="shared" si="95"/>
        <v>0</v>
      </c>
      <c r="M2005" t="s">
        <v>25</v>
      </c>
      <c r="N2005" t="s">
        <v>21</v>
      </c>
    </row>
    <row r="2006" spans="1:14" x14ac:dyDescent="0.3">
      <c r="A2006">
        <v>2024003004</v>
      </c>
      <c r="B2006" s="1">
        <v>45533</v>
      </c>
      <c r="C2006" s="11">
        <f t="shared" si="93"/>
        <v>2024</v>
      </c>
      <c r="D2006" t="s">
        <v>300</v>
      </c>
      <c r="E2006" t="s">
        <v>12</v>
      </c>
      <c r="F2006" t="s">
        <v>13</v>
      </c>
      <c r="G2006" t="s">
        <v>14</v>
      </c>
      <c r="H2006">
        <v>2</v>
      </c>
      <c r="I2006" s="2">
        <v>359.78</v>
      </c>
      <c r="J2006" s="2">
        <v>719.56</v>
      </c>
      <c r="K2006" s="2">
        <f t="shared" si="94"/>
        <v>719.56</v>
      </c>
      <c r="L2006" s="2">
        <f t="shared" si="95"/>
        <v>0</v>
      </c>
      <c r="M2006" t="s">
        <v>64</v>
      </c>
      <c r="N2006" t="s">
        <v>32</v>
      </c>
    </row>
    <row r="2007" spans="1:14" x14ac:dyDescent="0.3">
      <c r="A2007">
        <v>2024003005</v>
      </c>
      <c r="B2007" s="1">
        <v>45562</v>
      </c>
      <c r="C2007" s="11">
        <f t="shared" si="93"/>
        <v>2024</v>
      </c>
      <c r="D2007" t="s">
        <v>97</v>
      </c>
      <c r="E2007" t="s">
        <v>12</v>
      </c>
      <c r="F2007" t="s">
        <v>13</v>
      </c>
      <c r="G2007" t="s">
        <v>14</v>
      </c>
      <c r="H2007">
        <v>3</v>
      </c>
      <c r="I2007" s="2">
        <v>350.6</v>
      </c>
      <c r="J2007" s="2">
        <v>1051.8</v>
      </c>
      <c r="K2007" s="2">
        <f t="shared" si="94"/>
        <v>1051.8000000000002</v>
      </c>
      <c r="L2007" s="2">
        <f t="shared" si="95"/>
        <v>0</v>
      </c>
      <c r="M2007" t="s">
        <v>55</v>
      </c>
      <c r="N2007" t="s">
        <v>16</v>
      </c>
    </row>
    <row r="2008" spans="1:14" x14ac:dyDescent="0.3">
      <c r="A2008">
        <v>2024003006</v>
      </c>
      <c r="B2008" s="1">
        <v>45532</v>
      </c>
      <c r="C2008" s="11">
        <f t="shared" si="93"/>
        <v>2024</v>
      </c>
      <c r="D2008" t="s">
        <v>119</v>
      </c>
      <c r="E2008" t="s">
        <v>67</v>
      </c>
      <c r="F2008" t="s">
        <v>68</v>
      </c>
      <c r="G2008" t="s">
        <v>36</v>
      </c>
      <c r="H2008">
        <v>2</v>
      </c>
      <c r="I2008" s="2">
        <v>422.1</v>
      </c>
      <c r="J2008" s="2">
        <v>844.2</v>
      </c>
      <c r="K2008" s="2">
        <f t="shared" si="94"/>
        <v>844.2</v>
      </c>
      <c r="L2008" s="2">
        <f t="shared" si="95"/>
        <v>0</v>
      </c>
      <c r="M2008" t="s">
        <v>55</v>
      </c>
      <c r="N2008" t="s">
        <v>21</v>
      </c>
    </row>
    <row r="2009" spans="1:14" x14ac:dyDescent="0.3">
      <c r="A2009">
        <v>2024003007</v>
      </c>
      <c r="B2009" s="1">
        <v>45560</v>
      </c>
      <c r="C2009" s="11">
        <f t="shared" si="93"/>
        <v>2024</v>
      </c>
      <c r="D2009" t="s">
        <v>272</v>
      </c>
      <c r="E2009" t="s">
        <v>28</v>
      </c>
      <c r="F2009" t="s">
        <v>29</v>
      </c>
      <c r="G2009" t="s">
        <v>30</v>
      </c>
      <c r="H2009">
        <v>1</v>
      </c>
      <c r="I2009" s="2">
        <v>24.53</v>
      </c>
      <c r="J2009" s="2">
        <v>24.53</v>
      </c>
      <c r="K2009" s="2">
        <f t="shared" si="94"/>
        <v>24.53</v>
      </c>
      <c r="L2009" s="2">
        <f t="shared" si="95"/>
        <v>0</v>
      </c>
      <c r="M2009" t="s">
        <v>64</v>
      </c>
      <c r="N2009" t="s">
        <v>21</v>
      </c>
    </row>
    <row r="2010" spans="1:14" x14ac:dyDescent="0.3">
      <c r="A2010">
        <v>2024003008</v>
      </c>
      <c r="B2010" s="1">
        <v>45550</v>
      </c>
      <c r="C2010" s="11">
        <f t="shared" si="93"/>
        <v>2024</v>
      </c>
      <c r="D2010" t="s">
        <v>96</v>
      </c>
      <c r="E2010" t="s">
        <v>18</v>
      </c>
      <c r="F2010" t="s">
        <v>19</v>
      </c>
      <c r="G2010" t="s">
        <v>14</v>
      </c>
      <c r="H2010">
        <v>3</v>
      </c>
      <c r="I2010" s="2">
        <v>606.95000000000005</v>
      </c>
      <c r="J2010" s="2">
        <v>1820.85</v>
      </c>
      <c r="K2010" s="2">
        <f t="shared" si="94"/>
        <v>1820.8500000000001</v>
      </c>
      <c r="L2010" s="2">
        <f t="shared" si="95"/>
        <v>0</v>
      </c>
      <c r="M2010" t="s">
        <v>48</v>
      </c>
      <c r="N2010" t="s">
        <v>32</v>
      </c>
    </row>
    <row r="2011" spans="1:14" x14ac:dyDescent="0.3">
      <c r="A2011">
        <v>2024003009</v>
      </c>
      <c r="B2011" s="1">
        <v>45646</v>
      </c>
      <c r="C2011" s="11">
        <f t="shared" si="93"/>
        <v>2024</v>
      </c>
      <c r="D2011" t="s">
        <v>11</v>
      </c>
      <c r="E2011" t="s">
        <v>67</v>
      </c>
      <c r="F2011" t="s">
        <v>68</v>
      </c>
      <c r="G2011" t="s">
        <v>36</v>
      </c>
      <c r="H2011">
        <v>3</v>
      </c>
      <c r="I2011" s="2">
        <v>404.97</v>
      </c>
      <c r="J2011" s="2">
        <v>1214.9100000000001</v>
      </c>
      <c r="K2011" s="2">
        <f t="shared" si="94"/>
        <v>1214.9100000000001</v>
      </c>
      <c r="L2011" s="2">
        <f t="shared" si="95"/>
        <v>0</v>
      </c>
      <c r="M2011" t="s">
        <v>64</v>
      </c>
      <c r="N2011" t="s">
        <v>16</v>
      </c>
    </row>
    <row r="2012" spans="1:14" x14ac:dyDescent="0.3">
      <c r="A2012">
        <v>2024003010</v>
      </c>
      <c r="B2012" s="1">
        <v>45378</v>
      </c>
      <c r="C2012" s="11">
        <f t="shared" si="93"/>
        <v>2024</v>
      </c>
      <c r="D2012" t="s">
        <v>295</v>
      </c>
      <c r="E2012" t="s">
        <v>43</v>
      </c>
      <c r="F2012" t="s">
        <v>44</v>
      </c>
      <c r="G2012" t="s">
        <v>36</v>
      </c>
      <c r="H2012">
        <v>1</v>
      </c>
      <c r="I2012" s="2">
        <v>1194.6500000000001</v>
      </c>
      <c r="J2012" s="2">
        <v>1194.6500000000001</v>
      </c>
      <c r="K2012" s="2">
        <f t="shared" si="94"/>
        <v>1194.6500000000001</v>
      </c>
      <c r="L2012" s="2">
        <f t="shared" si="95"/>
        <v>0</v>
      </c>
      <c r="M2012" t="s">
        <v>38</v>
      </c>
      <c r="N2012" t="s">
        <v>32</v>
      </c>
    </row>
    <row r="2013" spans="1:14" x14ac:dyDescent="0.3">
      <c r="A2013">
        <v>2024003011</v>
      </c>
      <c r="B2013" s="1">
        <v>45307</v>
      </c>
      <c r="C2013" s="11">
        <f t="shared" si="93"/>
        <v>2024</v>
      </c>
      <c r="D2013" t="s">
        <v>313</v>
      </c>
      <c r="E2013" t="s">
        <v>23</v>
      </c>
      <c r="F2013" t="s">
        <v>24</v>
      </c>
      <c r="G2013" t="s">
        <v>14</v>
      </c>
      <c r="H2013">
        <v>4</v>
      </c>
      <c r="I2013" s="2">
        <v>86.44</v>
      </c>
      <c r="J2013" s="2">
        <v>345.76</v>
      </c>
      <c r="K2013" s="2">
        <f t="shared" si="94"/>
        <v>345.76</v>
      </c>
      <c r="L2013" s="2">
        <f t="shared" si="95"/>
        <v>0</v>
      </c>
      <c r="M2013" t="s">
        <v>15</v>
      </c>
      <c r="N2013" t="s">
        <v>32</v>
      </c>
    </row>
    <row r="2014" spans="1:14" x14ac:dyDescent="0.3">
      <c r="A2014">
        <v>2024003012</v>
      </c>
      <c r="B2014" s="1">
        <v>45622</v>
      </c>
      <c r="C2014" s="11">
        <f t="shared" si="93"/>
        <v>2024</v>
      </c>
      <c r="D2014" t="s">
        <v>343</v>
      </c>
      <c r="E2014" t="s">
        <v>43</v>
      </c>
      <c r="F2014" t="s">
        <v>44</v>
      </c>
      <c r="G2014" t="s">
        <v>36</v>
      </c>
      <c r="H2014">
        <v>1</v>
      </c>
      <c r="I2014" s="2">
        <v>1721.7</v>
      </c>
      <c r="J2014" s="2">
        <v>1721.7</v>
      </c>
      <c r="K2014" s="2">
        <f t="shared" si="94"/>
        <v>1721.7</v>
      </c>
      <c r="L2014" s="2">
        <f t="shared" si="95"/>
        <v>0</v>
      </c>
      <c r="M2014" t="s">
        <v>31</v>
      </c>
      <c r="N2014" t="s">
        <v>26</v>
      </c>
    </row>
    <row r="2015" spans="1:14" x14ac:dyDescent="0.3">
      <c r="A2015">
        <v>2024003013</v>
      </c>
      <c r="B2015" s="1">
        <v>45323</v>
      </c>
      <c r="C2015" s="11">
        <f t="shared" si="93"/>
        <v>2024</v>
      </c>
      <c r="D2015" t="s">
        <v>11</v>
      </c>
      <c r="E2015" t="s">
        <v>23</v>
      </c>
      <c r="F2015" t="s">
        <v>24</v>
      </c>
      <c r="G2015" t="s">
        <v>14</v>
      </c>
      <c r="H2015">
        <v>3</v>
      </c>
      <c r="I2015" s="2">
        <v>83.2</v>
      </c>
      <c r="J2015" s="2">
        <v>249.6</v>
      </c>
      <c r="K2015" s="2">
        <f t="shared" si="94"/>
        <v>249.60000000000002</v>
      </c>
      <c r="L2015" s="2">
        <f t="shared" si="95"/>
        <v>0</v>
      </c>
      <c r="M2015" t="s">
        <v>20</v>
      </c>
      <c r="N2015" t="s">
        <v>21</v>
      </c>
    </row>
    <row r="2016" spans="1:14" x14ac:dyDescent="0.3">
      <c r="A2016">
        <v>2024003014</v>
      </c>
      <c r="B2016" s="1">
        <v>45526</v>
      </c>
      <c r="C2016" s="11">
        <f t="shared" si="93"/>
        <v>2024</v>
      </c>
      <c r="D2016" t="s">
        <v>76</v>
      </c>
      <c r="E2016" t="s">
        <v>23</v>
      </c>
      <c r="F2016" t="s">
        <v>24</v>
      </c>
      <c r="G2016" t="s">
        <v>14</v>
      </c>
      <c r="H2016">
        <v>1</v>
      </c>
      <c r="I2016" s="2">
        <v>82.1</v>
      </c>
      <c r="J2016" s="2">
        <v>82.1</v>
      </c>
      <c r="K2016" s="2">
        <f t="shared" si="94"/>
        <v>82.1</v>
      </c>
      <c r="L2016" s="2">
        <f t="shared" si="95"/>
        <v>0</v>
      </c>
      <c r="M2016" t="s">
        <v>48</v>
      </c>
      <c r="N2016" t="s">
        <v>32</v>
      </c>
    </row>
    <row r="2017" spans="1:14" x14ac:dyDescent="0.3">
      <c r="A2017">
        <v>2024003015</v>
      </c>
      <c r="B2017" s="1">
        <v>45405</v>
      </c>
      <c r="C2017" s="11">
        <f t="shared" si="93"/>
        <v>2024</v>
      </c>
      <c r="D2017" t="s">
        <v>76</v>
      </c>
      <c r="E2017" t="s">
        <v>40</v>
      </c>
      <c r="F2017" t="s">
        <v>41</v>
      </c>
      <c r="G2017" t="s">
        <v>36</v>
      </c>
      <c r="H2017">
        <v>3</v>
      </c>
      <c r="I2017" s="2">
        <v>39.76</v>
      </c>
      <c r="J2017" s="2">
        <v>119.28</v>
      </c>
      <c r="K2017" s="2">
        <f t="shared" si="94"/>
        <v>119.28</v>
      </c>
      <c r="L2017" s="2">
        <f t="shared" si="95"/>
        <v>0</v>
      </c>
      <c r="M2017" t="s">
        <v>25</v>
      </c>
      <c r="N2017" t="s">
        <v>16</v>
      </c>
    </row>
    <row r="2018" spans="1:14" x14ac:dyDescent="0.3">
      <c r="A2018">
        <v>2024003016</v>
      </c>
      <c r="B2018" s="1">
        <v>45576</v>
      </c>
      <c r="C2018" s="11">
        <f t="shared" si="93"/>
        <v>2024</v>
      </c>
      <c r="D2018" t="s">
        <v>163</v>
      </c>
      <c r="E2018" t="s">
        <v>43</v>
      </c>
      <c r="F2018" t="s">
        <v>44</v>
      </c>
      <c r="G2018" t="s">
        <v>36</v>
      </c>
      <c r="H2018">
        <v>5</v>
      </c>
      <c r="I2018" s="2">
        <v>1112.93</v>
      </c>
      <c r="J2018" s="2">
        <v>5564.65</v>
      </c>
      <c r="K2018" s="2">
        <f t="shared" si="94"/>
        <v>5564.6500000000005</v>
      </c>
      <c r="L2018" s="2">
        <f t="shared" si="95"/>
        <v>0</v>
      </c>
      <c r="M2018" t="s">
        <v>25</v>
      </c>
      <c r="N2018" t="s">
        <v>32</v>
      </c>
    </row>
    <row r="2019" spans="1:14" x14ac:dyDescent="0.3">
      <c r="A2019">
        <v>2024003017</v>
      </c>
      <c r="B2019" s="1">
        <v>45542</v>
      </c>
      <c r="C2019" s="11">
        <f t="shared" si="93"/>
        <v>2024</v>
      </c>
      <c r="D2019" t="s">
        <v>193</v>
      </c>
      <c r="E2019" t="s">
        <v>67</v>
      </c>
      <c r="F2019" t="s">
        <v>68</v>
      </c>
      <c r="G2019" t="s">
        <v>36</v>
      </c>
      <c r="H2019">
        <v>2</v>
      </c>
      <c r="I2019" s="2">
        <v>381.51</v>
      </c>
      <c r="J2019" s="2">
        <v>763.02</v>
      </c>
      <c r="K2019" s="2">
        <f t="shared" si="94"/>
        <v>763.02</v>
      </c>
      <c r="L2019" s="2">
        <f t="shared" si="95"/>
        <v>0</v>
      </c>
      <c r="M2019" t="s">
        <v>38</v>
      </c>
      <c r="N2019" t="s">
        <v>26</v>
      </c>
    </row>
    <row r="2020" spans="1:14" x14ac:dyDescent="0.3">
      <c r="A2020">
        <v>2024003018</v>
      </c>
      <c r="B2020" s="1">
        <v>45598</v>
      </c>
      <c r="C2020" s="11">
        <f t="shared" si="93"/>
        <v>2024</v>
      </c>
      <c r="D2020" t="s">
        <v>325</v>
      </c>
      <c r="E2020" t="s">
        <v>43</v>
      </c>
      <c r="F2020" t="s">
        <v>44</v>
      </c>
      <c r="G2020" t="s">
        <v>36</v>
      </c>
      <c r="H2020">
        <v>3</v>
      </c>
      <c r="I2020" s="2">
        <v>1112.8699999999999</v>
      </c>
      <c r="J2020" s="2">
        <v>3338.61</v>
      </c>
      <c r="K2020" s="2">
        <f t="shared" si="94"/>
        <v>3338.6099999999997</v>
      </c>
      <c r="L2020" s="2">
        <f t="shared" si="95"/>
        <v>0</v>
      </c>
      <c r="M2020" t="s">
        <v>64</v>
      </c>
      <c r="N2020" t="s">
        <v>21</v>
      </c>
    </row>
    <row r="2021" spans="1:14" x14ac:dyDescent="0.3">
      <c r="A2021">
        <v>2024003019</v>
      </c>
      <c r="B2021" s="1">
        <v>45478</v>
      </c>
      <c r="C2021" s="11">
        <f t="shared" si="93"/>
        <v>2024</v>
      </c>
      <c r="D2021" t="s">
        <v>115</v>
      </c>
      <c r="E2021" t="s">
        <v>40</v>
      </c>
      <c r="F2021" t="s">
        <v>41</v>
      </c>
      <c r="G2021" t="s">
        <v>36</v>
      </c>
      <c r="H2021">
        <v>1</v>
      </c>
      <c r="I2021" s="2">
        <v>40.98</v>
      </c>
      <c r="J2021" s="2">
        <v>40.98</v>
      </c>
      <c r="K2021" s="2">
        <f t="shared" si="94"/>
        <v>40.98</v>
      </c>
      <c r="L2021" s="2">
        <f t="shared" si="95"/>
        <v>0</v>
      </c>
      <c r="M2021" t="s">
        <v>55</v>
      </c>
      <c r="N2021" t="s">
        <v>16</v>
      </c>
    </row>
    <row r="2022" spans="1:14" x14ac:dyDescent="0.3">
      <c r="A2022">
        <v>2024003020</v>
      </c>
      <c r="B2022" s="1">
        <v>45642</v>
      </c>
      <c r="C2022" s="11">
        <f t="shared" si="93"/>
        <v>2024</v>
      </c>
      <c r="D2022" t="s">
        <v>99</v>
      </c>
      <c r="E2022" t="s">
        <v>12</v>
      </c>
      <c r="F2022" t="s">
        <v>13</v>
      </c>
      <c r="G2022" t="s">
        <v>14</v>
      </c>
      <c r="H2022">
        <v>1</v>
      </c>
      <c r="I2022" s="2">
        <v>346.9</v>
      </c>
      <c r="J2022" s="2">
        <v>346.9</v>
      </c>
      <c r="K2022" s="2">
        <f t="shared" si="94"/>
        <v>346.9</v>
      </c>
      <c r="L2022" s="2">
        <f t="shared" si="95"/>
        <v>0</v>
      </c>
      <c r="M2022" t="s">
        <v>48</v>
      </c>
      <c r="N2022" t="s">
        <v>26</v>
      </c>
    </row>
    <row r="2023" spans="1:14" x14ac:dyDescent="0.3">
      <c r="A2023">
        <v>2024003021</v>
      </c>
      <c r="B2023" s="1">
        <v>45394</v>
      </c>
      <c r="C2023" s="11">
        <f t="shared" si="93"/>
        <v>2024</v>
      </c>
      <c r="D2023" t="s">
        <v>83</v>
      </c>
      <c r="E2023" t="s">
        <v>46</v>
      </c>
      <c r="F2023" t="s">
        <v>47</v>
      </c>
      <c r="G2023" t="s">
        <v>36</v>
      </c>
      <c r="H2023">
        <v>1</v>
      </c>
      <c r="I2023" s="2">
        <v>90.65</v>
      </c>
      <c r="J2023" s="2">
        <v>90.65</v>
      </c>
      <c r="K2023" s="2">
        <f t="shared" si="94"/>
        <v>90.65</v>
      </c>
      <c r="L2023" s="2">
        <f t="shared" si="95"/>
        <v>0</v>
      </c>
      <c r="M2023" t="s">
        <v>25</v>
      </c>
      <c r="N2023" t="s">
        <v>32</v>
      </c>
    </row>
    <row r="2024" spans="1:14" x14ac:dyDescent="0.3">
      <c r="A2024">
        <v>2024003022</v>
      </c>
      <c r="B2024" s="1">
        <v>45443</v>
      </c>
      <c r="C2024" s="11">
        <f t="shared" si="93"/>
        <v>2024</v>
      </c>
      <c r="D2024" t="s">
        <v>193</v>
      </c>
      <c r="E2024" t="s">
        <v>12</v>
      </c>
      <c r="F2024" t="s">
        <v>13</v>
      </c>
      <c r="G2024" t="s">
        <v>14</v>
      </c>
      <c r="H2024">
        <v>1</v>
      </c>
      <c r="I2024" s="2">
        <v>342.29</v>
      </c>
      <c r="J2024" s="2">
        <v>342.29</v>
      </c>
      <c r="K2024" s="2">
        <f t="shared" si="94"/>
        <v>342.29</v>
      </c>
      <c r="L2024" s="2">
        <f t="shared" si="95"/>
        <v>0</v>
      </c>
      <c r="M2024" t="s">
        <v>38</v>
      </c>
      <c r="N2024" t="s">
        <v>21</v>
      </c>
    </row>
    <row r="2025" spans="1:14" x14ac:dyDescent="0.3">
      <c r="A2025">
        <v>2024003023</v>
      </c>
      <c r="B2025" s="1">
        <v>45574</v>
      </c>
      <c r="C2025" s="11">
        <f t="shared" si="93"/>
        <v>2024</v>
      </c>
      <c r="D2025" t="s">
        <v>128</v>
      </c>
      <c r="E2025" t="s">
        <v>34</v>
      </c>
      <c r="F2025" t="s">
        <v>35</v>
      </c>
      <c r="G2025" t="s">
        <v>36</v>
      </c>
      <c r="H2025">
        <v>1</v>
      </c>
      <c r="I2025" s="2">
        <v>13.47</v>
      </c>
      <c r="J2025" s="2">
        <v>13.47</v>
      </c>
      <c r="K2025" s="2">
        <f t="shared" si="94"/>
        <v>13.47</v>
      </c>
      <c r="L2025" s="2">
        <f t="shared" si="95"/>
        <v>0</v>
      </c>
      <c r="M2025" t="s">
        <v>64</v>
      </c>
      <c r="N2025" t="s">
        <v>16</v>
      </c>
    </row>
    <row r="2026" spans="1:14" x14ac:dyDescent="0.3">
      <c r="A2026">
        <v>2024003024</v>
      </c>
      <c r="B2026" s="1">
        <v>45546</v>
      </c>
      <c r="C2026" s="11">
        <f t="shared" si="93"/>
        <v>2024</v>
      </c>
      <c r="D2026" t="s">
        <v>187</v>
      </c>
      <c r="E2026" t="s">
        <v>40</v>
      </c>
      <c r="F2026" t="s">
        <v>41</v>
      </c>
      <c r="G2026" t="s">
        <v>36</v>
      </c>
      <c r="H2026">
        <v>1</v>
      </c>
      <c r="I2026" s="2">
        <v>43.43</v>
      </c>
      <c r="J2026" s="2">
        <v>43.43</v>
      </c>
      <c r="K2026" s="2">
        <f t="shared" si="94"/>
        <v>43.43</v>
      </c>
      <c r="L2026" s="2">
        <f t="shared" si="95"/>
        <v>0</v>
      </c>
      <c r="M2026" t="s">
        <v>61</v>
      </c>
      <c r="N2026" t="s">
        <v>16</v>
      </c>
    </row>
    <row r="2027" spans="1:14" x14ac:dyDescent="0.3">
      <c r="A2027">
        <v>2024003025</v>
      </c>
      <c r="B2027" s="1">
        <v>45581</v>
      </c>
      <c r="C2027" s="11">
        <f t="shared" si="93"/>
        <v>2024</v>
      </c>
      <c r="D2027" t="s">
        <v>165</v>
      </c>
      <c r="E2027" t="s">
        <v>43</v>
      </c>
      <c r="F2027" t="s">
        <v>44</v>
      </c>
      <c r="G2027" t="s">
        <v>36</v>
      </c>
      <c r="H2027">
        <v>2</v>
      </c>
      <c r="I2027" s="2">
        <v>1209.1600000000001</v>
      </c>
      <c r="J2027" s="2">
        <v>2418.3200000000002</v>
      </c>
      <c r="K2027" s="2">
        <f t="shared" si="94"/>
        <v>2418.3200000000002</v>
      </c>
      <c r="L2027" s="2">
        <f t="shared" si="95"/>
        <v>0</v>
      </c>
      <c r="M2027" t="s">
        <v>55</v>
      </c>
      <c r="N2027" t="s">
        <v>32</v>
      </c>
    </row>
    <row r="2028" spans="1:14" x14ac:dyDescent="0.3">
      <c r="A2028">
        <v>2024003026</v>
      </c>
      <c r="B2028" s="1">
        <v>45622</v>
      </c>
      <c r="C2028" s="11">
        <f t="shared" si="93"/>
        <v>2024</v>
      </c>
      <c r="D2028" t="s">
        <v>88</v>
      </c>
      <c r="E2028" t="s">
        <v>43</v>
      </c>
      <c r="F2028" t="s">
        <v>44</v>
      </c>
      <c r="G2028" t="s">
        <v>36</v>
      </c>
      <c r="H2028">
        <v>2</v>
      </c>
      <c r="I2028" s="2">
        <v>1203.4100000000001</v>
      </c>
      <c r="J2028" s="2">
        <v>2406.8200000000002</v>
      </c>
      <c r="K2028" s="2">
        <f t="shared" si="94"/>
        <v>2406.8200000000002</v>
      </c>
      <c r="L2028" s="2">
        <f t="shared" si="95"/>
        <v>0</v>
      </c>
      <c r="M2028" t="s">
        <v>25</v>
      </c>
      <c r="N2028" t="s">
        <v>32</v>
      </c>
    </row>
    <row r="2029" spans="1:14" x14ac:dyDescent="0.3">
      <c r="A2029">
        <v>2024003027</v>
      </c>
      <c r="B2029" s="1">
        <v>45495</v>
      </c>
      <c r="C2029" s="11">
        <f t="shared" si="93"/>
        <v>2024</v>
      </c>
      <c r="D2029" t="s">
        <v>193</v>
      </c>
      <c r="E2029" t="s">
        <v>46</v>
      </c>
      <c r="F2029" t="s">
        <v>47</v>
      </c>
      <c r="G2029" t="s">
        <v>36</v>
      </c>
      <c r="H2029">
        <v>3</v>
      </c>
      <c r="I2029" s="2">
        <v>84.98</v>
      </c>
      <c r="J2029" s="2">
        <v>254.94</v>
      </c>
      <c r="K2029" s="2">
        <f t="shared" si="94"/>
        <v>254.94</v>
      </c>
      <c r="L2029" s="2">
        <f t="shared" si="95"/>
        <v>0</v>
      </c>
      <c r="M2029" t="s">
        <v>57</v>
      </c>
      <c r="N2029" t="s">
        <v>32</v>
      </c>
    </row>
    <row r="2030" spans="1:14" x14ac:dyDescent="0.3">
      <c r="A2030">
        <v>2024003028</v>
      </c>
      <c r="B2030" s="1">
        <v>45471</v>
      </c>
      <c r="C2030" s="11">
        <f t="shared" si="93"/>
        <v>2024</v>
      </c>
      <c r="D2030" t="s">
        <v>179</v>
      </c>
      <c r="E2030" t="s">
        <v>18</v>
      </c>
      <c r="F2030" t="s">
        <v>19</v>
      </c>
      <c r="G2030" t="s">
        <v>14</v>
      </c>
      <c r="H2030">
        <v>1</v>
      </c>
      <c r="I2030" s="2">
        <v>618.33000000000004</v>
      </c>
      <c r="J2030" s="2">
        <v>618.33000000000004</v>
      </c>
      <c r="K2030" s="2">
        <f t="shared" si="94"/>
        <v>618.33000000000004</v>
      </c>
      <c r="L2030" s="2">
        <f t="shared" si="95"/>
        <v>0</v>
      </c>
      <c r="M2030" t="s">
        <v>31</v>
      </c>
      <c r="N2030" t="s">
        <v>26</v>
      </c>
    </row>
    <row r="2031" spans="1:14" x14ac:dyDescent="0.3">
      <c r="A2031">
        <v>2024003029</v>
      </c>
      <c r="B2031" s="1">
        <v>45553</v>
      </c>
      <c r="C2031" s="11">
        <f t="shared" si="93"/>
        <v>2024</v>
      </c>
      <c r="D2031" t="s">
        <v>167</v>
      </c>
      <c r="E2031" t="s">
        <v>40</v>
      </c>
      <c r="F2031" t="s">
        <v>41</v>
      </c>
      <c r="G2031" t="s">
        <v>36</v>
      </c>
      <c r="H2031">
        <v>1</v>
      </c>
      <c r="I2031" s="2">
        <v>43.28</v>
      </c>
      <c r="J2031" s="2">
        <v>43.28</v>
      </c>
      <c r="K2031" s="2">
        <f t="shared" si="94"/>
        <v>43.28</v>
      </c>
      <c r="L2031" s="2">
        <f t="shared" si="95"/>
        <v>0</v>
      </c>
      <c r="M2031" t="s">
        <v>25</v>
      </c>
      <c r="N2031" t="s">
        <v>26</v>
      </c>
    </row>
    <row r="2032" spans="1:14" x14ac:dyDescent="0.3">
      <c r="A2032">
        <v>2024003030</v>
      </c>
      <c r="B2032" s="1">
        <v>45565</v>
      </c>
      <c r="C2032" s="11">
        <f t="shared" si="93"/>
        <v>2024</v>
      </c>
      <c r="D2032" t="s">
        <v>37</v>
      </c>
      <c r="E2032" t="s">
        <v>34</v>
      </c>
      <c r="F2032" t="s">
        <v>35</v>
      </c>
      <c r="G2032" t="s">
        <v>36</v>
      </c>
      <c r="H2032">
        <v>2</v>
      </c>
      <c r="I2032" s="2">
        <v>16.12</v>
      </c>
      <c r="J2032" s="2">
        <v>32.24</v>
      </c>
      <c r="K2032" s="2">
        <f t="shared" si="94"/>
        <v>32.24</v>
      </c>
      <c r="L2032" s="2">
        <f t="shared" si="95"/>
        <v>0</v>
      </c>
      <c r="M2032" t="s">
        <v>20</v>
      </c>
      <c r="N2032" t="s">
        <v>26</v>
      </c>
    </row>
    <row r="2033" spans="1:14" x14ac:dyDescent="0.3">
      <c r="A2033">
        <v>2024003031</v>
      </c>
      <c r="B2033" s="1">
        <v>45545</v>
      </c>
      <c r="C2033" s="11">
        <f t="shared" si="93"/>
        <v>2024</v>
      </c>
      <c r="D2033" t="s">
        <v>242</v>
      </c>
      <c r="E2033" t="s">
        <v>43</v>
      </c>
      <c r="F2033" t="s">
        <v>44</v>
      </c>
      <c r="G2033" t="s">
        <v>36</v>
      </c>
      <c r="H2033">
        <v>1</v>
      </c>
      <c r="I2033" s="2">
        <v>1276.71</v>
      </c>
      <c r="J2033" s="2">
        <v>1276.71</v>
      </c>
      <c r="K2033" s="2">
        <f t="shared" si="94"/>
        <v>1276.71</v>
      </c>
      <c r="L2033" s="2">
        <f t="shared" si="95"/>
        <v>0</v>
      </c>
      <c r="M2033" t="s">
        <v>57</v>
      </c>
      <c r="N2033" t="s">
        <v>32</v>
      </c>
    </row>
    <row r="2034" spans="1:14" x14ac:dyDescent="0.3">
      <c r="A2034">
        <v>2024003032</v>
      </c>
      <c r="B2034" s="1">
        <v>45548</v>
      </c>
      <c r="C2034" s="11">
        <f t="shared" si="93"/>
        <v>2024</v>
      </c>
      <c r="D2034" t="s">
        <v>11</v>
      </c>
      <c r="E2034" t="s">
        <v>23</v>
      </c>
      <c r="F2034" t="s">
        <v>24</v>
      </c>
      <c r="G2034" t="s">
        <v>14</v>
      </c>
      <c r="H2034">
        <v>1</v>
      </c>
      <c r="I2034" s="2">
        <v>78.150000000000006</v>
      </c>
      <c r="J2034" s="2">
        <v>78.150000000000006</v>
      </c>
      <c r="K2034" s="2">
        <f t="shared" si="94"/>
        <v>78.150000000000006</v>
      </c>
      <c r="L2034" s="2">
        <f t="shared" si="95"/>
        <v>0</v>
      </c>
      <c r="M2034" t="s">
        <v>38</v>
      </c>
      <c r="N2034" t="s">
        <v>32</v>
      </c>
    </row>
    <row r="2035" spans="1:14" x14ac:dyDescent="0.3">
      <c r="A2035">
        <v>2024003033</v>
      </c>
      <c r="B2035" s="1">
        <v>45592</v>
      </c>
      <c r="C2035" s="11">
        <f t="shared" si="93"/>
        <v>2024</v>
      </c>
      <c r="D2035" t="s">
        <v>188</v>
      </c>
      <c r="E2035" t="s">
        <v>12</v>
      </c>
      <c r="F2035" t="s">
        <v>13</v>
      </c>
      <c r="G2035" t="s">
        <v>14</v>
      </c>
      <c r="H2035">
        <v>3</v>
      </c>
      <c r="I2035" s="2">
        <v>344.63</v>
      </c>
      <c r="J2035" s="2">
        <v>1033.8900000000001</v>
      </c>
      <c r="K2035" s="2">
        <f t="shared" si="94"/>
        <v>1033.8899999999999</v>
      </c>
      <c r="L2035" s="2">
        <f t="shared" si="95"/>
        <v>0</v>
      </c>
      <c r="M2035" t="s">
        <v>61</v>
      </c>
      <c r="N2035" t="s">
        <v>21</v>
      </c>
    </row>
    <row r="2036" spans="1:14" x14ac:dyDescent="0.3">
      <c r="A2036">
        <v>2024003034</v>
      </c>
      <c r="B2036" s="1">
        <v>45492</v>
      </c>
      <c r="C2036" s="11">
        <f t="shared" si="93"/>
        <v>2024</v>
      </c>
      <c r="D2036" t="s">
        <v>280</v>
      </c>
      <c r="E2036" t="s">
        <v>40</v>
      </c>
      <c r="F2036" t="s">
        <v>41</v>
      </c>
      <c r="G2036" t="s">
        <v>36</v>
      </c>
      <c r="H2036">
        <v>1</v>
      </c>
      <c r="I2036" s="2">
        <v>43.2</v>
      </c>
      <c r="J2036" s="2">
        <v>43.2</v>
      </c>
      <c r="K2036" s="2">
        <f t="shared" si="94"/>
        <v>43.2</v>
      </c>
      <c r="L2036" s="2">
        <f t="shared" si="95"/>
        <v>0</v>
      </c>
      <c r="M2036" t="s">
        <v>57</v>
      </c>
      <c r="N2036" t="s">
        <v>32</v>
      </c>
    </row>
    <row r="2037" spans="1:14" x14ac:dyDescent="0.3">
      <c r="A2037">
        <v>2024003035</v>
      </c>
      <c r="B2037" s="1">
        <v>45650</v>
      </c>
      <c r="C2037" s="11">
        <f t="shared" si="93"/>
        <v>2024</v>
      </c>
      <c r="D2037" t="s">
        <v>224</v>
      </c>
      <c r="E2037" t="s">
        <v>34</v>
      </c>
      <c r="F2037" t="s">
        <v>35</v>
      </c>
      <c r="G2037" t="s">
        <v>36</v>
      </c>
      <c r="H2037">
        <v>1</v>
      </c>
      <c r="I2037" s="2">
        <v>15.02</v>
      </c>
      <c r="J2037" s="2">
        <v>15.02</v>
      </c>
      <c r="K2037" s="2">
        <f t="shared" si="94"/>
        <v>15.02</v>
      </c>
      <c r="L2037" s="2">
        <f t="shared" si="95"/>
        <v>0</v>
      </c>
      <c r="M2037" t="s">
        <v>61</v>
      </c>
      <c r="N2037" t="s">
        <v>21</v>
      </c>
    </row>
    <row r="2038" spans="1:14" x14ac:dyDescent="0.3">
      <c r="A2038">
        <v>2024003036</v>
      </c>
      <c r="B2038" s="1">
        <v>45616</v>
      </c>
      <c r="C2038" s="11">
        <f t="shared" si="93"/>
        <v>2024</v>
      </c>
      <c r="D2038" t="s">
        <v>206</v>
      </c>
      <c r="E2038" t="s">
        <v>46</v>
      </c>
      <c r="F2038" t="s">
        <v>47</v>
      </c>
      <c r="G2038" t="s">
        <v>36</v>
      </c>
      <c r="H2038">
        <v>1</v>
      </c>
      <c r="I2038" s="2">
        <v>86.67</v>
      </c>
      <c r="J2038" s="2">
        <v>86.67</v>
      </c>
      <c r="K2038" s="2">
        <f t="shared" si="94"/>
        <v>86.67</v>
      </c>
      <c r="L2038" s="2">
        <f t="shared" si="95"/>
        <v>0</v>
      </c>
      <c r="M2038" t="s">
        <v>25</v>
      </c>
      <c r="N2038" t="s">
        <v>16</v>
      </c>
    </row>
    <row r="2039" spans="1:14" x14ac:dyDescent="0.3">
      <c r="A2039">
        <v>2024003037</v>
      </c>
      <c r="B2039" s="1">
        <v>45505</v>
      </c>
      <c r="C2039" s="11">
        <f t="shared" si="93"/>
        <v>2024</v>
      </c>
      <c r="D2039" t="s">
        <v>113</v>
      </c>
      <c r="E2039" t="s">
        <v>28</v>
      </c>
      <c r="F2039" t="s">
        <v>29</v>
      </c>
      <c r="G2039" t="s">
        <v>30</v>
      </c>
      <c r="H2039">
        <v>5</v>
      </c>
      <c r="I2039" s="2">
        <v>24.52</v>
      </c>
      <c r="J2039" s="2">
        <v>122.6</v>
      </c>
      <c r="K2039" s="2">
        <f t="shared" si="94"/>
        <v>122.6</v>
      </c>
      <c r="L2039" s="2">
        <f t="shared" si="95"/>
        <v>0</v>
      </c>
      <c r="M2039" t="s">
        <v>48</v>
      </c>
      <c r="N2039" t="s">
        <v>26</v>
      </c>
    </row>
    <row r="2040" spans="1:14" x14ac:dyDescent="0.3">
      <c r="A2040">
        <v>2024003038</v>
      </c>
      <c r="B2040" s="1">
        <v>45443</v>
      </c>
      <c r="C2040" s="11">
        <f t="shared" si="93"/>
        <v>2024</v>
      </c>
      <c r="D2040" t="s">
        <v>11</v>
      </c>
      <c r="E2040" t="s">
        <v>43</v>
      </c>
      <c r="F2040" t="s">
        <v>44</v>
      </c>
      <c r="G2040" t="s">
        <v>36</v>
      </c>
      <c r="H2040">
        <v>2</v>
      </c>
      <c r="I2040" s="2">
        <v>1129.71</v>
      </c>
      <c r="J2040" s="2">
        <v>2259.42</v>
      </c>
      <c r="K2040" s="2">
        <f t="shared" si="94"/>
        <v>2259.42</v>
      </c>
      <c r="L2040" s="2">
        <f t="shared" si="95"/>
        <v>0</v>
      </c>
      <c r="M2040" t="s">
        <v>48</v>
      </c>
      <c r="N2040" t="s">
        <v>26</v>
      </c>
    </row>
    <row r="2041" spans="1:14" x14ac:dyDescent="0.3">
      <c r="A2041">
        <v>2024003039</v>
      </c>
      <c r="B2041" s="1">
        <v>45532</v>
      </c>
      <c r="C2041" s="11">
        <f t="shared" si="93"/>
        <v>2024</v>
      </c>
      <c r="D2041" t="s">
        <v>169</v>
      </c>
      <c r="E2041" t="s">
        <v>12</v>
      </c>
      <c r="F2041" t="s">
        <v>13</v>
      </c>
      <c r="G2041" t="s">
        <v>14</v>
      </c>
      <c r="H2041">
        <v>5</v>
      </c>
      <c r="I2041" s="2">
        <v>362.06</v>
      </c>
      <c r="J2041" s="2">
        <v>1810.3</v>
      </c>
      <c r="K2041" s="2">
        <f t="shared" si="94"/>
        <v>1810.3</v>
      </c>
      <c r="L2041" s="2">
        <f t="shared" si="95"/>
        <v>0</v>
      </c>
      <c r="M2041" t="s">
        <v>15</v>
      </c>
      <c r="N2041" t="s">
        <v>21</v>
      </c>
    </row>
    <row r="2042" spans="1:14" x14ac:dyDescent="0.3">
      <c r="A2042">
        <v>2024003040</v>
      </c>
      <c r="B2042" s="1">
        <v>45486</v>
      </c>
      <c r="C2042" s="11">
        <f t="shared" si="93"/>
        <v>2024</v>
      </c>
      <c r="D2042" t="s">
        <v>11</v>
      </c>
      <c r="E2042" t="s">
        <v>43</v>
      </c>
      <c r="F2042" t="s">
        <v>44</v>
      </c>
      <c r="G2042" t="s">
        <v>36</v>
      </c>
      <c r="H2042">
        <v>3</v>
      </c>
      <c r="I2042" s="2">
        <v>1192.22</v>
      </c>
      <c r="J2042" s="2">
        <v>3576.66</v>
      </c>
      <c r="K2042" s="2">
        <f t="shared" si="94"/>
        <v>3576.66</v>
      </c>
      <c r="L2042" s="2">
        <f t="shared" si="95"/>
        <v>0</v>
      </c>
      <c r="M2042" t="s">
        <v>31</v>
      </c>
      <c r="N2042" t="s">
        <v>26</v>
      </c>
    </row>
    <row r="2043" spans="1:14" x14ac:dyDescent="0.3">
      <c r="A2043">
        <v>2024003041</v>
      </c>
      <c r="B2043" s="1">
        <v>45487</v>
      </c>
      <c r="C2043" s="11">
        <f t="shared" si="93"/>
        <v>2024</v>
      </c>
      <c r="D2043" t="s">
        <v>169</v>
      </c>
      <c r="E2043" t="s">
        <v>43</v>
      </c>
      <c r="F2043" t="s">
        <v>44</v>
      </c>
      <c r="G2043" t="s">
        <v>36</v>
      </c>
      <c r="H2043">
        <v>1</v>
      </c>
      <c r="I2043" s="2">
        <v>1107.81</v>
      </c>
      <c r="J2043" s="2">
        <v>1107.81</v>
      </c>
      <c r="K2043" s="2">
        <f t="shared" si="94"/>
        <v>1107.81</v>
      </c>
      <c r="L2043" s="2">
        <f t="shared" si="95"/>
        <v>0</v>
      </c>
      <c r="M2043" t="s">
        <v>20</v>
      </c>
      <c r="N2043" t="s">
        <v>21</v>
      </c>
    </row>
    <row r="2044" spans="1:14" x14ac:dyDescent="0.3">
      <c r="A2044">
        <v>2024003042</v>
      </c>
      <c r="B2044" s="1">
        <v>45465</v>
      </c>
      <c r="C2044" s="11">
        <f t="shared" si="93"/>
        <v>2024</v>
      </c>
      <c r="D2044" t="s">
        <v>271</v>
      </c>
      <c r="E2044" t="s">
        <v>12</v>
      </c>
      <c r="F2044" t="s">
        <v>13</v>
      </c>
      <c r="G2044" t="s">
        <v>14</v>
      </c>
      <c r="H2044">
        <v>2</v>
      </c>
      <c r="I2044" s="2">
        <v>328.39</v>
      </c>
      <c r="J2044" s="2">
        <v>656.78</v>
      </c>
      <c r="K2044" s="2">
        <f t="shared" si="94"/>
        <v>656.78</v>
      </c>
      <c r="L2044" s="2">
        <f t="shared" si="95"/>
        <v>0</v>
      </c>
      <c r="M2044" t="s">
        <v>20</v>
      </c>
      <c r="N2044" t="s">
        <v>32</v>
      </c>
    </row>
    <row r="2045" spans="1:14" x14ac:dyDescent="0.3">
      <c r="A2045">
        <v>2024003043</v>
      </c>
      <c r="B2045" s="1">
        <v>45361</v>
      </c>
      <c r="C2045" s="11">
        <f t="shared" si="93"/>
        <v>2024</v>
      </c>
      <c r="D2045" t="s">
        <v>86</v>
      </c>
      <c r="E2045" t="s">
        <v>53</v>
      </c>
      <c r="F2045" t="s">
        <v>54</v>
      </c>
      <c r="G2045" t="s">
        <v>36</v>
      </c>
      <c r="H2045">
        <v>3</v>
      </c>
      <c r="I2045" s="2">
        <v>120.6</v>
      </c>
      <c r="J2045" s="2">
        <v>361.8</v>
      </c>
      <c r="K2045" s="2">
        <f t="shared" si="94"/>
        <v>361.79999999999995</v>
      </c>
      <c r="L2045" s="2">
        <f t="shared" si="95"/>
        <v>0</v>
      </c>
      <c r="M2045" t="s">
        <v>38</v>
      </c>
      <c r="N2045" t="s">
        <v>32</v>
      </c>
    </row>
    <row r="2046" spans="1:14" x14ac:dyDescent="0.3">
      <c r="A2046">
        <v>2024003044</v>
      </c>
      <c r="B2046" s="1">
        <v>45474</v>
      </c>
      <c r="C2046" s="11">
        <f t="shared" si="93"/>
        <v>2024</v>
      </c>
      <c r="D2046" t="s">
        <v>328</v>
      </c>
      <c r="E2046" t="s">
        <v>23</v>
      </c>
      <c r="F2046" t="s">
        <v>24</v>
      </c>
      <c r="G2046" t="s">
        <v>14</v>
      </c>
      <c r="H2046">
        <v>1</v>
      </c>
      <c r="I2046" s="2">
        <v>81.510000000000005</v>
      </c>
      <c r="J2046" s="2">
        <v>81.510000000000005</v>
      </c>
      <c r="K2046" s="2">
        <f t="shared" si="94"/>
        <v>81.510000000000005</v>
      </c>
      <c r="L2046" s="2">
        <f t="shared" si="95"/>
        <v>0</v>
      </c>
      <c r="M2046" t="s">
        <v>38</v>
      </c>
      <c r="N2046" t="s">
        <v>16</v>
      </c>
    </row>
    <row r="2047" spans="1:14" x14ac:dyDescent="0.3">
      <c r="A2047">
        <v>2024003045</v>
      </c>
      <c r="B2047" s="1">
        <v>45327</v>
      </c>
      <c r="C2047" s="11">
        <f t="shared" si="93"/>
        <v>2024</v>
      </c>
      <c r="D2047" t="s">
        <v>318</v>
      </c>
      <c r="E2047" t="s">
        <v>53</v>
      </c>
      <c r="F2047" t="s">
        <v>54</v>
      </c>
      <c r="G2047" t="s">
        <v>36</v>
      </c>
      <c r="H2047">
        <v>1</v>
      </c>
      <c r="I2047" s="2">
        <v>128.79</v>
      </c>
      <c r="J2047" s="2">
        <v>128.79</v>
      </c>
      <c r="K2047" s="2">
        <f t="shared" si="94"/>
        <v>128.79</v>
      </c>
      <c r="L2047" s="2">
        <f t="shared" si="95"/>
        <v>0</v>
      </c>
      <c r="M2047" t="s">
        <v>25</v>
      </c>
      <c r="N2047" t="s">
        <v>21</v>
      </c>
    </row>
    <row r="2048" spans="1:14" x14ac:dyDescent="0.3">
      <c r="A2048">
        <v>2024003046</v>
      </c>
      <c r="B2048" s="1">
        <v>45381</v>
      </c>
      <c r="C2048" s="11">
        <f t="shared" si="93"/>
        <v>2024</v>
      </c>
      <c r="D2048" t="s">
        <v>11</v>
      </c>
      <c r="E2048" t="s">
        <v>23</v>
      </c>
      <c r="F2048" t="s">
        <v>24</v>
      </c>
      <c r="G2048" t="s">
        <v>14</v>
      </c>
      <c r="H2048">
        <v>4</v>
      </c>
      <c r="I2048" s="2">
        <v>85.57</v>
      </c>
      <c r="J2048" s="2">
        <v>342.28</v>
      </c>
      <c r="K2048" s="2">
        <f t="shared" si="94"/>
        <v>342.28</v>
      </c>
      <c r="L2048" s="2">
        <f t="shared" si="95"/>
        <v>0</v>
      </c>
      <c r="M2048" t="s">
        <v>31</v>
      </c>
      <c r="N2048" t="s">
        <v>16</v>
      </c>
    </row>
    <row r="2049" spans="1:14" x14ac:dyDescent="0.3">
      <c r="A2049">
        <v>2024003047</v>
      </c>
      <c r="B2049" s="1">
        <v>45621</v>
      </c>
      <c r="C2049" s="11">
        <f t="shared" si="93"/>
        <v>2024</v>
      </c>
      <c r="D2049" t="s">
        <v>11</v>
      </c>
      <c r="E2049" t="s">
        <v>53</v>
      </c>
      <c r="F2049" t="s">
        <v>54</v>
      </c>
      <c r="G2049" t="s">
        <v>36</v>
      </c>
      <c r="H2049">
        <v>2</v>
      </c>
      <c r="I2049" s="2">
        <v>118.73</v>
      </c>
      <c r="J2049" s="2">
        <v>237.46</v>
      </c>
      <c r="K2049" s="2">
        <f t="shared" si="94"/>
        <v>237.46</v>
      </c>
      <c r="L2049" s="2">
        <f t="shared" si="95"/>
        <v>0</v>
      </c>
      <c r="M2049" t="s">
        <v>15</v>
      </c>
      <c r="N2049" t="s">
        <v>21</v>
      </c>
    </row>
    <row r="2050" spans="1:14" x14ac:dyDescent="0.3">
      <c r="A2050">
        <v>2024003048</v>
      </c>
      <c r="B2050" s="1">
        <v>45488</v>
      </c>
      <c r="C2050" s="11">
        <f t="shared" si="93"/>
        <v>2024</v>
      </c>
      <c r="D2050" t="s">
        <v>273</v>
      </c>
      <c r="E2050" t="s">
        <v>40</v>
      </c>
      <c r="F2050" t="s">
        <v>41</v>
      </c>
      <c r="G2050" t="s">
        <v>36</v>
      </c>
      <c r="H2050">
        <v>1</v>
      </c>
      <c r="I2050" s="2">
        <v>45.53</v>
      </c>
      <c r="J2050" s="2">
        <v>45.53</v>
      </c>
      <c r="K2050" s="2">
        <f t="shared" si="94"/>
        <v>45.53</v>
      </c>
      <c r="L2050" s="2">
        <f t="shared" si="95"/>
        <v>0</v>
      </c>
      <c r="M2050" t="s">
        <v>61</v>
      </c>
      <c r="N2050" t="s">
        <v>16</v>
      </c>
    </row>
    <row r="2051" spans="1:14" x14ac:dyDescent="0.3">
      <c r="A2051">
        <v>2024003049</v>
      </c>
      <c r="B2051" s="1">
        <v>45626</v>
      </c>
      <c r="C2051" s="11">
        <f t="shared" ref="C2051:C2114" si="96">YEAR(B2051)</f>
        <v>2024</v>
      </c>
      <c r="D2051" t="s">
        <v>62</v>
      </c>
      <c r="E2051" t="s">
        <v>23</v>
      </c>
      <c r="F2051" t="s">
        <v>24</v>
      </c>
      <c r="G2051" t="s">
        <v>14</v>
      </c>
      <c r="H2051">
        <v>2</v>
      </c>
      <c r="I2051" s="2">
        <v>76.760000000000005</v>
      </c>
      <c r="J2051" s="2">
        <v>153.52000000000001</v>
      </c>
      <c r="K2051" s="2">
        <f t="shared" ref="K2051:K2114" si="97">I2051*H2051</f>
        <v>153.52000000000001</v>
      </c>
      <c r="L2051" s="2">
        <f t="shared" ref="L2051:L2114" si="98">J2051-K2051</f>
        <v>0</v>
      </c>
      <c r="M2051" t="s">
        <v>57</v>
      </c>
      <c r="N2051" t="s">
        <v>16</v>
      </c>
    </row>
    <row r="2052" spans="1:14" x14ac:dyDescent="0.3">
      <c r="A2052">
        <v>2024003050</v>
      </c>
      <c r="B2052" s="1">
        <v>45412</v>
      </c>
      <c r="C2052" s="11">
        <f t="shared" si="96"/>
        <v>2024</v>
      </c>
      <c r="D2052" t="s">
        <v>60</v>
      </c>
      <c r="E2052" t="s">
        <v>46</v>
      </c>
      <c r="F2052" t="s">
        <v>47</v>
      </c>
      <c r="G2052" t="s">
        <v>36</v>
      </c>
      <c r="H2052">
        <v>4</v>
      </c>
      <c r="I2052" s="2">
        <v>88.07</v>
      </c>
      <c r="J2052" s="2">
        <v>352.28</v>
      </c>
      <c r="K2052" s="2">
        <f t="shared" si="97"/>
        <v>352.28</v>
      </c>
      <c r="L2052" s="2">
        <f t="shared" si="98"/>
        <v>0</v>
      </c>
      <c r="M2052" t="s">
        <v>64</v>
      </c>
      <c r="N2052" t="s">
        <v>16</v>
      </c>
    </row>
    <row r="2053" spans="1:14" x14ac:dyDescent="0.3">
      <c r="A2053">
        <v>2024003051</v>
      </c>
      <c r="B2053" s="1">
        <v>45380</v>
      </c>
      <c r="C2053" s="11">
        <f t="shared" si="96"/>
        <v>2024</v>
      </c>
      <c r="D2053" t="s">
        <v>345</v>
      </c>
      <c r="E2053" t="s">
        <v>43</v>
      </c>
      <c r="F2053" t="s">
        <v>44</v>
      </c>
      <c r="G2053" t="s">
        <v>36</v>
      </c>
      <c r="H2053">
        <v>1</v>
      </c>
      <c r="I2053" s="2">
        <v>1280.46</v>
      </c>
      <c r="J2053" s="2">
        <v>1280.46</v>
      </c>
      <c r="K2053" s="2">
        <f t="shared" si="97"/>
        <v>1280.46</v>
      </c>
      <c r="L2053" s="2">
        <f t="shared" si="98"/>
        <v>0</v>
      </c>
      <c r="M2053" t="s">
        <v>61</v>
      </c>
      <c r="N2053" t="s">
        <v>32</v>
      </c>
    </row>
    <row r="2054" spans="1:14" x14ac:dyDescent="0.3">
      <c r="A2054">
        <v>2024003052</v>
      </c>
      <c r="B2054" s="1">
        <v>45603</v>
      </c>
      <c r="C2054" s="11">
        <f t="shared" si="96"/>
        <v>2024</v>
      </c>
      <c r="D2054" t="s">
        <v>95</v>
      </c>
      <c r="E2054" t="s">
        <v>12</v>
      </c>
      <c r="F2054" t="s">
        <v>13</v>
      </c>
      <c r="G2054" t="s">
        <v>14</v>
      </c>
      <c r="H2054">
        <v>3</v>
      </c>
      <c r="I2054" s="2">
        <v>366.45</v>
      </c>
      <c r="J2054" s="2">
        <v>1099.3499999999999</v>
      </c>
      <c r="K2054" s="2">
        <f t="shared" si="97"/>
        <v>1099.3499999999999</v>
      </c>
      <c r="L2054" s="2">
        <f t="shared" si="98"/>
        <v>0</v>
      </c>
      <c r="M2054" t="s">
        <v>31</v>
      </c>
      <c r="N2054" t="s">
        <v>32</v>
      </c>
    </row>
    <row r="2055" spans="1:14" x14ac:dyDescent="0.3">
      <c r="A2055">
        <v>2024002963</v>
      </c>
      <c r="B2055" s="1">
        <v>45435</v>
      </c>
      <c r="C2055" s="11">
        <f t="shared" si="96"/>
        <v>2024</v>
      </c>
      <c r="D2055" t="s">
        <v>11</v>
      </c>
      <c r="E2055" t="s">
        <v>34</v>
      </c>
      <c r="F2055" t="s">
        <v>35</v>
      </c>
      <c r="G2055" t="s">
        <v>36</v>
      </c>
      <c r="H2055">
        <v>1</v>
      </c>
      <c r="I2055" s="2">
        <v>15.79</v>
      </c>
      <c r="J2055" s="2">
        <v>15.79</v>
      </c>
      <c r="K2055" s="2">
        <f t="shared" si="97"/>
        <v>15.79</v>
      </c>
      <c r="L2055" s="2">
        <f t="shared" si="98"/>
        <v>0</v>
      </c>
      <c r="M2055" t="s">
        <v>31</v>
      </c>
      <c r="N2055" t="s">
        <v>32</v>
      </c>
    </row>
    <row r="2056" spans="1:14" x14ac:dyDescent="0.3">
      <c r="A2056">
        <v>2024003054</v>
      </c>
      <c r="B2056" s="1">
        <v>45572</v>
      </c>
      <c r="C2056" s="11">
        <f t="shared" si="96"/>
        <v>2024</v>
      </c>
      <c r="D2056" t="s">
        <v>86</v>
      </c>
      <c r="E2056" t="s">
        <v>43</v>
      </c>
      <c r="F2056" t="s">
        <v>44</v>
      </c>
      <c r="G2056" t="s">
        <v>36</v>
      </c>
      <c r="H2056">
        <v>3</v>
      </c>
      <c r="I2056" s="2">
        <v>1159.19</v>
      </c>
      <c r="J2056" s="2">
        <v>3477.57</v>
      </c>
      <c r="K2056" s="2">
        <f t="shared" si="97"/>
        <v>3477.57</v>
      </c>
      <c r="L2056" s="2">
        <f t="shared" si="98"/>
        <v>0</v>
      </c>
      <c r="M2056" t="s">
        <v>38</v>
      </c>
      <c r="N2056" t="s">
        <v>16</v>
      </c>
    </row>
    <row r="2057" spans="1:14" x14ac:dyDescent="0.3">
      <c r="A2057">
        <v>2024003055</v>
      </c>
      <c r="B2057" s="1">
        <v>45460</v>
      </c>
      <c r="C2057" s="11">
        <f t="shared" si="96"/>
        <v>2024</v>
      </c>
      <c r="D2057" t="s">
        <v>225</v>
      </c>
      <c r="E2057" t="s">
        <v>12</v>
      </c>
      <c r="F2057" t="s">
        <v>13</v>
      </c>
      <c r="G2057" t="s">
        <v>14</v>
      </c>
      <c r="H2057">
        <v>1</v>
      </c>
      <c r="I2057" s="2">
        <v>342.59</v>
      </c>
      <c r="J2057" s="2">
        <v>342.59</v>
      </c>
      <c r="K2057" s="2">
        <f t="shared" si="97"/>
        <v>342.59</v>
      </c>
      <c r="L2057" s="2">
        <f t="shared" si="98"/>
        <v>0</v>
      </c>
      <c r="M2057" t="s">
        <v>15</v>
      </c>
      <c r="N2057" t="s">
        <v>16</v>
      </c>
    </row>
    <row r="2058" spans="1:14" x14ac:dyDescent="0.3">
      <c r="A2058">
        <v>2024003056</v>
      </c>
      <c r="B2058" s="1">
        <v>45300</v>
      </c>
      <c r="C2058" s="11">
        <f t="shared" si="96"/>
        <v>2024</v>
      </c>
      <c r="D2058" t="s">
        <v>11</v>
      </c>
      <c r="E2058" t="s">
        <v>53</v>
      </c>
      <c r="F2058" t="s">
        <v>54</v>
      </c>
      <c r="G2058" t="s">
        <v>36</v>
      </c>
      <c r="H2058">
        <v>4</v>
      </c>
      <c r="I2058" s="2">
        <v>119.58</v>
      </c>
      <c r="J2058" s="2">
        <v>478.32</v>
      </c>
      <c r="K2058" s="2">
        <f t="shared" si="97"/>
        <v>478.32</v>
      </c>
      <c r="L2058" s="2">
        <f t="shared" si="98"/>
        <v>0</v>
      </c>
      <c r="M2058" t="s">
        <v>31</v>
      </c>
      <c r="N2058" t="s">
        <v>16</v>
      </c>
    </row>
    <row r="2059" spans="1:14" x14ac:dyDescent="0.3">
      <c r="A2059">
        <v>2024003057</v>
      </c>
      <c r="B2059" s="1">
        <v>45632</v>
      </c>
      <c r="C2059" s="11">
        <f t="shared" si="96"/>
        <v>2024</v>
      </c>
      <c r="D2059" t="s">
        <v>11</v>
      </c>
      <c r="E2059" t="s">
        <v>23</v>
      </c>
      <c r="F2059" t="s">
        <v>24</v>
      </c>
      <c r="G2059" t="s">
        <v>14</v>
      </c>
      <c r="H2059">
        <v>1</v>
      </c>
      <c r="I2059" s="2">
        <v>82.22</v>
      </c>
      <c r="J2059" s="2">
        <v>82.22</v>
      </c>
      <c r="K2059" s="2">
        <f t="shared" si="97"/>
        <v>82.22</v>
      </c>
      <c r="L2059" s="2">
        <f t="shared" si="98"/>
        <v>0</v>
      </c>
      <c r="M2059" t="s">
        <v>48</v>
      </c>
      <c r="N2059" t="s">
        <v>21</v>
      </c>
    </row>
    <row r="2060" spans="1:14" x14ac:dyDescent="0.3">
      <c r="A2060">
        <v>2024003058</v>
      </c>
      <c r="B2060" s="1">
        <v>45428</v>
      </c>
      <c r="C2060" s="11">
        <f t="shared" si="96"/>
        <v>2024</v>
      </c>
      <c r="D2060" t="s">
        <v>265</v>
      </c>
      <c r="E2060" t="s">
        <v>18</v>
      </c>
      <c r="F2060" t="s">
        <v>19</v>
      </c>
      <c r="G2060" t="s">
        <v>14</v>
      </c>
      <c r="H2060">
        <v>1</v>
      </c>
      <c r="I2060" s="2">
        <v>578.29999999999995</v>
      </c>
      <c r="J2060" s="2">
        <v>578.29999999999995</v>
      </c>
      <c r="K2060" s="2">
        <f t="shared" si="97"/>
        <v>578.29999999999995</v>
      </c>
      <c r="L2060" s="2">
        <f t="shared" si="98"/>
        <v>0</v>
      </c>
      <c r="M2060" t="s">
        <v>20</v>
      </c>
      <c r="N2060" t="s">
        <v>21</v>
      </c>
    </row>
    <row r="2061" spans="1:14" x14ac:dyDescent="0.3">
      <c r="A2061">
        <v>2024003059</v>
      </c>
      <c r="B2061" s="1">
        <v>45557</v>
      </c>
      <c r="C2061" s="11">
        <f t="shared" si="96"/>
        <v>2024</v>
      </c>
      <c r="D2061" t="s">
        <v>131</v>
      </c>
      <c r="E2061" t="s">
        <v>46</v>
      </c>
      <c r="F2061" t="s">
        <v>47</v>
      </c>
      <c r="G2061" t="s">
        <v>36</v>
      </c>
      <c r="H2061">
        <v>2</v>
      </c>
      <c r="I2061" s="2">
        <v>91.65</v>
      </c>
      <c r="J2061" s="2">
        <v>183.3</v>
      </c>
      <c r="K2061" s="2">
        <f t="shared" si="97"/>
        <v>183.3</v>
      </c>
      <c r="L2061" s="2">
        <f t="shared" si="98"/>
        <v>0</v>
      </c>
      <c r="M2061" t="s">
        <v>57</v>
      </c>
      <c r="N2061" t="s">
        <v>21</v>
      </c>
    </row>
    <row r="2062" spans="1:14" x14ac:dyDescent="0.3">
      <c r="A2062">
        <v>2024003060</v>
      </c>
      <c r="B2062" s="1">
        <v>45367</v>
      </c>
      <c r="C2062" s="11">
        <f t="shared" si="96"/>
        <v>2024</v>
      </c>
      <c r="D2062" t="s">
        <v>183</v>
      </c>
      <c r="E2062" t="s">
        <v>18</v>
      </c>
      <c r="F2062" t="s">
        <v>19</v>
      </c>
      <c r="G2062" t="s">
        <v>14</v>
      </c>
      <c r="H2062">
        <v>1</v>
      </c>
      <c r="I2062" s="2">
        <v>632.51</v>
      </c>
      <c r="J2062" s="2">
        <v>632.51</v>
      </c>
      <c r="K2062" s="2">
        <f t="shared" si="97"/>
        <v>632.51</v>
      </c>
      <c r="L2062" s="2">
        <f t="shared" si="98"/>
        <v>0</v>
      </c>
      <c r="M2062" t="s">
        <v>25</v>
      </c>
      <c r="N2062" t="s">
        <v>32</v>
      </c>
    </row>
    <row r="2063" spans="1:14" x14ac:dyDescent="0.3">
      <c r="A2063">
        <v>2024003061</v>
      </c>
      <c r="B2063" s="1">
        <v>45353</v>
      </c>
      <c r="C2063" s="11">
        <f t="shared" si="96"/>
        <v>2024</v>
      </c>
      <c r="D2063" t="s">
        <v>177</v>
      </c>
      <c r="E2063" t="s">
        <v>40</v>
      </c>
      <c r="F2063" t="s">
        <v>41</v>
      </c>
      <c r="G2063" t="s">
        <v>36</v>
      </c>
      <c r="H2063">
        <v>5</v>
      </c>
      <c r="I2063" s="2">
        <v>44.42</v>
      </c>
      <c r="J2063" s="2">
        <v>222.1</v>
      </c>
      <c r="K2063" s="2">
        <f t="shared" si="97"/>
        <v>222.10000000000002</v>
      </c>
      <c r="L2063" s="2">
        <f t="shared" si="98"/>
        <v>0</v>
      </c>
      <c r="M2063" t="s">
        <v>25</v>
      </c>
      <c r="N2063" t="s">
        <v>32</v>
      </c>
    </row>
    <row r="2064" spans="1:14" x14ac:dyDescent="0.3">
      <c r="A2064">
        <v>2024003062</v>
      </c>
      <c r="B2064" s="1">
        <v>45610</v>
      </c>
      <c r="C2064" s="11">
        <f t="shared" si="96"/>
        <v>2024</v>
      </c>
      <c r="D2064" t="s">
        <v>240</v>
      </c>
      <c r="E2064" t="s">
        <v>53</v>
      </c>
      <c r="F2064" t="s">
        <v>54</v>
      </c>
      <c r="G2064" t="s">
        <v>36</v>
      </c>
      <c r="H2064">
        <v>3</v>
      </c>
      <c r="I2064" s="2">
        <v>116.8</v>
      </c>
      <c r="J2064" s="2">
        <v>350.4</v>
      </c>
      <c r="K2064" s="2">
        <f t="shared" si="97"/>
        <v>350.4</v>
      </c>
      <c r="L2064" s="2">
        <f t="shared" si="98"/>
        <v>0</v>
      </c>
      <c r="M2064" t="s">
        <v>48</v>
      </c>
      <c r="N2064" t="s">
        <v>16</v>
      </c>
    </row>
    <row r="2065" spans="1:14" x14ac:dyDescent="0.3">
      <c r="A2065">
        <v>2024003063</v>
      </c>
      <c r="B2065" s="1">
        <v>45513</v>
      </c>
      <c r="C2065" s="11">
        <f t="shared" si="96"/>
        <v>2024</v>
      </c>
      <c r="D2065" t="s">
        <v>332</v>
      </c>
      <c r="E2065" t="s">
        <v>23</v>
      </c>
      <c r="F2065" t="s">
        <v>24</v>
      </c>
      <c r="G2065" t="s">
        <v>14</v>
      </c>
      <c r="H2065">
        <v>3</v>
      </c>
      <c r="I2065" s="2">
        <v>82.56</v>
      </c>
      <c r="J2065" s="2">
        <v>247.68</v>
      </c>
      <c r="K2065" s="2">
        <f t="shared" si="97"/>
        <v>247.68</v>
      </c>
      <c r="L2065" s="2">
        <f t="shared" si="98"/>
        <v>0</v>
      </c>
      <c r="M2065" t="s">
        <v>15</v>
      </c>
      <c r="N2065" t="s">
        <v>32</v>
      </c>
    </row>
    <row r="2066" spans="1:14" x14ac:dyDescent="0.3">
      <c r="A2066">
        <v>2024003064</v>
      </c>
      <c r="B2066" s="1">
        <v>45565</v>
      </c>
      <c r="C2066" s="11">
        <f t="shared" si="96"/>
        <v>2024</v>
      </c>
      <c r="D2066" t="s">
        <v>91</v>
      </c>
      <c r="E2066" t="s">
        <v>28</v>
      </c>
      <c r="F2066" t="s">
        <v>29</v>
      </c>
      <c r="G2066" t="s">
        <v>30</v>
      </c>
      <c r="H2066">
        <v>2</v>
      </c>
      <c r="I2066" s="2">
        <v>23.5</v>
      </c>
      <c r="J2066" s="2">
        <v>47</v>
      </c>
      <c r="K2066" s="2">
        <f t="shared" si="97"/>
        <v>47</v>
      </c>
      <c r="L2066" s="2">
        <f t="shared" si="98"/>
        <v>0</v>
      </c>
      <c r="M2066" t="s">
        <v>38</v>
      </c>
      <c r="N2066" t="s">
        <v>16</v>
      </c>
    </row>
    <row r="2067" spans="1:14" x14ac:dyDescent="0.3">
      <c r="A2067">
        <v>2024003065</v>
      </c>
      <c r="B2067" s="1">
        <v>45333</v>
      </c>
      <c r="C2067" s="11">
        <f t="shared" si="96"/>
        <v>2024</v>
      </c>
      <c r="D2067" t="s">
        <v>140</v>
      </c>
      <c r="E2067" t="s">
        <v>46</v>
      </c>
      <c r="F2067" t="s">
        <v>47</v>
      </c>
      <c r="G2067" t="s">
        <v>36</v>
      </c>
      <c r="H2067">
        <v>1</v>
      </c>
      <c r="I2067" s="2">
        <v>88.08</v>
      </c>
      <c r="J2067" s="2">
        <v>88.08</v>
      </c>
      <c r="K2067" s="2">
        <f t="shared" si="97"/>
        <v>88.08</v>
      </c>
      <c r="L2067" s="2">
        <f t="shared" si="98"/>
        <v>0</v>
      </c>
      <c r="M2067" t="s">
        <v>64</v>
      </c>
      <c r="N2067" t="s">
        <v>32</v>
      </c>
    </row>
    <row r="2068" spans="1:14" x14ac:dyDescent="0.3">
      <c r="A2068">
        <v>2024003066</v>
      </c>
      <c r="B2068" s="1">
        <v>45579</v>
      </c>
      <c r="C2068" s="11">
        <f t="shared" si="96"/>
        <v>2024</v>
      </c>
      <c r="D2068" t="s">
        <v>11</v>
      </c>
      <c r="E2068" t="s">
        <v>43</v>
      </c>
      <c r="F2068" t="s">
        <v>44</v>
      </c>
      <c r="G2068" t="s">
        <v>36</v>
      </c>
      <c r="H2068">
        <v>1</v>
      </c>
      <c r="I2068" s="2">
        <v>1158.42</v>
      </c>
      <c r="J2068" s="2">
        <v>1158.42</v>
      </c>
      <c r="K2068" s="2">
        <f t="shared" si="97"/>
        <v>1158.42</v>
      </c>
      <c r="L2068" s="2">
        <f t="shared" si="98"/>
        <v>0</v>
      </c>
      <c r="M2068" t="s">
        <v>48</v>
      </c>
      <c r="N2068" t="s">
        <v>32</v>
      </c>
    </row>
    <row r="2069" spans="1:14" x14ac:dyDescent="0.3">
      <c r="A2069">
        <v>2024003067</v>
      </c>
      <c r="B2069" s="1">
        <v>45478</v>
      </c>
      <c r="C2069" s="11">
        <f t="shared" si="96"/>
        <v>2024</v>
      </c>
      <c r="D2069" t="s">
        <v>328</v>
      </c>
      <c r="E2069" t="s">
        <v>23</v>
      </c>
      <c r="F2069" t="s">
        <v>24</v>
      </c>
      <c r="G2069" t="s">
        <v>14</v>
      </c>
      <c r="H2069">
        <v>2</v>
      </c>
      <c r="I2069" s="2">
        <v>85.36</v>
      </c>
      <c r="J2069" s="2">
        <v>170.72</v>
      </c>
      <c r="K2069" s="2">
        <f t="shared" si="97"/>
        <v>170.72</v>
      </c>
      <c r="L2069" s="2">
        <f t="shared" si="98"/>
        <v>0</v>
      </c>
      <c r="M2069" t="s">
        <v>55</v>
      </c>
      <c r="N2069" t="s">
        <v>32</v>
      </c>
    </row>
    <row r="2070" spans="1:14" x14ac:dyDescent="0.3">
      <c r="A2070">
        <v>2024003068</v>
      </c>
      <c r="B2070" s="1">
        <v>45384</v>
      </c>
      <c r="C2070" s="11">
        <f t="shared" si="96"/>
        <v>2024</v>
      </c>
      <c r="D2070" t="s">
        <v>314</v>
      </c>
      <c r="E2070" t="s">
        <v>34</v>
      </c>
      <c r="F2070" t="s">
        <v>35</v>
      </c>
      <c r="G2070" t="s">
        <v>36</v>
      </c>
      <c r="H2070">
        <v>3</v>
      </c>
      <c r="I2070" s="2">
        <v>14.66</v>
      </c>
      <c r="J2070" s="2">
        <v>43.98</v>
      </c>
      <c r="K2070" s="2">
        <f t="shared" si="97"/>
        <v>43.980000000000004</v>
      </c>
      <c r="L2070" s="2">
        <f t="shared" si="98"/>
        <v>0</v>
      </c>
      <c r="M2070" t="s">
        <v>31</v>
      </c>
      <c r="N2070" t="s">
        <v>32</v>
      </c>
    </row>
    <row r="2071" spans="1:14" x14ac:dyDescent="0.3">
      <c r="A2071">
        <v>2024003069</v>
      </c>
      <c r="B2071" s="1">
        <v>45643</v>
      </c>
      <c r="C2071" s="11">
        <f t="shared" si="96"/>
        <v>2024</v>
      </c>
      <c r="D2071" t="s">
        <v>11</v>
      </c>
      <c r="E2071" t="s">
        <v>40</v>
      </c>
      <c r="F2071" t="s">
        <v>41</v>
      </c>
      <c r="G2071" t="s">
        <v>36</v>
      </c>
      <c r="H2071">
        <v>1</v>
      </c>
      <c r="I2071" s="2">
        <v>47.06</v>
      </c>
      <c r="J2071" s="2">
        <v>47.06</v>
      </c>
      <c r="K2071" s="2">
        <f t="shared" si="97"/>
        <v>47.06</v>
      </c>
      <c r="L2071" s="2">
        <f t="shared" si="98"/>
        <v>0</v>
      </c>
      <c r="M2071" t="s">
        <v>25</v>
      </c>
      <c r="N2071" t="s">
        <v>26</v>
      </c>
    </row>
    <row r="2072" spans="1:14" x14ac:dyDescent="0.3">
      <c r="A2072">
        <v>2024003070</v>
      </c>
      <c r="B2072" s="1">
        <v>45446</v>
      </c>
      <c r="C2072" s="11">
        <f t="shared" si="96"/>
        <v>2024</v>
      </c>
      <c r="D2072" t="s">
        <v>187</v>
      </c>
      <c r="E2072" t="s">
        <v>43</v>
      </c>
      <c r="F2072" t="s">
        <v>44</v>
      </c>
      <c r="G2072" t="s">
        <v>36</v>
      </c>
      <c r="H2072">
        <v>1</v>
      </c>
      <c r="I2072" s="2">
        <v>1081.26</v>
      </c>
      <c r="J2072" s="2">
        <v>1081.26</v>
      </c>
      <c r="K2072" s="2">
        <f t="shared" si="97"/>
        <v>1081.26</v>
      </c>
      <c r="L2072" s="2">
        <f t="shared" si="98"/>
        <v>0</v>
      </c>
      <c r="M2072" t="s">
        <v>20</v>
      </c>
      <c r="N2072" t="s">
        <v>26</v>
      </c>
    </row>
    <row r="2073" spans="1:14" x14ac:dyDescent="0.3">
      <c r="A2073">
        <v>2024003071</v>
      </c>
      <c r="B2073" s="1">
        <v>45344</v>
      </c>
      <c r="C2073" s="11">
        <f t="shared" si="96"/>
        <v>2024</v>
      </c>
      <c r="D2073" t="s">
        <v>332</v>
      </c>
      <c r="E2073" t="s">
        <v>43</v>
      </c>
      <c r="F2073" t="s">
        <v>44</v>
      </c>
      <c r="G2073" t="s">
        <v>36</v>
      </c>
      <c r="H2073">
        <v>2</v>
      </c>
      <c r="I2073" s="2">
        <v>1321.61</v>
      </c>
      <c r="J2073" s="2">
        <v>2643.22</v>
      </c>
      <c r="K2073" s="2">
        <f t="shared" si="97"/>
        <v>2643.22</v>
      </c>
      <c r="L2073" s="2">
        <f t="shared" si="98"/>
        <v>0</v>
      </c>
      <c r="M2073" t="s">
        <v>48</v>
      </c>
      <c r="N2073" t="s">
        <v>32</v>
      </c>
    </row>
    <row r="2074" spans="1:14" x14ac:dyDescent="0.3">
      <c r="A2074">
        <v>2024003072</v>
      </c>
      <c r="B2074" s="1">
        <v>45470</v>
      </c>
      <c r="C2074" s="11">
        <f t="shared" si="96"/>
        <v>2024</v>
      </c>
      <c r="D2074" t="s">
        <v>169</v>
      </c>
      <c r="E2074" t="s">
        <v>40</v>
      </c>
      <c r="F2074" t="s">
        <v>41</v>
      </c>
      <c r="G2074" t="s">
        <v>36</v>
      </c>
      <c r="H2074">
        <v>1</v>
      </c>
      <c r="I2074" s="2">
        <v>44.85</v>
      </c>
      <c r="J2074" s="2">
        <v>44.85</v>
      </c>
      <c r="K2074" s="2">
        <f t="shared" si="97"/>
        <v>44.85</v>
      </c>
      <c r="L2074" s="2">
        <f t="shared" si="98"/>
        <v>0</v>
      </c>
      <c r="M2074" t="s">
        <v>48</v>
      </c>
      <c r="N2074" t="s">
        <v>32</v>
      </c>
    </row>
    <row r="2075" spans="1:14" x14ac:dyDescent="0.3">
      <c r="A2075">
        <v>2024003073</v>
      </c>
      <c r="B2075" s="1">
        <v>45544</v>
      </c>
      <c r="C2075" s="11">
        <f t="shared" si="96"/>
        <v>2024</v>
      </c>
      <c r="D2075" t="s">
        <v>182</v>
      </c>
      <c r="E2075" t="s">
        <v>12</v>
      </c>
      <c r="F2075" t="s">
        <v>13</v>
      </c>
      <c r="G2075" t="s">
        <v>14</v>
      </c>
      <c r="H2075">
        <v>2</v>
      </c>
      <c r="I2075" s="2">
        <v>364.74</v>
      </c>
      <c r="J2075" s="2">
        <v>729.48</v>
      </c>
      <c r="K2075" s="2">
        <f t="shared" si="97"/>
        <v>729.48</v>
      </c>
      <c r="L2075" s="2">
        <f t="shared" si="98"/>
        <v>0</v>
      </c>
      <c r="M2075" t="s">
        <v>64</v>
      </c>
      <c r="N2075" t="s">
        <v>26</v>
      </c>
    </row>
    <row r="2076" spans="1:14" x14ac:dyDescent="0.3">
      <c r="A2076">
        <v>2024003074</v>
      </c>
      <c r="B2076" s="1">
        <v>45352</v>
      </c>
      <c r="C2076" s="11">
        <f t="shared" si="96"/>
        <v>2024</v>
      </c>
      <c r="D2076" t="s">
        <v>115</v>
      </c>
      <c r="E2076" t="s">
        <v>18</v>
      </c>
      <c r="F2076" t="s">
        <v>19</v>
      </c>
      <c r="G2076" t="s">
        <v>14</v>
      </c>
      <c r="H2076">
        <v>1</v>
      </c>
      <c r="I2076" s="2">
        <v>626.91</v>
      </c>
      <c r="J2076" s="2">
        <v>626.91</v>
      </c>
      <c r="K2076" s="2">
        <f t="shared" si="97"/>
        <v>626.91</v>
      </c>
      <c r="L2076" s="2">
        <f t="shared" si="98"/>
        <v>0</v>
      </c>
      <c r="M2076" t="s">
        <v>55</v>
      </c>
      <c r="N2076" t="s">
        <v>26</v>
      </c>
    </row>
    <row r="2077" spans="1:14" x14ac:dyDescent="0.3">
      <c r="A2077">
        <v>2024003075</v>
      </c>
      <c r="B2077" s="1">
        <v>45409</v>
      </c>
      <c r="C2077" s="11">
        <f t="shared" si="96"/>
        <v>2024</v>
      </c>
      <c r="D2077" t="s">
        <v>11</v>
      </c>
      <c r="E2077" t="s">
        <v>53</v>
      </c>
      <c r="F2077" t="s">
        <v>54</v>
      </c>
      <c r="G2077" t="s">
        <v>36</v>
      </c>
      <c r="H2077">
        <v>1</v>
      </c>
      <c r="I2077" s="2">
        <v>122.94</v>
      </c>
      <c r="J2077" s="2">
        <v>122.94</v>
      </c>
      <c r="K2077" s="2">
        <f t="shared" si="97"/>
        <v>122.94</v>
      </c>
      <c r="L2077" s="2">
        <f t="shared" si="98"/>
        <v>0</v>
      </c>
      <c r="M2077" t="s">
        <v>20</v>
      </c>
      <c r="N2077" t="s">
        <v>32</v>
      </c>
    </row>
    <row r="2078" spans="1:14" x14ac:dyDescent="0.3">
      <c r="A2078">
        <v>2024003076</v>
      </c>
      <c r="B2078" s="1">
        <v>45522</v>
      </c>
      <c r="C2078" s="11">
        <f t="shared" si="96"/>
        <v>2024</v>
      </c>
      <c r="D2078" t="s">
        <v>119</v>
      </c>
      <c r="E2078" t="s">
        <v>67</v>
      </c>
      <c r="F2078" t="s">
        <v>68</v>
      </c>
      <c r="G2078" t="s">
        <v>36</v>
      </c>
      <c r="H2078">
        <v>1</v>
      </c>
      <c r="I2078" s="2">
        <v>387.48</v>
      </c>
      <c r="J2078" s="2">
        <v>387.48</v>
      </c>
      <c r="K2078" s="2">
        <f t="shared" si="97"/>
        <v>387.48</v>
      </c>
      <c r="L2078" s="2">
        <f t="shared" si="98"/>
        <v>0</v>
      </c>
      <c r="M2078" t="s">
        <v>25</v>
      </c>
      <c r="N2078" t="s">
        <v>26</v>
      </c>
    </row>
    <row r="2079" spans="1:14" x14ac:dyDescent="0.3">
      <c r="A2079">
        <v>2024003077</v>
      </c>
      <c r="B2079" s="1">
        <v>45637</v>
      </c>
      <c r="C2079" s="11">
        <f t="shared" si="96"/>
        <v>2024</v>
      </c>
      <c r="D2079" t="s">
        <v>75</v>
      </c>
      <c r="E2079" t="s">
        <v>23</v>
      </c>
      <c r="F2079" t="s">
        <v>24</v>
      </c>
      <c r="G2079" t="s">
        <v>14</v>
      </c>
      <c r="H2079">
        <v>4</v>
      </c>
      <c r="I2079" s="2">
        <v>80.92</v>
      </c>
      <c r="J2079" s="2">
        <v>323.68</v>
      </c>
      <c r="K2079" s="2">
        <f t="shared" si="97"/>
        <v>323.68</v>
      </c>
      <c r="L2079" s="2">
        <f t="shared" si="98"/>
        <v>0</v>
      </c>
      <c r="M2079" t="s">
        <v>31</v>
      </c>
      <c r="N2079" t="s">
        <v>16</v>
      </c>
    </row>
    <row r="2080" spans="1:14" x14ac:dyDescent="0.3">
      <c r="A2080">
        <v>2024003078</v>
      </c>
      <c r="B2080" s="1">
        <v>45535</v>
      </c>
      <c r="C2080" s="11">
        <f t="shared" si="96"/>
        <v>2024</v>
      </c>
      <c r="D2080" t="s">
        <v>97</v>
      </c>
      <c r="E2080" t="s">
        <v>34</v>
      </c>
      <c r="F2080" t="s">
        <v>35</v>
      </c>
      <c r="G2080" t="s">
        <v>36</v>
      </c>
      <c r="H2080">
        <v>1</v>
      </c>
      <c r="I2080" s="2">
        <v>15.33</v>
      </c>
      <c r="J2080" s="2">
        <v>15.33</v>
      </c>
      <c r="K2080" s="2">
        <f t="shared" si="97"/>
        <v>15.33</v>
      </c>
      <c r="L2080" s="2">
        <f t="shared" si="98"/>
        <v>0</v>
      </c>
      <c r="M2080" t="s">
        <v>61</v>
      </c>
      <c r="N2080" t="s">
        <v>21</v>
      </c>
    </row>
    <row r="2081" spans="1:14" x14ac:dyDescent="0.3">
      <c r="A2081">
        <v>2024003079</v>
      </c>
      <c r="B2081" s="1">
        <v>45547</v>
      </c>
      <c r="C2081" s="11">
        <f t="shared" si="96"/>
        <v>2024</v>
      </c>
      <c r="D2081" t="s">
        <v>232</v>
      </c>
      <c r="E2081" t="s">
        <v>46</v>
      </c>
      <c r="F2081" t="s">
        <v>47</v>
      </c>
      <c r="G2081" t="s">
        <v>36</v>
      </c>
      <c r="H2081">
        <v>4</v>
      </c>
      <c r="I2081" s="2">
        <v>88.55</v>
      </c>
      <c r="J2081" s="2">
        <v>354.2</v>
      </c>
      <c r="K2081" s="2">
        <f t="shared" si="97"/>
        <v>354.2</v>
      </c>
      <c r="L2081" s="2">
        <f t="shared" si="98"/>
        <v>0</v>
      </c>
      <c r="M2081" t="s">
        <v>64</v>
      </c>
      <c r="N2081" t="s">
        <v>32</v>
      </c>
    </row>
    <row r="2082" spans="1:14" x14ac:dyDescent="0.3">
      <c r="A2082">
        <v>2024003080</v>
      </c>
      <c r="B2082" s="1">
        <v>45629</v>
      </c>
      <c r="C2082" s="11">
        <f t="shared" si="96"/>
        <v>2024</v>
      </c>
      <c r="D2082" t="s">
        <v>336</v>
      </c>
      <c r="E2082" t="s">
        <v>18</v>
      </c>
      <c r="F2082" t="s">
        <v>19</v>
      </c>
      <c r="G2082" t="s">
        <v>14</v>
      </c>
      <c r="H2082">
        <v>5</v>
      </c>
      <c r="I2082" s="2">
        <v>579.46</v>
      </c>
      <c r="J2082" s="2">
        <v>2897.3</v>
      </c>
      <c r="K2082" s="2">
        <f t="shared" si="97"/>
        <v>2897.3</v>
      </c>
      <c r="L2082" s="2">
        <f t="shared" si="98"/>
        <v>0</v>
      </c>
      <c r="M2082" t="s">
        <v>55</v>
      </c>
      <c r="N2082" t="s">
        <v>32</v>
      </c>
    </row>
    <row r="2083" spans="1:14" x14ac:dyDescent="0.3">
      <c r="A2083">
        <v>2024003081</v>
      </c>
      <c r="B2083" s="1">
        <v>45642</v>
      </c>
      <c r="C2083" s="11">
        <f t="shared" si="96"/>
        <v>2024</v>
      </c>
      <c r="D2083" t="s">
        <v>75</v>
      </c>
      <c r="E2083" t="s">
        <v>40</v>
      </c>
      <c r="F2083" t="s">
        <v>41</v>
      </c>
      <c r="G2083" t="s">
        <v>36</v>
      </c>
      <c r="H2083">
        <v>2</v>
      </c>
      <c r="I2083" s="2">
        <v>44.79</v>
      </c>
      <c r="J2083" s="2">
        <v>89.58</v>
      </c>
      <c r="K2083" s="2">
        <f t="shared" si="97"/>
        <v>89.58</v>
      </c>
      <c r="L2083" s="2">
        <f t="shared" si="98"/>
        <v>0</v>
      </c>
      <c r="M2083" t="s">
        <v>20</v>
      </c>
      <c r="N2083" t="s">
        <v>26</v>
      </c>
    </row>
    <row r="2084" spans="1:14" x14ac:dyDescent="0.3">
      <c r="A2084">
        <v>2024003082</v>
      </c>
      <c r="B2084" s="1">
        <v>45306</v>
      </c>
      <c r="C2084" s="11">
        <f t="shared" si="96"/>
        <v>2024</v>
      </c>
      <c r="D2084" t="s">
        <v>11</v>
      </c>
      <c r="E2084" t="s">
        <v>18</v>
      </c>
      <c r="F2084" t="s">
        <v>19</v>
      </c>
      <c r="G2084" t="s">
        <v>14</v>
      </c>
      <c r="H2084">
        <v>3</v>
      </c>
      <c r="I2084" s="2">
        <v>552.89</v>
      </c>
      <c r="J2084" s="2">
        <v>1658.67</v>
      </c>
      <c r="K2084" s="2">
        <f t="shared" si="97"/>
        <v>1658.67</v>
      </c>
      <c r="L2084" s="2">
        <f t="shared" si="98"/>
        <v>0</v>
      </c>
      <c r="M2084" t="s">
        <v>57</v>
      </c>
      <c r="N2084" t="s">
        <v>16</v>
      </c>
    </row>
    <row r="2085" spans="1:14" x14ac:dyDescent="0.3">
      <c r="A2085">
        <v>2024003083</v>
      </c>
      <c r="B2085" s="1">
        <v>45387</v>
      </c>
      <c r="C2085" s="11">
        <f t="shared" si="96"/>
        <v>2024</v>
      </c>
      <c r="D2085" t="s">
        <v>11</v>
      </c>
      <c r="E2085" t="s">
        <v>53</v>
      </c>
      <c r="F2085" t="s">
        <v>54</v>
      </c>
      <c r="G2085" t="s">
        <v>36</v>
      </c>
      <c r="H2085">
        <v>1</v>
      </c>
      <c r="I2085" s="2">
        <v>121.57</v>
      </c>
      <c r="J2085" s="2">
        <v>121.57</v>
      </c>
      <c r="K2085" s="2">
        <f t="shared" si="97"/>
        <v>121.57</v>
      </c>
      <c r="L2085" s="2">
        <f t="shared" si="98"/>
        <v>0</v>
      </c>
      <c r="M2085" t="s">
        <v>55</v>
      </c>
      <c r="N2085" t="s">
        <v>32</v>
      </c>
    </row>
    <row r="2086" spans="1:14" x14ac:dyDescent="0.3">
      <c r="A2086">
        <v>2024003084</v>
      </c>
      <c r="B2086" s="1">
        <v>45330</v>
      </c>
      <c r="C2086" s="11">
        <f t="shared" si="96"/>
        <v>2024</v>
      </c>
      <c r="D2086" t="s">
        <v>11</v>
      </c>
      <c r="E2086" t="s">
        <v>34</v>
      </c>
      <c r="F2086" t="s">
        <v>35</v>
      </c>
      <c r="G2086" t="s">
        <v>36</v>
      </c>
      <c r="H2086">
        <v>2</v>
      </c>
      <c r="I2086" s="2">
        <v>14.17</v>
      </c>
      <c r="J2086" s="2">
        <v>28.34</v>
      </c>
      <c r="K2086" s="2">
        <f t="shared" si="97"/>
        <v>28.34</v>
      </c>
      <c r="L2086" s="2">
        <f t="shared" si="98"/>
        <v>0</v>
      </c>
      <c r="M2086" t="s">
        <v>20</v>
      </c>
      <c r="N2086" t="s">
        <v>16</v>
      </c>
    </row>
    <row r="2087" spans="1:14" x14ac:dyDescent="0.3">
      <c r="A2087">
        <v>2024003085</v>
      </c>
      <c r="B2087" s="1">
        <v>45614</v>
      </c>
      <c r="C2087" s="11">
        <f t="shared" si="96"/>
        <v>2024</v>
      </c>
      <c r="D2087" t="s">
        <v>83</v>
      </c>
      <c r="E2087" t="s">
        <v>46</v>
      </c>
      <c r="F2087" t="s">
        <v>47</v>
      </c>
      <c r="G2087" t="s">
        <v>36</v>
      </c>
      <c r="H2087">
        <v>2</v>
      </c>
      <c r="I2087" s="2">
        <v>93.31</v>
      </c>
      <c r="J2087" s="2">
        <v>186.62</v>
      </c>
      <c r="K2087" s="2">
        <f t="shared" si="97"/>
        <v>186.62</v>
      </c>
      <c r="L2087" s="2">
        <f t="shared" si="98"/>
        <v>0</v>
      </c>
      <c r="M2087" t="s">
        <v>15</v>
      </c>
      <c r="N2087" t="s">
        <v>16</v>
      </c>
    </row>
    <row r="2088" spans="1:14" x14ac:dyDescent="0.3">
      <c r="A2088">
        <v>2024003086</v>
      </c>
      <c r="B2088" s="1">
        <v>45622</v>
      </c>
      <c r="C2088" s="11">
        <f t="shared" si="96"/>
        <v>2024</v>
      </c>
      <c r="D2088" t="s">
        <v>193</v>
      </c>
      <c r="E2088" t="s">
        <v>67</v>
      </c>
      <c r="F2088" t="s">
        <v>68</v>
      </c>
      <c r="G2088" t="s">
        <v>36</v>
      </c>
      <c r="H2088">
        <v>2</v>
      </c>
      <c r="I2088" s="2">
        <v>387.28</v>
      </c>
      <c r="J2088" s="2">
        <v>774.56</v>
      </c>
      <c r="K2088" s="2">
        <f t="shared" si="97"/>
        <v>774.56</v>
      </c>
      <c r="L2088" s="2">
        <f t="shared" si="98"/>
        <v>0</v>
      </c>
      <c r="M2088" t="s">
        <v>57</v>
      </c>
      <c r="N2088" t="s">
        <v>26</v>
      </c>
    </row>
    <row r="2089" spans="1:14" x14ac:dyDescent="0.3">
      <c r="A2089">
        <v>2024003087</v>
      </c>
      <c r="B2089" s="1">
        <v>45406</v>
      </c>
      <c r="C2089" s="11">
        <f t="shared" si="96"/>
        <v>2024</v>
      </c>
      <c r="D2089" t="s">
        <v>11</v>
      </c>
      <c r="E2089" t="s">
        <v>34</v>
      </c>
      <c r="F2089" t="s">
        <v>35</v>
      </c>
      <c r="G2089" t="s">
        <v>36</v>
      </c>
      <c r="H2089">
        <v>1</v>
      </c>
      <c r="I2089" s="2">
        <v>14.53</v>
      </c>
      <c r="J2089" s="2">
        <v>14.53</v>
      </c>
      <c r="K2089" s="2">
        <f t="shared" si="97"/>
        <v>14.53</v>
      </c>
      <c r="L2089" s="2">
        <f t="shared" si="98"/>
        <v>0</v>
      </c>
      <c r="M2089" t="s">
        <v>57</v>
      </c>
      <c r="N2089" t="s">
        <v>16</v>
      </c>
    </row>
    <row r="2090" spans="1:14" x14ac:dyDescent="0.3">
      <c r="A2090">
        <v>2024003088</v>
      </c>
      <c r="B2090" s="1">
        <v>45629</v>
      </c>
      <c r="C2090" s="11">
        <f t="shared" si="96"/>
        <v>2024</v>
      </c>
      <c r="D2090" t="s">
        <v>141</v>
      </c>
      <c r="E2090" t="s">
        <v>53</v>
      </c>
      <c r="F2090" t="s">
        <v>54</v>
      </c>
      <c r="G2090" t="s">
        <v>36</v>
      </c>
      <c r="H2090">
        <v>4</v>
      </c>
      <c r="I2090" s="2">
        <v>125.88</v>
      </c>
      <c r="J2090" s="2">
        <v>503.52</v>
      </c>
      <c r="K2090" s="2">
        <f t="shared" si="97"/>
        <v>503.52</v>
      </c>
      <c r="L2090" s="2">
        <f t="shared" si="98"/>
        <v>0</v>
      </c>
      <c r="M2090" t="s">
        <v>20</v>
      </c>
      <c r="N2090" t="s">
        <v>16</v>
      </c>
    </row>
    <row r="2091" spans="1:14" x14ac:dyDescent="0.3">
      <c r="A2091">
        <v>2024003089</v>
      </c>
      <c r="B2091" s="1">
        <v>45533</v>
      </c>
      <c r="C2091" s="11">
        <f t="shared" si="96"/>
        <v>2024</v>
      </c>
      <c r="D2091" t="s">
        <v>295</v>
      </c>
      <c r="E2091" t="s">
        <v>67</v>
      </c>
      <c r="F2091" t="s">
        <v>68</v>
      </c>
      <c r="G2091" t="s">
        <v>36</v>
      </c>
      <c r="H2091">
        <v>2</v>
      </c>
      <c r="I2091" s="2">
        <v>395.01</v>
      </c>
      <c r="J2091" s="2">
        <v>790.02</v>
      </c>
      <c r="K2091" s="2">
        <f t="shared" si="97"/>
        <v>790.02</v>
      </c>
      <c r="L2091" s="2">
        <f t="shared" si="98"/>
        <v>0</v>
      </c>
      <c r="M2091" t="s">
        <v>15</v>
      </c>
      <c r="N2091" t="s">
        <v>26</v>
      </c>
    </row>
    <row r="2092" spans="1:14" x14ac:dyDescent="0.3">
      <c r="A2092">
        <v>2024003090</v>
      </c>
      <c r="B2092" s="1">
        <v>45410</v>
      </c>
      <c r="C2092" s="11">
        <f t="shared" si="96"/>
        <v>2024</v>
      </c>
      <c r="D2092" t="s">
        <v>274</v>
      </c>
      <c r="E2092" t="s">
        <v>40</v>
      </c>
      <c r="F2092" t="s">
        <v>41</v>
      </c>
      <c r="G2092" t="s">
        <v>36</v>
      </c>
      <c r="H2092">
        <v>3</v>
      </c>
      <c r="I2092" s="2">
        <v>41.4</v>
      </c>
      <c r="J2092" s="2">
        <v>124.2</v>
      </c>
      <c r="K2092" s="2">
        <f t="shared" si="97"/>
        <v>124.19999999999999</v>
      </c>
      <c r="L2092" s="2">
        <f t="shared" si="98"/>
        <v>0</v>
      </c>
      <c r="M2092" t="s">
        <v>48</v>
      </c>
      <c r="N2092" t="s">
        <v>16</v>
      </c>
    </row>
    <row r="2093" spans="1:14" x14ac:dyDescent="0.3">
      <c r="A2093">
        <v>2024003091</v>
      </c>
      <c r="B2093" s="1">
        <v>45553</v>
      </c>
      <c r="C2093" s="11">
        <f t="shared" si="96"/>
        <v>2024</v>
      </c>
      <c r="D2093" t="s">
        <v>229</v>
      </c>
      <c r="E2093" t="s">
        <v>53</v>
      </c>
      <c r="F2093" t="s">
        <v>54</v>
      </c>
      <c r="G2093" t="s">
        <v>36</v>
      </c>
      <c r="H2093">
        <v>2</v>
      </c>
      <c r="I2093" s="2">
        <v>117.7</v>
      </c>
      <c r="J2093" s="2">
        <v>235.4</v>
      </c>
      <c r="K2093" s="2">
        <f t="shared" si="97"/>
        <v>235.4</v>
      </c>
      <c r="L2093" s="2">
        <f t="shared" si="98"/>
        <v>0</v>
      </c>
      <c r="M2093" t="s">
        <v>25</v>
      </c>
      <c r="N2093" t="s">
        <v>21</v>
      </c>
    </row>
    <row r="2094" spans="1:14" x14ac:dyDescent="0.3">
      <c r="A2094">
        <v>2024003092</v>
      </c>
      <c r="B2094" s="1">
        <v>45488</v>
      </c>
      <c r="C2094" s="11">
        <f t="shared" si="96"/>
        <v>2024</v>
      </c>
      <c r="D2094" t="s">
        <v>307</v>
      </c>
      <c r="E2094" t="s">
        <v>46</v>
      </c>
      <c r="F2094" t="s">
        <v>47</v>
      </c>
      <c r="G2094" t="s">
        <v>36</v>
      </c>
      <c r="H2094">
        <v>3</v>
      </c>
      <c r="I2094" s="2">
        <v>89.35</v>
      </c>
      <c r="J2094" s="2">
        <v>268.05</v>
      </c>
      <c r="K2094" s="2">
        <f t="shared" si="97"/>
        <v>268.04999999999995</v>
      </c>
      <c r="L2094" s="2">
        <f t="shared" si="98"/>
        <v>0</v>
      </c>
      <c r="M2094" t="s">
        <v>55</v>
      </c>
      <c r="N2094" t="s">
        <v>32</v>
      </c>
    </row>
    <row r="2095" spans="1:14" x14ac:dyDescent="0.3">
      <c r="A2095">
        <v>2024003093</v>
      </c>
      <c r="B2095" s="1">
        <v>45548</v>
      </c>
      <c r="C2095" s="11">
        <f t="shared" si="96"/>
        <v>2024</v>
      </c>
      <c r="D2095" t="s">
        <v>342</v>
      </c>
      <c r="E2095" t="s">
        <v>23</v>
      </c>
      <c r="F2095" t="s">
        <v>24</v>
      </c>
      <c r="G2095" t="s">
        <v>14</v>
      </c>
      <c r="H2095">
        <v>1</v>
      </c>
      <c r="I2095" s="2">
        <v>78.260000000000005</v>
      </c>
      <c r="J2095" s="2">
        <v>78.260000000000005</v>
      </c>
      <c r="K2095" s="2">
        <f t="shared" si="97"/>
        <v>78.260000000000005</v>
      </c>
      <c r="L2095" s="2">
        <f t="shared" si="98"/>
        <v>0</v>
      </c>
      <c r="M2095" t="s">
        <v>55</v>
      </c>
      <c r="N2095" t="s">
        <v>32</v>
      </c>
    </row>
    <row r="2096" spans="1:14" x14ac:dyDescent="0.3">
      <c r="A2096">
        <v>2024003094</v>
      </c>
      <c r="B2096" s="1">
        <v>45353</v>
      </c>
      <c r="C2096" s="11">
        <f t="shared" si="96"/>
        <v>2024</v>
      </c>
      <c r="D2096" t="s">
        <v>71</v>
      </c>
      <c r="E2096" t="s">
        <v>34</v>
      </c>
      <c r="F2096" t="s">
        <v>35</v>
      </c>
      <c r="G2096" t="s">
        <v>36</v>
      </c>
      <c r="H2096">
        <v>1</v>
      </c>
      <c r="I2096" s="2">
        <v>14.98</v>
      </c>
      <c r="J2096" s="2">
        <v>14.98</v>
      </c>
      <c r="K2096" s="2">
        <f t="shared" si="97"/>
        <v>14.98</v>
      </c>
      <c r="L2096" s="2">
        <f t="shared" si="98"/>
        <v>0</v>
      </c>
      <c r="M2096" t="s">
        <v>38</v>
      </c>
      <c r="N2096" t="s">
        <v>21</v>
      </c>
    </row>
    <row r="2097" spans="1:14" x14ac:dyDescent="0.3">
      <c r="A2097">
        <v>2024003095</v>
      </c>
      <c r="B2097" s="1">
        <v>45554</v>
      </c>
      <c r="C2097" s="11">
        <f t="shared" si="96"/>
        <v>2024</v>
      </c>
      <c r="D2097" t="s">
        <v>189</v>
      </c>
      <c r="E2097" t="s">
        <v>28</v>
      </c>
      <c r="F2097" t="s">
        <v>29</v>
      </c>
      <c r="G2097" t="s">
        <v>30</v>
      </c>
      <c r="H2097">
        <v>1</v>
      </c>
      <c r="I2097" s="2">
        <v>24.98</v>
      </c>
      <c r="J2097" s="2">
        <v>24.98</v>
      </c>
      <c r="K2097" s="2">
        <f t="shared" si="97"/>
        <v>24.98</v>
      </c>
      <c r="L2097" s="2">
        <f t="shared" si="98"/>
        <v>0</v>
      </c>
      <c r="M2097" t="s">
        <v>31</v>
      </c>
      <c r="N2097" t="s">
        <v>32</v>
      </c>
    </row>
    <row r="2098" spans="1:14" x14ac:dyDescent="0.3">
      <c r="A2098">
        <v>2024003096</v>
      </c>
      <c r="B2098" s="1">
        <v>45363</v>
      </c>
      <c r="C2098" s="11">
        <f t="shared" si="96"/>
        <v>2024</v>
      </c>
      <c r="D2098" t="s">
        <v>216</v>
      </c>
      <c r="E2098" t="s">
        <v>46</v>
      </c>
      <c r="F2098" t="s">
        <v>47</v>
      </c>
      <c r="G2098" t="s">
        <v>36</v>
      </c>
      <c r="H2098">
        <v>3</v>
      </c>
      <c r="I2098" s="2">
        <v>86.78</v>
      </c>
      <c r="J2098" s="2">
        <v>260.33999999999997</v>
      </c>
      <c r="K2098" s="2">
        <f t="shared" si="97"/>
        <v>260.34000000000003</v>
      </c>
      <c r="L2098" s="2">
        <f t="shared" si="98"/>
        <v>0</v>
      </c>
      <c r="M2098" t="s">
        <v>64</v>
      </c>
      <c r="N2098" t="s">
        <v>26</v>
      </c>
    </row>
    <row r="2099" spans="1:14" x14ac:dyDescent="0.3">
      <c r="A2099">
        <v>2024003097</v>
      </c>
      <c r="B2099" s="1">
        <v>45481</v>
      </c>
      <c r="C2099" s="11">
        <f t="shared" si="96"/>
        <v>2024</v>
      </c>
      <c r="D2099" t="s">
        <v>321</v>
      </c>
      <c r="E2099" t="s">
        <v>34</v>
      </c>
      <c r="F2099" t="s">
        <v>35</v>
      </c>
      <c r="G2099" t="s">
        <v>36</v>
      </c>
      <c r="H2099">
        <v>1</v>
      </c>
      <c r="I2099" s="2">
        <v>15.93</v>
      </c>
      <c r="J2099" s="2">
        <v>15.93</v>
      </c>
      <c r="K2099" s="2">
        <f t="shared" si="97"/>
        <v>15.93</v>
      </c>
      <c r="L2099" s="2">
        <f t="shared" si="98"/>
        <v>0</v>
      </c>
      <c r="M2099" t="s">
        <v>55</v>
      </c>
      <c r="N2099" t="s">
        <v>21</v>
      </c>
    </row>
    <row r="2100" spans="1:14" x14ac:dyDescent="0.3">
      <c r="A2100">
        <v>2024003098</v>
      </c>
      <c r="B2100" s="1">
        <v>45609</v>
      </c>
      <c r="C2100" s="11">
        <f t="shared" si="96"/>
        <v>2024</v>
      </c>
      <c r="D2100" t="s">
        <v>260</v>
      </c>
      <c r="E2100" t="s">
        <v>18</v>
      </c>
      <c r="F2100" t="s">
        <v>19</v>
      </c>
      <c r="G2100" t="s">
        <v>14</v>
      </c>
      <c r="H2100">
        <v>1</v>
      </c>
      <c r="I2100" s="2">
        <v>616.1</v>
      </c>
      <c r="J2100" s="2">
        <v>616.1</v>
      </c>
      <c r="K2100" s="2">
        <f t="shared" si="97"/>
        <v>616.1</v>
      </c>
      <c r="L2100" s="2">
        <f t="shared" si="98"/>
        <v>0</v>
      </c>
      <c r="M2100" t="s">
        <v>48</v>
      </c>
      <c r="N2100" t="s">
        <v>16</v>
      </c>
    </row>
    <row r="2101" spans="1:14" x14ac:dyDescent="0.3">
      <c r="A2101">
        <v>2024003099</v>
      </c>
      <c r="B2101" s="1">
        <v>45357</v>
      </c>
      <c r="C2101" s="11">
        <f t="shared" si="96"/>
        <v>2024</v>
      </c>
      <c r="D2101" t="s">
        <v>186</v>
      </c>
      <c r="E2101" t="s">
        <v>43</v>
      </c>
      <c r="F2101" t="s">
        <v>44</v>
      </c>
      <c r="G2101" t="s">
        <v>36</v>
      </c>
      <c r="H2101">
        <v>1</v>
      </c>
      <c r="I2101" s="2">
        <v>1272.3</v>
      </c>
      <c r="J2101" s="2">
        <v>1272.3</v>
      </c>
      <c r="K2101" s="2">
        <f t="shared" si="97"/>
        <v>1272.3</v>
      </c>
      <c r="L2101" s="2">
        <f t="shared" si="98"/>
        <v>0</v>
      </c>
      <c r="M2101" t="s">
        <v>31</v>
      </c>
      <c r="N2101" t="s">
        <v>26</v>
      </c>
    </row>
    <row r="2102" spans="1:14" x14ac:dyDescent="0.3">
      <c r="A2102">
        <v>2024003100</v>
      </c>
      <c r="B2102" s="1">
        <v>45612</v>
      </c>
      <c r="C2102" s="11">
        <f t="shared" si="96"/>
        <v>2024</v>
      </c>
      <c r="D2102" t="s">
        <v>212</v>
      </c>
      <c r="E2102" t="s">
        <v>28</v>
      </c>
      <c r="F2102" t="s">
        <v>29</v>
      </c>
      <c r="G2102" t="s">
        <v>30</v>
      </c>
      <c r="H2102">
        <v>2</v>
      </c>
      <c r="I2102" s="2">
        <v>25.11</v>
      </c>
      <c r="J2102" s="2">
        <v>50.22</v>
      </c>
      <c r="K2102" s="2">
        <f t="shared" si="97"/>
        <v>50.22</v>
      </c>
      <c r="L2102" s="2">
        <f t="shared" si="98"/>
        <v>0</v>
      </c>
      <c r="M2102" t="s">
        <v>25</v>
      </c>
      <c r="N2102" t="s">
        <v>26</v>
      </c>
    </row>
    <row r="2103" spans="1:14" x14ac:dyDescent="0.3">
      <c r="A2103">
        <v>2024003101</v>
      </c>
      <c r="B2103" s="1">
        <v>45422</v>
      </c>
      <c r="C2103" s="11">
        <f t="shared" si="96"/>
        <v>2024</v>
      </c>
      <c r="D2103" t="s">
        <v>97</v>
      </c>
      <c r="E2103" t="s">
        <v>28</v>
      </c>
      <c r="F2103" t="s">
        <v>29</v>
      </c>
      <c r="G2103" t="s">
        <v>30</v>
      </c>
      <c r="H2103">
        <v>1</v>
      </c>
      <c r="I2103" s="2">
        <v>25.31</v>
      </c>
      <c r="J2103" s="2">
        <v>25.31</v>
      </c>
      <c r="K2103" s="2">
        <f t="shared" si="97"/>
        <v>25.31</v>
      </c>
      <c r="L2103" s="2">
        <f t="shared" si="98"/>
        <v>0</v>
      </c>
      <c r="M2103" t="s">
        <v>61</v>
      </c>
      <c r="N2103" t="s">
        <v>32</v>
      </c>
    </row>
    <row r="2104" spans="1:14" x14ac:dyDescent="0.3">
      <c r="A2104">
        <v>2024003102</v>
      </c>
      <c r="B2104" s="1">
        <v>45308</v>
      </c>
      <c r="C2104" s="11">
        <f t="shared" si="96"/>
        <v>2024</v>
      </c>
      <c r="D2104" t="s">
        <v>215</v>
      </c>
      <c r="E2104" t="s">
        <v>67</v>
      </c>
      <c r="F2104" t="s">
        <v>68</v>
      </c>
      <c r="G2104" t="s">
        <v>36</v>
      </c>
      <c r="H2104">
        <v>1</v>
      </c>
      <c r="I2104" s="2">
        <v>377.3</v>
      </c>
      <c r="J2104" s="2">
        <v>377.3</v>
      </c>
      <c r="K2104" s="2">
        <f t="shared" si="97"/>
        <v>377.3</v>
      </c>
      <c r="L2104" s="2">
        <f t="shared" si="98"/>
        <v>0</v>
      </c>
      <c r="M2104" t="s">
        <v>15</v>
      </c>
      <c r="N2104" t="s">
        <v>16</v>
      </c>
    </row>
    <row r="2105" spans="1:14" x14ac:dyDescent="0.3">
      <c r="A2105">
        <v>2024003103</v>
      </c>
      <c r="B2105" s="1">
        <v>45574</v>
      </c>
      <c r="C2105" s="11">
        <f t="shared" si="96"/>
        <v>2024</v>
      </c>
      <c r="D2105" t="s">
        <v>221</v>
      </c>
      <c r="E2105" t="s">
        <v>28</v>
      </c>
      <c r="F2105" t="s">
        <v>29</v>
      </c>
      <c r="G2105" t="s">
        <v>30</v>
      </c>
      <c r="H2105">
        <v>1</v>
      </c>
      <c r="I2105" s="2">
        <v>24.95</v>
      </c>
      <c r="J2105" s="2">
        <v>24.95</v>
      </c>
      <c r="K2105" s="2">
        <f t="shared" si="97"/>
        <v>24.95</v>
      </c>
      <c r="L2105" s="2">
        <f t="shared" si="98"/>
        <v>0</v>
      </c>
      <c r="M2105" t="s">
        <v>55</v>
      </c>
      <c r="N2105" t="s">
        <v>21</v>
      </c>
    </row>
    <row r="2106" spans="1:14" x14ac:dyDescent="0.3">
      <c r="A2106">
        <v>2024003104</v>
      </c>
      <c r="B2106" s="1">
        <v>45338</v>
      </c>
      <c r="C2106" s="11">
        <f t="shared" si="96"/>
        <v>2024</v>
      </c>
      <c r="D2106" t="s">
        <v>103</v>
      </c>
      <c r="E2106" t="s">
        <v>46</v>
      </c>
      <c r="F2106" t="s">
        <v>47</v>
      </c>
      <c r="G2106" t="s">
        <v>36</v>
      </c>
      <c r="H2106">
        <v>1</v>
      </c>
      <c r="I2106" s="2">
        <v>93.54</v>
      </c>
      <c r="J2106" s="2">
        <v>93.54</v>
      </c>
      <c r="K2106" s="2">
        <f t="shared" si="97"/>
        <v>93.54</v>
      </c>
      <c r="L2106" s="2">
        <f t="shared" si="98"/>
        <v>0</v>
      </c>
      <c r="M2106" t="s">
        <v>38</v>
      </c>
      <c r="N2106" t="s">
        <v>26</v>
      </c>
    </row>
    <row r="2107" spans="1:14" x14ac:dyDescent="0.3">
      <c r="A2107">
        <v>2024003105</v>
      </c>
      <c r="B2107" s="1">
        <v>45563</v>
      </c>
      <c r="C2107" s="11">
        <f t="shared" si="96"/>
        <v>2024</v>
      </c>
      <c r="D2107" t="s">
        <v>204</v>
      </c>
      <c r="E2107" t="s">
        <v>67</v>
      </c>
      <c r="F2107" t="s">
        <v>68</v>
      </c>
      <c r="G2107" t="s">
        <v>36</v>
      </c>
      <c r="H2107">
        <v>3</v>
      </c>
      <c r="I2107" s="2">
        <v>442.75</v>
      </c>
      <c r="J2107" s="2">
        <v>1328.25</v>
      </c>
      <c r="K2107" s="2">
        <f t="shared" si="97"/>
        <v>1328.25</v>
      </c>
      <c r="L2107" s="2">
        <f t="shared" si="98"/>
        <v>0</v>
      </c>
      <c r="M2107" t="s">
        <v>48</v>
      </c>
      <c r="N2107" t="s">
        <v>16</v>
      </c>
    </row>
    <row r="2108" spans="1:14" x14ac:dyDescent="0.3">
      <c r="A2108">
        <v>2024003106</v>
      </c>
      <c r="B2108" s="1">
        <v>45329</v>
      </c>
      <c r="C2108" s="11">
        <f t="shared" si="96"/>
        <v>2024</v>
      </c>
      <c r="D2108" t="s">
        <v>252</v>
      </c>
      <c r="E2108" t="s">
        <v>23</v>
      </c>
      <c r="F2108" t="s">
        <v>24</v>
      </c>
      <c r="G2108" t="s">
        <v>14</v>
      </c>
      <c r="H2108">
        <v>5</v>
      </c>
      <c r="I2108" s="2">
        <v>85.01</v>
      </c>
      <c r="J2108" s="2">
        <v>425.05</v>
      </c>
      <c r="K2108" s="2">
        <f t="shared" si="97"/>
        <v>425.05</v>
      </c>
      <c r="L2108" s="2">
        <f t="shared" si="98"/>
        <v>0</v>
      </c>
      <c r="M2108" t="s">
        <v>57</v>
      </c>
      <c r="N2108" t="s">
        <v>16</v>
      </c>
    </row>
    <row r="2109" spans="1:14" x14ac:dyDescent="0.3">
      <c r="A2109">
        <v>2024003107</v>
      </c>
      <c r="B2109" s="1">
        <v>45346</v>
      </c>
      <c r="C2109" s="11">
        <f t="shared" si="96"/>
        <v>2024</v>
      </c>
      <c r="D2109" t="s">
        <v>149</v>
      </c>
      <c r="E2109" t="s">
        <v>43</v>
      </c>
      <c r="F2109" t="s">
        <v>44</v>
      </c>
      <c r="G2109" t="s">
        <v>36</v>
      </c>
      <c r="H2109">
        <v>1</v>
      </c>
      <c r="I2109" s="2">
        <v>1268.19</v>
      </c>
      <c r="J2109" s="2">
        <v>1268.19</v>
      </c>
      <c r="K2109" s="2">
        <f t="shared" si="97"/>
        <v>1268.19</v>
      </c>
      <c r="L2109" s="2">
        <f t="shared" si="98"/>
        <v>0</v>
      </c>
      <c r="M2109" t="s">
        <v>38</v>
      </c>
      <c r="N2109" t="s">
        <v>26</v>
      </c>
    </row>
    <row r="2110" spans="1:14" x14ac:dyDescent="0.3">
      <c r="A2110">
        <v>2024003108</v>
      </c>
      <c r="B2110" s="1">
        <v>45505</v>
      </c>
      <c r="C2110" s="11">
        <f t="shared" si="96"/>
        <v>2024</v>
      </c>
      <c r="D2110" t="s">
        <v>141</v>
      </c>
      <c r="E2110" t="s">
        <v>18</v>
      </c>
      <c r="F2110" t="s">
        <v>19</v>
      </c>
      <c r="G2110" t="s">
        <v>14</v>
      </c>
      <c r="H2110">
        <v>1</v>
      </c>
      <c r="I2110" s="2">
        <v>605.71</v>
      </c>
      <c r="J2110" s="2">
        <v>605.71</v>
      </c>
      <c r="K2110" s="2">
        <f t="shared" si="97"/>
        <v>605.71</v>
      </c>
      <c r="L2110" s="2">
        <f t="shared" si="98"/>
        <v>0</v>
      </c>
      <c r="M2110" t="s">
        <v>15</v>
      </c>
      <c r="N2110" t="s">
        <v>26</v>
      </c>
    </row>
    <row r="2111" spans="1:14" x14ac:dyDescent="0.3">
      <c r="A2111">
        <v>2024003109</v>
      </c>
      <c r="B2111" s="1">
        <v>45410</v>
      </c>
      <c r="C2111" s="11">
        <f t="shared" si="96"/>
        <v>2024</v>
      </c>
      <c r="D2111" t="s">
        <v>11</v>
      </c>
      <c r="E2111" t="s">
        <v>12</v>
      </c>
      <c r="F2111" t="s">
        <v>13</v>
      </c>
      <c r="G2111" t="s">
        <v>14</v>
      </c>
      <c r="H2111">
        <v>1</v>
      </c>
      <c r="I2111" s="2">
        <v>343.36</v>
      </c>
      <c r="J2111" s="2">
        <v>343.36</v>
      </c>
      <c r="K2111" s="2">
        <f t="shared" si="97"/>
        <v>343.36</v>
      </c>
      <c r="L2111" s="2">
        <f t="shared" si="98"/>
        <v>0</v>
      </c>
      <c r="M2111" t="s">
        <v>25</v>
      </c>
      <c r="N2111" t="s">
        <v>21</v>
      </c>
    </row>
    <row r="2112" spans="1:14" x14ac:dyDescent="0.3">
      <c r="A2112">
        <v>2024003110</v>
      </c>
      <c r="B2112" s="1">
        <v>45476</v>
      </c>
      <c r="C2112" s="11">
        <f t="shared" si="96"/>
        <v>2024</v>
      </c>
      <c r="D2112" t="s">
        <v>287</v>
      </c>
      <c r="E2112" t="s">
        <v>43</v>
      </c>
      <c r="F2112" t="s">
        <v>44</v>
      </c>
      <c r="G2112" t="s">
        <v>36</v>
      </c>
      <c r="H2112">
        <v>1</v>
      </c>
      <c r="I2112" s="2">
        <v>1248.47</v>
      </c>
      <c r="J2112" s="2">
        <v>1248.47</v>
      </c>
      <c r="K2112" s="2">
        <f t="shared" si="97"/>
        <v>1248.47</v>
      </c>
      <c r="L2112" s="2">
        <f t="shared" si="98"/>
        <v>0</v>
      </c>
      <c r="M2112" t="s">
        <v>20</v>
      </c>
      <c r="N2112" t="s">
        <v>32</v>
      </c>
    </row>
    <row r="2113" spans="1:14" x14ac:dyDescent="0.3">
      <c r="A2113">
        <v>2024003111</v>
      </c>
      <c r="B2113" s="1">
        <v>45528</v>
      </c>
      <c r="C2113" s="11">
        <f t="shared" si="96"/>
        <v>2024</v>
      </c>
      <c r="D2113" t="s">
        <v>190</v>
      </c>
      <c r="E2113" t="s">
        <v>18</v>
      </c>
      <c r="F2113" t="s">
        <v>19</v>
      </c>
      <c r="G2113" t="s">
        <v>14</v>
      </c>
      <c r="H2113">
        <v>3</v>
      </c>
      <c r="I2113" s="2">
        <v>598.83000000000004</v>
      </c>
      <c r="J2113" s="2">
        <v>1796.49</v>
      </c>
      <c r="K2113" s="2">
        <f t="shared" si="97"/>
        <v>1796.4900000000002</v>
      </c>
      <c r="L2113" s="2">
        <f t="shared" si="98"/>
        <v>0</v>
      </c>
      <c r="M2113" t="s">
        <v>20</v>
      </c>
      <c r="N2113" t="s">
        <v>26</v>
      </c>
    </row>
    <row r="2114" spans="1:14" x14ac:dyDescent="0.3">
      <c r="A2114">
        <v>2024003112</v>
      </c>
      <c r="B2114" s="1">
        <v>45538</v>
      </c>
      <c r="C2114" s="11">
        <f t="shared" si="96"/>
        <v>2024</v>
      </c>
      <c r="D2114" t="s">
        <v>63</v>
      </c>
      <c r="E2114" t="s">
        <v>40</v>
      </c>
      <c r="F2114" t="s">
        <v>41</v>
      </c>
      <c r="G2114" t="s">
        <v>36</v>
      </c>
      <c r="H2114">
        <v>3</v>
      </c>
      <c r="I2114" s="2">
        <v>46.65</v>
      </c>
      <c r="J2114" s="2">
        <v>139.94999999999999</v>
      </c>
      <c r="K2114" s="2">
        <f t="shared" si="97"/>
        <v>139.94999999999999</v>
      </c>
      <c r="L2114" s="2">
        <f t="shared" si="98"/>
        <v>0</v>
      </c>
      <c r="M2114" t="s">
        <v>15</v>
      </c>
      <c r="N2114" t="s">
        <v>16</v>
      </c>
    </row>
    <row r="2115" spans="1:14" x14ac:dyDescent="0.3">
      <c r="A2115">
        <v>2024002545</v>
      </c>
      <c r="B2115" s="1">
        <v>45294</v>
      </c>
      <c r="C2115" s="11">
        <f t="shared" ref="C2115:C2178" si="99">YEAR(B2115)</f>
        <v>2024</v>
      </c>
      <c r="D2115" t="s">
        <v>331</v>
      </c>
      <c r="E2115" t="s">
        <v>23</v>
      </c>
      <c r="F2115" t="s">
        <v>24</v>
      </c>
      <c r="G2115" t="s">
        <v>14</v>
      </c>
      <c r="H2115">
        <v>2</v>
      </c>
      <c r="I2115" s="2">
        <v>83.72</v>
      </c>
      <c r="J2115" s="2">
        <v>167.44</v>
      </c>
      <c r="K2115" s="2">
        <f t="shared" ref="K2115:K2178" si="100">I2115*H2115</f>
        <v>167.44</v>
      </c>
      <c r="L2115" s="2">
        <f t="shared" ref="L2115:L2178" si="101">J2115-K2115</f>
        <v>0</v>
      </c>
      <c r="M2115" t="s">
        <v>55</v>
      </c>
      <c r="N2115" t="s">
        <v>16</v>
      </c>
    </row>
    <row r="2116" spans="1:14" x14ac:dyDescent="0.3">
      <c r="A2116">
        <v>2024003114</v>
      </c>
      <c r="B2116" s="1">
        <v>45466</v>
      </c>
      <c r="C2116" s="11">
        <f t="shared" si="99"/>
        <v>2024</v>
      </c>
      <c r="D2116" t="s">
        <v>114</v>
      </c>
      <c r="E2116" t="s">
        <v>28</v>
      </c>
      <c r="F2116" t="s">
        <v>29</v>
      </c>
      <c r="G2116" t="s">
        <v>30</v>
      </c>
      <c r="H2116">
        <v>1</v>
      </c>
      <c r="I2116" s="2">
        <v>24.84</v>
      </c>
      <c r="J2116" s="2">
        <v>24.84</v>
      </c>
      <c r="K2116" s="2">
        <f t="shared" si="100"/>
        <v>24.84</v>
      </c>
      <c r="L2116" s="2">
        <f t="shared" si="101"/>
        <v>0</v>
      </c>
      <c r="M2116" t="s">
        <v>61</v>
      </c>
      <c r="N2116" t="s">
        <v>16</v>
      </c>
    </row>
    <row r="2117" spans="1:14" x14ac:dyDescent="0.3">
      <c r="A2117">
        <v>2024003115</v>
      </c>
      <c r="B2117" s="1">
        <v>45475</v>
      </c>
      <c r="C2117" s="11">
        <f t="shared" si="99"/>
        <v>2024</v>
      </c>
      <c r="D2117" t="s">
        <v>212</v>
      </c>
      <c r="E2117" t="s">
        <v>43</v>
      </c>
      <c r="F2117" t="s">
        <v>44</v>
      </c>
      <c r="G2117" t="s">
        <v>36</v>
      </c>
      <c r="H2117">
        <v>1</v>
      </c>
      <c r="I2117" s="2">
        <v>1123.79</v>
      </c>
      <c r="J2117" s="2">
        <v>1123.79</v>
      </c>
      <c r="K2117" s="2">
        <f t="shared" si="100"/>
        <v>1123.79</v>
      </c>
      <c r="L2117" s="2">
        <f t="shared" si="101"/>
        <v>0</v>
      </c>
      <c r="M2117" t="s">
        <v>20</v>
      </c>
      <c r="N2117" t="s">
        <v>32</v>
      </c>
    </row>
    <row r="2118" spans="1:14" x14ac:dyDescent="0.3">
      <c r="A2118">
        <v>2024003116</v>
      </c>
      <c r="B2118" s="1">
        <v>45587</v>
      </c>
      <c r="C2118" s="11">
        <f t="shared" si="99"/>
        <v>2024</v>
      </c>
      <c r="D2118" t="s">
        <v>11</v>
      </c>
      <c r="E2118" t="s">
        <v>43</v>
      </c>
      <c r="F2118" t="s">
        <v>44</v>
      </c>
      <c r="G2118" t="s">
        <v>36</v>
      </c>
      <c r="H2118">
        <v>3</v>
      </c>
      <c r="I2118" s="2">
        <v>1125.97</v>
      </c>
      <c r="J2118" s="2">
        <v>3377.91</v>
      </c>
      <c r="K2118" s="2">
        <f t="shared" si="100"/>
        <v>3377.91</v>
      </c>
      <c r="L2118" s="2">
        <f t="shared" si="101"/>
        <v>0</v>
      </c>
      <c r="M2118" t="s">
        <v>57</v>
      </c>
      <c r="N2118" t="s">
        <v>32</v>
      </c>
    </row>
    <row r="2119" spans="1:14" x14ac:dyDescent="0.3">
      <c r="A2119">
        <v>2024003117</v>
      </c>
      <c r="B2119" s="1">
        <v>45636</v>
      </c>
      <c r="C2119" s="11">
        <f t="shared" si="99"/>
        <v>2024</v>
      </c>
      <c r="D2119" t="s">
        <v>256</v>
      </c>
      <c r="E2119" t="s">
        <v>12</v>
      </c>
      <c r="F2119" t="s">
        <v>13</v>
      </c>
      <c r="G2119" t="s">
        <v>14</v>
      </c>
      <c r="H2119">
        <v>3</v>
      </c>
      <c r="I2119" s="2">
        <v>338.47</v>
      </c>
      <c r="J2119" s="2">
        <v>1015.41</v>
      </c>
      <c r="K2119" s="2">
        <f t="shared" si="100"/>
        <v>1015.4100000000001</v>
      </c>
      <c r="L2119" s="2">
        <f t="shared" si="101"/>
        <v>0</v>
      </c>
      <c r="M2119" t="s">
        <v>64</v>
      </c>
      <c r="N2119" t="s">
        <v>26</v>
      </c>
    </row>
    <row r="2120" spans="1:14" x14ac:dyDescent="0.3">
      <c r="A2120">
        <v>2024003118</v>
      </c>
      <c r="B2120" s="1">
        <v>45308</v>
      </c>
      <c r="C2120" s="11">
        <f t="shared" si="99"/>
        <v>2024</v>
      </c>
      <c r="D2120" t="s">
        <v>156</v>
      </c>
      <c r="E2120" t="s">
        <v>46</v>
      </c>
      <c r="F2120" t="s">
        <v>47</v>
      </c>
      <c r="G2120" t="s">
        <v>36</v>
      </c>
      <c r="H2120">
        <v>4</v>
      </c>
      <c r="I2120" s="2">
        <v>91.26</v>
      </c>
      <c r="J2120" s="2">
        <v>365.04</v>
      </c>
      <c r="K2120" s="2">
        <f t="shared" si="100"/>
        <v>365.04</v>
      </c>
      <c r="L2120" s="2">
        <f t="shared" si="101"/>
        <v>0</v>
      </c>
      <c r="M2120" t="s">
        <v>48</v>
      </c>
      <c r="N2120" t="s">
        <v>32</v>
      </c>
    </row>
    <row r="2121" spans="1:14" x14ac:dyDescent="0.3">
      <c r="A2121">
        <v>2024003119</v>
      </c>
      <c r="B2121" s="1">
        <v>45418</v>
      </c>
      <c r="C2121" s="11">
        <f t="shared" si="99"/>
        <v>2024</v>
      </c>
      <c r="D2121" t="s">
        <v>112</v>
      </c>
      <c r="E2121" t="s">
        <v>43</v>
      </c>
      <c r="F2121" t="s">
        <v>44</v>
      </c>
      <c r="G2121" t="s">
        <v>36</v>
      </c>
      <c r="H2121">
        <v>1</v>
      </c>
      <c r="I2121" s="2">
        <v>1160.8399999999999</v>
      </c>
      <c r="J2121" s="2">
        <v>1160.8399999999999</v>
      </c>
      <c r="K2121" s="2">
        <f t="shared" si="100"/>
        <v>1160.8399999999999</v>
      </c>
      <c r="L2121" s="2">
        <f t="shared" si="101"/>
        <v>0</v>
      </c>
      <c r="M2121" t="s">
        <v>61</v>
      </c>
      <c r="N2121" t="s">
        <v>21</v>
      </c>
    </row>
    <row r="2122" spans="1:14" x14ac:dyDescent="0.3">
      <c r="A2122">
        <v>2024003120</v>
      </c>
      <c r="B2122" s="1">
        <v>45523</v>
      </c>
      <c r="C2122" s="11">
        <f t="shared" si="99"/>
        <v>2024</v>
      </c>
      <c r="D2122" t="s">
        <v>75</v>
      </c>
      <c r="E2122" t="s">
        <v>43</v>
      </c>
      <c r="F2122" t="s">
        <v>44</v>
      </c>
      <c r="G2122" t="s">
        <v>36</v>
      </c>
      <c r="H2122">
        <v>1</v>
      </c>
      <c r="I2122" s="2">
        <v>1134.97</v>
      </c>
      <c r="J2122" s="2">
        <v>1134.97</v>
      </c>
      <c r="K2122" s="2">
        <f t="shared" si="100"/>
        <v>1134.97</v>
      </c>
      <c r="L2122" s="2">
        <f t="shared" si="101"/>
        <v>0</v>
      </c>
      <c r="M2122" t="s">
        <v>64</v>
      </c>
      <c r="N2122" t="s">
        <v>16</v>
      </c>
    </row>
    <row r="2123" spans="1:14" x14ac:dyDescent="0.3">
      <c r="A2123">
        <v>2024003121</v>
      </c>
      <c r="B2123" s="1">
        <v>45295</v>
      </c>
      <c r="C2123" s="11">
        <f t="shared" si="99"/>
        <v>2024</v>
      </c>
      <c r="D2123" t="s">
        <v>11</v>
      </c>
      <c r="E2123" t="s">
        <v>53</v>
      </c>
      <c r="F2123" t="s">
        <v>54</v>
      </c>
      <c r="G2123" t="s">
        <v>36</v>
      </c>
      <c r="H2123">
        <v>1</v>
      </c>
      <c r="I2123" s="2">
        <v>127.1</v>
      </c>
      <c r="J2123" s="2">
        <v>127.1</v>
      </c>
      <c r="K2123" s="2">
        <f t="shared" si="100"/>
        <v>127.1</v>
      </c>
      <c r="L2123" s="2">
        <f t="shared" si="101"/>
        <v>0</v>
      </c>
      <c r="M2123" t="s">
        <v>48</v>
      </c>
      <c r="N2123" t="s">
        <v>32</v>
      </c>
    </row>
    <row r="2124" spans="1:14" x14ac:dyDescent="0.3">
      <c r="A2124">
        <v>2024003122</v>
      </c>
      <c r="B2124" s="1">
        <v>45500</v>
      </c>
      <c r="C2124" s="11">
        <f t="shared" si="99"/>
        <v>2024</v>
      </c>
      <c r="D2124" t="s">
        <v>11</v>
      </c>
      <c r="E2124" t="s">
        <v>18</v>
      </c>
      <c r="F2124" t="s">
        <v>19</v>
      </c>
      <c r="G2124" t="s">
        <v>14</v>
      </c>
      <c r="H2124">
        <v>1</v>
      </c>
      <c r="I2124" s="2">
        <v>648.5</v>
      </c>
      <c r="J2124" s="2">
        <v>648.5</v>
      </c>
      <c r="K2124" s="2">
        <f t="shared" si="100"/>
        <v>648.5</v>
      </c>
      <c r="L2124" s="2">
        <f t="shared" si="101"/>
        <v>0</v>
      </c>
      <c r="M2124" t="s">
        <v>61</v>
      </c>
      <c r="N2124" t="s">
        <v>26</v>
      </c>
    </row>
    <row r="2125" spans="1:14" x14ac:dyDescent="0.3">
      <c r="A2125">
        <v>2024003123</v>
      </c>
      <c r="B2125" s="1">
        <v>45301</v>
      </c>
      <c r="C2125" s="11">
        <f t="shared" si="99"/>
        <v>2024</v>
      </c>
      <c r="D2125" t="s">
        <v>301</v>
      </c>
      <c r="E2125" t="s">
        <v>67</v>
      </c>
      <c r="F2125" t="s">
        <v>68</v>
      </c>
      <c r="G2125" t="s">
        <v>36</v>
      </c>
      <c r="H2125">
        <v>1</v>
      </c>
      <c r="I2125" s="2">
        <v>391.5</v>
      </c>
      <c r="J2125" s="2">
        <v>391.5</v>
      </c>
      <c r="K2125" s="2">
        <f t="shared" si="100"/>
        <v>391.5</v>
      </c>
      <c r="L2125" s="2">
        <f t="shared" si="101"/>
        <v>0</v>
      </c>
      <c r="M2125" t="s">
        <v>48</v>
      </c>
      <c r="N2125" t="s">
        <v>26</v>
      </c>
    </row>
    <row r="2126" spans="1:14" x14ac:dyDescent="0.3">
      <c r="A2126">
        <v>2024003124</v>
      </c>
      <c r="B2126" s="1">
        <v>45386</v>
      </c>
      <c r="C2126" s="11">
        <f t="shared" si="99"/>
        <v>2024</v>
      </c>
      <c r="D2126" t="s">
        <v>319</v>
      </c>
      <c r="E2126" t="s">
        <v>67</v>
      </c>
      <c r="F2126" t="s">
        <v>68</v>
      </c>
      <c r="G2126" t="s">
        <v>36</v>
      </c>
      <c r="H2126">
        <v>1</v>
      </c>
      <c r="I2126" s="2">
        <v>412.51</v>
      </c>
      <c r="J2126" s="2">
        <v>412.51</v>
      </c>
      <c r="K2126" s="2">
        <f t="shared" si="100"/>
        <v>412.51</v>
      </c>
      <c r="L2126" s="2">
        <f t="shared" si="101"/>
        <v>0</v>
      </c>
      <c r="M2126" t="s">
        <v>20</v>
      </c>
      <c r="N2126" t="s">
        <v>21</v>
      </c>
    </row>
    <row r="2127" spans="1:14" x14ac:dyDescent="0.3">
      <c r="A2127">
        <v>2024003125</v>
      </c>
      <c r="B2127" s="1">
        <v>45342</v>
      </c>
      <c r="C2127" s="11">
        <f t="shared" si="99"/>
        <v>2024</v>
      </c>
      <c r="D2127" t="s">
        <v>206</v>
      </c>
      <c r="E2127" t="s">
        <v>34</v>
      </c>
      <c r="F2127" t="s">
        <v>35</v>
      </c>
      <c r="G2127" t="s">
        <v>36</v>
      </c>
      <c r="H2127">
        <v>1</v>
      </c>
      <c r="I2127" s="2">
        <v>16.11</v>
      </c>
      <c r="J2127" s="2">
        <v>16.11</v>
      </c>
      <c r="K2127" s="2">
        <f t="shared" si="100"/>
        <v>16.11</v>
      </c>
      <c r="L2127" s="2">
        <f t="shared" si="101"/>
        <v>0</v>
      </c>
      <c r="M2127" t="s">
        <v>64</v>
      </c>
      <c r="N2127" t="s">
        <v>32</v>
      </c>
    </row>
    <row r="2128" spans="1:14" x14ac:dyDescent="0.3">
      <c r="A2128">
        <v>2024003126</v>
      </c>
      <c r="B2128" s="1">
        <v>45458</v>
      </c>
      <c r="C2128" s="11">
        <f t="shared" si="99"/>
        <v>2024</v>
      </c>
      <c r="D2128" t="s">
        <v>130</v>
      </c>
      <c r="E2128" t="s">
        <v>12</v>
      </c>
      <c r="F2128" t="s">
        <v>13</v>
      </c>
      <c r="G2128" t="s">
        <v>14</v>
      </c>
      <c r="H2128">
        <v>2</v>
      </c>
      <c r="I2128" s="2">
        <v>338.48</v>
      </c>
      <c r="J2128" s="2">
        <v>676.96</v>
      </c>
      <c r="K2128" s="2">
        <f t="shared" si="100"/>
        <v>676.96</v>
      </c>
      <c r="L2128" s="2">
        <f t="shared" si="101"/>
        <v>0</v>
      </c>
      <c r="M2128" t="s">
        <v>57</v>
      </c>
      <c r="N2128" t="s">
        <v>26</v>
      </c>
    </row>
    <row r="2129" spans="1:14" x14ac:dyDescent="0.3">
      <c r="A2129">
        <v>2024003127</v>
      </c>
      <c r="B2129" s="1">
        <v>45493</v>
      </c>
      <c r="C2129" s="11">
        <f t="shared" si="99"/>
        <v>2024</v>
      </c>
      <c r="D2129" t="s">
        <v>155</v>
      </c>
      <c r="E2129" t="s">
        <v>18</v>
      </c>
      <c r="F2129" t="s">
        <v>19</v>
      </c>
      <c r="G2129" t="s">
        <v>14</v>
      </c>
      <c r="H2129">
        <v>3</v>
      </c>
      <c r="I2129" s="2">
        <v>634.37</v>
      </c>
      <c r="J2129" s="2">
        <v>1903.11</v>
      </c>
      <c r="K2129" s="2">
        <f t="shared" si="100"/>
        <v>1903.1100000000001</v>
      </c>
      <c r="L2129" s="2">
        <f t="shared" si="101"/>
        <v>0</v>
      </c>
      <c r="M2129" t="s">
        <v>31</v>
      </c>
      <c r="N2129" t="s">
        <v>21</v>
      </c>
    </row>
    <row r="2130" spans="1:14" x14ac:dyDescent="0.3">
      <c r="A2130">
        <v>2024003128</v>
      </c>
      <c r="B2130" s="1">
        <v>45509</v>
      </c>
      <c r="C2130" s="11">
        <f t="shared" si="99"/>
        <v>2024</v>
      </c>
      <c r="D2130" t="s">
        <v>11</v>
      </c>
      <c r="E2130" t="s">
        <v>43</v>
      </c>
      <c r="F2130" t="s">
        <v>44</v>
      </c>
      <c r="G2130" t="s">
        <v>36</v>
      </c>
      <c r="H2130">
        <v>1</v>
      </c>
      <c r="I2130" s="2">
        <v>1234.44</v>
      </c>
      <c r="J2130" s="2">
        <v>1234.44</v>
      </c>
      <c r="K2130" s="2">
        <f t="shared" si="100"/>
        <v>1234.44</v>
      </c>
      <c r="L2130" s="2">
        <f t="shared" si="101"/>
        <v>0</v>
      </c>
      <c r="M2130" t="s">
        <v>25</v>
      </c>
      <c r="N2130" t="s">
        <v>32</v>
      </c>
    </row>
    <row r="2131" spans="1:14" x14ac:dyDescent="0.3">
      <c r="A2131">
        <v>2024003129</v>
      </c>
      <c r="B2131" s="1">
        <v>45638</v>
      </c>
      <c r="C2131" s="11">
        <f t="shared" si="99"/>
        <v>2024</v>
      </c>
      <c r="D2131" t="s">
        <v>181</v>
      </c>
      <c r="E2131" t="s">
        <v>67</v>
      </c>
      <c r="F2131" t="s">
        <v>68</v>
      </c>
      <c r="G2131" t="s">
        <v>36</v>
      </c>
      <c r="H2131">
        <v>4</v>
      </c>
      <c r="I2131" s="2">
        <v>398.25</v>
      </c>
      <c r="J2131" s="2">
        <v>1593</v>
      </c>
      <c r="K2131" s="2">
        <f t="shared" si="100"/>
        <v>1593</v>
      </c>
      <c r="L2131" s="2">
        <f t="shared" si="101"/>
        <v>0</v>
      </c>
      <c r="M2131" t="s">
        <v>55</v>
      </c>
      <c r="N2131" t="s">
        <v>21</v>
      </c>
    </row>
    <row r="2132" spans="1:14" x14ac:dyDescent="0.3">
      <c r="A2132">
        <v>2024003130</v>
      </c>
      <c r="B2132" s="1">
        <v>45375</v>
      </c>
      <c r="C2132" s="11">
        <f t="shared" si="99"/>
        <v>2024</v>
      </c>
      <c r="D2132" t="s">
        <v>87</v>
      </c>
      <c r="E2132" t="s">
        <v>28</v>
      </c>
      <c r="F2132" t="s">
        <v>29</v>
      </c>
      <c r="G2132" t="s">
        <v>30</v>
      </c>
      <c r="H2132">
        <v>1</v>
      </c>
      <c r="I2132" s="2">
        <v>25.15</v>
      </c>
      <c r="J2132" s="2">
        <v>25.15</v>
      </c>
      <c r="K2132" s="2">
        <f t="shared" si="100"/>
        <v>25.15</v>
      </c>
      <c r="L2132" s="2">
        <f t="shared" si="101"/>
        <v>0</v>
      </c>
      <c r="M2132" t="s">
        <v>25</v>
      </c>
      <c r="N2132" t="s">
        <v>32</v>
      </c>
    </row>
    <row r="2133" spans="1:14" x14ac:dyDescent="0.3">
      <c r="A2133">
        <v>2024003131</v>
      </c>
      <c r="B2133" s="1">
        <v>45370</v>
      </c>
      <c r="C2133" s="11">
        <f t="shared" si="99"/>
        <v>2024</v>
      </c>
      <c r="D2133" t="s">
        <v>212</v>
      </c>
      <c r="E2133" t="s">
        <v>53</v>
      </c>
      <c r="F2133" t="s">
        <v>54</v>
      </c>
      <c r="G2133" t="s">
        <v>36</v>
      </c>
      <c r="H2133">
        <v>1</v>
      </c>
      <c r="I2133" s="2">
        <v>120.63</v>
      </c>
      <c r="J2133" s="2">
        <v>120.63</v>
      </c>
      <c r="K2133" s="2">
        <f t="shared" si="100"/>
        <v>120.63</v>
      </c>
      <c r="L2133" s="2">
        <f t="shared" si="101"/>
        <v>0</v>
      </c>
      <c r="M2133" t="s">
        <v>25</v>
      </c>
      <c r="N2133" t="s">
        <v>21</v>
      </c>
    </row>
    <row r="2134" spans="1:14" x14ac:dyDescent="0.3">
      <c r="A2134">
        <v>2024003132</v>
      </c>
      <c r="B2134" s="1">
        <v>45373</v>
      </c>
      <c r="C2134" s="11">
        <f t="shared" si="99"/>
        <v>2024</v>
      </c>
      <c r="D2134" t="s">
        <v>307</v>
      </c>
      <c r="E2134" t="s">
        <v>23</v>
      </c>
      <c r="F2134" t="s">
        <v>24</v>
      </c>
      <c r="G2134" t="s">
        <v>14</v>
      </c>
      <c r="H2134">
        <v>4</v>
      </c>
      <c r="I2134" s="2">
        <v>81.040000000000006</v>
      </c>
      <c r="J2134" s="2">
        <v>324.16000000000003</v>
      </c>
      <c r="K2134" s="2">
        <f t="shared" si="100"/>
        <v>324.16000000000003</v>
      </c>
      <c r="L2134" s="2">
        <f t="shared" si="101"/>
        <v>0</v>
      </c>
      <c r="M2134" t="s">
        <v>20</v>
      </c>
      <c r="N2134" t="s">
        <v>32</v>
      </c>
    </row>
    <row r="2135" spans="1:14" x14ac:dyDescent="0.3">
      <c r="A2135">
        <v>2024003133</v>
      </c>
      <c r="B2135" s="1">
        <v>45611</v>
      </c>
      <c r="C2135" s="11">
        <f t="shared" si="99"/>
        <v>2024</v>
      </c>
      <c r="D2135" t="s">
        <v>270</v>
      </c>
      <c r="E2135" t="s">
        <v>34</v>
      </c>
      <c r="F2135" t="s">
        <v>35</v>
      </c>
      <c r="G2135" t="s">
        <v>36</v>
      </c>
      <c r="H2135">
        <v>1</v>
      </c>
      <c r="I2135" s="2">
        <v>14.2</v>
      </c>
      <c r="J2135" s="2">
        <v>14.2</v>
      </c>
      <c r="K2135" s="2">
        <f t="shared" si="100"/>
        <v>14.2</v>
      </c>
      <c r="L2135" s="2">
        <f t="shared" si="101"/>
        <v>0</v>
      </c>
      <c r="M2135" t="s">
        <v>55</v>
      </c>
      <c r="N2135" t="s">
        <v>16</v>
      </c>
    </row>
    <row r="2136" spans="1:14" x14ac:dyDescent="0.3">
      <c r="A2136">
        <v>2024003134</v>
      </c>
      <c r="B2136" s="1">
        <v>45512</v>
      </c>
      <c r="C2136" s="11">
        <f t="shared" si="99"/>
        <v>2024</v>
      </c>
      <c r="D2136" t="s">
        <v>290</v>
      </c>
      <c r="E2136" t="s">
        <v>12</v>
      </c>
      <c r="F2136" t="s">
        <v>13</v>
      </c>
      <c r="G2136" t="s">
        <v>14</v>
      </c>
      <c r="H2136">
        <v>1</v>
      </c>
      <c r="I2136" s="2">
        <v>365.87</v>
      </c>
      <c r="J2136" s="2">
        <v>365.87</v>
      </c>
      <c r="K2136" s="2">
        <f t="shared" si="100"/>
        <v>365.87</v>
      </c>
      <c r="L2136" s="2">
        <f t="shared" si="101"/>
        <v>0</v>
      </c>
      <c r="M2136" t="s">
        <v>20</v>
      </c>
      <c r="N2136" t="s">
        <v>21</v>
      </c>
    </row>
    <row r="2137" spans="1:14" x14ac:dyDescent="0.3">
      <c r="A2137">
        <v>2024003135</v>
      </c>
      <c r="B2137" s="1">
        <v>45517</v>
      </c>
      <c r="C2137" s="11">
        <f t="shared" si="99"/>
        <v>2024</v>
      </c>
      <c r="D2137" t="s">
        <v>293</v>
      </c>
      <c r="E2137" t="s">
        <v>28</v>
      </c>
      <c r="F2137" t="s">
        <v>29</v>
      </c>
      <c r="G2137" t="s">
        <v>30</v>
      </c>
      <c r="H2137">
        <v>1</v>
      </c>
      <c r="I2137" s="2">
        <v>25.65</v>
      </c>
      <c r="J2137" s="2">
        <v>25.65</v>
      </c>
      <c r="K2137" s="2">
        <f t="shared" si="100"/>
        <v>25.65</v>
      </c>
      <c r="L2137" s="2">
        <f t="shared" si="101"/>
        <v>0</v>
      </c>
      <c r="M2137" t="s">
        <v>15</v>
      </c>
      <c r="N2137" t="s">
        <v>21</v>
      </c>
    </row>
    <row r="2138" spans="1:14" x14ac:dyDescent="0.3">
      <c r="A2138">
        <v>2024003136</v>
      </c>
      <c r="B2138" s="1">
        <v>45452</v>
      </c>
      <c r="C2138" s="11">
        <f t="shared" si="99"/>
        <v>2024</v>
      </c>
      <c r="D2138" t="s">
        <v>223</v>
      </c>
      <c r="E2138" t="s">
        <v>40</v>
      </c>
      <c r="F2138" t="s">
        <v>41</v>
      </c>
      <c r="G2138" t="s">
        <v>36</v>
      </c>
      <c r="H2138">
        <v>3</v>
      </c>
      <c r="I2138" s="2">
        <v>45.94</v>
      </c>
      <c r="J2138" s="2">
        <v>137.82</v>
      </c>
      <c r="K2138" s="2">
        <f t="shared" si="100"/>
        <v>137.82</v>
      </c>
      <c r="L2138" s="2">
        <f t="shared" si="101"/>
        <v>0</v>
      </c>
      <c r="M2138" t="s">
        <v>48</v>
      </c>
      <c r="N2138" t="s">
        <v>32</v>
      </c>
    </row>
    <row r="2139" spans="1:14" x14ac:dyDescent="0.3">
      <c r="A2139">
        <v>2024003137</v>
      </c>
      <c r="B2139" s="1">
        <v>45533</v>
      </c>
      <c r="C2139" s="11">
        <f t="shared" si="99"/>
        <v>2024</v>
      </c>
      <c r="D2139" t="s">
        <v>256</v>
      </c>
      <c r="E2139" t="s">
        <v>43</v>
      </c>
      <c r="F2139" t="s">
        <v>44</v>
      </c>
      <c r="G2139" t="s">
        <v>36</v>
      </c>
      <c r="H2139">
        <v>1</v>
      </c>
      <c r="I2139" s="2">
        <v>1170.2</v>
      </c>
      <c r="J2139" s="2">
        <v>1170.2</v>
      </c>
      <c r="K2139" s="2">
        <f t="shared" si="100"/>
        <v>1170.2</v>
      </c>
      <c r="L2139" s="2">
        <f t="shared" si="101"/>
        <v>0</v>
      </c>
      <c r="M2139" t="s">
        <v>48</v>
      </c>
      <c r="N2139" t="s">
        <v>16</v>
      </c>
    </row>
    <row r="2140" spans="1:14" x14ac:dyDescent="0.3">
      <c r="A2140">
        <v>2024003138</v>
      </c>
      <c r="B2140" s="1">
        <v>45645</v>
      </c>
      <c r="C2140" s="11">
        <f t="shared" si="99"/>
        <v>2024</v>
      </c>
      <c r="D2140" t="s">
        <v>323</v>
      </c>
      <c r="E2140" t="s">
        <v>12</v>
      </c>
      <c r="F2140" t="s">
        <v>13</v>
      </c>
      <c r="G2140" t="s">
        <v>14</v>
      </c>
      <c r="H2140">
        <v>1</v>
      </c>
      <c r="I2140" s="2">
        <v>375.73</v>
      </c>
      <c r="J2140" s="2">
        <v>375.73</v>
      </c>
      <c r="K2140" s="2">
        <f t="shared" si="100"/>
        <v>375.73</v>
      </c>
      <c r="L2140" s="2">
        <f t="shared" si="101"/>
        <v>0</v>
      </c>
      <c r="M2140" t="s">
        <v>20</v>
      </c>
      <c r="N2140" t="s">
        <v>16</v>
      </c>
    </row>
    <row r="2141" spans="1:14" x14ac:dyDescent="0.3">
      <c r="A2141">
        <v>2024003139</v>
      </c>
      <c r="B2141" s="1">
        <v>45513</v>
      </c>
      <c r="C2141" s="11">
        <f t="shared" si="99"/>
        <v>2024</v>
      </c>
      <c r="D2141" t="s">
        <v>92</v>
      </c>
      <c r="E2141" t="s">
        <v>12</v>
      </c>
      <c r="F2141" t="s">
        <v>13</v>
      </c>
      <c r="G2141" t="s">
        <v>14</v>
      </c>
      <c r="H2141">
        <v>2</v>
      </c>
      <c r="I2141" s="2">
        <v>348.51</v>
      </c>
      <c r="J2141" s="2">
        <v>697.02</v>
      </c>
      <c r="K2141" s="2">
        <f t="shared" si="100"/>
        <v>697.02</v>
      </c>
      <c r="L2141" s="2">
        <f t="shared" si="101"/>
        <v>0</v>
      </c>
      <c r="M2141" t="s">
        <v>48</v>
      </c>
      <c r="N2141" t="s">
        <v>32</v>
      </c>
    </row>
    <row r="2142" spans="1:14" x14ac:dyDescent="0.3">
      <c r="A2142">
        <v>2024003140</v>
      </c>
      <c r="B2142" s="1">
        <v>45543</v>
      </c>
      <c r="C2142" s="11">
        <f t="shared" si="99"/>
        <v>2024</v>
      </c>
      <c r="D2142" t="s">
        <v>181</v>
      </c>
      <c r="E2142" t="s">
        <v>40</v>
      </c>
      <c r="F2142" t="s">
        <v>41</v>
      </c>
      <c r="G2142" t="s">
        <v>36</v>
      </c>
      <c r="H2142">
        <v>3</v>
      </c>
      <c r="I2142" s="2">
        <v>41.98</v>
      </c>
      <c r="J2142" s="2">
        <v>125.94</v>
      </c>
      <c r="K2142" s="2">
        <f t="shared" si="100"/>
        <v>125.94</v>
      </c>
      <c r="L2142" s="2">
        <f t="shared" si="101"/>
        <v>0</v>
      </c>
      <c r="M2142" t="s">
        <v>20</v>
      </c>
      <c r="N2142" t="s">
        <v>21</v>
      </c>
    </row>
    <row r="2143" spans="1:14" x14ac:dyDescent="0.3">
      <c r="A2143">
        <v>2024003141</v>
      </c>
      <c r="B2143" s="1">
        <v>45568</v>
      </c>
      <c r="C2143" s="11">
        <f t="shared" si="99"/>
        <v>2024</v>
      </c>
      <c r="D2143" t="s">
        <v>195</v>
      </c>
      <c r="E2143" t="s">
        <v>34</v>
      </c>
      <c r="F2143" t="s">
        <v>35</v>
      </c>
      <c r="G2143" t="s">
        <v>36</v>
      </c>
      <c r="H2143">
        <v>1</v>
      </c>
      <c r="I2143" s="2">
        <v>14.33</v>
      </c>
      <c r="J2143" s="2">
        <v>14.33</v>
      </c>
      <c r="K2143" s="2">
        <f t="shared" si="100"/>
        <v>14.33</v>
      </c>
      <c r="L2143" s="2">
        <f t="shared" si="101"/>
        <v>0</v>
      </c>
      <c r="M2143" t="s">
        <v>61</v>
      </c>
      <c r="N2143" t="s">
        <v>32</v>
      </c>
    </row>
    <row r="2144" spans="1:14" x14ac:dyDescent="0.3">
      <c r="A2144">
        <v>2024003142</v>
      </c>
      <c r="B2144" s="1">
        <v>45627</v>
      </c>
      <c r="C2144" s="11">
        <f t="shared" si="99"/>
        <v>2024</v>
      </c>
      <c r="D2144" t="s">
        <v>83</v>
      </c>
      <c r="E2144" t="s">
        <v>12</v>
      </c>
      <c r="F2144" t="s">
        <v>13</v>
      </c>
      <c r="G2144" t="s">
        <v>14</v>
      </c>
      <c r="H2144">
        <v>2</v>
      </c>
      <c r="I2144" s="2">
        <v>366.33</v>
      </c>
      <c r="J2144" s="2">
        <v>732.66</v>
      </c>
      <c r="K2144" s="2">
        <f t="shared" si="100"/>
        <v>732.66</v>
      </c>
      <c r="L2144" s="2">
        <f t="shared" si="101"/>
        <v>0</v>
      </c>
      <c r="M2144" t="s">
        <v>15</v>
      </c>
      <c r="N2144" t="s">
        <v>16</v>
      </c>
    </row>
    <row r="2145" spans="1:14" x14ac:dyDescent="0.3">
      <c r="A2145">
        <v>2024003143</v>
      </c>
      <c r="B2145" s="1">
        <v>45412</v>
      </c>
      <c r="C2145" s="11">
        <f t="shared" si="99"/>
        <v>2024</v>
      </c>
      <c r="D2145" t="s">
        <v>168</v>
      </c>
      <c r="E2145" t="s">
        <v>40</v>
      </c>
      <c r="F2145" t="s">
        <v>41</v>
      </c>
      <c r="G2145" t="s">
        <v>36</v>
      </c>
      <c r="H2145">
        <v>1</v>
      </c>
      <c r="I2145" s="2">
        <v>45.14</v>
      </c>
      <c r="J2145" s="2">
        <v>45.14</v>
      </c>
      <c r="K2145" s="2">
        <f t="shared" si="100"/>
        <v>45.14</v>
      </c>
      <c r="L2145" s="2">
        <f t="shared" si="101"/>
        <v>0</v>
      </c>
      <c r="M2145" t="s">
        <v>61</v>
      </c>
      <c r="N2145" t="s">
        <v>32</v>
      </c>
    </row>
    <row r="2146" spans="1:14" x14ac:dyDescent="0.3">
      <c r="A2146">
        <v>2024003144</v>
      </c>
      <c r="B2146" s="1">
        <v>45420</v>
      </c>
      <c r="C2146" s="11">
        <f t="shared" si="99"/>
        <v>2024</v>
      </c>
      <c r="D2146" t="s">
        <v>107</v>
      </c>
      <c r="E2146" t="s">
        <v>12</v>
      </c>
      <c r="F2146" t="s">
        <v>13</v>
      </c>
      <c r="G2146" t="s">
        <v>14</v>
      </c>
      <c r="H2146">
        <v>4</v>
      </c>
      <c r="I2146" s="2">
        <v>365.14</v>
      </c>
      <c r="J2146" s="2">
        <v>1460.56</v>
      </c>
      <c r="K2146" s="2">
        <f t="shared" si="100"/>
        <v>1460.56</v>
      </c>
      <c r="L2146" s="2">
        <f t="shared" si="101"/>
        <v>0</v>
      </c>
      <c r="M2146" t="s">
        <v>61</v>
      </c>
      <c r="N2146" t="s">
        <v>26</v>
      </c>
    </row>
    <row r="2147" spans="1:14" x14ac:dyDescent="0.3">
      <c r="A2147">
        <v>2024003145</v>
      </c>
      <c r="B2147" s="1">
        <v>45365</v>
      </c>
      <c r="C2147" s="11">
        <f t="shared" si="99"/>
        <v>2024</v>
      </c>
      <c r="D2147" t="s">
        <v>323</v>
      </c>
      <c r="E2147" t="s">
        <v>23</v>
      </c>
      <c r="F2147" t="s">
        <v>24</v>
      </c>
      <c r="G2147" t="s">
        <v>14</v>
      </c>
      <c r="H2147">
        <v>1</v>
      </c>
      <c r="I2147" s="2">
        <v>75.47</v>
      </c>
      <c r="J2147" s="2">
        <v>75.47</v>
      </c>
      <c r="K2147" s="2">
        <f t="shared" si="100"/>
        <v>75.47</v>
      </c>
      <c r="L2147" s="2">
        <f t="shared" si="101"/>
        <v>0</v>
      </c>
      <c r="M2147" t="s">
        <v>55</v>
      </c>
      <c r="N2147" t="s">
        <v>32</v>
      </c>
    </row>
    <row r="2148" spans="1:14" x14ac:dyDescent="0.3">
      <c r="A2148">
        <v>2024003146</v>
      </c>
      <c r="B2148" s="1">
        <v>45608</v>
      </c>
      <c r="C2148" s="11">
        <f t="shared" si="99"/>
        <v>2024</v>
      </c>
      <c r="D2148" t="s">
        <v>291</v>
      </c>
      <c r="E2148" t="s">
        <v>34</v>
      </c>
      <c r="F2148" t="s">
        <v>35</v>
      </c>
      <c r="G2148" t="s">
        <v>36</v>
      </c>
      <c r="H2148">
        <v>2</v>
      </c>
      <c r="I2148" s="2">
        <v>15.29</v>
      </c>
      <c r="J2148" s="2">
        <v>30.58</v>
      </c>
      <c r="K2148" s="2">
        <f t="shared" si="100"/>
        <v>30.58</v>
      </c>
      <c r="L2148" s="2">
        <f t="shared" si="101"/>
        <v>0</v>
      </c>
      <c r="M2148" t="s">
        <v>57</v>
      </c>
      <c r="N2148" t="s">
        <v>21</v>
      </c>
    </row>
    <row r="2149" spans="1:14" x14ac:dyDescent="0.3">
      <c r="A2149">
        <v>2024003147</v>
      </c>
      <c r="B2149" s="1">
        <v>45333</v>
      </c>
      <c r="C2149" s="11">
        <f t="shared" si="99"/>
        <v>2024</v>
      </c>
      <c r="D2149" t="s">
        <v>11</v>
      </c>
      <c r="E2149" t="s">
        <v>18</v>
      </c>
      <c r="F2149" t="s">
        <v>19</v>
      </c>
      <c r="G2149" t="s">
        <v>14</v>
      </c>
      <c r="H2149">
        <v>2</v>
      </c>
      <c r="I2149" s="2">
        <v>543.79999999999995</v>
      </c>
      <c r="J2149" s="2">
        <v>1087.5999999999999</v>
      </c>
      <c r="K2149" s="2">
        <f t="shared" si="100"/>
        <v>1087.5999999999999</v>
      </c>
      <c r="L2149" s="2">
        <f t="shared" si="101"/>
        <v>0</v>
      </c>
      <c r="M2149" t="s">
        <v>15</v>
      </c>
      <c r="N2149" t="s">
        <v>26</v>
      </c>
    </row>
    <row r="2150" spans="1:14" x14ac:dyDescent="0.3">
      <c r="A2150">
        <v>2024003148</v>
      </c>
      <c r="B2150" s="1">
        <v>45471</v>
      </c>
      <c r="C2150" s="11">
        <f t="shared" si="99"/>
        <v>2024</v>
      </c>
      <c r="D2150" t="s">
        <v>106</v>
      </c>
      <c r="E2150" t="s">
        <v>34</v>
      </c>
      <c r="F2150" t="s">
        <v>35</v>
      </c>
      <c r="G2150" t="s">
        <v>36</v>
      </c>
      <c r="H2150">
        <v>3</v>
      </c>
      <c r="I2150" s="2">
        <v>15.14</v>
      </c>
      <c r="J2150" s="2">
        <v>45.42</v>
      </c>
      <c r="K2150" s="2">
        <f t="shared" si="100"/>
        <v>45.42</v>
      </c>
      <c r="L2150" s="2">
        <f t="shared" si="101"/>
        <v>0</v>
      </c>
      <c r="M2150" t="s">
        <v>61</v>
      </c>
      <c r="N2150" t="s">
        <v>16</v>
      </c>
    </row>
    <row r="2151" spans="1:14" x14ac:dyDescent="0.3">
      <c r="A2151">
        <v>2024003149</v>
      </c>
      <c r="B2151" s="1">
        <v>45416</v>
      </c>
      <c r="C2151" s="11">
        <f t="shared" si="99"/>
        <v>2024</v>
      </c>
      <c r="D2151" t="s">
        <v>345</v>
      </c>
      <c r="E2151" t="s">
        <v>28</v>
      </c>
      <c r="F2151" t="s">
        <v>29</v>
      </c>
      <c r="G2151" t="s">
        <v>30</v>
      </c>
      <c r="H2151">
        <v>2</v>
      </c>
      <c r="I2151" s="2">
        <v>23.8</v>
      </c>
      <c r="J2151" s="2">
        <v>47.6</v>
      </c>
      <c r="K2151" s="2">
        <f t="shared" si="100"/>
        <v>47.6</v>
      </c>
      <c r="L2151" s="2">
        <f t="shared" si="101"/>
        <v>0</v>
      </c>
      <c r="M2151" t="s">
        <v>25</v>
      </c>
      <c r="N2151" t="s">
        <v>26</v>
      </c>
    </row>
    <row r="2152" spans="1:14" x14ac:dyDescent="0.3">
      <c r="A2152">
        <v>2024003150</v>
      </c>
      <c r="B2152" s="1">
        <v>45315</v>
      </c>
      <c r="C2152" s="11">
        <f t="shared" si="99"/>
        <v>2024</v>
      </c>
      <c r="D2152" t="s">
        <v>11</v>
      </c>
      <c r="E2152" t="s">
        <v>67</v>
      </c>
      <c r="F2152" t="s">
        <v>68</v>
      </c>
      <c r="G2152" t="s">
        <v>36</v>
      </c>
      <c r="H2152">
        <v>3</v>
      </c>
      <c r="I2152" s="2">
        <v>446.11</v>
      </c>
      <c r="J2152" s="2">
        <v>1338.33</v>
      </c>
      <c r="K2152" s="2">
        <f t="shared" si="100"/>
        <v>1338.33</v>
      </c>
      <c r="L2152" s="2">
        <f t="shared" si="101"/>
        <v>0</v>
      </c>
      <c r="M2152" t="s">
        <v>31</v>
      </c>
      <c r="N2152" t="s">
        <v>16</v>
      </c>
    </row>
    <row r="2153" spans="1:14" x14ac:dyDescent="0.3">
      <c r="A2153">
        <v>2024003151</v>
      </c>
      <c r="B2153" s="1">
        <v>45558</v>
      </c>
      <c r="C2153" s="11">
        <f t="shared" si="99"/>
        <v>2024</v>
      </c>
      <c r="D2153" t="s">
        <v>337</v>
      </c>
      <c r="E2153" t="s">
        <v>23</v>
      </c>
      <c r="F2153" t="s">
        <v>24</v>
      </c>
      <c r="G2153" t="s">
        <v>14</v>
      </c>
      <c r="H2153">
        <v>1</v>
      </c>
      <c r="I2153" s="2">
        <v>75.94</v>
      </c>
      <c r="J2153" s="2">
        <v>75.94</v>
      </c>
      <c r="K2153" s="2">
        <f t="shared" si="100"/>
        <v>75.94</v>
      </c>
      <c r="L2153" s="2">
        <f t="shared" si="101"/>
        <v>0</v>
      </c>
      <c r="M2153" t="s">
        <v>25</v>
      </c>
      <c r="N2153" t="s">
        <v>32</v>
      </c>
    </row>
    <row r="2154" spans="1:14" x14ac:dyDescent="0.3">
      <c r="A2154">
        <v>2024003152</v>
      </c>
      <c r="B2154" s="1">
        <v>45536</v>
      </c>
      <c r="C2154" s="11">
        <f t="shared" si="99"/>
        <v>2024</v>
      </c>
      <c r="D2154" t="s">
        <v>148</v>
      </c>
      <c r="E2154" t="s">
        <v>28</v>
      </c>
      <c r="F2154" t="s">
        <v>29</v>
      </c>
      <c r="G2154" t="s">
        <v>30</v>
      </c>
      <c r="H2154">
        <v>1</v>
      </c>
      <c r="I2154" s="2">
        <v>24.97</v>
      </c>
      <c r="J2154" s="2">
        <v>24.97</v>
      </c>
      <c r="K2154" s="2">
        <f t="shared" si="100"/>
        <v>24.97</v>
      </c>
      <c r="L2154" s="2">
        <f t="shared" si="101"/>
        <v>0</v>
      </c>
      <c r="M2154" t="s">
        <v>20</v>
      </c>
      <c r="N2154" t="s">
        <v>32</v>
      </c>
    </row>
    <row r="2155" spans="1:14" x14ac:dyDescent="0.3">
      <c r="A2155">
        <v>2024003153</v>
      </c>
      <c r="B2155" s="1">
        <v>45533</v>
      </c>
      <c r="C2155" s="11">
        <f t="shared" si="99"/>
        <v>2024</v>
      </c>
      <c r="D2155" t="s">
        <v>83</v>
      </c>
      <c r="E2155" t="s">
        <v>67</v>
      </c>
      <c r="F2155" t="s">
        <v>68</v>
      </c>
      <c r="G2155" t="s">
        <v>36</v>
      </c>
      <c r="H2155">
        <v>1</v>
      </c>
      <c r="I2155" s="2">
        <v>412.25</v>
      </c>
      <c r="J2155" s="2">
        <v>412.25</v>
      </c>
      <c r="K2155" s="2">
        <f t="shared" si="100"/>
        <v>412.25</v>
      </c>
      <c r="L2155" s="2">
        <f t="shared" si="101"/>
        <v>0</v>
      </c>
      <c r="M2155" t="s">
        <v>31</v>
      </c>
      <c r="N2155" t="s">
        <v>32</v>
      </c>
    </row>
    <row r="2156" spans="1:14" x14ac:dyDescent="0.3">
      <c r="A2156">
        <v>2024003154</v>
      </c>
      <c r="B2156" s="1">
        <v>45570</v>
      </c>
      <c r="C2156" s="11">
        <f t="shared" si="99"/>
        <v>2024</v>
      </c>
      <c r="D2156" t="s">
        <v>296</v>
      </c>
      <c r="E2156" t="s">
        <v>43</v>
      </c>
      <c r="F2156" t="s">
        <v>44</v>
      </c>
      <c r="G2156" t="s">
        <v>36</v>
      </c>
      <c r="H2156">
        <v>2</v>
      </c>
      <c r="I2156" s="2">
        <v>1215.3499999999999</v>
      </c>
      <c r="J2156" s="2">
        <v>2430.6999999999998</v>
      </c>
      <c r="K2156" s="2">
        <f t="shared" si="100"/>
        <v>2430.6999999999998</v>
      </c>
      <c r="L2156" s="2">
        <f t="shared" si="101"/>
        <v>0</v>
      </c>
      <c r="M2156" t="s">
        <v>25</v>
      </c>
      <c r="N2156" t="s">
        <v>21</v>
      </c>
    </row>
    <row r="2157" spans="1:14" x14ac:dyDescent="0.3">
      <c r="A2157">
        <v>2024003155</v>
      </c>
      <c r="B2157" s="1">
        <v>45469</v>
      </c>
      <c r="C2157" s="11">
        <f t="shared" si="99"/>
        <v>2024</v>
      </c>
      <c r="D2157" t="s">
        <v>333</v>
      </c>
      <c r="E2157" t="s">
        <v>40</v>
      </c>
      <c r="F2157" t="s">
        <v>41</v>
      </c>
      <c r="G2157" t="s">
        <v>36</v>
      </c>
      <c r="H2157">
        <v>3</v>
      </c>
      <c r="I2157" s="2">
        <v>42.41</v>
      </c>
      <c r="J2157" s="2">
        <v>127.23</v>
      </c>
      <c r="K2157" s="2">
        <f t="shared" si="100"/>
        <v>127.22999999999999</v>
      </c>
      <c r="L2157" s="2">
        <f t="shared" si="101"/>
        <v>0</v>
      </c>
      <c r="M2157" t="s">
        <v>64</v>
      </c>
      <c r="N2157" t="s">
        <v>16</v>
      </c>
    </row>
    <row r="2158" spans="1:14" x14ac:dyDescent="0.3">
      <c r="A2158">
        <v>2024003156</v>
      </c>
      <c r="B2158" s="1">
        <v>45399</v>
      </c>
      <c r="C2158" s="11">
        <f t="shared" si="99"/>
        <v>2024</v>
      </c>
      <c r="D2158" t="s">
        <v>345</v>
      </c>
      <c r="E2158" t="s">
        <v>40</v>
      </c>
      <c r="F2158" t="s">
        <v>41</v>
      </c>
      <c r="G2158" t="s">
        <v>36</v>
      </c>
      <c r="H2158">
        <v>1</v>
      </c>
      <c r="I2158" s="2">
        <v>44.05</v>
      </c>
      <c r="J2158" s="2">
        <v>44.05</v>
      </c>
      <c r="K2158" s="2">
        <f t="shared" si="100"/>
        <v>44.05</v>
      </c>
      <c r="L2158" s="2">
        <f t="shared" si="101"/>
        <v>0</v>
      </c>
      <c r="M2158" t="s">
        <v>55</v>
      </c>
      <c r="N2158" t="s">
        <v>16</v>
      </c>
    </row>
    <row r="2159" spans="1:14" x14ac:dyDescent="0.3">
      <c r="A2159">
        <v>2024003157</v>
      </c>
      <c r="B2159" s="1">
        <v>45422</v>
      </c>
      <c r="C2159" s="11">
        <f t="shared" si="99"/>
        <v>2024</v>
      </c>
      <c r="D2159" t="s">
        <v>11</v>
      </c>
      <c r="E2159" t="s">
        <v>18</v>
      </c>
      <c r="F2159" t="s">
        <v>19</v>
      </c>
      <c r="G2159" t="s">
        <v>14</v>
      </c>
      <c r="H2159">
        <v>3</v>
      </c>
      <c r="I2159" s="2">
        <v>583.79</v>
      </c>
      <c r="J2159" s="2">
        <v>1751.37</v>
      </c>
      <c r="K2159" s="2">
        <f t="shared" si="100"/>
        <v>1751.37</v>
      </c>
      <c r="L2159" s="2">
        <f t="shared" si="101"/>
        <v>0</v>
      </c>
      <c r="M2159" t="s">
        <v>64</v>
      </c>
      <c r="N2159" t="s">
        <v>21</v>
      </c>
    </row>
    <row r="2160" spans="1:14" x14ac:dyDescent="0.3">
      <c r="A2160">
        <v>2024003158</v>
      </c>
      <c r="B2160" s="1">
        <v>45409</v>
      </c>
      <c r="C2160" s="11">
        <f t="shared" si="99"/>
        <v>2024</v>
      </c>
      <c r="D2160" t="s">
        <v>343</v>
      </c>
      <c r="E2160" t="s">
        <v>46</v>
      </c>
      <c r="F2160" t="s">
        <v>47</v>
      </c>
      <c r="G2160" t="s">
        <v>36</v>
      </c>
      <c r="H2160">
        <v>1</v>
      </c>
      <c r="I2160" s="2">
        <v>90.7</v>
      </c>
      <c r="J2160" s="2">
        <v>90.7</v>
      </c>
      <c r="K2160" s="2">
        <f t="shared" si="100"/>
        <v>90.7</v>
      </c>
      <c r="L2160" s="2">
        <f t="shared" si="101"/>
        <v>0</v>
      </c>
      <c r="M2160" t="s">
        <v>38</v>
      </c>
      <c r="N2160" t="s">
        <v>21</v>
      </c>
    </row>
    <row r="2161" spans="1:14" x14ac:dyDescent="0.3">
      <c r="A2161">
        <v>2024003159</v>
      </c>
      <c r="B2161" s="1">
        <v>45444</v>
      </c>
      <c r="C2161" s="11">
        <f t="shared" si="99"/>
        <v>2024</v>
      </c>
      <c r="D2161" t="s">
        <v>11</v>
      </c>
      <c r="E2161" t="s">
        <v>40</v>
      </c>
      <c r="F2161" t="s">
        <v>41</v>
      </c>
      <c r="G2161" t="s">
        <v>36</v>
      </c>
      <c r="H2161">
        <v>2</v>
      </c>
      <c r="I2161" s="2">
        <v>42.52</v>
      </c>
      <c r="J2161" s="2">
        <v>85.04</v>
      </c>
      <c r="K2161" s="2">
        <f t="shared" si="100"/>
        <v>85.04</v>
      </c>
      <c r="L2161" s="2">
        <f t="shared" si="101"/>
        <v>0</v>
      </c>
      <c r="M2161" t="s">
        <v>64</v>
      </c>
      <c r="N2161" t="s">
        <v>32</v>
      </c>
    </row>
    <row r="2162" spans="1:14" x14ac:dyDescent="0.3">
      <c r="A2162">
        <v>2024001461</v>
      </c>
      <c r="B2162" s="1">
        <v>45588</v>
      </c>
      <c r="C2162" s="11">
        <f t="shared" si="99"/>
        <v>2024</v>
      </c>
      <c r="D2162" t="s">
        <v>171</v>
      </c>
      <c r="E2162" t="s">
        <v>67</v>
      </c>
      <c r="F2162" t="s">
        <v>68</v>
      </c>
      <c r="G2162" t="s">
        <v>36</v>
      </c>
      <c r="H2162">
        <v>1</v>
      </c>
      <c r="I2162" s="2">
        <v>392</v>
      </c>
      <c r="J2162" s="2">
        <v>392</v>
      </c>
      <c r="K2162" s="2">
        <f t="shared" si="100"/>
        <v>392</v>
      </c>
      <c r="L2162" s="2">
        <f t="shared" si="101"/>
        <v>0</v>
      </c>
      <c r="M2162" t="s">
        <v>38</v>
      </c>
      <c r="N2162" t="s">
        <v>32</v>
      </c>
    </row>
    <row r="2163" spans="1:14" x14ac:dyDescent="0.3">
      <c r="A2163">
        <v>2024003161</v>
      </c>
      <c r="B2163" s="1">
        <v>45614</v>
      </c>
      <c r="C2163" s="11">
        <f t="shared" si="99"/>
        <v>2024</v>
      </c>
      <c r="D2163" t="s">
        <v>149</v>
      </c>
      <c r="E2163" t="s">
        <v>40</v>
      </c>
      <c r="F2163" t="s">
        <v>41</v>
      </c>
      <c r="G2163" t="s">
        <v>36</v>
      </c>
      <c r="H2163">
        <v>1</v>
      </c>
      <c r="I2163" s="2">
        <v>46.13</v>
      </c>
      <c r="J2163" s="2">
        <v>46.13</v>
      </c>
      <c r="K2163" s="2">
        <f t="shared" si="100"/>
        <v>46.13</v>
      </c>
      <c r="L2163" s="2">
        <f t="shared" si="101"/>
        <v>0</v>
      </c>
      <c r="M2163" t="s">
        <v>48</v>
      </c>
      <c r="N2163" t="s">
        <v>26</v>
      </c>
    </row>
    <row r="2164" spans="1:14" x14ac:dyDescent="0.3">
      <c r="A2164">
        <v>2024003162</v>
      </c>
      <c r="B2164" s="1">
        <v>45488</v>
      </c>
      <c r="C2164" s="11">
        <f t="shared" si="99"/>
        <v>2024</v>
      </c>
      <c r="D2164" t="s">
        <v>194</v>
      </c>
      <c r="E2164" t="s">
        <v>34</v>
      </c>
      <c r="F2164" t="s">
        <v>35</v>
      </c>
      <c r="G2164" t="s">
        <v>36</v>
      </c>
      <c r="H2164">
        <v>2</v>
      </c>
      <c r="I2164" s="2">
        <v>14.57</v>
      </c>
      <c r="J2164" s="2">
        <v>29.14</v>
      </c>
      <c r="K2164" s="2">
        <f t="shared" si="100"/>
        <v>29.14</v>
      </c>
      <c r="L2164" s="2">
        <f t="shared" si="101"/>
        <v>0</v>
      </c>
      <c r="M2164" t="s">
        <v>20</v>
      </c>
      <c r="N2164" t="s">
        <v>21</v>
      </c>
    </row>
    <row r="2165" spans="1:14" x14ac:dyDescent="0.3">
      <c r="A2165">
        <v>2024003163</v>
      </c>
      <c r="B2165" s="1">
        <v>45567</v>
      </c>
      <c r="C2165" s="11">
        <f t="shared" si="99"/>
        <v>2024</v>
      </c>
      <c r="D2165" t="s">
        <v>11</v>
      </c>
      <c r="E2165" t="s">
        <v>40</v>
      </c>
      <c r="F2165" t="s">
        <v>41</v>
      </c>
      <c r="G2165" t="s">
        <v>36</v>
      </c>
      <c r="H2165">
        <v>1</v>
      </c>
      <c r="I2165" s="2">
        <v>45.63</v>
      </c>
      <c r="J2165" s="2">
        <v>45.63</v>
      </c>
      <c r="K2165" s="2">
        <f t="shared" si="100"/>
        <v>45.63</v>
      </c>
      <c r="L2165" s="2">
        <f t="shared" si="101"/>
        <v>0</v>
      </c>
      <c r="M2165" t="s">
        <v>48</v>
      </c>
      <c r="N2165" t="s">
        <v>26</v>
      </c>
    </row>
    <row r="2166" spans="1:14" x14ac:dyDescent="0.3">
      <c r="A2166">
        <v>2024003164</v>
      </c>
      <c r="B2166" s="1">
        <v>45402</v>
      </c>
      <c r="C2166" s="11">
        <f t="shared" si="99"/>
        <v>2024</v>
      </c>
      <c r="D2166" t="s">
        <v>297</v>
      </c>
      <c r="E2166" t="s">
        <v>18</v>
      </c>
      <c r="F2166" t="s">
        <v>19</v>
      </c>
      <c r="G2166" t="s">
        <v>14</v>
      </c>
      <c r="H2166">
        <v>2</v>
      </c>
      <c r="I2166" s="2">
        <v>603.47</v>
      </c>
      <c r="J2166" s="2">
        <v>1206.94</v>
      </c>
      <c r="K2166" s="2">
        <f t="shared" si="100"/>
        <v>1206.94</v>
      </c>
      <c r="L2166" s="2">
        <f t="shared" si="101"/>
        <v>0</v>
      </c>
      <c r="M2166" t="s">
        <v>64</v>
      </c>
      <c r="N2166" t="s">
        <v>26</v>
      </c>
    </row>
    <row r="2167" spans="1:14" x14ac:dyDescent="0.3">
      <c r="A2167">
        <v>2024003165</v>
      </c>
      <c r="B2167" s="1">
        <v>45571</v>
      </c>
      <c r="C2167" s="11">
        <f t="shared" si="99"/>
        <v>2024</v>
      </c>
      <c r="D2167" t="s">
        <v>152</v>
      </c>
      <c r="E2167" t="s">
        <v>18</v>
      </c>
      <c r="F2167" t="s">
        <v>19</v>
      </c>
      <c r="G2167" t="s">
        <v>14</v>
      </c>
      <c r="H2167">
        <v>1</v>
      </c>
      <c r="I2167" s="2">
        <v>599.11</v>
      </c>
      <c r="J2167" s="2">
        <v>599.11</v>
      </c>
      <c r="K2167" s="2">
        <f t="shared" si="100"/>
        <v>599.11</v>
      </c>
      <c r="L2167" s="2">
        <f t="shared" si="101"/>
        <v>0</v>
      </c>
      <c r="M2167" t="s">
        <v>25</v>
      </c>
      <c r="N2167" t="s">
        <v>21</v>
      </c>
    </row>
    <row r="2168" spans="1:14" x14ac:dyDescent="0.3">
      <c r="A2168">
        <v>2024003166</v>
      </c>
      <c r="B2168" s="1">
        <v>45430</v>
      </c>
      <c r="C2168" s="11">
        <f t="shared" si="99"/>
        <v>2024</v>
      </c>
      <c r="D2168" t="s">
        <v>123</v>
      </c>
      <c r="E2168" t="s">
        <v>53</v>
      </c>
      <c r="F2168" t="s">
        <v>54</v>
      </c>
      <c r="G2168" t="s">
        <v>36</v>
      </c>
      <c r="H2168">
        <v>1</v>
      </c>
      <c r="I2168" s="2">
        <v>119.77</v>
      </c>
      <c r="J2168" s="2">
        <v>119.77</v>
      </c>
      <c r="K2168" s="2">
        <f t="shared" si="100"/>
        <v>119.77</v>
      </c>
      <c r="L2168" s="2">
        <f t="shared" si="101"/>
        <v>0</v>
      </c>
      <c r="M2168" t="s">
        <v>38</v>
      </c>
      <c r="N2168" t="s">
        <v>26</v>
      </c>
    </row>
    <row r="2169" spans="1:14" x14ac:dyDescent="0.3">
      <c r="A2169">
        <v>2024003167</v>
      </c>
      <c r="B2169" s="1">
        <v>45608</v>
      </c>
      <c r="C2169" s="11">
        <f t="shared" si="99"/>
        <v>2024</v>
      </c>
      <c r="D2169" t="s">
        <v>157</v>
      </c>
      <c r="E2169" t="s">
        <v>34</v>
      </c>
      <c r="F2169" t="s">
        <v>35</v>
      </c>
      <c r="G2169" t="s">
        <v>36</v>
      </c>
      <c r="H2169">
        <v>3</v>
      </c>
      <c r="I2169" s="2">
        <v>15.19</v>
      </c>
      <c r="J2169" s="2">
        <v>45.57</v>
      </c>
      <c r="K2169" s="2">
        <f t="shared" si="100"/>
        <v>45.57</v>
      </c>
      <c r="L2169" s="2">
        <f t="shared" si="101"/>
        <v>0</v>
      </c>
      <c r="M2169" t="s">
        <v>38</v>
      </c>
      <c r="N2169" t="s">
        <v>21</v>
      </c>
    </row>
    <row r="2170" spans="1:14" x14ac:dyDescent="0.3">
      <c r="A2170">
        <v>2024003168</v>
      </c>
      <c r="B2170" s="1">
        <v>45463</v>
      </c>
      <c r="C2170" s="11">
        <f t="shared" si="99"/>
        <v>2024</v>
      </c>
      <c r="D2170" t="s">
        <v>143</v>
      </c>
      <c r="E2170" t="s">
        <v>53</v>
      </c>
      <c r="F2170" t="s">
        <v>54</v>
      </c>
      <c r="G2170" t="s">
        <v>36</v>
      </c>
      <c r="H2170">
        <v>1</v>
      </c>
      <c r="I2170" s="2">
        <v>112.8</v>
      </c>
      <c r="J2170" s="2">
        <v>112.8</v>
      </c>
      <c r="K2170" s="2">
        <f t="shared" si="100"/>
        <v>112.8</v>
      </c>
      <c r="L2170" s="2">
        <f t="shared" si="101"/>
        <v>0</v>
      </c>
      <c r="M2170" t="s">
        <v>38</v>
      </c>
      <c r="N2170" t="s">
        <v>26</v>
      </c>
    </row>
    <row r="2171" spans="1:14" x14ac:dyDescent="0.3">
      <c r="A2171">
        <v>2024003169</v>
      </c>
      <c r="B2171" s="1">
        <v>45332</v>
      </c>
      <c r="C2171" s="11">
        <f t="shared" si="99"/>
        <v>2024</v>
      </c>
      <c r="D2171" t="s">
        <v>203</v>
      </c>
      <c r="E2171" t="s">
        <v>46</v>
      </c>
      <c r="F2171" t="s">
        <v>47</v>
      </c>
      <c r="G2171" t="s">
        <v>36</v>
      </c>
      <c r="H2171">
        <v>2</v>
      </c>
      <c r="I2171" s="2">
        <v>92.01</v>
      </c>
      <c r="J2171" s="2">
        <v>184.02</v>
      </c>
      <c r="K2171" s="2">
        <f t="shared" si="100"/>
        <v>184.02</v>
      </c>
      <c r="L2171" s="2">
        <f t="shared" si="101"/>
        <v>0</v>
      </c>
      <c r="M2171" t="s">
        <v>38</v>
      </c>
      <c r="N2171" t="s">
        <v>26</v>
      </c>
    </row>
    <row r="2172" spans="1:14" x14ac:dyDescent="0.3">
      <c r="A2172">
        <v>2024003170</v>
      </c>
      <c r="B2172" s="1">
        <v>45464</v>
      </c>
      <c r="C2172" s="11">
        <f t="shared" si="99"/>
        <v>2024</v>
      </c>
      <c r="D2172" t="s">
        <v>166</v>
      </c>
      <c r="E2172" t="s">
        <v>23</v>
      </c>
      <c r="F2172" t="s">
        <v>24</v>
      </c>
      <c r="G2172" t="s">
        <v>14</v>
      </c>
      <c r="H2172">
        <v>2</v>
      </c>
      <c r="I2172" s="2">
        <v>78.55</v>
      </c>
      <c r="J2172" s="2">
        <v>157.1</v>
      </c>
      <c r="K2172" s="2">
        <f t="shared" si="100"/>
        <v>157.1</v>
      </c>
      <c r="L2172" s="2">
        <f t="shared" si="101"/>
        <v>0</v>
      </c>
      <c r="M2172" t="s">
        <v>15</v>
      </c>
      <c r="N2172" t="s">
        <v>21</v>
      </c>
    </row>
    <row r="2173" spans="1:14" x14ac:dyDescent="0.3">
      <c r="A2173">
        <v>2024003171</v>
      </c>
      <c r="B2173" s="1">
        <v>45424</v>
      </c>
      <c r="C2173" s="11">
        <f t="shared" si="99"/>
        <v>2024</v>
      </c>
      <c r="D2173" t="s">
        <v>188</v>
      </c>
      <c r="E2173" t="s">
        <v>67</v>
      </c>
      <c r="F2173" t="s">
        <v>68</v>
      </c>
      <c r="G2173" t="s">
        <v>36</v>
      </c>
      <c r="H2173">
        <v>1</v>
      </c>
      <c r="I2173" s="2">
        <v>395.67</v>
      </c>
      <c r="J2173" s="2">
        <v>395.67</v>
      </c>
      <c r="K2173" s="2">
        <f t="shared" si="100"/>
        <v>395.67</v>
      </c>
      <c r="L2173" s="2">
        <f t="shared" si="101"/>
        <v>0</v>
      </c>
      <c r="M2173" t="s">
        <v>25</v>
      </c>
      <c r="N2173" t="s">
        <v>26</v>
      </c>
    </row>
    <row r="2174" spans="1:14" x14ac:dyDescent="0.3">
      <c r="A2174">
        <v>2024003172</v>
      </c>
      <c r="B2174" s="1">
        <v>45640</v>
      </c>
      <c r="C2174" s="11">
        <f t="shared" si="99"/>
        <v>2024</v>
      </c>
      <c r="D2174" t="s">
        <v>151</v>
      </c>
      <c r="E2174" t="s">
        <v>28</v>
      </c>
      <c r="F2174" t="s">
        <v>29</v>
      </c>
      <c r="G2174" t="s">
        <v>30</v>
      </c>
      <c r="H2174">
        <v>1</v>
      </c>
      <c r="I2174" s="2">
        <v>25.98</v>
      </c>
      <c r="J2174" s="2">
        <v>25.98</v>
      </c>
      <c r="K2174" s="2">
        <f t="shared" si="100"/>
        <v>25.98</v>
      </c>
      <c r="L2174" s="2">
        <f t="shared" si="101"/>
        <v>0</v>
      </c>
      <c r="M2174" t="s">
        <v>38</v>
      </c>
      <c r="N2174" t="s">
        <v>21</v>
      </c>
    </row>
    <row r="2175" spans="1:14" x14ac:dyDescent="0.3">
      <c r="A2175">
        <v>2024003173</v>
      </c>
      <c r="B2175" s="1">
        <v>45317</v>
      </c>
      <c r="C2175" s="11">
        <f t="shared" si="99"/>
        <v>2024</v>
      </c>
      <c r="D2175" t="s">
        <v>45</v>
      </c>
      <c r="E2175" t="s">
        <v>46</v>
      </c>
      <c r="F2175" t="s">
        <v>47</v>
      </c>
      <c r="G2175" t="s">
        <v>36</v>
      </c>
      <c r="H2175">
        <v>2</v>
      </c>
      <c r="I2175" s="2">
        <v>78.59</v>
      </c>
      <c r="J2175" s="2">
        <v>157.18</v>
      </c>
      <c r="K2175" s="2">
        <f t="shared" si="100"/>
        <v>157.18</v>
      </c>
      <c r="L2175" s="2">
        <f t="shared" si="101"/>
        <v>0</v>
      </c>
      <c r="M2175" t="s">
        <v>48</v>
      </c>
      <c r="N2175" t="s">
        <v>26</v>
      </c>
    </row>
    <row r="2176" spans="1:14" x14ac:dyDescent="0.3">
      <c r="A2176">
        <v>2024003174</v>
      </c>
      <c r="B2176" s="1">
        <v>45302</v>
      </c>
      <c r="C2176" s="11">
        <f t="shared" si="99"/>
        <v>2024</v>
      </c>
      <c r="D2176" t="s">
        <v>154</v>
      </c>
      <c r="E2176" t="s">
        <v>34</v>
      </c>
      <c r="F2176" t="s">
        <v>35</v>
      </c>
      <c r="G2176" t="s">
        <v>36</v>
      </c>
      <c r="H2176">
        <v>3</v>
      </c>
      <c r="I2176" s="2">
        <v>15.6</v>
      </c>
      <c r="J2176" s="2">
        <v>46.8</v>
      </c>
      <c r="K2176" s="2">
        <f t="shared" si="100"/>
        <v>46.8</v>
      </c>
      <c r="L2176" s="2">
        <f t="shared" si="101"/>
        <v>0</v>
      </c>
      <c r="M2176" t="s">
        <v>57</v>
      </c>
      <c r="N2176" t="s">
        <v>21</v>
      </c>
    </row>
    <row r="2177" spans="1:14" x14ac:dyDescent="0.3">
      <c r="A2177">
        <v>2024003175</v>
      </c>
      <c r="B2177" s="1">
        <v>45447</v>
      </c>
      <c r="C2177" s="11">
        <f t="shared" si="99"/>
        <v>2024</v>
      </c>
      <c r="D2177" t="s">
        <v>96</v>
      </c>
      <c r="E2177" t="s">
        <v>46</v>
      </c>
      <c r="F2177" t="s">
        <v>47</v>
      </c>
      <c r="G2177" t="s">
        <v>36</v>
      </c>
      <c r="H2177">
        <v>1</v>
      </c>
      <c r="I2177" s="2">
        <v>84.89</v>
      </c>
      <c r="J2177" s="2">
        <v>84.89</v>
      </c>
      <c r="K2177" s="2">
        <f t="shared" si="100"/>
        <v>84.89</v>
      </c>
      <c r="L2177" s="2">
        <f t="shared" si="101"/>
        <v>0</v>
      </c>
      <c r="M2177" t="s">
        <v>61</v>
      </c>
      <c r="N2177" t="s">
        <v>21</v>
      </c>
    </row>
    <row r="2178" spans="1:14" x14ac:dyDescent="0.3">
      <c r="A2178">
        <v>2024003176</v>
      </c>
      <c r="B2178" s="1">
        <v>45497</v>
      </c>
      <c r="C2178" s="11">
        <f t="shared" si="99"/>
        <v>2024</v>
      </c>
      <c r="D2178" t="s">
        <v>11</v>
      </c>
      <c r="E2178" t="s">
        <v>28</v>
      </c>
      <c r="F2178" t="s">
        <v>29</v>
      </c>
      <c r="G2178" t="s">
        <v>30</v>
      </c>
      <c r="H2178">
        <v>2</v>
      </c>
      <c r="I2178" s="2">
        <v>22.54</v>
      </c>
      <c r="J2178" s="2">
        <v>45.08</v>
      </c>
      <c r="K2178" s="2">
        <f t="shared" si="100"/>
        <v>45.08</v>
      </c>
      <c r="L2178" s="2">
        <f t="shared" si="101"/>
        <v>0</v>
      </c>
      <c r="M2178" t="s">
        <v>48</v>
      </c>
      <c r="N2178" t="s">
        <v>21</v>
      </c>
    </row>
    <row r="2179" spans="1:14" x14ac:dyDescent="0.3">
      <c r="A2179">
        <v>2024003177</v>
      </c>
      <c r="B2179" s="1">
        <v>45592</v>
      </c>
      <c r="C2179" s="11">
        <f t="shared" ref="C2179:C2242" si="102">YEAR(B2179)</f>
        <v>2024</v>
      </c>
      <c r="D2179" t="s">
        <v>296</v>
      </c>
      <c r="E2179" t="s">
        <v>23</v>
      </c>
      <c r="F2179" t="s">
        <v>24</v>
      </c>
      <c r="G2179" t="s">
        <v>14</v>
      </c>
      <c r="H2179">
        <v>1</v>
      </c>
      <c r="I2179" s="2">
        <v>79.78</v>
      </c>
      <c r="J2179" s="2">
        <v>79.78</v>
      </c>
      <c r="K2179" s="2">
        <f t="shared" ref="K2179:K2242" si="103">I2179*H2179</f>
        <v>79.78</v>
      </c>
      <c r="L2179" s="2">
        <f t="shared" ref="L2179:L2242" si="104">J2179-K2179</f>
        <v>0</v>
      </c>
      <c r="M2179" t="s">
        <v>25</v>
      </c>
      <c r="N2179" t="s">
        <v>21</v>
      </c>
    </row>
    <row r="2180" spans="1:14" x14ac:dyDescent="0.3">
      <c r="A2180">
        <v>2024003178</v>
      </c>
      <c r="B2180" s="1">
        <v>45531</v>
      </c>
      <c r="C2180" s="11">
        <f t="shared" si="102"/>
        <v>2024</v>
      </c>
      <c r="D2180" t="s">
        <v>63</v>
      </c>
      <c r="E2180" t="s">
        <v>12</v>
      </c>
      <c r="F2180" t="s">
        <v>13</v>
      </c>
      <c r="G2180" t="s">
        <v>14</v>
      </c>
      <c r="H2180">
        <v>4</v>
      </c>
      <c r="I2180" s="2">
        <v>353.45</v>
      </c>
      <c r="J2180" s="2">
        <v>1413.8</v>
      </c>
      <c r="K2180" s="2">
        <f t="shared" si="103"/>
        <v>1413.8</v>
      </c>
      <c r="L2180" s="2">
        <f t="shared" si="104"/>
        <v>0</v>
      </c>
      <c r="M2180" t="s">
        <v>20</v>
      </c>
      <c r="N2180" t="s">
        <v>21</v>
      </c>
    </row>
    <row r="2181" spans="1:14" x14ac:dyDescent="0.3">
      <c r="A2181">
        <v>2024003179</v>
      </c>
      <c r="B2181" s="1">
        <v>45560</v>
      </c>
      <c r="C2181" s="11">
        <f t="shared" si="102"/>
        <v>2024</v>
      </c>
      <c r="D2181" t="s">
        <v>259</v>
      </c>
      <c r="E2181" t="s">
        <v>23</v>
      </c>
      <c r="F2181" t="s">
        <v>24</v>
      </c>
      <c r="G2181" t="s">
        <v>14</v>
      </c>
      <c r="H2181">
        <v>1</v>
      </c>
      <c r="I2181" s="2">
        <v>77.489999999999995</v>
      </c>
      <c r="J2181" s="2">
        <v>77.489999999999995</v>
      </c>
      <c r="K2181" s="2">
        <f t="shared" si="103"/>
        <v>77.489999999999995</v>
      </c>
      <c r="L2181" s="2">
        <f t="shared" si="104"/>
        <v>0</v>
      </c>
      <c r="M2181" t="s">
        <v>31</v>
      </c>
      <c r="N2181" t="s">
        <v>16</v>
      </c>
    </row>
    <row r="2182" spans="1:14" x14ac:dyDescent="0.3">
      <c r="A2182">
        <v>2024003180</v>
      </c>
      <c r="B2182" s="1">
        <v>45373</v>
      </c>
      <c r="C2182" s="11">
        <f t="shared" si="102"/>
        <v>2024</v>
      </c>
      <c r="D2182" t="s">
        <v>159</v>
      </c>
      <c r="E2182" t="s">
        <v>53</v>
      </c>
      <c r="F2182" t="s">
        <v>54</v>
      </c>
      <c r="G2182" t="s">
        <v>36</v>
      </c>
      <c r="H2182">
        <v>2</v>
      </c>
      <c r="I2182" s="2">
        <v>130.47999999999999</v>
      </c>
      <c r="J2182" s="2">
        <v>260.95999999999998</v>
      </c>
      <c r="K2182" s="2">
        <f t="shared" si="103"/>
        <v>260.95999999999998</v>
      </c>
      <c r="L2182" s="2">
        <f t="shared" si="104"/>
        <v>0</v>
      </c>
      <c r="M2182" t="s">
        <v>61</v>
      </c>
      <c r="N2182" t="s">
        <v>32</v>
      </c>
    </row>
    <row r="2183" spans="1:14" x14ac:dyDescent="0.3">
      <c r="A2183">
        <v>2024003181</v>
      </c>
      <c r="B2183" s="1">
        <v>45406</v>
      </c>
      <c r="C2183" s="11">
        <f t="shared" si="102"/>
        <v>2024</v>
      </c>
      <c r="D2183" t="s">
        <v>312</v>
      </c>
      <c r="E2183" t="s">
        <v>67</v>
      </c>
      <c r="F2183" t="s">
        <v>68</v>
      </c>
      <c r="G2183" t="s">
        <v>36</v>
      </c>
      <c r="H2183">
        <v>1</v>
      </c>
      <c r="I2183" s="2">
        <v>358.8</v>
      </c>
      <c r="J2183" s="2">
        <v>358.8</v>
      </c>
      <c r="K2183" s="2">
        <f t="shared" si="103"/>
        <v>358.8</v>
      </c>
      <c r="L2183" s="2">
        <f t="shared" si="104"/>
        <v>0</v>
      </c>
      <c r="M2183" t="s">
        <v>38</v>
      </c>
      <c r="N2183" t="s">
        <v>16</v>
      </c>
    </row>
    <row r="2184" spans="1:14" x14ac:dyDescent="0.3">
      <c r="A2184">
        <v>2024003182</v>
      </c>
      <c r="B2184" s="1">
        <v>45300</v>
      </c>
      <c r="C2184" s="11">
        <f t="shared" si="102"/>
        <v>2024</v>
      </c>
      <c r="D2184" t="s">
        <v>169</v>
      </c>
      <c r="E2184" t="s">
        <v>43</v>
      </c>
      <c r="F2184" t="s">
        <v>44</v>
      </c>
      <c r="G2184" t="s">
        <v>36</v>
      </c>
      <c r="H2184">
        <v>3</v>
      </c>
      <c r="I2184" s="2">
        <v>1146.6099999999999</v>
      </c>
      <c r="J2184" s="2">
        <v>3439.83</v>
      </c>
      <c r="K2184" s="2">
        <f t="shared" si="103"/>
        <v>3439.83</v>
      </c>
      <c r="L2184" s="2">
        <f t="shared" si="104"/>
        <v>0</v>
      </c>
      <c r="M2184" t="s">
        <v>31</v>
      </c>
      <c r="N2184" t="s">
        <v>26</v>
      </c>
    </row>
    <row r="2185" spans="1:14" x14ac:dyDescent="0.3">
      <c r="A2185">
        <v>2024003183</v>
      </c>
      <c r="B2185" s="1">
        <v>45537</v>
      </c>
      <c r="C2185" s="11">
        <f t="shared" si="102"/>
        <v>2024</v>
      </c>
      <c r="D2185" t="s">
        <v>37</v>
      </c>
      <c r="E2185" t="s">
        <v>53</v>
      </c>
      <c r="F2185" t="s">
        <v>54</v>
      </c>
      <c r="G2185" t="s">
        <v>36</v>
      </c>
      <c r="H2185">
        <v>3</v>
      </c>
      <c r="I2185" s="2">
        <v>114.24</v>
      </c>
      <c r="J2185" s="2">
        <v>342.72</v>
      </c>
      <c r="K2185" s="2">
        <f t="shared" si="103"/>
        <v>342.71999999999997</v>
      </c>
      <c r="L2185" s="2">
        <f t="shared" si="104"/>
        <v>0</v>
      </c>
      <c r="M2185" t="s">
        <v>64</v>
      </c>
      <c r="N2185" t="s">
        <v>16</v>
      </c>
    </row>
    <row r="2186" spans="1:14" x14ac:dyDescent="0.3">
      <c r="A2186">
        <v>2024003184</v>
      </c>
      <c r="B2186" s="1">
        <v>45556</v>
      </c>
      <c r="C2186" s="11">
        <f t="shared" si="102"/>
        <v>2024</v>
      </c>
      <c r="D2186" t="s">
        <v>263</v>
      </c>
      <c r="E2186" t="s">
        <v>23</v>
      </c>
      <c r="F2186" t="s">
        <v>24</v>
      </c>
      <c r="G2186" t="s">
        <v>14</v>
      </c>
      <c r="H2186">
        <v>1</v>
      </c>
      <c r="I2186" s="2">
        <v>75.72</v>
      </c>
      <c r="J2186" s="2">
        <v>75.72</v>
      </c>
      <c r="K2186" s="2">
        <f t="shared" si="103"/>
        <v>75.72</v>
      </c>
      <c r="L2186" s="2">
        <f t="shared" si="104"/>
        <v>0</v>
      </c>
      <c r="M2186" t="s">
        <v>48</v>
      </c>
      <c r="N2186" t="s">
        <v>16</v>
      </c>
    </row>
    <row r="2187" spans="1:14" x14ac:dyDescent="0.3">
      <c r="A2187">
        <v>2024003185</v>
      </c>
      <c r="B2187" s="1">
        <v>45292</v>
      </c>
      <c r="C2187" s="11">
        <f t="shared" si="102"/>
        <v>2024</v>
      </c>
      <c r="D2187" t="s">
        <v>97</v>
      </c>
      <c r="E2187" t="s">
        <v>28</v>
      </c>
      <c r="F2187" t="s">
        <v>29</v>
      </c>
      <c r="G2187" t="s">
        <v>30</v>
      </c>
      <c r="H2187">
        <v>1</v>
      </c>
      <c r="I2187" s="2">
        <v>24.02</v>
      </c>
      <c r="J2187" s="2">
        <v>24.02</v>
      </c>
      <c r="K2187" s="2">
        <f t="shared" si="103"/>
        <v>24.02</v>
      </c>
      <c r="L2187" s="2">
        <f t="shared" si="104"/>
        <v>0</v>
      </c>
      <c r="M2187" t="s">
        <v>57</v>
      </c>
      <c r="N2187" t="s">
        <v>32</v>
      </c>
    </row>
    <row r="2188" spans="1:14" x14ac:dyDescent="0.3">
      <c r="A2188">
        <v>2024003186</v>
      </c>
      <c r="B2188" s="1">
        <v>45654</v>
      </c>
      <c r="C2188" s="11">
        <f t="shared" si="102"/>
        <v>2024</v>
      </c>
      <c r="D2188" t="s">
        <v>317</v>
      </c>
      <c r="E2188" t="s">
        <v>12</v>
      </c>
      <c r="F2188" t="s">
        <v>13</v>
      </c>
      <c r="G2188" t="s">
        <v>14</v>
      </c>
      <c r="H2188">
        <v>2</v>
      </c>
      <c r="I2188" s="2">
        <v>334.03</v>
      </c>
      <c r="J2188" s="2">
        <v>668.06</v>
      </c>
      <c r="K2188" s="2">
        <f t="shared" si="103"/>
        <v>668.06</v>
      </c>
      <c r="L2188" s="2">
        <f t="shared" si="104"/>
        <v>0</v>
      </c>
      <c r="M2188" t="s">
        <v>48</v>
      </c>
      <c r="N2188" t="s">
        <v>26</v>
      </c>
    </row>
    <row r="2189" spans="1:14" x14ac:dyDescent="0.3">
      <c r="A2189">
        <v>2024003187</v>
      </c>
      <c r="B2189" s="1">
        <v>45507</v>
      </c>
      <c r="C2189" s="11">
        <f t="shared" si="102"/>
        <v>2024</v>
      </c>
      <c r="D2189" t="s">
        <v>228</v>
      </c>
      <c r="E2189" t="s">
        <v>18</v>
      </c>
      <c r="F2189" t="s">
        <v>19</v>
      </c>
      <c r="G2189" t="s">
        <v>14</v>
      </c>
      <c r="H2189">
        <v>2</v>
      </c>
      <c r="I2189" s="2">
        <v>621.04</v>
      </c>
      <c r="J2189" s="2">
        <v>1242.08</v>
      </c>
      <c r="K2189" s="2">
        <f t="shared" si="103"/>
        <v>1242.08</v>
      </c>
      <c r="L2189" s="2">
        <f t="shared" si="104"/>
        <v>0</v>
      </c>
      <c r="M2189" t="s">
        <v>31</v>
      </c>
      <c r="N2189" t="s">
        <v>16</v>
      </c>
    </row>
    <row r="2190" spans="1:14" x14ac:dyDescent="0.3">
      <c r="A2190">
        <v>2024003188</v>
      </c>
      <c r="B2190" s="1">
        <v>45549</v>
      </c>
      <c r="C2190" s="11">
        <f t="shared" si="102"/>
        <v>2024</v>
      </c>
      <c r="D2190" t="s">
        <v>176</v>
      </c>
      <c r="E2190" t="s">
        <v>23</v>
      </c>
      <c r="F2190" t="s">
        <v>24</v>
      </c>
      <c r="G2190" t="s">
        <v>14</v>
      </c>
      <c r="H2190">
        <v>1</v>
      </c>
      <c r="I2190" s="2">
        <v>77.72</v>
      </c>
      <c r="J2190" s="2">
        <v>77.72</v>
      </c>
      <c r="K2190" s="2">
        <f t="shared" si="103"/>
        <v>77.72</v>
      </c>
      <c r="L2190" s="2">
        <f t="shared" si="104"/>
        <v>0</v>
      </c>
      <c r="M2190" t="s">
        <v>20</v>
      </c>
      <c r="N2190" t="s">
        <v>16</v>
      </c>
    </row>
    <row r="2191" spans="1:14" x14ac:dyDescent="0.3">
      <c r="A2191">
        <v>2024003189</v>
      </c>
      <c r="B2191" s="1">
        <v>45451</v>
      </c>
      <c r="C2191" s="11">
        <f t="shared" si="102"/>
        <v>2024</v>
      </c>
      <c r="D2191" t="s">
        <v>264</v>
      </c>
      <c r="E2191" t="s">
        <v>23</v>
      </c>
      <c r="F2191" t="s">
        <v>24</v>
      </c>
      <c r="G2191" t="s">
        <v>14</v>
      </c>
      <c r="H2191">
        <v>1</v>
      </c>
      <c r="I2191" s="2">
        <v>81.010000000000005</v>
      </c>
      <c r="J2191" s="2">
        <v>81.010000000000005</v>
      </c>
      <c r="K2191" s="2">
        <f t="shared" si="103"/>
        <v>81.010000000000005</v>
      </c>
      <c r="L2191" s="2">
        <f t="shared" si="104"/>
        <v>0</v>
      </c>
      <c r="M2191" t="s">
        <v>38</v>
      </c>
      <c r="N2191" t="s">
        <v>21</v>
      </c>
    </row>
    <row r="2192" spans="1:14" x14ac:dyDescent="0.3">
      <c r="A2192">
        <v>2024003190</v>
      </c>
      <c r="B2192" s="1">
        <v>45437</v>
      </c>
      <c r="C2192" s="11">
        <f t="shared" si="102"/>
        <v>2024</v>
      </c>
      <c r="D2192" t="s">
        <v>310</v>
      </c>
      <c r="E2192" t="s">
        <v>34</v>
      </c>
      <c r="F2192" t="s">
        <v>35</v>
      </c>
      <c r="G2192" t="s">
        <v>36</v>
      </c>
      <c r="H2192">
        <v>4</v>
      </c>
      <c r="I2192" s="2">
        <v>13.76</v>
      </c>
      <c r="J2192" s="2">
        <v>55.04</v>
      </c>
      <c r="K2192" s="2">
        <f t="shared" si="103"/>
        <v>55.04</v>
      </c>
      <c r="L2192" s="2">
        <f t="shared" si="104"/>
        <v>0</v>
      </c>
      <c r="M2192" t="s">
        <v>55</v>
      </c>
      <c r="N2192" t="s">
        <v>21</v>
      </c>
    </row>
    <row r="2193" spans="1:14" x14ac:dyDescent="0.3">
      <c r="A2193">
        <v>2024003191</v>
      </c>
      <c r="B2193" s="1">
        <v>45458</v>
      </c>
      <c r="C2193" s="11">
        <f t="shared" si="102"/>
        <v>2024</v>
      </c>
      <c r="D2193" t="s">
        <v>192</v>
      </c>
      <c r="E2193" t="s">
        <v>67</v>
      </c>
      <c r="F2193" t="s">
        <v>68</v>
      </c>
      <c r="G2193" t="s">
        <v>36</v>
      </c>
      <c r="H2193">
        <v>1</v>
      </c>
      <c r="I2193" s="2">
        <v>400.69</v>
      </c>
      <c r="J2193" s="2">
        <v>400.69</v>
      </c>
      <c r="K2193" s="2">
        <f t="shared" si="103"/>
        <v>400.69</v>
      </c>
      <c r="L2193" s="2">
        <f t="shared" si="104"/>
        <v>0</v>
      </c>
      <c r="M2193" t="s">
        <v>61</v>
      </c>
      <c r="N2193" t="s">
        <v>26</v>
      </c>
    </row>
    <row r="2194" spans="1:14" x14ac:dyDescent="0.3">
      <c r="A2194">
        <v>2024003192</v>
      </c>
      <c r="B2194" s="1">
        <v>45653</v>
      </c>
      <c r="C2194" s="11">
        <f t="shared" si="102"/>
        <v>2024</v>
      </c>
      <c r="D2194" t="s">
        <v>170</v>
      </c>
      <c r="E2194" t="s">
        <v>43</v>
      </c>
      <c r="F2194" t="s">
        <v>44</v>
      </c>
      <c r="G2194" t="s">
        <v>36</v>
      </c>
      <c r="H2194">
        <v>1</v>
      </c>
      <c r="I2194" s="2">
        <v>1271.22</v>
      </c>
      <c r="J2194" s="2">
        <v>1271.22</v>
      </c>
      <c r="K2194" s="2">
        <f t="shared" si="103"/>
        <v>1271.22</v>
      </c>
      <c r="L2194" s="2">
        <f t="shared" si="104"/>
        <v>0</v>
      </c>
      <c r="M2194" t="s">
        <v>48</v>
      </c>
      <c r="N2194" t="s">
        <v>26</v>
      </c>
    </row>
    <row r="2195" spans="1:14" x14ac:dyDescent="0.3">
      <c r="A2195">
        <v>2024003193</v>
      </c>
      <c r="B2195" s="1">
        <v>45545</v>
      </c>
      <c r="C2195" s="11">
        <f t="shared" si="102"/>
        <v>2024</v>
      </c>
      <c r="D2195" t="s">
        <v>194</v>
      </c>
      <c r="E2195" t="s">
        <v>34</v>
      </c>
      <c r="F2195" t="s">
        <v>35</v>
      </c>
      <c r="G2195" t="s">
        <v>36</v>
      </c>
      <c r="H2195">
        <v>1</v>
      </c>
      <c r="I2195" s="2">
        <v>16.559999999999999</v>
      </c>
      <c r="J2195" s="2">
        <v>16.559999999999999</v>
      </c>
      <c r="K2195" s="2">
        <f t="shared" si="103"/>
        <v>16.559999999999999</v>
      </c>
      <c r="L2195" s="2">
        <f t="shared" si="104"/>
        <v>0</v>
      </c>
      <c r="M2195" t="s">
        <v>20</v>
      </c>
      <c r="N2195" t="s">
        <v>26</v>
      </c>
    </row>
    <row r="2196" spans="1:14" x14ac:dyDescent="0.3">
      <c r="A2196">
        <v>2024003194</v>
      </c>
      <c r="B2196" s="1">
        <v>45536</v>
      </c>
      <c r="C2196" s="11">
        <f t="shared" si="102"/>
        <v>2024</v>
      </c>
      <c r="D2196" t="s">
        <v>90</v>
      </c>
      <c r="E2196" t="s">
        <v>34</v>
      </c>
      <c r="F2196" t="s">
        <v>35</v>
      </c>
      <c r="G2196" t="s">
        <v>36</v>
      </c>
      <c r="H2196">
        <v>2</v>
      </c>
      <c r="I2196" s="2">
        <v>14.01</v>
      </c>
      <c r="J2196" s="2">
        <v>28.02</v>
      </c>
      <c r="K2196" s="2">
        <f t="shared" si="103"/>
        <v>28.02</v>
      </c>
      <c r="L2196" s="2">
        <f t="shared" si="104"/>
        <v>0</v>
      </c>
      <c r="M2196" t="s">
        <v>61</v>
      </c>
      <c r="N2196" t="s">
        <v>32</v>
      </c>
    </row>
    <row r="2197" spans="1:14" x14ac:dyDescent="0.3">
      <c r="A2197">
        <v>2024003195</v>
      </c>
      <c r="B2197" s="1">
        <v>45569</v>
      </c>
      <c r="C2197" s="11">
        <f t="shared" si="102"/>
        <v>2024</v>
      </c>
      <c r="D2197" t="s">
        <v>11</v>
      </c>
      <c r="E2197" t="s">
        <v>67</v>
      </c>
      <c r="F2197" t="s">
        <v>68</v>
      </c>
      <c r="G2197" t="s">
        <v>36</v>
      </c>
      <c r="H2197">
        <v>3</v>
      </c>
      <c r="I2197" s="2">
        <v>390.68</v>
      </c>
      <c r="J2197" s="2">
        <v>1172.04</v>
      </c>
      <c r="K2197" s="2">
        <f t="shared" si="103"/>
        <v>1172.04</v>
      </c>
      <c r="L2197" s="2">
        <f t="shared" si="104"/>
        <v>0</v>
      </c>
      <c r="M2197" t="s">
        <v>57</v>
      </c>
      <c r="N2197" t="s">
        <v>16</v>
      </c>
    </row>
    <row r="2198" spans="1:14" x14ac:dyDescent="0.3">
      <c r="A2198">
        <v>2024003196</v>
      </c>
      <c r="B2198" s="1">
        <v>45511</v>
      </c>
      <c r="C2198" s="11">
        <f t="shared" si="102"/>
        <v>2024</v>
      </c>
      <c r="D2198" t="s">
        <v>311</v>
      </c>
      <c r="E2198" t="s">
        <v>28</v>
      </c>
      <c r="F2198" t="s">
        <v>29</v>
      </c>
      <c r="G2198" t="s">
        <v>30</v>
      </c>
      <c r="H2198">
        <v>2</v>
      </c>
      <c r="I2198" s="2">
        <v>24.58</v>
      </c>
      <c r="J2198" s="2">
        <v>49.16</v>
      </c>
      <c r="K2198" s="2">
        <f t="shared" si="103"/>
        <v>49.16</v>
      </c>
      <c r="L2198" s="2">
        <f t="shared" si="104"/>
        <v>0</v>
      </c>
      <c r="M2198" t="s">
        <v>38</v>
      </c>
      <c r="N2198" t="s">
        <v>32</v>
      </c>
    </row>
    <row r="2199" spans="1:14" x14ac:dyDescent="0.3">
      <c r="A2199">
        <v>2024003197</v>
      </c>
      <c r="B2199" s="1">
        <v>45349</v>
      </c>
      <c r="C2199" s="11">
        <f t="shared" si="102"/>
        <v>2024</v>
      </c>
      <c r="D2199" t="s">
        <v>233</v>
      </c>
      <c r="E2199" t="s">
        <v>34</v>
      </c>
      <c r="F2199" t="s">
        <v>35</v>
      </c>
      <c r="G2199" t="s">
        <v>36</v>
      </c>
      <c r="H2199">
        <v>2</v>
      </c>
      <c r="I2199" s="2">
        <v>14.62</v>
      </c>
      <c r="J2199" s="2">
        <v>29.24</v>
      </c>
      <c r="K2199" s="2">
        <f t="shared" si="103"/>
        <v>29.24</v>
      </c>
      <c r="L2199" s="2">
        <f t="shared" si="104"/>
        <v>0</v>
      </c>
      <c r="M2199" t="s">
        <v>31</v>
      </c>
      <c r="N2199" t="s">
        <v>32</v>
      </c>
    </row>
    <row r="2200" spans="1:14" x14ac:dyDescent="0.3">
      <c r="A2200">
        <v>2024003198</v>
      </c>
      <c r="B2200" s="1">
        <v>45365</v>
      </c>
      <c r="C2200" s="11">
        <f t="shared" si="102"/>
        <v>2024</v>
      </c>
      <c r="D2200" t="s">
        <v>73</v>
      </c>
      <c r="E2200" t="s">
        <v>40</v>
      </c>
      <c r="F2200" t="s">
        <v>41</v>
      </c>
      <c r="G2200" t="s">
        <v>36</v>
      </c>
      <c r="H2200">
        <v>3</v>
      </c>
      <c r="I2200" s="2">
        <v>44.63</v>
      </c>
      <c r="J2200" s="2">
        <v>133.88999999999999</v>
      </c>
      <c r="K2200" s="2">
        <f t="shared" si="103"/>
        <v>133.89000000000001</v>
      </c>
      <c r="L2200" s="2">
        <f t="shared" si="104"/>
        <v>0</v>
      </c>
      <c r="M2200" t="s">
        <v>64</v>
      </c>
      <c r="N2200" t="s">
        <v>21</v>
      </c>
    </row>
    <row r="2201" spans="1:14" x14ac:dyDescent="0.3">
      <c r="A2201">
        <v>2024003199</v>
      </c>
      <c r="B2201" s="1">
        <v>45433</v>
      </c>
      <c r="C2201" s="11">
        <f t="shared" si="102"/>
        <v>2024</v>
      </c>
      <c r="D2201" t="s">
        <v>11</v>
      </c>
      <c r="E2201" t="s">
        <v>53</v>
      </c>
      <c r="F2201" t="s">
        <v>54</v>
      </c>
      <c r="G2201" t="s">
        <v>36</v>
      </c>
      <c r="H2201">
        <v>2</v>
      </c>
      <c r="I2201" s="2">
        <v>130.12</v>
      </c>
      <c r="J2201" s="2">
        <v>260.24</v>
      </c>
      <c r="K2201" s="2">
        <f t="shared" si="103"/>
        <v>260.24</v>
      </c>
      <c r="L2201" s="2">
        <f t="shared" si="104"/>
        <v>0</v>
      </c>
      <c r="M2201" t="s">
        <v>31</v>
      </c>
      <c r="N2201" t="s">
        <v>16</v>
      </c>
    </row>
    <row r="2202" spans="1:14" x14ac:dyDescent="0.3">
      <c r="A2202">
        <v>2024003200</v>
      </c>
      <c r="B2202" s="1">
        <v>45372</v>
      </c>
      <c r="C2202" s="11">
        <f t="shared" si="102"/>
        <v>2024</v>
      </c>
      <c r="D2202" t="s">
        <v>116</v>
      </c>
      <c r="E2202" t="s">
        <v>34</v>
      </c>
      <c r="F2202" t="s">
        <v>35</v>
      </c>
      <c r="G2202" t="s">
        <v>36</v>
      </c>
      <c r="H2202">
        <v>1</v>
      </c>
      <c r="I2202" s="2">
        <v>14.36</v>
      </c>
      <c r="J2202" s="2">
        <v>14.36</v>
      </c>
      <c r="K2202" s="2">
        <f t="shared" si="103"/>
        <v>14.36</v>
      </c>
      <c r="L2202" s="2">
        <f t="shared" si="104"/>
        <v>0</v>
      </c>
      <c r="M2202" t="s">
        <v>48</v>
      </c>
      <c r="N2202" t="s">
        <v>26</v>
      </c>
    </row>
    <row r="2203" spans="1:14" x14ac:dyDescent="0.3">
      <c r="A2203">
        <v>2024003201</v>
      </c>
      <c r="B2203" s="1">
        <v>45332</v>
      </c>
      <c r="C2203" s="11">
        <f t="shared" si="102"/>
        <v>2024</v>
      </c>
      <c r="D2203" t="s">
        <v>97</v>
      </c>
      <c r="E2203" t="s">
        <v>12</v>
      </c>
      <c r="F2203" t="s">
        <v>13</v>
      </c>
      <c r="G2203" t="s">
        <v>14</v>
      </c>
      <c r="H2203">
        <v>1</v>
      </c>
      <c r="I2203" s="2">
        <v>350.89</v>
      </c>
      <c r="J2203" s="2">
        <v>350.89</v>
      </c>
      <c r="K2203" s="2">
        <f t="shared" si="103"/>
        <v>350.89</v>
      </c>
      <c r="L2203" s="2">
        <f t="shared" si="104"/>
        <v>0</v>
      </c>
      <c r="M2203" t="s">
        <v>48</v>
      </c>
      <c r="N2203" t="s">
        <v>26</v>
      </c>
    </row>
    <row r="2204" spans="1:14" x14ac:dyDescent="0.3">
      <c r="A2204">
        <v>2024003202</v>
      </c>
      <c r="B2204" s="1">
        <v>45322</v>
      </c>
      <c r="C2204" s="11">
        <f t="shared" si="102"/>
        <v>2024</v>
      </c>
      <c r="D2204" t="s">
        <v>104</v>
      </c>
      <c r="E2204" t="s">
        <v>34</v>
      </c>
      <c r="F2204" t="s">
        <v>35</v>
      </c>
      <c r="G2204" t="s">
        <v>36</v>
      </c>
      <c r="H2204">
        <v>1</v>
      </c>
      <c r="I2204" s="2">
        <v>14.49</v>
      </c>
      <c r="J2204" s="2">
        <v>14.49</v>
      </c>
      <c r="K2204" s="2">
        <f t="shared" si="103"/>
        <v>14.49</v>
      </c>
      <c r="L2204" s="2">
        <f t="shared" si="104"/>
        <v>0</v>
      </c>
      <c r="M2204" t="s">
        <v>20</v>
      </c>
      <c r="N2204" t="s">
        <v>21</v>
      </c>
    </row>
    <row r="2205" spans="1:14" x14ac:dyDescent="0.3">
      <c r="A2205">
        <v>2024003203</v>
      </c>
      <c r="B2205" s="1">
        <v>45315</v>
      </c>
      <c r="C2205" s="11">
        <f t="shared" si="102"/>
        <v>2024</v>
      </c>
      <c r="D2205" t="s">
        <v>92</v>
      </c>
      <c r="E2205" t="s">
        <v>34</v>
      </c>
      <c r="F2205" t="s">
        <v>35</v>
      </c>
      <c r="G2205" t="s">
        <v>36</v>
      </c>
      <c r="H2205">
        <v>4</v>
      </c>
      <c r="I2205" s="2">
        <v>14.17</v>
      </c>
      <c r="J2205" s="2">
        <v>56.68</v>
      </c>
      <c r="K2205" s="2">
        <f t="shared" si="103"/>
        <v>56.68</v>
      </c>
      <c r="L2205" s="2">
        <f t="shared" si="104"/>
        <v>0</v>
      </c>
      <c r="M2205" t="s">
        <v>57</v>
      </c>
      <c r="N2205" t="s">
        <v>16</v>
      </c>
    </row>
    <row r="2206" spans="1:14" x14ac:dyDescent="0.3">
      <c r="A2206">
        <v>2024003204</v>
      </c>
      <c r="B2206" s="1">
        <v>45306</v>
      </c>
      <c r="C2206" s="11">
        <f t="shared" si="102"/>
        <v>2024</v>
      </c>
      <c r="D2206" t="s">
        <v>334</v>
      </c>
      <c r="E2206" t="s">
        <v>34</v>
      </c>
      <c r="F2206" t="s">
        <v>35</v>
      </c>
      <c r="G2206" t="s">
        <v>36</v>
      </c>
      <c r="H2206">
        <v>1</v>
      </c>
      <c r="I2206" s="2">
        <v>16.14</v>
      </c>
      <c r="J2206" s="2">
        <v>16.14</v>
      </c>
      <c r="K2206" s="2">
        <f t="shared" si="103"/>
        <v>16.14</v>
      </c>
      <c r="L2206" s="2">
        <f t="shared" si="104"/>
        <v>0</v>
      </c>
      <c r="M2206" t="s">
        <v>61</v>
      </c>
      <c r="N2206" t="s">
        <v>26</v>
      </c>
    </row>
    <row r="2207" spans="1:14" x14ac:dyDescent="0.3">
      <c r="A2207">
        <v>2024003205</v>
      </c>
      <c r="B2207" s="1">
        <v>45657</v>
      </c>
      <c r="C2207" s="11">
        <f t="shared" si="102"/>
        <v>2024</v>
      </c>
      <c r="D2207" t="s">
        <v>11</v>
      </c>
      <c r="E2207" t="s">
        <v>23</v>
      </c>
      <c r="F2207" t="s">
        <v>24</v>
      </c>
      <c r="G2207" t="s">
        <v>14</v>
      </c>
      <c r="H2207">
        <v>1</v>
      </c>
      <c r="I2207" s="2">
        <v>81.47</v>
      </c>
      <c r="J2207" s="2">
        <v>81.47</v>
      </c>
      <c r="K2207" s="2">
        <f t="shared" si="103"/>
        <v>81.47</v>
      </c>
      <c r="L2207" s="2">
        <f t="shared" si="104"/>
        <v>0</v>
      </c>
      <c r="M2207" t="s">
        <v>15</v>
      </c>
      <c r="N2207" t="s">
        <v>16</v>
      </c>
    </row>
    <row r="2208" spans="1:14" x14ac:dyDescent="0.3">
      <c r="A2208">
        <v>2024003206</v>
      </c>
      <c r="B2208" s="1">
        <v>45626</v>
      </c>
      <c r="C2208" s="11">
        <f t="shared" si="102"/>
        <v>2024</v>
      </c>
      <c r="D2208" t="s">
        <v>77</v>
      </c>
      <c r="E2208" t="s">
        <v>28</v>
      </c>
      <c r="F2208" t="s">
        <v>29</v>
      </c>
      <c r="G2208" t="s">
        <v>30</v>
      </c>
      <c r="H2208">
        <v>1</v>
      </c>
      <c r="I2208" s="2">
        <v>26.23</v>
      </c>
      <c r="J2208" s="2">
        <v>26.23</v>
      </c>
      <c r="K2208" s="2">
        <f t="shared" si="103"/>
        <v>26.23</v>
      </c>
      <c r="L2208" s="2">
        <f t="shared" si="104"/>
        <v>0</v>
      </c>
      <c r="M2208" t="s">
        <v>38</v>
      </c>
      <c r="N2208" t="s">
        <v>16</v>
      </c>
    </row>
    <row r="2209" spans="1:14" x14ac:dyDescent="0.3">
      <c r="A2209">
        <v>2024003207</v>
      </c>
      <c r="B2209" s="1">
        <v>45413</v>
      </c>
      <c r="C2209" s="11">
        <f t="shared" si="102"/>
        <v>2024</v>
      </c>
      <c r="D2209" t="s">
        <v>255</v>
      </c>
      <c r="E2209" t="s">
        <v>23</v>
      </c>
      <c r="F2209" t="s">
        <v>24</v>
      </c>
      <c r="G2209" t="s">
        <v>14</v>
      </c>
      <c r="H2209">
        <v>2</v>
      </c>
      <c r="I2209" s="2">
        <v>81.84</v>
      </c>
      <c r="J2209" s="2">
        <v>163.68</v>
      </c>
      <c r="K2209" s="2">
        <f t="shared" si="103"/>
        <v>163.68</v>
      </c>
      <c r="L2209" s="2">
        <f t="shared" si="104"/>
        <v>0</v>
      </c>
      <c r="M2209" t="s">
        <v>61</v>
      </c>
      <c r="N2209" t="s">
        <v>26</v>
      </c>
    </row>
    <row r="2210" spans="1:14" x14ac:dyDescent="0.3">
      <c r="A2210">
        <v>2024003208</v>
      </c>
      <c r="B2210" s="1">
        <v>45456</v>
      </c>
      <c r="C2210" s="11">
        <f t="shared" si="102"/>
        <v>2024</v>
      </c>
      <c r="D2210" t="s">
        <v>322</v>
      </c>
      <c r="E2210" t="s">
        <v>18</v>
      </c>
      <c r="F2210" t="s">
        <v>19</v>
      </c>
      <c r="G2210" t="s">
        <v>14</v>
      </c>
      <c r="H2210">
        <v>2</v>
      </c>
      <c r="I2210" s="2">
        <v>608.21</v>
      </c>
      <c r="J2210" s="2">
        <v>1216.42</v>
      </c>
      <c r="K2210" s="2">
        <f t="shared" si="103"/>
        <v>1216.42</v>
      </c>
      <c r="L2210" s="2">
        <f t="shared" si="104"/>
        <v>0</v>
      </c>
      <c r="M2210" t="s">
        <v>38</v>
      </c>
      <c r="N2210" t="s">
        <v>26</v>
      </c>
    </row>
    <row r="2211" spans="1:14" x14ac:dyDescent="0.3">
      <c r="A2211">
        <v>2024003209</v>
      </c>
      <c r="B2211" s="1">
        <v>45426</v>
      </c>
      <c r="C2211" s="11">
        <f t="shared" si="102"/>
        <v>2024</v>
      </c>
      <c r="D2211" t="s">
        <v>169</v>
      </c>
      <c r="E2211" t="s">
        <v>40</v>
      </c>
      <c r="F2211" t="s">
        <v>41</v>
      </c>
      <c r="G2211" t="s">
        <v>36</v>
      </c>
      <c r="H2211">
        <v>3</v>
      </c>
      <c r="I2211" s="2">
        <v>48.53</v>
      </c>
      <c r="J2211" s="2">
        <v>145.59</v>
      </c>
      <c r="K2211" s="2">
        <f t="shared" si="103"/>
        <v>145.59</v>
      </c>
      <c r="L2211" s="2">
        <f t="shared" si="104"/>
        <v>0</v>
      </c>
      <c r="M2211" t="s">
        <v>61</v>
      </c>
      <c r="N2211" t="s">
        <v>21</v>
      </c>
    </row>
    <row r="2212" spans="1:14" x14ac:dyDescent="0.3">
      <c r="A2212">
        <v>2024003210</v>
      </c>
      <c r="B2212" s="1">
        <v>45294</v>
      </c>
      <c r="C2212" s="11">
        <f t="shared" si="102"/>
        <v>2024</v>
      </c>
      <c r="D2212" t="s">
        <v>255</v>
      </c>
      <c r="E2212" t="s">
        <v>67</v>
      </c>
      <c r="F2212" t="s">
        <v>68</v>
      </c>
      <c r="G2212" t="s">
        <v>36</v>
      </c>
      <c r="H2212">
        <v>1</v>
      </c>
      <c r="I2212" s="2">
        <v>350.84</v>
      </c>
      <c r="J2212" s="2">
        <v>350.84</v>
      </c>
      <c r="K2212" s="2">
        <f t="shared" si="103"/>
        <v>350.84</v>
      </c>
      <c r="L2212" s="2">
        <f t="shared" si="104"/>
        <v>0</v>
      </c>
      <c r="M2212" t="s">
        <v>64</v>
      </c>
      <c r="N2212" t="s">
        <v>16</v>
      </c>
    </row>
    <row r="2213" spans="1:14" x14ac:dyDescent="0.3">
      <c r="A2213">
        <v>2024003211</v>
      </c>
      <c r="B2213" s="1">
        <v>45616</v>
      </c>
      <c r="C2213" s="11">
        <f t="shared" si="102"/>
        <v>2024</v>
      </c>
      <c r="D2213" t="s">
        <v>152</v>
      </c>
      <c r="E2213" t="s">
        <v>53</v>
      </c>
      <c r="F2213" t="s">
        <v>54</v>
      </c>
      <c r="G2213" t="s">
        <v>36</v>
      </c>
      <c r="H2213">
        <v>1</v>
      </c>
      <c r="I2213" s="2">
        <v>114.12</v>
      </c>
      <c r="J2213" s="2">
        <v>114.12</v>
      </c>
      <c r="K2213" s="2">
        <f t="shared" si="103"/>
        <v>114.12</v>
      </c>
      <c r="L2213" s="2">
        <f t="shared" si="104"/>
        <v>0</v>
      </c>
      <c r="M2213" t="s">
        <v>20</v>
      </c>
      <c r="N2213" t="s">
        <v>16</v>
      </c>
    </row>
    <row r="2214" spans="1:14" x14ac:dyDescent="0.3">
      <c r="A2214">
        <v>2024003212</v>
      </c>
      <c r="B2214" s="1">
        <v>45537</v>
      </c>
      <c r="C2214" s="11">
        <f t="shared" si="102"/>
        <v>2024</v>
      </c>
      <c r="D2214" t="s">
        <v>247</v>
      </c>
      <c r="E2214" t="s">
        <v>53</v>
      </c>
      <c r="F2214" t="s">
        <v>54</v>
      </c>
      <c r="G2214" t="s">
        <v>36</v>
      </c>
      <c r="H2214">
        <v>1</v>
      </c>
      <c r="I2214" s="2">
        <v>128.43</v>
      </c>
      <c r="J2214" s="2">
        <v>128.43</v>
      </c>
      <c r="K2214" s="2">
        <f t="shared" si="103"/>
        <v>128.43</v>
      </c>
      <c r="L2214" s="2">
        <f t="shared" si="104"/>
        <v>0</v>
      </c>
      <c r="M2214" t="s">
        <v>57</v>
      </c>
      <c r="N2214" t="s">
        <v>21</v>
      </c>
    </row>
    <row r="2215" spans="1:14" x14ac:dyDescent="0.3">
      <c r="A2215">
        <v>2024003213</v>
      </c>
      <c r="B2215" s="1">
        <v>45561</v>
      </c>
      <c r="C2215" s="11">
        <f t="shared" si="102"/>
        <v>2024</v>
      </c>
      <c r="D2215" t="s">
        <v>260</v>
      </c>
      <c r="E2215" t="s">
        <v>40</v>
      </c>
      <c r="F2215" t="s">
        <v>41</v>
      </c>
      <c r="G2215" t="s">
        <v>36</v>
      </c>
      <c r="H2215">
        <v>1</v>
      </c>
      <c r="I2215" s="2">
        <v>45.45</v>
      </c>
      <c r="J2215" s="2">
        <v>45.45</v>
      </c>
      <c r="K2215" s="2">
        <f t="shared" si="103"/>
        <v>45.45</v>
      </c>
      <c r="L2215" s="2">
        <f t="shared" si="104"/>
        <v>0</v>
      </c>
      <c r="M2215" t="s">
        <v>64</v>
      </c>
      <c r="N2215" t="s">
        <v>26</v>
      </c>
    </row>
    <row r="2216" spans="1:14" x14ac:dyDescent="0.3">
      <c r="A2216">
        <v>2024002392</v>
      </c>
      <c r="B2216" s="1">
        <v>45340</v>
      </c>
      <c r="C2216" s="11">
        <f t="shared" si="102"/>
        <v>2024</v>
      </c>
      <c r="D2216" t="s">
        <v>112</v>
      </c>
      <c r="E2216" t="s">
        <v>18</v>
      </c>
      <c r="F2216" t="s">
        <v>19</v>
      </c>
      <c r="G2216" t="s">
        <v>14</v>
      </c>
      <c r="H2216">
        <v>2</v>
      </c>
      <c r="I2216" s="2">
        <v>557.92999999999995</v>
      </c>
      <c r="J2216" s="2">
        <v>1115.8599999999999</v>
      </c>
      <c r="K2216" s="2">
        <f t="shared" si="103"/>
        <v>1115.8599999999999</v>
      </c>
      <c r="L2216" s="2">
        <f t="shared" si="104"/>
        <v>0</v>
      </c>
      <c r="M2216" t="s">
        <v>64</v>
      </c>
      <c r="N2216" t="s">
        <v>26</v>
      </c>
    </row>
    <row r="2217" spans="1:14" x14ac:dyDescent="0.3">
      <c r="A2217">
        <v>2024003215</v>
      </c>
      <c r="B2217" s="1">
        <v>45462</v>
      </c>
      <c r="C2217" s="11">
        <f t="shared" si="102"/>
        <v>2024</v>
      </c>
      <c r="D2217" t="s">
        <v>154</v>
      </c>
      <c r="E2217" t="s">
        <v>53</v>
      </c>
      <c r="F2217" t="s">
        <v>54</v>
      </c>
      <c r="G2217" t="s">
        <v>36</v>
      </c>
      <c r="H2217">
        <v>1</v>
      </c>
      <c r="I2217" s="2">
        <v>119.76</v>
      </c>
      <c r="J2217" s="2">
        <v>119.76</v>
      </c>
      <c r="K2217" s="2">
        <f t="shared" si="103"/>
        <v>119.76</v>
      </c>
      <c r="L2217" s="2">
        <f t="shared" si="104"/>
        <v>0</v>
      </c>
      <c r="M2217" t="s">
        <v>31</v>
      </c>
      <c r="N2217" t="s">
        <v>26</v>
      </c>
    </row>
    <row r="2218" spans="1:14" x14ac:dyDescent="0.3">
      <c r="A2218">
        <v>2024003216</v>
      </c>
      <c r="B2218" s="1">
        <v>45388</v>
      </c>
      <c r="C2218" s="11">
        <f t="shared" si="102"/>
        <v>2024</v>
      </c>
      <c r="D2218" t="s">
        <v>144</v>
      </c>
      <c r="E2218" t="s">
        <v>18</v>
      </c>
      <c r="F2218" t="s">
        <v>19</v>
      </c>
      <c r="G2218" t="s">
        <v>14</v>
      </c>
      <c r="H2218">
        <v>3</v>
      </c>
      <c r="I2218" s="2">
        <v>609.25</v>
      </c>
      <c r="J2218" s="2">
        <v>1827.75</v>
      </c>
      <c r="K2218" s="2">
        <f t="shared" si="103"/>
        <v>1827.75</v>
      </c>
      <c r="L2218" s="2">
        <f t="shared" si="104"/>
        <v>0</v>
      </c>
      <c r="M2218" t="s">
        <v>64</v>
      </c>
      <c r="N2218" t="s">
        <v>21</v>
      </c>
    </row>
    <row r="2219" spans="1:14" x14ac:dyDescent="0.3">
      <c r="A2219">
        <v>2024003217</v>
      </c>
      <c r="B2219" s="1">
        <v>45345</v>
      </c>
      <c r="C2219" s="11">
        <f t="shared" si="102"/>
        <v>2024</v>
      </c>
      <c r="D2219" t="s">
        <v>111</v>
      </c>
      <c r="E2219" t="s">
        <v>67</v>
      </c>
      <c r="F2219" t="s">
        <v>68</v>
      </c>
      <c r="G2219" t="s">
        <v>36</v>
      </c>
      <c r="H2219">
        <v>3</v>
      </c>
      <c r="I2219" s="2">
        <v>377.3</v>
      </c>
      <c r="J2219" s="2">
        <v>1131.9000000000001</v>
      </c>
      <c r="K2219" s="2">
        <f t="shared" si="103"/>
        <v>1131.9000000000001</v>
      </c>
      <c r="L2219" s="2">
        <f t="shared" si="104"/>
        <v>0</v>
      </c>
      <c r="M2219" t="s">
        <v>55</v>
      </c>
      <c r="N2219" t="s">
        <v>21</v>
      </c>
    </row>
    <row r="2220" spans="1:14" x14ac:dyDescent="0.3">
      <c r="A2220">
        <v>2024003218</v>
      </c>
      <c r="B2220" s="1">
        <v>45322</v>
      </c>
      <c r="C2220" s="11">
        <f t="shared" si="102"/>
        <v>2024</v>
      </c>
      <c r="D2220" t="s">
        <v>217</v>
      </c>
      <c r="E2220" t="s">
        <v>43</v>
      </c>
      <c r="F2220" t="s">
        <v>44</v>
      </c>
      <c r="G2220" t="s">
        <v>36</v>
      </c>
      <c r="H2220">
        <v>2</v>
      </c>
      <c r="I2220" s="2">
        <v>1198.1400000000001</v>
      </c>
      <c r="J2220" s="2">
        <v>2396.2800000000002</v>
      </c>
      <c r="K2220" s="2">
        <f t="shared" si="103"/>
        <v>2396.2800000000002</v>
      </c>
      <c r="L2220" s="2">
        <f t="shared" si="104"/>
        <v>0</v>
      </c>
      <c r="M2220" t="s">
        <v>64</v>
      </c>
      <c r="N2220" t="s">
        <v>21</v>
      </c>
    </row>
    <row r="2221" spans="1:14" x14ac:dyDescent="0.3">
      <c r="A2221">
        <v>2024003219</v>
      </c>
      <c r="B2221" s="1">
        <v>45515</v>
      </c>
      <c r="C2221" s="11">
        <f t="shared" si="102"/>
        <v>2024</v>
      </c>
      <c r="D2221" t="s">
        <v>113</v>
      </c>
      <c r="E2221" t="s">
        <v>43</v>
      </c>
      <c r="F2221" t="s">
        <v>44</v>
      </c>
      <c r="G2221" t="s">
        <v>36</v>
      </c>
      <c r="H2221">
        <v>1</v>
      </c>
      <c r="I2221" s="2">
        <v>1207.23</v>
      </c>
      <c r="J2221" s="2">
        <v>1207.23</v>
      </c>
      <c r="K2221" s="2">
        <f t="shared" si="103"/>
        <v>1207.23</v>
      </c>
      <c r="L2221" s="2">
        <f t="shared" si="104"/>
        <v>0</v>
      </c>
      <c r="M2221" t="s">
        <v>48</v>
      </c>
      <c r="N2221" t="s">
        <v>21</v>
      </c>
    </row>
    <row r="2222" spans="1:14" x14ac:dyDescent="0.3">
      <c r="A2222">
        <v>2024003220</v>
      </c>
      <c r="B2222" s="1">
        <v>45463</v>
      </c>
      <c r="C2222" s="11">
        <f t="shared" si="102"/>
        <v>2024</v>
      </c>
      <c r="D2222" t="s">
        <v>230</v>
      </c>
      <c r="E2222" t="s">
        <v>67</v>
      </c>
      <c r="F2222" t="s">
        <v>68</v>
      </c>
      <c r="G2222" t="s">
        <v>36</v>
      </c>
      <c r="H2222">
        <v>1</v>
      </c>
      <c r="I2222" s="2">
        <v>382.89</v>
      </c>
      <c r="J2222" s="2">
        <v>382.89</v>
      </c>
      <c r="K2222" s="2">
        <f t="shared" si="103"/>
        <v>382.89</v>
      </c>
      <c r="L2222" s="2">
        <f t="shared" si="104"/>
        <v>0</v>
      </c>
      <c r="M2222" t="s">
        <v>15</v>
      </c>
      <c r="N2222" t="s">
        <v>32</v>
      </c>
    </row>
    <row r="2223" spans="1:14" x14ac:dyDescent="0.3">
      <c r="A2223">
        <v>2024003221</v>
      </c>
      <c r="B2223" s="1">
        <v>45400</v>
      </c>
      <c r="C2223" s="11">
        <f t="shared" si="102"/>
        <v>2024</v>
      </c>
      <c r="D2223" t="s">
        <v>292</v>
      </c>
      <c r="E2223" t="s">
        <v>12</v>
      </c>
      <c r="F2223" t="s">
        <v>13</v>
      </c>
      <c r="G2223" t="s">
        <v>14</v>
      </c>
      <c r="H2223">
        <v>2</v>
      </c>
      <c r="I2223" s="2">
        <v>345.21</v>
      </c>
      <c r="J2223" s="2">
        <v>690.42</v>
      </c>
      <c r="K2223" s="2">
        <f t="shared" si="103"/>
        <v>690.42</v>
      </c>
      <c r="L2223" s="2">
        <f t="shared" si="104"/>
        <v>0</v>
      </c>
      <c r="M2223" t="s">
        <v>57</v>
      </c>
      <c r="N2223" t="s">
        <v>16</v>
      </c>
    </row>
    <row r="2224" spans="1:14" x14ac:dyDescent="0.3">
      <c r="A2224">
        <v>2024003222</v>
      </c>
      <c r="B2224" s="1">
        <v>45565</v>
      </c>
      <c r="C2224" s="11">
        <f t="shared" si="102"/>
        <v>2024</v>
      </c>
      <c r="D2224" t="s">
        <v>272</v>
      </c>
      <c r="E2224" t="s">
        <v>34</v>
      </c>
      <c r="F2224" t="s">
        <v>35</v>
      </c>
      <c r="G2224" t="s">
        <v>36</v>
      </c>
      <c r="H2224">
        <v>1</v>
      </c>
      <c r="I2224" s="2">
        <v>13.8</v>
      </c>
      <c r="J2224" s="2">
        <v>13.8</v>
      </c>
      <c r="K2224" s="2">
        <f t="shared" si="103"/>
        <v>13.8</v>
      </c>
      <c r="L2224" s="2">
        <f t="shared" si="104"/>
        <v>0</v>
      </c>
      <c r="M2224" t="s">
        <v>57</v>
      </c>
      <c r="N2224" t="s">
        <v>26</v>
      </c>
    </row>
    <row r="2225" spans="1:14" x14ac:dyDescent="0.3">
      <c r="A2225">
        <v>2024003223</v>
      </c>
      <c r="B2225" s="1">
        <v>45487</v>
      </c>
      <c r="C2225" s="11">
        <f t="shared" si="102"/>
        <v>2024</v>
      </c>
      <c r="D2225" t="s">
        <v>347</v>
      </c>
      <c r="E2225" t="s">
        <v>23</v>
      </c>
      <c r="F2225" t="s">
        <v>24</v>
      </c>
      <c r="G2225" t="s">
        <v>14</v>
      </c>
      <c r="H2225">
        <v>1</v>
      </c>
      <c r="I2225" s="2">
        <v>80.569999999999993</v>
      </c>
      <c r="J2225" s="2">
        <v>80.569999999999993</v>
      </c>
      <c r="K2225" s="2">
        <f t="shared" si="103"/>
        <v>80.569999999999993</v>
      </c>
      <c r="L2225" s="2">
        <f t="shared" si="104"/>
        <v>0</v>
      </c>
      <c r="M2225" t="s">
        <v>61</v>
      </c>
      <c r="N2225" t="s">
        <v>21</v>
      </c>
    </row>
    <row r="2226" spans="1:14" x14ac:dyDescent="0.3">
      <c r="A2226">
        <v>2024003224</v>
      </c>
      <c r="B2226" s="1">
        <v>45600</v>
      </c>
      <c r="C2226" s="11">
        <f t="shared" si="102"/>
        <v>2024</v>
      </c>
      <c r="D2226" t="s">
        <v>11</v>
      </c>
      <c r="E2226" t="s">
        <v>40</v>
      </c>
      <c r="F2226" t="s">
        <v>41</v>
      </c>
      <c r="G2226" t="s">
        <v>36</v>
      </c>
      <c r="H2226">
        <v>2</v>
      </c>
      <c r="I2226" s="2">
        <v>48.19</v>
      </c>
      <c r="J2226" s="2">
        <v>96.38</v>
      </c>
      <c r="K2226" s="2">
        <f t="shared" si="103"/>
        <v>96.38</v>
      </c>
      <c r="L2226" s="2">
        <f t="shared" si="104"/>
        <v>0</v>
      </c>
      <c r="M2226" t="s">
        <v>15</v>
      </c>
      <c r="N2226" t="s">
        <v>32</v>
      </c>
    </row>
    <row r="2227" spans="1:14" x14ac:dyDescent="0.3">
      <c r="A2227">
        <v>2024003225</v>
      </c>
      <c r="B2227" s="1">
        <v>45404</v>
      </c>
      <c r="C2227" s="11">
        <f t="shared" si="102"/>
        <v>2024</v>
      </c>
      <c r="D2227" t="s">
        <v>115</v>
      </c>
      <c r="E2227" t="s">
        <v>67</v>
      </c>
      <c r="F2227" t="s">
        <v>68</v>
      </c>
      <c r="G2227" t="s">
        <v>36</v>
      </c>
      <c r="H2227">
        <v>1</v>
      </c>
      <c r="I2227" s="2">
        <v>399.24</v>
      </c>
      <c r="J2227" s="2">
        <v>399.24</v>
      </c>
      <c r="K2227" s="2">
        <f t="shared" si="103"/>
        <v>399.24</v>
      </c>
      <c r="L2227" s="2">
        <f t="shared" si="104"/>
        <v>0</v>
      </c>
      <c r="M2227" t="s">
        <v>15</v>
      </c>
      <c r="N2227" t="s">
        <v>21</v>
      </c>
    </row>
    <row r="2228" spans="1:14" x14ac:dyDescent="0.3">
      <c r="A2228">
        <v>2024003226</v>
      </c>
      <c r="B2228" s="1">
        <v>45638</v>
      </c>
      <c r="C2228" s="11">
        <f t="shared" si="102"/>
        <v>2024</v>
      </c>
      <c r="D2228" t="s">
        <v>129</v>
      </c>
      <c r="E2228" t="s">
        <v>67</v>
      </c>
      <c r="F2228" t="s">
        <v>68</v>
      </c>
      <c r="G2228" t="s">
        <v>36</v>
      </c>
      <c r="H2228">
        <v>4</v>
      </c>
      <c r="I2228" s="2">
        <v>430.47</v>
      </c>
      <c r="J2228" s="2">
        <v>1721.88</v>
      </c>
      <c r="K2228" s="2">
        <f t="shared" si="103"/>
        <v>1721.88</v>
      </c>
      <c r="L2228" s="2">
        <f t="shared" si="104"/>
        <v>0</v>
      </c>
      <c r="M2228" t="s">
        <v>25</v>
      </c>
      <c r="N2228" t="s">
        <v>21</v>
      </c>
    </row>
    <row r="2229" spans="1:14" x14ac:dyDescent="0.3">
      <c r="A2229">
        <v>2024003227</v>
      </c>
      <c r="B2229" s="1">
        <v>45322</v>
      </c>
      <c r="C2229" s="11">
        <f t="shared" si="102"/>
        <v>2024</v>
      </c>
      <c r="D2229" t="s">
        <v>66</v>
      </c>
      <c r="E2229" t="s">
        <v>28</v>
      </c>
      <c r="F2229" t="s">
        <v>29</v>
      </c>
      <c r="G2229" t="s">
        <v>30</v>
      </c>
      <c r="H2229">
        <v>2</v>
      </c>
      <c r="I2229" s="2">
        <v>24.17</v>
      </c>
      <c r="J2229" s="2">
        <v>48.34</v>
      </c>
      <c r="K2229" s="2">
        <f t="shared" si="103"/>
        <v>48.34</v>
      </c>
      <c r="L2229" s="2">
        <f t="shared" si="104"/>
        <v>0</v>
      </c>
      <c r="M2229" t="s">
        <v>61</v>
      </c>
      <c r="N2229" t="s">
        <v>16</v>
      </c>
    </row>
    <row r="2230" spans="1:14" x14ac:dyDescent="0.3">
      <c r="A2230">
        <v>2024003228</v>
      </c>
      <c r="B2230" s="1">
        <v>45591</v>
      </c>
      <c r="C2230" s="11">
        <f t="shared" si="102"/>
        <v>2024</v>
      </c>
      <c r="D2230" t="s">
        <v>304</v>
      </c>
      <c r="E2230" t="s">
        <v>18</v>
      </c>
      <c r="F2230" t="s">
        <v>19</v>
      </c>
      <c r="G2230" t="s">
        <v>14</v>
      </c>
      <c r="H2230">
        <v>2</v>
      </c>
      <c r="I2230" s="2">
        <v>616.66</v>
      </c>
      <c r="J2230" s="2">
        <v>1233.32</v>
      </c>
      <c r="K2230" s="2">
        <f t="shared" si="103"/>
        <v>1233.32</v>
      </c>
      <c r="L2230" s="2">
        <f t="shared" si="104"/>
        <v>0</v>
      </c>
      <c r="M2230" t="s">
        <v>55</v>
      </c>
      <c r="N2230" t="s">
        <v>32</v>
      </c>
    </row>
    <row r="2231" spans="1:14" x14ac:dyDescent="0.3">
      <c r="A2231">
        <v>2024003229</v>
      </c>
      <c r="B2231" s="1">
        <v>45295</v>
      </c>
      <c r="C2231" s="11">
        <f t="shared" si="102"/>
        <v>2024</v>
      </c>
      <c r="D2231" t="s">
        <v>118</v>
      </c>
      <c r="E2231" t="s">
        <v>28</v>
      </c>
      <c r="F2231" t="s">
        <v>29</v>
      </c>
      <c r="G2231" t="s">
        <v>30</v>
      </c>
      <c r="H2231">
        <v>3</v>
      </c>
      <c r="I2231" s="2">
        <v>27.48</v>
      </c>
      <c r="J2231" s="2">
        <v>82.44</v>
      </c>
      <c r="K2231" s="2">
        <f t="shared" si="103"/>
        <v>82.44</v>
      </c>
      <c r="L2231" s="2">
        <f t="shared" si="104"/>
        <v>0</v>
      </c>
      <c r="M2231" t="s">
        <v>48</v>
      </c>
      <c r="N2231" t="s">
        <v>16</v>
      </c>
    </row>
    <row r="2232" spans="1:14" x14ac:dyDescent="0.3">
      <c r="A2232">
        <v>2024003230</v>
      </c>
      <c r="B2232" s="1">
        <v>45564</v>
      </c>
      <c r="C2232" s="11">
        <f t="shared" si="102"/>
        <v>2024</v>
      </c>
      <c r="D2232" t="s">
        <v>125</v>
      </c>
      <c r="E2232" t="s">
        <v>46</v>
      </c>
      <c r="F2232" t="s">
        <v>47</v>
      </c>
      <c r="G2232" t="s">
        <v>36</v>
      </c>
      <c r="H2232">
        <v>1</v>
      </c>
      <c r="I2232" s="2">
        <v>87.32</v>
      </c>
      <c r="J2232" s="2">
        <v>87.32</v>
      </c>
      <c r="K2232" s="2">
        <f t="shared" si="103"/>
        <v>87.32</v>
      </c>
      <c r="L2232" s="2">
        <f t="shared" si="104"/>
        <v>0</v>
      </c>
      <c r="M2232" t="s">
        <v>61</v>
      </c>
      <c r="N2232" t="s">
        <v>21</v>
      </c>
    </row>
    <row r="2233" spans="1:14" x14ac:dyDescent="0.3">
      <c r="A2233">
        <v>2024003231</v>
      </c>
      <c r="B2233" s="1">
        <v>45602</v>
      </c>
      <c r="C2233" s="11">
        <f t="shared" si="102"/>
        <v>2024</v>
      </c>
      <c r="D2233" t="s">
        <v>311</v>
      </c>
      <c r="E2233" t="s">
        <v>40</v>
      </c>
      <c r="F2233" t="s">
        <v>41</v>
      </c>
      <c r="G2233" t="s">
        <v>36</v>
      </c>
      <c r="H2233">
        <v>1</v>
      </c>
      <c r="I2233" s="2">
        <v>45.94</v>
      </c>
      <c r="J2233" s="2">
        <v>45.94</v>
      </c>
      <c r="K2233" s="2">
        <f t="shared" si="103"/>
        <v>45.94</v>
      </c>
      <c r="L2233" s="2">
        <f t="shared" si="104"/>
        <v>0</v>
      </c>
      <c r="M2233" t="s">
        <v>61</v>
      </c>
      <c r="N2233" t="s">
        <v>32</v>
      </c>
    </row>
    <row r="2234" spans="1:14" x14ac:dyDescent="0.3">
      <c r="A2234">
        <v>2024003232</v>
      </c>
      <c r="B2234" s="1">
        <v>45294</v>
      </c>
      <c r="C2234" s="11">
        <f t="shared" si="102"/>
        <v>2024</v>
      </c>
      <c r="D2234" t="s">
        <v>289</v>
      </c>
      <c r="E2234" t="s">
        <v>12</v>
      </c>
      <c r="F2234" t="s">
        <v>13</v>
      </c>
      <c r="G2234" t="s">
        <v>14</v>
      </c>
      <c r="H2234">
        <v>1</v>
      </c>
      <c r="I2234" s="2">
        <v>344.14</v>
      </c>
      <c r="J2234" s="2">
        <v>344.14</v>
      </c>
      <c r="K2234" s="2">
        <f t="shared" si="103"/>
        <v>344.14</v>
      </c>
      <c r="L2234" s="2">
        <f t="shared" si="104"/>
        <v>0</v>
      </c>
      <c r="M2234" t="s">
        <v>31</v>
      </c>
      <c r="N2234" t="s">
        <v>32</v>
      </c>
    </row>
    <row r="2235" spans="1:14" x14ac:dyDescent="0.3">
      <c r="A2235">
        <v>2024003233</v>
      </c>
      <c r="B2235" s="1">
        <v>45428</v>
      </c>
      <c r="C2235" s="11">
        <f t="shared" si="102"/>
        <v>2024</v>
      </c>
      <c r="D2235" t="s">
        <v>128</v>
      </c>
      <c r="E2235" t="s">
        <v>53</v>
      </c>
      <c r="F2235" t="s">
        <v>54</v>
      </c>
      <c r="G2235" t="s">
        <v>36</v>
      </c>
      <c r="H2235">
        <v>2</v>
      </c>
      <c r="I2235" s="2">
        <v>123.39</v>
      </c>
      <c r="J2235" s="2">
        <v>246.78</v>
      </c>
      <c r="K2235" s="2">
        <f t="shared" si="103"/>
        <v>246.78</v>
      </c>
      <c r="L2235" s="2">
        <f t="shared" si="104"/>
        <v>0</v>
      </c>
      <c r="M2235" t="s">
        <v>20</v>
      </c>
      <c r="N2235" t="s">
        <v>16</v>
      </c>
    </row>
    <row r="2236" spans="1:14" x14ac:dyDescent="0.3">
      <c r="A2236">
        <v>2024003234</v>
      </c>
      <c r="B2236" s="1">
        <v>45412</v>
      </c>
      <c r="C2236" s="11">
        <f t="shared" si="102"/>
        <v>2024</v>
      </c>
      <c r="D2236" t="s">
        <v>185</v>
      </c>
      <c r="E2236" t="s">
        <v>23</v>
      </c>
      <c r="F2236" t="s">
        <v>24</v>
      </c>
      <c r="G2236" t="s">
        <v>14</v>
      </c>
      <c r="H2236">
        <v>3</v>
      </c>
      <c r="I2236" s="2">
        <v>81.96</v>
      </c>
      <c r="J2236" s="2">
        <v>245.88</v>
      </c>
      <c r="K2236" s="2">
        <f t="shared" si="103"/>
        <v>245.88</v>
      </c>
      <c r="L2236" s="2">
        <f t="shared" si="104"/>
        <v>0</v>
      </c>
      <c r="M2236" t="s">
        <v>31</v>
      </c>
      <c r="N2236" t="s">
        <v>32</v>
      </c>
    </row>
    <row r="2237" spans="1:14" x14ac:dyDescent="0.3">
      <c r="A2237">
        <v>2024003235</v>
      </c>
      <c r="B2237" s="1">
        <v>45301</v>
      </c>
      <c r="C2237" s="11">
        <f t="shared" si="102"/>
        <v>2024</v>
      </c>
      <c r="D2237" t="s">
        <v>108</v>
      </c>
      <c r="E2237" t="s">
        <v>46</v>
      </c>
      <c r="F2237" t="s">
        <v>47</v>
      </c>
      <c r="G2237" t="s">
        <v>36</v>
      </c>
      <c r="H2237">
        <v>1</v>
      </c>
      <c r="I2237" s="2">
        <v>90.25</v>
      </c>
      <c r="J2237" s="2">
        <v>90.25</v>
      </c>
      <c r="K2237" s="2">
        <f t="shared" si="103"/>
        <v>90.25</v>
      </c>
      <c r="L2237" s="2">
        <f t="shared" si="104"/>
        <v>0</v>
      </c>
      <c r="M2237" t="s">
        <v>57</v>
      </c>
      <c r="N2237" t="s">
        <v>21</v>
      </c>
    </row>
    <row r="2238" spans="1:14" x14ac:dyDescent="0.3">
      <c r="A2238">
        <v>2024003236</v>
      </c>
      <c r="B2238" s="1">
        <v>45329</v>
      </c>
      <c r="C2238" s="11">
        <f t="shared" si="102"/>
        <v>2024</v>
      </c>
      <c r="D2238" t="s">
        <v>11</v>
      </c>
      <c r="E2238" t="s">
        <v>67</v>
      </c>
      <c r="F2238" t="s">
        <v>68</v>
      </c>
      <c r="G2238" t="s">
        <v>36</v>
      </c>
      <c r="H2238">
        <v>2</v>
      </c>
      <c r="I2238" s="2">
        <v>393.78</v>
      </c>
      <c r="J2238" s="2">
        <v>787.56</v>
      </c>
      <c r="K2238" s="2">
        <f t="shared" si="103"/>
        <v>787.56</v>
      </c>
      <c r="L2238" s="2">
        <f t="shared" si="104"/>
        <v>0</v>
      </c>
      <c r="M2238" t="s">
        <v>25</v>
      </c>
      <c r="N2238" t="s">
        <v>16</v>
      </c>
    </row>
    <row r="2239" spans="1:14" x14ac:dyDescent="0.3">
      <c r="A2239">
        <v>2024003237</v>
      </c>
      <c r="B2239" s="1">
        <v>45353</v>
      </c>
      <c r="C2239" s="11">
        <f t="shared" si="102"/>
        <v>2024</v>
      </c>
      <c r="D2239" t="s">
        <v>113</v>
      </c>
      <c r="E2239" t="s">
        <v>12</v>
      </c>
      <c r="F2239" t="s">
        <v>13</v>
      </c>
      <c r="G2239" t="s">
        <v>14</v>
      </c>
      <c r="H2239">
        <v>1</v>
      </c>
      <c r="I2239" s="2">
        <v>357.04</v>
      </c>
      <c r="J2239" s="2">
        <v>357.04</v>
      </c>
      <c r="K2239" s="2">
        <f t="shared" si="103"/>
        <v>357.04</v>
      </c>
      <c r="L2239" s="2">
        <f t="shared" si="104"/>
        <v>0</v>
      </c>
      <c r="M2239" t="s">
        <v>20</v>
      </c>
      <c r="N2239" t="s">
        <v>32</v>
      </c>
    </row>
    <row r="2240" spans="1:14" x14ac:dyDescent="0.3">
      <c r="A2240">
        <v>2024003238</v>
      </c>
      <c r="B2240" s="1">
        <v>45338</v>
      </c>
      <c r="C2240" s="11">
        <f t="shared" si="102"/>
        <v>2024</v>
      </c>
      <c r="D2240" t="s">
        <v>11</v>
      </c>
      <c r="E2240" t="s">
        <v>12</v>
      </c>
      <c r="F2240" t="s">
        <v>13</v>
      </c>
      <c r="G2240" t="s">
        <v>14</v>
      </c>
      <c r="H2240">
        <v>3</v>
      </c>
      <c r="I2240" s="2">
        <v>373.03</v>
      </c>
      <c r="J2240" s="2">
        <v>1119.0899999999999</v>
      </c>
      <c r="K2240" s="2">
        <f t="shared" si="103"/>
        <v>1119.0899999999999</v>
      </c>
      <c r="L2240" s="2">
        <f t="shared" si="104"/>
        <v>0</v>
      </c>
      <c r="M2240" t="s">
        <v>55</v>
      </c>
      <c r="N2240" t="s">
        <v>21</v>
      </c>
    </row>
    <row r="2241" spans="1:14" x14ac:dyDescent="0.3">
      <c r="A2241">
        <v>2024003239</v>
      </c>
      <c r="B2241" s="1">
        <v>45611</v>
      </c>
      <c r="C2241" s="11">
        <f t="shared" si="102"/>
        <v>2024</v>
      </c>
      <c r="D2241" t="s">
        <v>252</v>
      </c>
      <c r="E2241" t="s">
        <v>18</v>
      </c>
      <c r="F2241" t="s">
        <v>19</v>
      </c>
      <c r="G2241" t="s">
        <v>14</v>
      </c>
      <c r="H2241">
        <v>1</v>
      </c>
      <c r="I2241" s="2">
        <v>594.04</v>
      </c>
      <c r="J2241" s="2">
        <v>594.04</v>
      </c>
      <c r="K2241" s="2">
        <f t="shared" si="103"/>
        <v>594.04</v>
      </c>
      <c r="L2241" s="2">
        <f t="shared" si="104"/>
        <v>0</v>
      </c>
      <c r="M2241" t="s">
        <v>31</v>
      </c>
      <c r="N2241" t="s">
        <v>32</v>
      </c>
    </row>
    <row r="2242" spans="1:14" x14ac:dyDescent="0.3">
      <c r="A2242">
        <v>2024003240</v>
      </c>
      <c r="B2242" s="1">
        <v>45511</v>
      </c>
      <c r="C2242" s="11">
        <f t="shared" si="102"/>
        <v>2024</v>
      </c>
      <c r="D2242" t="s">
        <v>88</v>
      </c>
      <c r="E2242" t="s">
        <v>28</v>
      </c>
      <c r="F2242" t="s">
        <v>29</v>
      </c>
      <c r="G2242" t="s">
        <v>30</v>
      </c>
      <c r="H2242">
        <v>2</v>
      </c>
      <c r="I2242" s="2">
        <v>24.68</v>
      </c>
      <c r="J2242" s="2">
        <v>49.36</v>
      </c>
      <c r="K2242" s="2">
        <f t="shared" si="103"/>
        <v>49.36</v>
      </c>
      <c r="L2242" s="2">
        <f t="shared" si="104"/>
        <v>0</v>
      </c>
      <c r="M2242" t="s">
        <v>57</v>
      </c>
      <c r="N2242" t="s">
        <v>26</v>
      </c>
    </row>
    <row r="2243" spans="1:14" x14ac:dyDescent="0.3">
      <c r="A2243">
        <v>2024003241</v>
      </c>
      <c r="B2243" s="1">
        <v>45325</v>
      </c>
      <c r="C2243" s="11">
        <f t="shared" ref="C2243:C2306" si="105">YEAR(B2243)</f>
        <v>2024</v>
      </c>
      <c r="D2243" t="s">
        <v>283</v>
      </c>
      <c r="E2243" t="s">
        <v>23</v>
      </c>
      <c r="F2243" t="s">
        <v>24</v>
      </c>
      <c r="G2243" t="s">
        <v>14</v>
      </c>
      <c r="H2243">
        <v>1</v>
      </c>
      <c r="I2243" s="2">
        <v>79.239999999999995</v>
      </c>
      <c r="J2243" s="2">
        <v>79.239999999999995</v>
      </c>
      <c r="K2243" s="2">
        <f t="shared" ref="K2243:K2306" si="106">I2243*H2243</f>
        <v>79.239999999999995</v>
      </c>
      <c r="L2243" s="2">
        <f t="shared" ref="L2243:L2306" si="107">J2243-K2243</f>
        <v>0</v>
      </c>
      <c r="M2243" t="s">
        <v>38</v>
      </c>
      <c r="N2243" t="s">
        <v>16</v>
      </c>
    </row>
    <row r="2244" spans="1:14" x14ac:dyDescent="0.3">
      <c r="A2244">
        <v>2024003242</v>
      </c>
      <c r="B2244" s="1">
        <v>45521</v>
      </c>
      <c r="C2244" s="11">
        <f t="shared" si="105"/>
        <v>2024</v>
      </c>
      <c r="D2244" t="s">
        <v>11</v>
      </c>
      <c r="E2244" t="s">
        <v>18</v>
      </c>
      <c r="F2244" t="s">
        <v>19</v>
      </c>
      <c r="G2244" t="s">
        <v>14</v>
      </c>
      <c r="H2244">
        <v>1</v>
      </c>
      <c r="I2244" s="2">
        <v>569.44000000000005</v>
      </c>
      <c r="J2244" s="2">
        <v>569.44000000000005</v>
      </c>
      <c r="K2244" s="2">
        <f t="shared" si="106"/>
        <v>569.44000000000005</v>
      </c>
      <c r="L2244" s="2">
        <f t="shared" si="107"/>
        <v>0</v>
      </c>
      <c r="M2244" t="s">
        <v>20</v>
      </c>
      <c r="N2244" t="s">
        <v>26</v>
      </c>
    </row>
    <row r="2245" spans="1:14" x14ac:dyDescent="0.3">
      <c r="A2245">
        <v>2024003243</v>
      </c>
      <c r="B2245" s="1">
        <v>45589</v>
      </c>
      <c r="C2245" s="11">
        <f t="shared" si="105"/>
        <v>2024</v>
      </c>
      <c r="D2245" t="s">
        <v>302</v>
      </c>
      <c r="E2245" t="s">
        <v>28</v>
      </c>
      <c r="F2245" t="s">
        <v>29</v>
      </c>
      <c r="G2245" t="s">
        <v>30</v>
      </c>
      <c r="H2245">
        <v>1</v>
      </c>
      <c r="I2245" s="2">
        <v>24.81</v>
      </c>
      <c r="J2245" s="2">
        <v>24.81</v>
      </c>
      <c r="K2245" s="2">
        <f t="shared" si="106"/>
        <v>24.81</v>
      </c>
      <c r="L2245" s="2">
        <f t="shared" si="107"/>
        <v>0</v>
      </c>
      <c r="M2245" t="s">
        <v>25</v>
      </c>
      <c r="N2245" t="s">
        <v>32</v>
      </c>
    </row>
    <row r="2246" spans="1:14" x14ac:dyDescent="0.3">
      <c r="A2246">
        <v>2024003244</v>
      </c>
      <c r="B2246" s="1">
        <v>45307</v>
      </c>
      <c r="C2246" s="11">
        <f t="shared" si="105"/>
        <v>2024</v>
      </c>
      <c r="D2246" t="s">
        <v>317</v>
      </c>
      <c r="E2246" t="s">
        <v>18</v>
      </c>
      <c r="F2246" t="s">
        <v>19</v>
      </c>
      <c r="G2246" t="s">
        <v>14</v>
      </c>
      <c r="H2246">
        <v>1</v>
      </c>
      <c r="I2246" s="2">
        <v>648.66</v>
      </c>
      <c r="J2246" s="2">
        <v>648.66</v>
      </c>
      <c r="K2246" s="2">
        <f t="shared" si="106"/>
        <v>648.66</v>
      </c>
      <c r="L2246" s="2">
        <f t="shared" si="107"/>
        <v>0</v>
      </c>
      <c r="M2246" t="s">
        <v>15</v>
      </c>
      <c r="N2246" t="s">
        <v>21</v>
      </c>
    </row>
    <row r="2247" spans="1:14" x14ac:dyDescent="0.3">
      <c r="A2247">
        <v>2024003245</v>
      </c>
      <c r="B2247" s="1">
        <v>45468</v>
      </c>
      <c r="C2247" s="11">
        <f t="shared" si="105"/>
        <v>2024</v>
      </c>
      <c r="D2247" t="s">
        <v>124</v>
      </c>
      <c r="E2247" t="s">
        <v>28</v>
      </c>
      <c r="F2247" t="s">
        <v>29</v>
      </c>
      <c r="G2247" t="s">
        <v>30</v>
      </c>
      <c r="H2247">
        <v>4</v>
      </c>
      <c r="I2247" s="2">
        <v>24.35</v>
      </c>
      <c r="J2247" s="2">
        <v>97.4</v>
      </c>
      <c r="K2247" s="2">
        <f t="shared" si="106"/>
        <v>97.4</v>
      </c>
      <c r="L2247" s="2">
        <f t="shared" si="107"/>
        <v>0</v>
      </c>
      <c r="M2247" t="s">
        <v>25</v>
      </c>
      <c r="N2247" t="s">
        <v>26</v>
      </c>
    </row>
    <row r="2248" spans="1:14" x14ac:dyDescent="0.3">
      <c r="A2248">
        <v>2024003246</v>
      </c>
      <c r="B2248" s="1">
        <v>45515</v>
      </c>
      <c r="C2248" s="11">
        <f t="shared" si="105"/>
        <v>2024</v>
      </c>
      <c r="D2248" t="s">
        <v>50</v>
      </c>
      <c r="E2248" t="s">
        <v>18</v>
      </c>
      <c r="F2248" t="s">
        <v>19</v>
      </c>
      <c r="G2248" t="s">
        <v>14</v>
      </c>
      <c r="H2248">
        <v>1</v>
      </c>
      <c r="I2248" s="2">
        <v>615.84</v>
      </c>
      <c r="J2248" s="2">
        <v>615.84</v>
      </c>
      <c r="K2248" s="2">
        <f t="shared" si="106"/>
        <v>615.84</v>
      </c>
      <c r="L2248" s="2">
        <f t="shared" si="107"/>
        <v>0</v>
      </c>
      <c r="M2248" t="s">
        <v>55</v>
      </c>
      <c r="N2248" t="s">
        <v>21</v>
      </c>
    </row>
    <row r="2249" spans="1:14" x14ac:dyDescent="0.3">
      <c r="A2249">
        <v>2024003247</v>
      </c>
      <c r="B2249" s="1">
        <v>45311</v>
      </c>
      <c r="C2249" s="11">
        <f t="shared" si="105"/>
        <v>2024</v>
      </c>
      <c r="D2249" t="s">
        <v>285</v>
      </c>
      <c r="E2249" t="s">
        <v>67</v>
      </c>
      <c r="F2249" t="s">
        <v>68</v>
      </c>
      <c r="G2249" t="s">
        <v>36</v>
      </c>
      <c r="H2249">
        <v>1</v>
      </c>
      <c r="I2249" s="2">
        <v>384.63</v>
      </c>
      <c r="J2249" s="2">
        <v>384.63</v>
      </c>
      <c r="K2249" s="2">
        <f t="shared" si="106"/>
        <v>384.63</v>
      </c>
      <c r="L2249" s="2">
        <f t="shared" si="107"/>
        <v>0</v>
      </c>
      <c r="M2249" t="s">
        <v>48</v>
      </c>
      <c r="N2249" t="s">
        <v>21</v>
      </c>
    </row>
    <row r="2250" spans="1:14" x14ac:dyDescent="0.3">
      <c r="A2250">
        <v>2024003248</v>
      </c>
      <c r="B2250" s="1">
        <v>45471</v>
      </c>
      <c r="C2250" s="11">
        <f t="shared" si="105"/>
        <v>2024</v>
      </c>
      <c r="D2250" t="s">
        <v>74</v>
      </c>
      <c r="E2250" t="s">
        <v>28</v>
      </c>
      <c r="F2250" t="s">
        <v>29</v>
      </c>
      <c r="G2250" t="s">
        <v>30</v>
      </c>
      <c r="H2250">
        <v>1</v>
      </c>
      <c r="I2250" s="2">
        <v>26.3</v>
      </c>
      <c r="J2250" s="2">
        <v>26.3</v>
      </c>
      <c r="K2250" s="2">
        <f t="shared" si="106"/>
        <v>26.3</v>
      </c>
      <c r="L2250" s="2">
        <f t="shared" si="107"/>
        <v>0</v>
      </c>
      <c r="M2250" t="s">
        <v>64</v>
      </c>
      <c r="N2250" t="s">
        <v>16</v>
      </c>
    </row>
    <row r="2251" spans="1:14" x14ac:dyDescent="0.3">
      <c r="A2251">
        <v>2024003249</v>
      </c>
      <c r="B2251" s="1">
        <v>45305</v>
      </c>
      <c r="C2251" s="11">
        <f t="shared" si="105"/>
        <v>2024</v>
      </c>
      <c r="D2251" t="s">
        <v>72</v>
      </c>
      <c r="E2251" t="s">
        <v>43</v>
      </c>
      <c r="F2251" t="s">
        <v>44</v>
      </c>
      <c r="G2251" t="s">
        <v>36</v>
      </c>
      <c r="H2251">
        <v>1</v>
      </c>
      <c r="I2251" s="2">
        <v>1157.57</v>
      </c>
      <c r="J2251" s="2">
        <v>1157.57</v>
      </c>
      <c r="K2251" s="2">
        <f t="shared" si="106"/>
        <v>1157.57</v>
      </c>
      <c r="L2251" s="2">
        <f t="shared" si="107"/>
        <v>0</v>
      </c>
      <c r="M2251" t="s">
        <v>55</v>
      </c>
      <c r="N2251" t="s">
        <v>21</v>
      </c>
    </row>
    <row r="2252" spans="1:14" x14ac:dyDescent="0.3">
      <c r="A2252">
        <v>2024003250</v>
      </c>
      <c r="B2252" s="1">
        <v>45443</v>
      </c>
      <c r="C2252" s="11">
        <f t="shared" si="105"/>
        <v>2024</v>
      </c>
      <c r="D2252" t="s">
        <v>231</v>
      </c>
      <c r="E2252" t="s">
        <v>12</v>
      </c>
      <c r="F2252" t="s">
        <v>13</v>
      </c>
      <c r="G2252" t="s">
        <v>14</v>
      </c>
      <c r="H2252">
        <v>1</v>
      </c>
      <c r="I2252" s="2">
        <v>354.62</v>
      </c>
      <c r="J2252" s="2">
        <v>354.62</v>
      </c>
      <c r="K2252" s="2">
        <f t="shared" si="106"/>
        <v>354.62</v>
      </c>
      <c r="L2252" s="2">
        <f t="shared" si="107"/>
        <v>0</v>
      </c>
      <c r="M2252" t="s">
        <v>25</v>
      </c>
      <c r="N2252" t="s">
        <v>21</v>
      </c>
    </row>
    <row r="2253" spans="1:14" x14ac:dyDescent="0.3">
      <c r="A2253">
        <v>2024003251</v>
      </c>
      <c r="B2253" s="1">
        <v>45295</v>
      </c>
      <c r="C2253" s="11">
        <f t="shared" si="105"/>
        <v>2024</v>
      </c>
      <c r="D2253" t="s">
        <v>96</v>
      </c>
      <c r="E2253" t="s">
        <v>18</v>
      </c>
      <c r="F2253" t="s">
        <v>19</v>
      </c>
      <c r="G2253" t="s">
        <v>14</v>
      </c>
      <c r="H2253">
        <v>1</v>
      </c>
      <c r="I2253" s="2">
        <v>561.48</v>
      </c>
      <c r="J2253" s="2">
        <v>561.48</v>
      </c>
      <c r="K2253" s="2">
        <f t="shared" si="106"/>
        <v>561.48</v>
      </c>
      <c r="L2253" s="2">
        <f t="shared" si="107"/>
        <v>0</v>
      </c>
      <c r="M2253" t="s">
        <v>57</v>
      </c>
      <c r="N2253" t="s">
        <v>21</v>
      </c>
    </row>
    <row r="2254" spans="1:14" x14ac:dyDescent="0.3">
      <c r="A2254">
        <v>2024003252</v>
      </c>
      <c r="B2254" s="1">
        <v>45595</v>
      </c>
      <c r="C2254" s="11">
        <f t="shared" si="105"/>
        <v>2024</v>
      </c>
      <c r="D2254" t="s">
        <v>237</v>
      </c>
      <c r="E2254" t="s">
        <v>12</v>
      </c>
      <c r="F2254" t="s">
        <v>13</v>
      </c>
      <c r="G2254" t="s">
        <v>14</v>
      </c>
      <c r="H2254">
        <v>5</v>
      </c>
      <c r="I2254" s="2">
        <v>368.24</v>
      </c>
      <c r="J2254" s="2">
        <v>1841.2</v>
      </c>
      <c r="K2254" s="2">
        <f t="shared" si="106"/>
        <v>1841.2</v>
      </c>
      <c r="L2254" s="2">
        <f t="shared" si="107"/>
        <v>0</v>
      </c>
      <c r="M2254" t="s">
        <v>15</v>
      </c>
      <c r="N2254" t="s">
        <v>16</v>
      </c>
    </row>
    <row r="2255" spans="1:14" x14ac:dyDescent="0.3">
      <c r="A2255">
        <v>2024003253</v>
      </c>
      <c r="B2255" s="1">
        <v>45567</v>
      </c>
      <c r="C2255" s="11">
        <f t="shared" si="105"/>
        <v>2024</v>
      </c>
      <c r="D2255" t="s">
        <v>11</v>
      </c>
      <c r="E2255" t="s">
        <v>40</v>
      </c>
      <c r="F2255" t="s">
        <v>41</v>
      </c>
      <c r="G2255" t="s">
        <v>36</v>
      </c>
      <c r="H2255">
        <v>1</v>
      </c>
      <c r="I2255" s="2">
        <v>45.52</v>
      </c>
      <c r="J2255" s="2">
        <v>45.52</v>
      </c>
      <c r="K2255" s="2">
        <f t="shared" si="106"/>
        <v>45.52</v>
      </c>
      <c r="L2255" s="2">
        <f t="shared" si="107"/>
        <v>0</v>
      </c>
      <c r="M2255" t="s">
        <v>55</v>
      </c>
      <c r="N2255" t="s">
        <v>32</v>
      </c>
    </row>
    <row r="2256" spans="1:14" x14ac:dyDescent="0.3">
      <c r="A2256">
        <v>2024003254</v>
      </c>
      <c r="B2256" s="1">
        <v>45634</v>
      </c>
      <c r="C2256" s="11">
        <f t="shared" si="105"/>
        <v>2024</v>
      </c>
      <c r="D2256" t="s">
        <v>149</v>
      </c>
      <c r="E2256" t="s">
        <v>46</v>
      </c>
      <c r="F2256" t="s">
        <v>47</v>
      </c>
      <c r="G2256" t="s">
        <v>36</v>
      </c>
      <c r="H2256">
        <v>1</v>
      </c>
      <c r="I2256" s="2">
        <v>81.5</v>
      </c>
      <c r="J2256" s="2">
        <v>81.5</v>
      </c>
      <c r="K2256" s="2">
        <f t="shared" si="106"/>
        <v>81.5</v>
      </c>
      <c r="L2256" s="2">
        <f t="shared" si="107"/>
        <v>0</v>
      </c>
      <c r="M2256" t="s">
        <v>48</v>
      </c>
      <c r="N2256" t="s">
        <v>21</v>
      </c>
    </row>
    <row r="2257" spans="1:14" x14ac:dyDescent="0.3">
      <c r="A2257">
        <v>2024003255</v>
      </c>
      <c r="B2257" s="1">
        <v>45646</v>
      </c>
      <c r="C2257" s="11">
        <f t="shared" si="105"/>
        <v>2024</v>
      </c>
      <c r="D2257" t="s">
        <v>318</v>
      </c>
      <c r="E2257" t="s">
        <v>18</v>
      </c>
      <c r="F2257" t="s">
        <v>19</v>
      </c>
      <c r="G2257" t="s">
        <v>14</v>
      </c>
      <c r="H2257">
        <v>1</v>
      </c>
      <c r="I2257" s="2">
        <v>593.1</v>
      </c>
      <c r="J2257" s="2">
        <v>593.1</v>
      </c>
      <c r="K2257" s="2">
        <f t="shared" si="106"/>
        <v>593.1</v>
      </c>
      <c r="L2257" s="2">
        <f t="shared" si="107"/>
        <v>0</v>
      </c>
      <c r="M2257" t="s">
        <v>61</v>
      </c>
      <c r="N2257" t="s">
        <v>32</v>
      </c>
    </row>
    <row r="2258" spans="1:14" x14ac:dyDescent="0.3">
      <c r="A2258">
        <v>2024003256</v>
      </c>
      <c r="B2258" s="1">
        <v>45378</v>
      </c>
      <c r="C2258" s="11">
        <f t="shared" si="105"/>
        <v>2024</v>
      </c>
      <c r="D2258" t="s">
        <v>135</v>
      </c>
      <c r="E2258" t="s">
        <v>23</v>
      </c>
      <c r="F2258" t="s">
        <v>24</v>
      </c>
      <c r="G2258" t="s">
        <v>14</v>
      </c>
      <c r="H2258">
        <v>1</v>
      </c>
      <c r="I2258" s="2">
        <v>78.95</v>
      </c>
      <c r="J2258" s="2">
        <v>78.95</v>
      </c>
      <c r="K2258" s="2">
        <f t="shared" si="106"/>
        <v>78.95</v>
      </c>
      <c r="L2258" s="2">
        <f t="shared" si="107"/>
        <v>0</v>
      </c>
      <c r="M2258" t="s">
        <v>25</v>
      </c>
      <c r="N2258" t="s">
        <v>16</v>
      </c>
    </row>
    <row r="2259" spans="1:14" x14ac:dyDescent="0.3">
      <c r="A2259">
        <v>2024003257</v>
      </c>
      <c r="B2259" s="1">
        <v>45352</v>
      </c>
      <c r="C2259" s="11">
        <f t="shared" si="105"/>
        <v>2024</v>
      </c>
      <c r="D2259" t="s">
        <v>212</v>
      </c>
      <c r="E2259" t="s">
        <v>67</v>
      </c>
      <c r="F2259" t="s">
        <v>68</v>
      </c>
      <c r="G2259" t="s">
        <v>36</v>
      </c>
      <c r="H2259">
        <v>1</v>
      </c>
      <c r="I2259" s="2">
        <v>405</v>
      </c>
      <c r="J2259" s="2">
        <v>405</v>
      </c>
      <c r="K2259" s="2">
        <f t="shared" si="106"/>
        <v>405</v>
      </c>
      <c r="L2259" s="2">
        <f t="shared" si="107"/>
        <v>0</v>
      </c>
      <c r="M2259" t="s">
        <v>57</v>
      </c>
      <c r="N2259" t="s">
        <v>32</v>
      </c>
    </row>
    <row r="2260" spans="1:14" x14ac:dyDescent="0.3">
      <c r="A2260">
        <v>2024003258</v>
      </c>
      <c r="B2260" s="1">
        <v>45655</v>
      </c>
      <c r="C2260" s="11">
        <f t="shared" si="105"/>
        <v>2024</v>
      </c>
      <c r="D2260" t="s">
        <v>136</v>
      </c>
      <c r="E2260" t="s">
        <v>53</v>
      </c>
      <c r="F2260" t="s">
        <v>54</v>
      </c>
      <c r="G2260" t="s">
        <v>36</v>
      </c>
      <c r="H2260">
        <v>1</v>
      </c>
      <c r="I2260" s="2">
        <v>109.34</v>
      </c>
      <c r="J2260" s="2">
        <v>109.34</v>
      </c>
      <c r="K2260" s="2">
        <f t="shared" si="106"/>
        <v>109.34</v>
      </c>
      <c r="L2260" s="2">
        <f t="shared" si="107"/>
        <v>0</v>
      </c>
      <c r="M2260" t="s">
        <v>31</v>
      </c>
      <c r="N2260" t="s">
        <v>21</v>
      </c>
    </row>
    <row r="2261" spans="1:14" x14ac:dyDescent="0.3">
      <c r="A2261">
        <v>2024003259</v>
      </c>
      <c r="B2261" s="1">
        <v>45583</v>
      </c>
      <c r="C2261" s="11">
        <f t="shared" si="105"/>
        <v>2024</v>
      </c>
      <c r="D2261" t="s">
        <v>95</v>
      </c>
      <c r="E2261" t="s">
        <v>28</v>
      </c>
      <c r="F2261" t="s">
        <v>29</v>
      </c>
      <c r="G2261" t="s">
        <v>30</v>
      </c>
      <c r="H2261">
        <v>1</v>
      </c>
      <c r="I2261" s="2">
        <v>27.09</v>
      </c>
      <c r="J2261" s="2">
        <v>27.09</v>
      </c>
      <c r="K2261" s="2">
        <f t="shared" si="106"/>
        <v>27.09</v>
      </c>
      <c r="L2261" s="2">
        <f t="shared" si="107"/>
        <v>0</v>
      </c>
      <c r="M2261" t="s">
        <v>55</v>
      </c>
      <c r="N2261" t="s">
        <v>21</v>
      </c>
    </row>
    <row r="2262" spans="1:14" x14ac:dyDescent="0.3">
      <c r="A2262">
        <v>2024003260</v>
      </c>
      <c r="B2262" s="1">
        <v>45626</v>
      </c>
      <c r="C2262" s="11">
        <f t="shared" si="105"/>
        <v>2024</v>
      </c>
      <c r="D2262" t="s">
        <v>11</v>
      </c>
      <c r="E2262" t="s">
        <v>67</v>
      </c>
      <c r="F2262" t="s">
        <v>68</v>
      </c>
      <c r="G2262" t="s">
        <v>36</v>
      </c>
      <c r="H2262">
        <v>2</v>
      </c>
      <c r="I2262" s="2">
        <v>405.04</v>
      </c>
      <c r="J2262" s="2">
        <v>810.08</v>
      </c>
      <c r="K2262" s="2">
        <f t="shared" si="106"/>
        <v>810.08</v>
      </c>
      <c r="L2262" s="2">
        <f t="shared" si="107"/>
        <v>0</v>
      </c>
      <c r="M2262" t="s">
        <v>61</v>
      </c>
      <c r="N2262" t="s">
        <v>32</v>
      </c>
    </row>
    <row r="2263" spans="1:14" x14ac:dyDescent="0.3">
      <c r="A2263">
        <v>2024003261</v>
      </c>
      <c r="B2263" s="1">
        <v>45532</v>
      </c>
      <c r="C2263" s="11">
        <f t="shared" si="105"/>
        <v>2024</v>
      </c>
      <c r="D2263" t="s">
        <v>222</v>
      </c>
      <c r="E2263" t="s">
        <v>40</v>
      </c>
      <c r="F2263" t="s">
        <v>41</v>
      </c>
      <c r="G2263" t="s">
        <v>36</v>
      </c>
      <c r="H2263">
        <v>1</v>
      </c>
      <c r="I2263" s="2">
        <v>46.35</v>
      </c>
      <c r="J2263" s="2">
        <v>46.35</v>
      </c>
      <c r="K2263" s="2">
        <f t="shared" si="106"/>
        <v>46.35</v>
      </c>
      <c r="L2263" s="2">
        <f t="shared" si="107"/>
        <v>0</v>
      </c>
      <c r="M2263" t="s">
        <v>57</v>
      </c>
      <c r="N2263" t="s">
        <v>16</v>
      </c>
    </row>
    <row r="2264" spans="1:14" x14ac:dyDescent="0.3">
      <c r="A2264">
        <v>2024003262</v>
      </c>
      <c r="B2264" s="1">
        <v>45619</v>
      </c>
      <c r="C2264" s="11">
        <f t="shared" si="105"/>
        <v>2024</v>
      </c>
      <c r="D2264" t="s">
        <v>315</v>
      </c>
      <c r="E2264" t="s">
        <v>46</v>
      </c>
      <c r="F2264" t="s">
        <v>47</v>
      </c>
      <c r="G2264" t="s">
        <v>36</v>
      </c>
      <c r="H2264">
        <v>1</v>
      </c>
      <c r="I2264" s="2">
        <v>98.53</v>
      </c>
      <c r="J2264" s="2">
        <v>98.53</v>
      </c>
      <c r="K2264" s="2">
        <f t="shared" si="106"/>
        <v>98.53</v>
      </c>
      <c r="L2264" s="2">
        <f t="shared" si="107"/>
        <v>0</v>
      </c>
      <c r="M2264" t="s">
        <v>57</v>
      </c>
      <c r="N2264" t="s">
        <v>16</v>
      </c>
    </row>
    <row r="2265" spans="1:14" x14ac:dyDescent="0.3">
      <c r="A2265">
        <v>2024003263</v>
      </c>
      <c r="B2265" s="1">
        <v>45384</v>
      </c>
      <c r="C2265" s="11">
        <f t="shared" si="105"/>
        <v>2024</v>
      </c>
      <c r="D2265" t="s">
        <v>233</v>
      </c>
      <c r="E2265" t="s">
        <v>12</v>
      </c>
      <c r="F2265" t="s">
        <v>13</v>
      </c>
      <c r="G2265" t="s">
        <v>14</v>
      </c>
      <c r="H2265">
        <v>1</v>
      </c>
      <c r="I2265" s="2">
        <v>347.37</v>
      </c>
      <c r="J2265" s="2">
        <v>347.37</v>
      </c>
      <c r="K2265" s="2">
        <f t="shared" si="106"/>
        <v>347.37</v>
      </c>
      <c r="L2265" s="2">
        <f t="shared" si="107"/>
        <v>0</v>
      </c>
      <c r="M2265" t="s">
        <v>57</v>
      </c>
      <c r="N2265" t="s">
        <v>26</v>
      </c>
    </row>
    <row r="2266" spans="1:14" x14ac:dyDescent="0.3">
      <c r="A2266">
        <v>2024003264</v>
      </c>
      <c r="B2266" s="1">
        <v>45480</v>
      </c>
      <c r="C2266" s="11">
        <f t="shared" si="105"/>
        <v>2024</v>
      </c>
      <c r="D2266" t="s">
        <v>11</v>
      </c>
      <c r="E2266" t="s">
        <v>23</v>
      </c>
      <c r="F2266" t="s">
        <v>24</v>
      </c>
      <c r="G2266" t="s">
        <v>14</v>
      </c>
      <c r="H2266">
        <v>3</v>
      </c>
      <c r="I2266" s="2">
        <v>79.39</v>
      </c>
      <c r="J2266" s="2">
        <v>238.17</v>
      </c>
      <c r="K2266" s="2">
        <f t="shared" si="106"/>
        <v>238.17000000000002</v>
      </c>
      <c r="L2266" s="2">
        <f t="shared" si="107"/>
        <v>0</v>
      </c>
      <c r="M2266" t="s">
        <v>55</v>
      </c>
      <c r="N2266" t="s">
        <v>16</v>
      </c>
    </row>
    <row r="2267" spans="1:14" x14ac:dyDescent="0.3">
      <c r="A2267">
        <v>2024003265</v>
      </c>
      <c r="B2267" s="1">
        <v>45375</v>
      </c>
      <c r="C2267" s="11">
        <f t="shared" si="105"/>
        <v>2024</v>
      </c>
      <c r="D2267" t="s">
        <v>289</v>
      </c>
      <c r="E2267" t="s">
        <v>43</v>
      </c>
      <c r="F2267" t="s">
        <v>44</v>
      </c>
      <c r="G2267" t="s">
        <v>36</v>
      </c>
      <c r="H2267">
        <v>2</v>
      </c>
      <c r="I2267" s="2">
        <v>1172.49</v>
      </c>
      <c r="J2267" s="2">
        <v>2344.98</v>
      </c>
      <c r="K2267" s="2">
        <f t="shared" si="106"/>
        <v>2344.98</v>
      </c>
      <c r="L2267" s="2">
        <f t="shared" si="107"/>
        <v>0</v>
      </c>
      <c r="M2267" t="s">
        <v>31</v>
      </c>
      <c r="N2267" t="s">
        <v>26</v>
      </c>
    </row>
    <row r="2268" spans="1:14" x14ac:dyDescent="0.3">
      <c r="A2268">
        <v>2024003266</v>
      </c>
      <c r="B2268" s="1">
        <v>45393</v>
      </c>
      <c r="C2268" s="11">
        <f t="shared" si="105"/>
        <v>2024</v>
      </c>
      <c r="D2268" t="s">
        <v>91</v>
      </c>
      <c r="E2268" t="s">
        <v>34</v>
      </c>
      <c r="F2268" t="s">
        <v>35</v>
      </c>
      <c r="G2268" t="s">
        <v>36</v>
      </c>
      <c r="H2268">
        <v>4</v>
      </c>
      <c r="I2268" s="2">
        <v>14.62</v>
      </c>
      <c r="J2268" s="2">
        <v>58.48</v>
      </c>
      <c r="K2268" s="2">
        <f t="shared" si="106"/>
        <v>58.48</v>
      </c>
      <c r="L2268" s="2">
        <f t="shared" si="107"/>
        <v>0</v>
      </c>
      <c r="M2268" t="s">
        <v>31</v>
      </c>
      <c r="N2268" t="s">
        <v>21</v>
      </c>
    </row>
    <row r="2269" spans="1:14" x14ac:dyDescent="0.3">
      <c r="A2269">
        <v>2024003267</v>
      </c>
      <c r="B2269" s="1">
        <v>45529</v>
      </c>
      <c r="C2269" s="11">
        <f t="shared" si="105"/>
        <v>2024</v>
      </c>
      <c r="D2269" t="s">
        <v>337</v>
      </c>
      <c r="E2269" t="s">
        <v>43</v>
      </c>
      <c r="F2269" t="s">
        <v>44</v>
      </c>
      <c r="G2269" t="s">
        <v>36</v>
      </c>
      <c r="H2269">
        <v>2</v>
      </c>
      <c r="I2269" s="2">
        <v>1426.49</v>
      </c>
      <c r="J2269" s="2">
        <v>2852.98</v>
      </c>
      <c r="K2269" s="2">
        <f t="shared" si="106"/>
        <v>2852.98</v>
      </c>
      <c r="L2269" s="2">
        <f t="shared" si="107"/>
        <v>0</v>
      </c>
      <c r="M2269" t="s">
        <v>48</v>
      </c>
      <c r="N2269" t="s">
        <v>16</v>
      </c>
    </row>
    <row r="2270" spans="1:14" x14ac:dyDescent="0.3">
      <c r="A2270">
        <v>2024003268</v>
      </c>
      <c r="B2270" s="1">
        <v>45391</v>
      </c>
      <c r="C2270" s="11">
        <f t="shared" si="105"/>
        <v>2024</v>
      </c>
      <c r="D2270" t="s">
        <v>120</v>
      </c>
      <c r="E2270" t="s">
        <v>23</v>
      </c>
      <c r="F2270" t="s">
        <v>24</v>
      </c>
      <c r="G2270" t="s">
        <v>14</v>
      </c>
      <c r="H2270">
        <v>2</v>
      </c>
      <c r="I2270" s="2">
        <v>82.25</v>
      </c>
      <c r="J2270" s="2">
        <v>164.5</v>
      </c>
      <c r="K2270" s="2">
        <f t="shared" si="106"/>
        <v>164.5</v>
      </c>
      <c r="L2270" s="2">
        <f t="shared" si="107"/>
        <v>0</v>
      </c>
      <c r="M2270" t="s">
        <v>61</v>
      </c>
      <c r="N2270" t="s">
        <v>16</v>
      </c>
    </row>
    <row r="2271" spans="1:14" x14ac:dyDescent="0.3">
      <c r="A2271">
        <v>2024003269</v>
      </c>
      <c r="B2271" s="1">
        <v>45522</v>
      </c>
      <c r="C2271" s="11">
        <f t="shared" si="105"/>
        <v>2024</v>
      </c>
      <c r="D2271" t="s">
        <v>129</v>
      </c>
      <c r="E2271" t="s">
        <v>40</v>
      </c>
      <c r="F2271" t="s">
        <v>41</v>
      </c>
      <c r="G2271" t="s">
        <v>36</v>
      </c>
      <c r="H2271">
        <v>1</v>
      </c>
      <c r="I2271" s="2">
        <v>45.59</v>
      </c>
      <c r="J2271" s="2">
        <v>45.59</v>
      </c>
      <c r="K2271" s="2">
        <f t="shared" si="106"/>
        <v>45.59</v>
      </c>
      <c r="L2271" s="2">
        <f t="shared" si="107"/>
        <v>0</v>
      </c>
      <c r="M2271" t="s">
        <v>15</v>
      </c>
      <c r="N2271" t="s">
        <v>26</v>
      </c>
    </row>
    <row r="2272" spans="1:14" x14ac:dyDescent="0.3">
      <c r="A2272">
        <v>2024003270</v>
      </c>
      <c r="B2272" s="1">
        <v>45545</v>
      </c>
      <c r="C2272" s="11">
        <f t="shared" si="105"/>
        <v>2024</v>
      </c>
      <c r="D2272" t="s">
        <v>253</v>
      </c>
      <c r="E2272" t="s">
        <v>46</v>
      </c>
      <c r="F2272" t="s">
        <v>47</v>
      </c>
      <c r="G2272" t="s">
        <v>36</v>
      </c>
      <c r="H2272">
        <v>2</v>
      </c>
      <c r="I2272" s="2">
        <v>94.49</v>
      </c>
      <c r="J2272" s="2">
        <v>188.98</v>
      </c>
      <c r="K2272" s="2">
        <f t="shared" si="106"/>
        <v>188.98</v>
      </c>
      <c r="L2272" s="2">
        <f t="shared" si="107"/>
        <v>0</v>
      </c>
      <c r="M2272" t="s">
        <v>15</v>
      </c>
      <c r="N2272" t="s">
        <v>26</v>
      </c>
    </row>
    <row r="2273" spans="1:14" x14ac:dyDescent="0.3">
      <c r="A2273">
        <v>2024003271</v>
      </c>
      <c r="B2273" s="1">
        <v>45398</v>
      </c>
      <c r="C2273" s="11">
        <f t="shared" si="105"/>
        <v>2024</v>
      </c>
      <c r="D2273" t="s">
        <v>11</v>
      </c>
      <c r="E2273" t="s">
        <v>23</v>
      </c>
      <c r="F2273" t="s">
        <v>24</v>
      </c>
      <c r="G2273" t="s">
        <v>14</v>
      </c>
      <c r="H2273">
        <v>4</v>
      </c>
      <c r="I2273" s="2">
        <v>84.72</v>
      </c>
      <c r="J2273" s="2">
        <v>338.88</v>
      </c>
      <c r="K2273" s="2">
        <f t="shared" si="106"/>
        <v>338.88</v>
      </c>
      <c r="L2273" s="2">
        <f t="shared" si="107"/>
        <v>0</v>
      </c>
      <c r="M2273" t="s">
        <v>61</v>
      </c>
      <c r="N2273" t="s">
        <v>16</v>
      </c>
    </row>
    <row r="2274" spans="1:14" x14ac:dyDescent="0.3">
      <c r="A2274">
        <v>2024003272</v>
      </c>
      <c r="B2274" s="1">
        <v>45490</v>
      </c>
      <c r="C2274" s="11">
        <f t="shared" si="105"/>
        <v>2024</v>
      </c>
      <c r="D2274" t="s">
        <v>272</v>
      </c>
      <c r="E2274" t="s">
        <v>12</v>
      </c>
      <c r="F2274" t="s">
        <v>13</v>
      </c>
      <c r="G2274" t="s">
        <v>14</v>
      </c>
      <c r="H2274">
        <v>2</v>
      </c>
      <c r="I2274" s="2">
        <v>352.51</v>
      </c>
      <c r="J2274" s="2">
        <v>705.02</v>
      </c>
      <c r="K2274" s="2">
        <f t="shared" si="106"/>
        <v>705.02</v>
      </c>
      <c r="L2274" s="2">
        <f t="shared" si="107"/>
        <v>0</v>
      </c>
      <c r="M2274" t="s">
        <v>15</v>
      </c>
      <c r="N2274" t="s">
        <v>32</v>
      </c>
    </row>
    <row r="2275" spans="1:14" x14ac:dyDescent="0.3">
      <c r="A2275">
        <v>2024003273</v>
      </c>
      <c r="B2275" s="1">
        <v>45532</v>
      </c>
      <c r="C2275" s="11">
        <f t="shared" si="105"/>
        <v>2024</v>
      </c>
      <c r="D2275" t="s">
        <v>17</v>
      </c>
      <c r="E2275" t="s">
        <v>34</v>
      </c>
      <c r="F2275" t="s">
        <v>35</v>
      </c>
      <c r="G2275" t="s">
        <v>36</v>
      </c>
      <c r="H2275">
        <v>1</v>
      </c>
      <c r="I2275" s="2">
        <v>15.43</v>
      </c>
      <c r="J2275" s="2">
        <v>15.43</v>
      </c>
      <c r="K2275" s="2">
        <f t="shared" si="106"/>
        <v>15.43</v>
      </c>
      <c r="L2275" s="2">
        <f t="shared" si="107"/>
        <v>0</v>
      </c>
      <c r="M2275" t="s">
        <v>25</v>
      </c>
      <c r="N2275" t="s">
        <v>26</v>
      </c>
    </row>
    <row r="2276" spans="1:14" x14ac:dyDescent="0.3">
      <c r="A2276">
        <v>2024003274</v>
      </c>
      <c r="B2276" s="1">
        <v>45514</v>
      </c>
      <c r="C2276" s="11">
        <f t="shared" si="105"/>
        <v>2024</v>
      </c>
      <c r="D2276" t="s">
        <v>197</v>
      </c>
      <c r="E2276" t="s">
        <v>46</v>
      </c>
      <c r="F2276" t="s">
        <v>47</v>
      </c>
      <c r="G2276" t="s">
        <v>36</v>
      </c>
      <c r="H2276">
        <v>1</v>
      </c>
      <c r="I2276" s="2">
        <v>100.07</v>
      </c>
      <c r="J2276" s="2">
        <v>100.07</v>
      </c>
      <c r="K2276" s="2">
        <f t="shared" si="106"/>
        <v>100.07</v>
      </c>
      <c r="L2276" s="2">
        <f t="shared" si="107"/>
        <v>0</v>
      </c>
      <c r="M2276" t="s">
        <v>64</v>
      </c>
      <c r="N2276" t="s">
        <v>32</v>
      </c>
    </row>
    <row r="2277" spans="1:14" x14ac:dyDescent="0.3">
      <c r="A2277">
        <v>2024003275</v>
      </c>
      <c r="B2277" s="1">
        <v>45306</v>
      </c>
      <c r="C2277" s="11">
        <f t="shared" si="105"/>
        <v>2024</v>
      </c>
      <c r="D2277" t="s">
        <v>318</v>
      </c>
      <c r="E2277" t="s">
        <v>67</v>
      </c>
      <c r="F2277" t="s">
        <v>68</v>
      </c>
      <c r="G2277" t="s">
        <v>36</v>
      </c>
      <c r="H2277">
        <v>2</v>
      </c>
      <c r="I2277" s="2">
        <v>355.91</v>
      </c>
      <c r="J2277" s="2">
        <v>711.82</v>
      </c>
      <c r="K2277" s="2">
        <f t="shared" si="106"/>
        <v>711.82</v>
      </c>
      <c r="L2277" s="2">
        <f t="shared" si="107"/>
        <v>0</v>
      </c>
      <c r="M2277" t="s">
        <v>15</v>
      </c>
      <c r="N2277" t="s">
        <v>21</v>
      </c>
    </row>
    <row r="2278" spans="1:14" x14ac:dyDescent="0.3">
      <c r="A2278">
        <v>2024003276</v>
      </c>
      <c r="B2278" s="1">
        <v>45605</v>
      </c>
      <c r="C2278" s="11">
        <f t="shared" si="105"/>
        <v>2024</v>
      </c>
      <c r="D2278" t="s">
        <v>208</v>
      </c>
      <c r="E2278" t="s">
        <v>18</v>
      </c>
      <c r="F2278" t="s">
        <v>19</v>
      </c>
      <c r="G2278" t="s">
        <v>14</v>
      </c>
      <c r="H2278">
        <v>3</v>
      </c>
      <c r="I2278" s="2">
        <v>626.67999999999995</v>
      </c>
      <c r="J2278" s="2">
        <v>1880.04</v>
      </c>
      <c r="K2278" s="2">
        <f t="shared" si="106"/>
        <v>1880.04</v>
      </c>
      <c r="L2278" s="2">
        <f t="shared" si="107"/>
        <v>0</v>
      </c>
      <c r="M2278" t="s">
        <v>55</v>
      </c>
      <c r="N2278" t="s">
        <v>32</v>
      </c>
    </row>
    <row r="2279" spans="1:14" x14ac:dyDescent="0.3">
      <c r="A2279">
        <v>2024003277</v>
      </c>
      <c r="B2279" s="1">
        <v>45397</v>
      </c>
      <c r="C2279" s="11">
        <f t="shared" si="105"/>
        <v>2024</v>
      </c>
      <c r="D2279" t="s">
        <v>11</v>
      </c>
      <c r="E2279" t="s">
        <v>40</v>
      </c>
      <c r="F2279" t="s">
        <v>41</v>
      </c>
      <c r="G2279" t="s">
        <v>36</v>
      </c>
      <c r="H2279">
        <v>2</v>
      </c>
      <c r="I2279" s="2">
        <v>45.18</v>
      </c>
      <c r="J2279" s="2">
        <v>90.36</v>
      </c>
      <c r="K2279" s="2">
        <f t="shared" si="106"/>
        <v>90.36</v>
      </c>
      <c r="L2279" s="2">
        <f t="shared" si="107"/>
        <v>0</v>
      </c>
      <c r="M2279" t="s">
        <v>57</v>
      </c>
      <c r="N2279" t="s">
        <v>26</v>
      </c>
    </row>
    <row r="2280" spans="1:14" x14ac:dyDescent="0.3">
      <c r="A2280">
        <v>2024003278</v>
      </c>
      <c r="B2280" s="1">
        <v>45443</v>
      </c>
      <c r="C2280" s="11">
        <f t="shared" si="105"/>
        <v>2024</v>
      </c>
      <c r="D2280" t="s">
        <v>159</v>
      </c>
      <c r="E2280" t="s">
        <v>23</v>
      </c>
      <c r="F2280" t="s">
        <v>24</v>
      </c>
      <c r="G2280" t="s">
        <v>14</v>
      </c>
      <c r="H2280">
        <v>1</v>
      </c>
      <c r="I2280" s="2">
        <v>83.53</v>
      </c>
      <c r="J2280" s="2">
        <v>83.53</v>
      </c>
      <c r="K2280" s="2">
        <f t="shared" si="106"/>
        <v>83.53</v>
      </c>
      <c r="L2280" s="2">
        <f t="shared" si="107"/>
        <v>0</v>
      </c>
      <c r="M2280" t="s">
        <v>25</v>
      </c>
      <c r="N2280" t="s">
        <v>32</v>
      </c>
    </row>
    <row r="2281" spans="1:14" x14ac:dyDescent="0.3">
      <c r="A2281">
        <v>2024003279</v>
      </c>
      <c r="B2281" s="1">
        <v>45497</v>
      </c>
      <c r="C2281" s="11">
        <f t="shared" si="105"/>
        <v>2024</v>
      </c>
      <c r="D2281" t="s">
        <v>139</v>
      </c>
      <c r="E2281" t="s">
        <v>67</v>
      </c>
      <c r="F2281" t="s">
        <v>68</v>
      </c>
      <c r="G2281" t="s">
        <v>36</v>
      </c>
      <c r="H2281">
        <v>2</v>
      </c>
      <c r="I2281" s="2">
        <v>441.87</v>
      </c>
      <c r="J2281" s="2">
        <v>883.74</v>
      </c>
      <c r="K2281" s="2">
        <f t="shared" si="106"/>
        <v>883.74</v>
      </c>
      <c r="L2281" s="2">
        <f t="shared" si="107"/>
        <v>0</v>
      </c>
      <c r="M2281" t="s">
        <v>20</v>
      </c>
      <c r="N2281" t="s">
        <v>16</v>
      </c>
    </row>
    <row r="2282" spans="1:14" x14ac:dyDescent="0.3">
      <c r="A2282">
        <v>2024003280</v>
      </c>
      <c r="B2282" s="1">
        <v>45528</v>
      </c>
      <c r="C2282" s="11">
        <f t="shared" si="105"/>
        <v>2024</v>
      </c>
      <c r="D2282" t="s">
        <v>122</v>
      </c>
      <c r="E2282" t="s">
        <v>67</v>
      </c>
      <c r="F2282" t="s">
        <v>68</v>
      </c>
      <c r="G2282" t="s">
        <v>36</v>
      </c>
      <c r="H2282">
        <v>1</v>
      </c>
      <c r="I2282" s="2">
        <v>387.43</v>
      </c>
      <c r="J2282" s="2">
        <v>387.43</v>
      </c>
      <c r="K2282" s="2">
        <f t="shared" si="106"/>
        <v>387.43</v>
      </c>
      <c r="L2282" s="2">
        <f t="shared" si="107"/>
        <v>0</v>
      </c>
      <c r="M2282" t="s">
        <v>64</v>
      </c>
      <c r="N2282" t="s">
        <v>26</v>
      </c>
    </row>
    <row r="2283" spans="1:14" x14ac:dyDescent="0.3">
      <c r="A2283">
        <v>2024003281</v>
      </c>
      <c r="B2283" s="1">
        <v>45572</v>
      </c>
      <c r="C2283" s="11">
        <f t="shared" si="105"/>
        <v>2024</v>
      </c>
      <c r="D2283" t="s">
        <v>277</v>
      </c>
      <c r="E2283" t="s">
        <v>12</v>
      </c>
      <c r="F2283" t="s">
        <v>13</v>
      </c>
      <c r="G2283" t="s">
        <v>14</v>
      </c>
      <c r="H2283">
        <v>4</v>
      </c>
      <c r="I2283" s="2">
        <v>346.5</v>
      </c>
      <c r="J2283" s="2">
        <v>1386</v>
      </c>
      <c r="K2283" s="2">
        <f t="shared" si="106"/>
        <v>1386</v>
      </c>
      <c r="L2283" s="2">
        <f t="shared" si="107"/>
        <v>0</v>
      </c>
      <c r="M2283" t="s">
        <v>61</v>
      </c>
      <c r="N2283" t="s">
        <v>21</v>
      </c>
    </row>
    <row r="2284" spans="1:14" x14ac:dyDescent="0.3">
      <c r="A2284">
        <v>2024003282</v>
      </c>
      <c r="B2284" s="1">
        <v>45486</v>
      </c>
      <c r="C2284" s="11">
        <f t="shared" si="105"/>
        <v>2024</v>
      </c>
      <c r="D2284" t="s">
        <v>344</v>
      </c>
      <c r="E2284" t="s">
        <v>43</v>
      </c>
      <c r="F2284" t="s">
        <v>44</v>
      </c>
      <c r="G2284" t="s">
        <v>36</v>
      </c>
      <c r="H2284">
        <v>1</v>
      </c>
      <c r="I2284" s="2">
        <v>1375.02</v>
      </c>
      <c r="J2284" s="2">
        <v>1375.02</v>
      </c>
      <c r="K2284" s="2">
        <f t="shared" si="106"/>
        <v>1375.02</v>
      </c>
      <c r="L2284" s="2">
        <f t="shared" si="107"/>
        <v>0</v>
      </c>
      <c r="M2284" t="s">
        <v>61</v>
      </c>
      <c r="N2284" t="s">
        <v>21</v>
      </c>
    </row>
    <row r="2285" spans="1:14" x14ac:dyDescent="0.3">
      <c r="A2285">
        <v>2024003283</v>
      </c>
      <c r="B2285" s="1">
        <v>45509</v>
      </c>
      <c r="C2285" s="11">
        <f t="shared" si="105"/>
        <v>2024</v>
      </c>
      <c r="D2285" t="s">
        <v>85</v>
      </c>
      <c r="E2285" t="s">
        <v>12</v>
      </c>
      <c r="F2285" t="s">
        <v>13</v>
      </c>
      <c r="G2285" t="s">
        <v>14</v>
      </c>
      <c r="H2285">
        <v>1</v>
      </c>
      <c r="I2285" s="2">
        <v>358.38</v>
      </c>
      <c r="J2285" s="2">
        <v>358.38</v>
      </c>
      <c r="K2285" s="2">
        <f t="shared" si="106"/>
        <v>358.38</v>
      </c>
      <c r="L2285" s="2">
        <f t="shared" si="107"/>
        <v>0</v>
      </c>
      <c r="M2285" t="s">
        <v>15</v>
      </c>
      <c r="N2285" t="s">
        <v>16</v>
      </c>
    </row>
    <row r="2286" spans="1:14" x14ac:dyDescent="0.3">
      <c r="A2286">
        <v>2024003284</v>
      </c>
      <c r="B2286" s="1">
        <v>45560</v>
      </c>
      <c r="C2286" s="11">
        <f t="shared" si="105"/>
        <v>2024</v>
      </c>
      <c r="D2286" t="s">
        <v>185</v>
      </c>
      <c r="E2286" t="s">
        <v>28</v>
      </c>
      <c r="F2286" t="s">
        <v>29</v>
      </c>
      <c r="G2286" t="s">
        <v>30</v>
      </c>
      <c r="H2286">
        <v>3</v>
      </c>
      <c r="I2286" s="2">
        <v>24.16</v>
      </c>
      <c r="J2286" s="2">
        <v>72.48</v>
      </c>
      <c r="K2286" s="2">
        <f t="shared" si="106"/>
        <v>72.48</v>
      </c>
      <c r="L2286" s="2">
        <f t="shared" si="107"/>
        <v>0</v>
      </c>
      <c r="M2286" t="s">
        <v>55</v>
      </c>
      <c r="N2286" t="s">
        <v>16</v>
      </c>
    </row>
    <row r="2287" spans="1:14" x14ac:dyDescent="0.3">
      <c r="A2287">
        <v>2024003285</v>
      </c>
      <c r="B2287" s="1">
        <v>45471</v>
      </c>
      <c r="C2287" s="11">
        <f t="shared" si="105"/>
        <v>2024</v>
      </c>
      <c r="D2287" t="s">
        <v>320</v>
      </c>
      <c r="E2287" t="s">
        <v>34</v>
      </c>
      <c r="F2287" t="s">
        <v>35</v>
      </c>
      <c r="G2287" t="s">
        <v>36</v>
      </c>
      <c r="H2287">
        <v>4</v>
      </c>
      <c r="I2287" s="2">
        <v>15.16</v>
      </c>
      <c r="J2287" s="2">
        <v>60.64</v>
      </c>
      <c r="K2287" s="2">
        <f t="shared" si="106"/>
        <v>60.64</v>
      </c>
      <c r="L2287" s="2">
        <f t="shared" si="107"/>
        <v>0</v>
      </c>
      <c r="M2287" t="s">
        <v>61</v>
      </c>
      <c r="N2287" t="s">
        <v>32</v>
      </c>
    </row>
    <row r="2288" spans="1:14" x14ac:dyDescent="0.3">
      <c r="A2288">
        <v>2024003286</v>
      </c>
      <c r="B2288" s="1">
        <v>45447</v>
      </c>
      <c r="C2288" s="11">
        <f t="shared" si="105"/>
        <v>2024</v>
      </c>
      <c r="D2288" t="s">
        <v>334</v>
      </c>
      <c r="E2288" t="s">
        <v>23</v>
      </c>
      <c r="F2288" t="s">
        <v>24</v>
      </c>
      <c r="G2288" t="s">
        <v>14</v>
      </c>
      <c r="H2288">
        <v>1</v>
      </c>
      <c r="I2288" s="2">
        <v>74.03</v>
      </c>
      <c r="J2288" s="2">
        <v>74.03</v>
      </c>
      <c r="K2288" s="2">
        <f t="shared" si="106"/>
        <v>74.03</v>
      </c>
      <c r="L2288" s="2">
        <f t="shared" si="107"/>
        <v>0</v>
      </c>
      <c r="M2288" t="s">
        <v>20</v>
      </c>
      <c r="N2288" t="s">
        <v>21</v>
      </c>
    </row>
    <row r="2289" spans="1:14" x14ac:dyDescent="0.3">
      <c r="A2289">
        <v>2024003287</v>
      </c>
      <c r="B2289" s="1">
        <v>45333</v>
      </c>
      <c r="C2289" s="11">
        <f t="shared" si="105"/>
        <v>2024</v>
      </c>
      <c r="D2289" t="s">
        <v>98</v>
      </c>
      <c r="E2289" t="s">
        <v>12</v>
      </c>
      <c r="F2289" t="s">
        <v>13</v>
      </c>
      <c r="G2289" t="s">
        <v>14</v>
      </c>
      <c r="H2289">
        <v>1</v>
      </c>
      <c r="I2289" s="2">
        <v>336.86</v>
      </c>
      <c r="J2289" s="2">
        <v>336.86</v>
      </c>
      <c r="K2289" s="2">
        <f t="shared" si="106"/>
        <v>336.86</v>
      </c>
      <c r="L2289" s="2">
        <f t="shared" si="107"/>
        <v>0</v>
      </c>
      <c r="M2289" t="s">
        <v>55</v>
      </c>
      <c r="N2289" t="s">
        <v>16</v>
      </c>
    </row>
    <row r="2290" spans="1:14" x14ac:dyDescent="0.3">
      <c r="A2290">
        <v>2024003288</v>
      </c>
      <c r="B2290" s="1">
        <v>45321</v>
      </c>
      <c r="C2290" s="11">
        <f t="shared" si="105"/>
        <v>2024</v>
      </c>
      <c r="D2290" t="s">
        <v>99</v>
      </c>
      <c r="E2290" t="s">
        <v>46</v>
      </c>
      <c r="F2290" t="s">
        <v>47</v>
      </c>
      <c r="G2290" t="s">
        <v>36</v>
      </c>
      <c r="H2290">
        <v>1</v>
      </c>
      <c r="I2290" s="2">
        <v>84.08</v>
      </c>
      <c r="J2290" s="2">
        <v>84.08</v>
      </c>
      <c r="K2290" s="2">
        <f t="shared" si="106"/>
        <v>84.08</v>
      </c>
      <c r="L2290" s="2">
        <f t="shared" si="107"/>
        <v>0</v>
      </c>
      <c r="M2290" t="s">
        <v>38</v>
      </c>
      <c r="N2290" t="s">
        <v>16</v>
      </c>
    </row>
    <row r="2291" spans="1:14" x14ac:dyDescent="0.3">
      <c r="A2291">
        <v>2024003289</v>
      </c>
      <c r="B2291" s="1">
        <v>45367</v>
      </c>
      <c r="C2291" s="11">
        <f t="shared" si="105"/>
        <v>2024</v>
      </c>
      <c r="D2291" t="s">
        <v>163</v>
      </c>
      <c r="E2291" t="s">
        <v>43</v>
      </c>
      <c r="F2291" t="s">
        <v>44</v>
      </c>
      <c r="G2291" t="s">
        <v>36</v>
      </c>
      <c r="H2291">
        <v>1</v>
      </c>
      <c r="I2291" s="2">
        <v>1250.76</v>
      </c>
      <c r="J2291" s="2">
        <v>1250.76</v>
      </c>
      <c r="K2291" s="2">
        <f t="shared" si="106"/>
        <v>1250.76</v>
      </c>
      <c r="L2291" s="2">
        <f t="shared" si="107"/>
        <v>0</v>
      </c>
      <c r="M2291" t="s">
        <v>57</v>
      </c>
      <c r="N2291" t="s">
        <v>16</v>
      </c>
    </row>
    <row r="2292" spans="1:14" x14ac:dyDescent="0.3">
      <c r="A2292">
        <v>2024003290</v>
      </c>
      <c r="B2292" s="1">
        <v>45337</v>
      </c>
      <c r="C2292" s="11">
        <f t="shared" si="105"/>
        <v>2024</v>
      </c>
      <c r="D2292" t="s">
        <v>144</v>
      </c>
      <c r="E2292" t="s">
        <v>40</v>
      </c>
      <c r="F2292" t="s">
        <v>41</v>
      </c>
      <c r="G2292" t="s">
        <v>36</v>
      </c>
      <c r="H2292">
        <v>2</v>
      </c>
      <c r="I2292" s="2">
        <v>42.35</v>
      </c>
      <c r="J2292" s="2">
        <v>84.7</v>
      </c>
      <c r="K2292" s="2">
        <f t="shared" si="106"/>
        <v>84.7</v>
      </c>
      <c r="L2292" s="2">
        <f t="shared" si="107"/>
        <v>0</v>
      </c>
      <c r="M2292" t="s">
        <v>61</v>
      </c>
      <c r="N2292" t="s">
        <v>16</v>
      </c>
    </row>
    <row r="2293" spans="1:14" x14ac:dyDescent="0.3">
      <c r="A2293">
        <v>2024003291</v>
      </c>
      <c r="B2293" s="1">
        <v>45638</v>
      </c>
      <c r="C2293" s="11">
        <f t="shared" si="105"/>
        <v>2024</v>
      </c>
      <c r="D2293" t="s">
        <v>285</v>
      </c>
      <c r="E2293" t="s">
        <v>40</v>
      </c>
      <c r="F2293" t="s">
        <v>41</v>
      </c>
      <c r="G2293" t="s">
        <v>36</v>
      </c>
      <c r="H2293">
        <v>1</v>
      </c>
      <c r="I2293" s="2">
        <v>47.81</v>
      </c>
      <c r="J2293" s="2">
        <v>47.81</v>
      </c>
      <c r="K2293" s="2">
        <f t="shared" si="106"/>
        <v>47.81</v>
      </c>
      <c r="L2293" s="2">
        <f t="shared" si="107"/>
        <v>0</v>
      </c>
      <c r="M2293" t="s">
        <v>15</v>
      </c>
      <c r="N2293" t="s">
        <v>16</v>
      </c>
    </row>
    <row r="2294" spans="1:14" x14ac:dyDescent="0.3">
      <c r="A2294">
        <v>2024003292</v>
      </c>
      <c r="B2294" s="1">
        <v>45556</v>
      </c>
      <c r="C2294" s="11">
        <f t="shared" si="105"/>
        <v>2024</v>
      </c>
      <c r="D2294" t="s">
        <v>186</v>
      </c>
      <c r="E2294" t="s">
        <v>34</v>
      </c>
      <c r="F2294" t="s">
        <v>35</v>
      </c>
      <c r="G2294" t="s">
        <v>36</v>
      </c>
      <c r="H2294">
        <v>1</v>
      </c>
      <c r="I2294" s="2">
        <v>14.56</v>
      </c>
      <c r="J2294" s="2">
        <v>14.56</v>
      </c>
      <c r="K2294" s="2">
        <f t="shared" si="106"/>
        <v>14.56</v>
      </c>
      <c r="L2294" s="2">
        <f t="shared" si="107"/>
        <v>0</v>
      </c>
      <c r="M2294" t="s">
        <v>64</v>
      </c>
      <c r="N2294" t="s">
        <v>21</v>
      </c>
    </row>
    <row r="2295" spans="1:14" x14ac:dyDescent="0.3">
      <c r="A2295">
        <v>2024003293</v>
      </c>
      <c r="B2295" s="1">
        <v>45390</v>
      </c>
      <c r="C2295" s="11">
        <f t="shared" si="105"/>
        <v>2024</v>
      </c>
      <c r="D2295" t="s">
        <v>304</v>
      </c>
      <c r="E2295" t="s">
        <v>46</v>
      </c>
      <c r="F2295" t="s">
        <v>47</v>
      </c>
      <c r="G2295" t="s">
        <v>36</v>
      </c>
      <c r="H2295">
        <v>4</v>
      </c>
      <c r="I2295" s="2">
        <v>86.1</v>
      </c>
      <c r="J2295" s="2">
        <v>344.4</v>
      </c>
      <c r="K2295" s="2">
        <f t="shared" si="106"/>
        <v>344.4</v>
      </c>
      <c r="L2295" s="2">
        <f t="shared" si="107"/>
        <v>0</v>
      </c>
      <c r="M2295" t="s">
        <v>55</v>
      </c>
      <c r="N2295" t="s">
        <v>32</v>
      </c>
    </row>
    <row r="2296" spans="1:14" x14ac:dyDescent="0.3">
      <c r="A2296">
        <v>2024003294</v>
      </c>
      <c r="B2296" s="1">
        <v>45323</v>
      </c>
      <c r="C2296" s="11">
        <f t="shared" si="105"/>
        <v>2024</v>
      </c>
      <c r="D2296" t="s">
        <v>11</v>
      </c>
      <c r="E2296" t="s">
        <v>28</v>
      </c>
      <c r="F2296" t="s">
        <v>29</v>
      </c>
      <c r="G2296" t="s">
        <v>30</v>
      </c>
      <c r="H2296">
        <v>1</v>
      </c>
      <c r="I2296" s="2">
        <v>26.4</v>
      </c>
      <c r="J2296" s="2">
        <v>26.4</v>
      </c>
      <c r="K2296" s="2">
        <f t="shared" si="106"/>
        <v>26.4</v>
      </c>
      <c r="L2296" s="2">
        <f t="shared" si="107"/>
        <v>0</v>
      </c>
      <c r="M2296" t="s">
        <v>31</v>
      </c>
      <c r="N2296" t="s">
        <v>16</v>
      </c>
    </row>
    <row r="2297" spans="1:14" x14ac:dyDescent="0.3">
      <c r="A2297">
        <v>2024003295</v>
      </c>
      <c r="B2297" s="1">
        <v>45415</v>
      </c>
      <c r="C2297" s="11">
        <f t="shared" si="105"/>
        <v>2024</v>
      </c>
      <c r="D2297" t="s">
        <v>296</v>
      </c>
      <c r="E2297" t="s">
        <v>67</v>
      </c>
      <c r="F2297" t="s">
        <v>68</v>
      </c>
      <c r="G2297" t="s">
        <v>36</v>
      </c>
      <c r="H2297">
        <v>3</v>
      </c>
      <c r="I2297" s="2">
        <v>394.8</v>
      </c>
      <c r="J2297" s="2">
        <v>1184.4000000000001</v>
      </c>
      <c r="K2297" s="2">
        <f t="shared" si="106"/>
        <v>1184.4000000000001</v>
      </c>
      <c r="L2297" s="2">
        <f t="shared" si="107"/>
        <v>0</v>
      </c>
      <c r="M2297" t="s">
        <v>48</v>
      </c>
      <c r="N2297" t="s">
        <v>16</v>
      </c>
    </row>
    <row r="2298" spans="1:14" x14ac:dyDescent="0.3">
      <c r="A2298">
        <v>2024003296</v>
      </c>
      <c r="B2298" s="1">
        <v>45503</v>
      </c>
      <c r="C2298" s="11">
        <f t="shared" si="105"/>
        <v>2024</v>
      </c>
      <c r="D2298" t="s">
        <v>263</v>
      </c>
      <c r="E2298" t="s">
        <v>23</v>
      </c>
      <c r="F2298" t="s">
        <v>24</v>
      </c>
      <c r="G2298" t="s">
        <v>14</v>
      </c>
      <c r="H2298">
        <v>3</v>
      </c>
      <c r="I2298" s="2">
        <v>73.58</v>
      </c>
      <c r="J2298" s="2">
        <v>220.74</v>
      </c>
      <c r="K2298" s="2">
        <f t="shared" si="106"/>
        <v>220.74</v>
      </c>
      <c r="L2298" s="2">
        <f t="shared" si="107"/>
        <v>0</v>
      </c>
      <c r="M2298" t="s">
        <v>64</v>
      </c>
      <c r="N2298" t="s">
        <v>16</v>
      </c>
    </row>
    <row r="2299" spans="1:14" x14ac:dyDescent="0.3">
      <c r="A2299">
        <v>2024003297</v>
      </c>
      <c r="B2299" s="1">
        <v>45533</v>
      </c>
      <c r="C2299" s="11">
        <f t="shared" si="105"/>
        <v>2024</v>
      </c>
      <c r="D2299" t="s">
        <v>299</v>
      </c>
      <c r="E2299" t="s">
        <v>23</v>
      </c>
      <c r="F2299" t="s">
        <v>24</v>
      </c>
      <c r="G2299" t="s">
        <v>14</v>
      </c>
      <c r="H2299">
        <v>3</v>
      </c>
      <c r="I2299" s="2">
        <v>77.06</v>
      </c>
      <c r="J2299" s="2">
        <v>231.18</v>
      </c>
      <c r="K2299" s="2">
        <f t="shared" si="106"/>
        <v>231.18</v>
      </c>
      <c r="L2299" s="2">
        <f t="shared" si="107"/>
        <v>0</v>
      </c>
      <c r="M2299" t="s">
        <v>15</v>
      </c>
      <c r="N2299" t="s">
        <v>16</v>
      </c>
    </row>
    <row r="2300" spans="1:14" x14ac:dyDescent="0.3">
      <c r="A2300">
        <v>2024003298</v>
      </c>
      <c r="B2300" s="1">
        <v>45497</v>
      </c>
      <c r="C2300" s="11">
        <f t="shared" si="105"/>
        <v>2024</v>
      </c>
      <c r="D2300" t="s">
        <v>170</v>
      </c>
      <c r="E2300" t="s">
        <v>46</v>
      </c>
      <c r="F2300" t="s">
        <v>47</v>
      </c>
      <c r="G2300" t="s">
        <v>36</v>
      </c>
      <c r="H2300">
        <v>1</v>
      </c>
      <c r="I2300" s="2">
        <v>83.31</v>
      </c>
      <c r="J2300" s="2">
        <v>83.31</v>
      </c>
      <c r="K2300" s="2">
        <f t="shared" si="106"/>
        <v>83.31</v>
      </c>
      <c r="L2300" s="2">
        <f t="shared" si="107"/>
        <v>0</v>
      </c>
      <c r="M2300" t="s">
        <v>64</v>
      </c>
      <c r="N2300" t="s">
        <v>26</v>
      </c>
    </row>
    <row r="2301" spans="1:14" x14ac:dyDescent="0.3">
      <c r="A2301">
        <v>2024003299</v>
      </c>
      <c r="B2301" s="1">
        <v>45480</v>
      </c>
      <c r="C2301" s="11">
        <f t="shared" si="105"/>
        <v>2024</v>
      </c>
      <c r="D2301" t="s">
        <v>318</v>
      </c>
      <c r="E2301" t="s">
        <v>67</v>
      </c>
      <c r="F2301" t="s">
        <v>68</v>
      </c>
      <c r="G2301" t="s">
        <v>36</v>
      </c>
      <c r="H2301">
        <v>2</v>
      </c>
      <c r="I2301" s="2">
        <v>401.74</v>
      </c>
      <c r="J2301" s="2">
        <v>803.48</v>
      </c>
      <c r="K2301" s="2">
        <f t="shared" si="106"/>
        <v>803.48</v>
      </c>
      <c r="L2301" s="2">
        <f t="shared" si="107"/>
        <v>0</v>
      </c>
      <c r="M2301" t="s">
        <v>38</v>
      </c>
      <c r="N2301" t="s">
        <v>16</v>
      </c>
    </row>
    <row r="2302" spans="1:14" x14ac:dyDescent="0.3">
      <c r="A2302">
        <v>2024003300</v>
      </c>
      <c r="B2302" s="1">
        <v>45512</v>
      </c>
      <c r="C2302" s="11">
        <f t="shared" si="105"/>
        <v>2024</v>
      </c>
      <c r="D2302" t="s">
        <v>259</v>
      </c>
      <c r="E2302" t="s">
        <v>12</v>
      </c>
      <c r="F2302" t="s">
        <v>13</v>
      </c>
      <c r="G2302" t="s">
        <v>14</v>
      </c>
      <c r="H2302">
        <v>1</v>
      </c>
      <c r="I2302" s="2">
        <v>369.92</v>
      </c>
      <c r="J2302" s="2">
        <v>369.92</v>
      </c>
      <c r="K2302" s="2">
        <f t="shared" si="106"/>
        <v>369.92</v>
      </c>
      <c r="L2302" s="2">
        <f t="shared" si="107"/>
        <v>0</v>
      </c>
      <c r="M2302" t="s">
        <v>25</v>
      </c>
      <c r="N2302" t="s">
        <v>32</v>
      </c>
    </row>
    <row r="2303" spans="1:14" x14ac:dyDescent="0.3">
      <c r="A2303">
        <v>2024003301</v>
      </c>
      <c r="B2303" s="1">
        <v>45356</v>
      </c>
      <c r="C2303" s="11">
        <f t="shared" si="105"/>
        <v>2024</v>
      </c>
      <c r="D2303" t="s">
        <v>170</v>
      </c>
      <c r="E2303" t="s">
        <v>34</v>
      </c>
      <c r="F2303" t="s">
        <v>35</v>
      </c>
      <c r="G2303" t="s">
        <v>36</v>
      </c>
      <c r="H2303">
        <v>1</v>
      </c>
      <c r="I2303" s="2">
        <v>15.62</v>
      </c>
      <c r="J2303" s="2">
        <v>15.62</v>
      </c>
      <c r="K2303" s="2">
        <f t="shared" si="106"/>
        <v>15.62</v>
      </c>
      <c r="L2303" s="2">
        <f t="shared" si="107"/>
        <v>0</v>
      </c>
      <c r="M2303" t="s">
        <v>15</v>
      </c>
      <c r="N2303" t="s">
        <v>26</v>
      </c>
    </row>
    <row r="2304" spans="1:14" x14ac:dyDescent="0.3">
      <c r="A2304">
        <v>2024003302</v>
      </c>
      <c r="B2304" s="1">
        <v>45336</v>
      </c>
      <c r="C2304" s="11">
        <f t="shared" si="105"/>
        <v>2024</v>
      </c>
      <c r="D2304" t="s">
        <v>129</v>
      </c>
      <c r="E2304" t="s">
        <v>28</v>
      </c>
      <c r="F2304" t="s">
        <v>29</v>
      </c>
      <c r="G2304" t="s">
        <v>30</v>
      </c>
      <c r="H2304">
        <v>1</v>
      </c>
      <c r="I2304" s="2">
        <v>25.65</v>
      </c>
      <c r="J2304" s="2">
        <v>25.65</v>
      </c>
      <c r="K2304" s="2">
        <f t="shared" si="106"/>
        <v>25.65</v>
      </c>
      <c r="L2304" s="2">
        <f t="shared" si="107"/>
        <v>0</v>
      </c>
      <c r="M2304" t="s">
        <v>31</v>
      </c>
      <c r="N2304" t="s">
        <v>32</v>
      </c>
    </row>
    <row r="2305" spans="1:14" x14ac:dyDescent="0.3">
      <c r="A2305">
        <v>2024003303</v>
      </c>
      <c r="B2305" s="1">
        <v>45589</v>
      </c>
      <c r="C2305" s="11">
        <f t="shared" si="105"/>
        <v>2024</v>
      </c>
      <c r="D2305" t="s">
        <v>286</v>
      </c>
      <c r="E2305" t="s">
        <v>67</v>
      </c>
      <c r="F2305" t="s">
        <v>68</v>
      </c>
      <c r="G2305" t="s">
        <v>36</v>
      </c>
      <c r="H2305">
        <v>1</v>
      </c>
      <c r="I2305" s="2">
        <v>404.25</v>
      </c>
      <c r="J2305" s="2">
        <v>404.25</v>
      </c>
      <c r="K2305" s="2">
        <f t="shared" si="106"/>
        <v>404.25</v>
      </c>
      <c r="L2305" s="2">
        <f t="shared" si="107"/>
        <v>0</v>
      </c>
      <c r="M2305" t="s">
        <v>48</v>
      </c>
      <c r="N2305" t="s">
        <v>21</v>
      </c>
    </row>
    <row r="2306" spans="1:14" x14ac:dyDescent="0.3">
      <c r="A2306">
        <v>2024003304</v>
      </c>
      <c r="B2306" s="1">
        <v>45597</v>
      </c>
      <c r="C2306" s="11">
        <f t="shared" si="105"/>
        <v>2024</v>
      </c>
      <c r="D2306" t="s">
        <v>214</v>
      </c>
      <c r="E2306" t="s">
        <v>53</v>
      </c>
      <c r="F2306" t="s">
        <v>54</v>
      </c>
      <c r="G2306" t="s">
        <v>36</v>
      </c>
      <c r="H2306">
        <v>2</v>
      </c>
      <c r="I2306" s="2">
        <v>113.6</v>
      </c>
      <c r="J2306" s="2">
        <v>227.2</v>
      </c>
      <c r="K2306" s="2">
        <f t="shared" si="106"/>
        <v>227.2</v>
      </c>
      <c r="L2306" s="2">
        <f t="shared" si="107"/>
        <v>0</v>
      </c>
      <c r="M2306" t="s">
        <v>48</v>
      </c>
      <c r="N2306" t="s">
        <v>16</v>
      </c>
    </row>
    <row r="2307" spans="1:14" x14ac:dyDescent="0.3">
      <c r="A2307">
        <v>2024003305</v>
      </c>
      <c r="B2307" s="1">
        <v>45459</v>
      </c>
      <c r="C2307" s="11">
        <f t="shared" ref="C2307:C2370" si="108">YEAR(B2307)</f>
        <v>2024</v>
      </c>
      <c r="D2307" t="s">
        <v>320</v>
      </c>
      <c r="E2307" t="s">
        <v>28</v>
      </c>
      <c r="F2307" t="s">
        <v>29</v>
      </c>
      <c r="G2307" t="s">
        <v>30</v>
      </c>
      <c r="H2307">
        <v>2</v>
      </c>
      <c r="I2307" s="2">
        <v>23.98</v>
      </c>
      <c r="J2307" s="2">
        <v>47.96</v>
      </c>
      <c r="K2307" s="2">
        <f t="shared" ref="K2307:K2370" si="109">I2307*H2307</f>
        <v>47.96</v>
      </c>
      <c r="L2307" s="2">
        <f t="shared" ref="L2307:L2370" si="110">J2307-K2307</f>
        <v>0</v>
      </c>
      <c r="M2307" t="s">
        <v>31</v>
      </c>
      <c r="N2307" t="s">
        <v>32</v>
      </c>
    </row>
    <row r="2308" spans="1:14" x14ac:dyDescent="0.3">
      <c r="A2308">
        <v>2024003306</v>
      </c>
      <c r="B2308" s="1">
        <v>45486</v>
      </c>
      <c r="C2308" s="11">
        <f t="shared" si="108"/>
        <v>2024</v>
      </c>
      <c r="D2308" t="s">
        <v>296</v>
      </c>
      <c r="E2308" t="s">
        <v>34</v>
      </c>
      <c r="F2308" t="s">
        <v>35</v>
      </c>
      <c r="G2308" t="s">
        <v>36</v>
      </c>
      <c r="H2308">
        <v>1</v>
      </c>
      <c r="I2308" s="2">
        <v>14.61</v>
      </c>
      <c r="J2308" s="2">
        <v>14.61</v>
      </c>
      <c r="K2308" s="2">
        <f t="shared" si="109"/>
        <v>14.61</v>
      </c>
      <c r="L2308" s="2">
        <f t="shared" si="110"/>
        <v>0</v>
      </c>
      <c r="M2308" t="s">
        <v>55</v>
      </c>
      <c r="N2308" t="s">
        <v>26</v>
      </c>
    </row>
    <row r="2309" spans="1:14" x14ac:dyDescent="0.3">
      <c r="A2309">
        <v>2024003307</v>
      </c>
      <c r="B2309" s="1">
        <v>45638</v>
      </c>
      <c r="C2309" s="11">
        <f t="shared" si="108"/>
        <v>2024</v>
      </c>
      <c r="D2309" t="s">
        <v>288</v>
      </c>
      <c r="E2309" t="s">
        <v>18</v>
      </c>
      <c r="F2309" t="s">
        <v>19</v>
      </c>
      <c r="G2309" t="s">
        <v>14</v>
      </c>
      <c r="H2309">
        <v>2</v>
      </c>
      <c r="I2309" s="2">
        <v>564.91</v>
      </c>
      <c r="J2309" s="2">
        <v>1129.82</v>
      </c>
      <c r="K2309" s="2">
        <f t="shared" si="109"/>
        <v>1129.82</v>
      </c>
      <c r="L2309" s="2">
        <f t="shared" si="110"/>
        <v>0</v>
      </c>
      <c r="M2309" t="s">
        <v>48</v>
      </c>
      <c r="N2309" t="s">
        <v>16</v>
      </c>
    </row>
    <row r="2310" spans="1:14" x14ac:dyDescent="0.3">
      <c r="A2310">
        <v>2024001909</v>
      </c>
      <c r="B2310" s="1">
        <v>45552</v>
      </c>
      <c r="C2310" s="11">
        <f t="shared" si="108"/>
        <v>2024</v>
      </c>
      <c r="D2310" t="s">
        <v>315</v>
      </c>
      <c r="E2310" t="s">
        <v>40</v>
      </c>
      <c r="F2310" t="s">
        <v>41</v>
      </c>
      <c r="G2310" t="s">
        <v>36</v>
      </c>
      <c r="H2310">
        <v>3</v>
      </c>
      <c r="I2310" s="2">
        <v>42.66</v>
      </c>
      <c r="J2310" s="2">
        <v>127.98</v>
      </c>
      <c r="K2310" s="2">
        <f t="shared" si="109"/>
        <v>127.97999999999999</v>
      </c>
      <c r="L2310" s="2">
        <f t="shared" si="110"/>
        <v>0</v>
      </c>
      <c r="M2310" t="s">
        <v>25</v>
      </c>
      <c r="N2310" t="s">
        <v>26</v>
      </c>
    </row>
    <row r="2311" spans="1:14" x14ac:dyDescent="0.3">
      <c r="A2311">
        <v>2024003309</v>
      </c>
      <c r="B2311" s="1">
        <v>45319</v>
      </c>
      <c r="C2311" s="11">
        <f t="shared" si="108"/>
        <v>2024</v>
      </c>
      <c r="D2311" t="s">
        <v>282</v>
      </c>
      <c r="E2311" t="s">
        <v>12</v>
      </c>
      <c r="F2311" t="s">
        <v>13</v>
      </c>
      <c r="G2311" t="s">
        <v>14</v>
      </c>
      <c r="H2311">
        <v>1</v>
      </c>
      <c r="I2311" s="2">
        <v>334.81</v>
      </c>
      <c r="J2311" s="2">
        <v>334.81</v>
      </c>
      <c r="K2311" s="2">
        <f t="shared" si="109"/>
        <v>334.81</v>
      </c>
      <c r="L2311" s="2">
        <f t="shared" si="110"/>
        <v>0</v>
      </c>
      <c r="M2311" t="s">
        <v>20</v>
      </c>
      <c r="N2311" t="s">
        <v>26</v>
      </c>
    </row>
    <row r="2312" spans="1:14" x14ac:dyDescent="0.3">
      <c r="A2312">
        <v>2024003310</v>
      </c>
      <c r="B2312" s="1">
        <v>45521</v>
      </c>
      <c r="C2312" s="11">
        <f t="shared" si="108"/>
        <v>2024</v>
      </c>
      <c r="D2312" t="s">
        <v>162</v>
      </c>
      <c r="E2312" t="s">
        <v>53</v>
      </c>
      <c r="F2312" t="s">
        <v>54</v>
      </c>
      <c r="G2312" t="s">
        <v>36</v>
      </c>
      <c r="H2312">
        <v>3</v>
      </c>
      <c r="I2312" s="2">
        <v>115.32</v>
      </c>
      <c r="J2312" s="2">
        <v>345.96</v>
      </c>
      <c r="K2312" s="2">
        <f t="shared" si="109"/>
        <v>345.96</v>
      </c>
      <c r="L2312" s="2">
        <f t="shared" si="110"/>
        <v>0</v>
      </c>
      <c r="M2312" t="s">
        <v>48</v>
      </c>
      <c r="N2312" t="s">
        <v>26</v>
      </c>
    </row>
    <row r="2313" spans="1:14" x14ac:dyDescent="0.3">
      <c r="A2313">
        <v>2024003311</v>
      </c>
      <c r="B2313" s="1">
        <v>45570</v>
      </c>
      <c r="C2313" s="11">
        <f t="shared" si="108"/>
        <v>2024</v>
      </c>
      <c r="D2313" t="s">
        <v>74</v>
      </c>
      <c r="E2313" t="s">
        <v>67</v>
      </c>
      <c r="F2313" t="s">
        <v>68</v>
      </c>
      <c r="G2313" t="s">
        <v>36</v>
      </c>
      <c r="H2313">
        <v>2</v>
      </c>
      <c r="I2313" s="2">
        <v>444.23</v>
      </c>
      <c r="J2313" s="2">
        <v>888.46</v>
      </c>
      <c r="K2313" s="2">
        <f t="shared" si="109"/>
        <v>888.46</v>
      </c>
      <c r="L2313" s="2">
        <f t="shared" si="110"/>
        <v>0</v>
      </c>
      <c r="M2313" t="s">
        <v>25</v>
      </c>
      <c r="N2313" t="s">
        <v>26</v>
      </c>
    </row>
    <row r="2314" spans="1:14" x14ac:dyDescent="0.3">
      <c r="A2314">
        <v>2024003312</v>
      </c>
      <c r="B2314" s="1">
        <v>45657</v>
      </c>
      <c r="C2314" s="11">
        <f t="shared" si="108"/>
        <v>2024</v>
      </c>
      <c r="D2314" t="s">
        <v>338</v>
      </c>
      <c r="E2314" t="s">
        <v>40</v>
      </c>
      <c r="F2314" t="s">
        <v>41</v>
      </c>
      <c r="G2314" t="s">
        <v>36</v>
      </c>
      <c r="H2314">
        <v>2</v>
      </c>
      <c r="I2314" s="2">
        <v>44.97</v>
      </c>
      <c r="J2314" s="2">
        <v>89.94</v>
      </c>
      <c r="K2314" s="2">
        <f t="shared" si="109"/>
        <v>89.94</v>
      </c>
      <c r="L2314" s="2">
        <f t="shared" si="110"/>
        <v>0</v>
      </c>
      <c r="M2314" t="s">
        <v>61</v>
      </c>
      <c r="N2314" t="s">
        <v>21</v>
      </c>
    </row>
    <row r="2315" spans="1:14" x14ac:dyDescent="0.3">
      <c r="A2315">
        <v>2024003313</v>
      </c>
      <c r="B2315" s="1">
        <v>45432</v>
      </c>
      <c r="C2315" s="11">
        <f t="shared" si="108"/>
        <v>2024</v>
      </c>
      <c r="D2315" t="s">
        <v>166</v>
      </c>
      <c r="E2315" t="s">
        <v>40</v>
      </c>
      <c r="F2315" t="s">
        <v>41</v>
      </c>
      <c r="G2315" t="s">
        <v>36</v>
      </c>
      <c r="H2315">
        <v>1</v>
      </c>
      <c r="I2315" s="2">
        <v>43.13</v>
      </c>
      <c r="J2315" s="2">
        <v>43.13</v>
      </c>
      <c r="K2315" s="2">
        <f t="shared" si="109"/>
        <v>43.13</v>
      </c>
      <c r="L2315" s="2">
        <f t="shared" si="110"/>
        <v>0</v>
      </c>
      <c r="M2315" t="s">
        <v>15</v>
      </c>
      <c r="N2315" t="s">
        <v>21</v>
      </c>
    </row>
    <row r="2316" spans="1:14" x14ac:dyDescent="0.3">
      <c r="A2316">
        <v>2024003314</v>
      </c>
      <c r="B2316" s="1">
        <v>45649</v>
      </c>
      <c r="C2316" s="11">
        <f t="shared" si="108"/>
        <v>2024</v>
      </c>
      <c r="D2316" t="s">
        <v>184</v>
      </c>
      <c r="E2316" t="s">
        <v>34</v>
      </c>
      <c r="F2316" t="s">
        <v>35</v>
      </c>
      <c r="G2316" t="s">
        <v>36</v>
      </c>
      <c r="H2316">
        <v>2</v>
      </c>
      <c r="I2316" s="2">
        <v>14.54</v>
      </c>
      <c r="J2316" s="2">
        <v>29.08</v>
      </c>
      <c r="K2316" s="2">
        <f t="shared" si="109"/>
        <v>29.08</v>
      </c>
      <c r="L2316" s="2">
        <f t="shared" si="110"/>
        <v>0</v>
      </c>
      <c r="M2316" t="s">
        <v>48</v>
      </c>
      <c r="N2316" t="s">
        <v>16</v>
      </c>
    </row>
    <row r="2317" spans="1:14" x14ac:dyDescent="0.3">
      <c r="A2317">
        <v>2024003315</v>
      </c>
      <c r="B2317" s="1">
        <v>45303</v>
      </c>
      <c r="C2317" s="11">
        <f t="shared" si="108"/>
        <v>2024</v>
      </c>
      <c r="D2317" t="s">
        <v>181</v>
      </c>
      <c r="E2317" t="s">
        <v>12</v>
      </c>
      <c r="F2317" t="s">
        <v>13</v>
      </c>
      <c r="G2317" t="s">
        <v>14</v>
      </c>
      <c r="H2317">
        <v>2</v>
      </c>
      <c r="I2317" s="2">
        <v>372.6</v>
      </c>
      <c r="J2317" s="2">
        <v>745.2</v>
      </c>
      <c r="K2317" s="2">
        <f t="shared" si="109"/>
        <v>745.2</v>
      </c>
      <c r="L2317" s="2">
        <f t="shared" si="110"/>
        <v>0</v>
      </c>
      <c r="M2317" t="s">
        <v>61</v>
      </c>
      <c r="N2317" t="s">
        <v>16</v>
      </c>
    </row>
    <row r="2318" spans="1:14" x14ac:dyDescent="0.3">
      <c r="A2318">
        <v>2024003316</v>
      </c>
      <c r="B2318" s="1">
        <v>45389</v>
      </c>
      <c r="C2318" s="11">
        <f t="shared" si="108"/>
        <v>2024</v>
      </c>
      <c r="D2318" t="s">
        <v>158</v>
      </c>
      <c r="E2318" t="s">
        <v>67</v>
      </c>
      <c r="F2318" t="s">
        <v>68</v>
      </c>
      <c r="G2318" t="s">
        <v>36</v>
      </c>
      <c r="H2318">
        <v>1</v>
      </c>
      <c r="I2318" s="2">
        <v>383.86</v>
      </c>
      <c r="J2318" s="2">
        <v>383.86</v>
      </c>
      <c r="K2318" s="2">
        <f t="shared" si="109"/>
        <v>383.86</v>
      </c>
      <c r="L2318" s="2">
        <f t="shared" si="110"/>
        <v>0</v>
      </c>
      <c r="M2318" t="s">
        <v>25</v>
      </c>
      <c r="N2318" t="s">
        <v>16</v>
      </c>
    </row>
    <row r="2319" spans="1:14" x14ac:dyDescent="0.3">
      <c r="A2319">
        <v>2024003317</v>
      </c>
      <c r="B2319" s="1">
        <v>45460</v>
      </c>
      <c r="C2319" s="11">
        <f t="shared" si="108"/>
        <v>2024</v>
      </c>
      <c r="D2319" t="s">
        <v>146</v>
      </c>
      <c r="E2319" t="s">
        <v>18</v>
      </c>
      <c r="F2319" t="s">
        <v>19</v>
      </c>
      <c r="G2319" t="s">
        <v>14</v>
      </c>
      <c r="H2319">
        <v>3</v>
      </c>
      <c r="I2319" s="2">
        <v>597.67999999999995</v>
      </c>
      <c r="J2319" s="2">
        <v>1793.04</v>
      </c>
      <c r="K2319" s="2">
        <f t="shared" si="109"/>
        <v>1793.04</v>
      </c>
      <c r="L2319" s="2">
        <f t="shared" si="110"/>
        <v>0</v>
      </c>
      <c r="M2319" t="s">
        <v>38</v>
      </c>
      <c r="N2319" t="s">
        <v>21</v>
      </c>
    </row>
    <row r="2320" spans="1:14" x14ac:dyDescent="0.3">
      <c r="A2320">
        <v>2024002641</v>
      </c>
      <c r="B2320" s="1">
        <v>45510</v>
      </c>
      <c r="C2320" s="11">
        <f t="shared" si="108"/>
        <v>2024</v>
      </c>
      <c r="D2320" t="s">
        <v>148</v>
      </c>
      <c r="E2320" t="s">
        <v>40</v>
      </c>
      <c r="F2320" t="s">
        <v>41</v>
      </c>
      <c r="G2320" t="s">
        <v>36</v>
      </c>
      <c r="H2320">
        <v>1</v>
      </c>
      <c r="I2320" s="2">
        <v>46.34</v>
      </c>
      <c r="J2320" s="2">
        <v>46.34</v>
      </c>
      <c r="K2320" s="2">
        <f t="shared" si="109"/>
        <v>46.34</v>
      </c>
      <c r="L2320" s="2">
        <f t="shared" si="110"/>
        <v>0</v>
      </c>
      <c r="M2320" t="s">
        <v>20</v>
      </c>
      <c r="N2320" t="s">
        <v>26</v>
      </c>
    </row>
    <row r="2321" spans="1:14" x14ac:dyDescent="0.3">
      <c r="A2321">
        <v>2024003319</v>
      </c>
      <c r="B2321" s="1">
        <v>45368</v>
      </c>
      <c r="C2321" s="11">
        <f t="shared" si="108"/>
        <v>2024</v>
      </c>
      <c r="D2321" t="s">
        <v>101</v>
      </c>
      <c r="E2321" t="s">
        <v>18</v>
      </c>
      <c r="F2321" t="s">
        <v>19</v>
      </c>
      <c r="G2321" t="s">
        <v>14</v>
      </c>
      <c r="H2321">
        <v>1</v>
      </c>
      <c r="I2321" s="2">
        <v>655.32000000000005</v>
      </c>
      <c r="J2321" s="2">
        <v>655.32000000000005</v>
      </c>
      <c r="K2321" s="2">
        <f t="shared" si="109"/>
        <v>655.32000000000005</v>
      </c>
      <c r="L2321" s="2">
        <f t="shared" si="110"/>
        <v>0</v>
      </c>
      <c r="M2321" t="s">
        <v>61</v>
      </c>
      <c r="N2321" t="s">
        <v>26</v>
      </c>
    </row>
    <row r="2322" spans="1:14" x14ac:dyDescent="0.3">
      <c r="A2322">
        <v>2024003320</v>
      </c>
      <c r="B2322" s="1">
        <v>45382</v>
      </c>
      <c r="C2322" s="11">
        <f t="shared" si="108"/>
        <v>2024</v>
      </c>
      <c r="D2322" t="s">
        <v>83</v>
      </c>
      <c r="E2322" t="s">
        <v>28</v>
      </c>
      <c r="F2322" t="s">
        <v>29</v>
      </c>
      <c r="G2322" t="s">
        <v>30</v>
      </c>
      <c r="H2322">
        <v>1</v>
      </c>
      <c r="I2322" s="2">
        <v>23.93</v>
      </c>
      <c r="J2322" s="2">
        <v>23.93</v>
      </c>
      <c r="K2322" s="2">
        <f t="shared" si="109"/>
        <v>23.93</v>
      </c>
      <c r="L2322" s="2">
        <f t="shared" si="110"/>
        <v>0</v>
      </c>
      <c r="M2322" t="s">
        <v>48</v>
      </c>
      <c r="N2322" t="s">
        <v>16</v>
      </c>
    </row>
    <row r="2323" spans="1:14" x14ac:dyDescent="0.3">
      <c r="A2323">
        <v>2024003321</v>
      </c>
      <c r="B2323" s="1">
        <v>45323</v>
      </c>
      <c r="C2323" s="11">
        <f t="shared" si="108"/>
        <v>2024</v>
      </c>
      <c r="D2323" t="s">
        <v>101</v>
      </c>
      <c r="E2323" t="s">
        <v>23</v>
      </c>
      <c r="F2323" t="s">
        <v>24</v>
      </c>
      <c r="G2323" t="s">
        <v>14</v>
      </c>
      <c r="H2323">
        <v>2</v>
      </c>
      <c r="I2323" s="2">
        <v>82.68</v>
      </c>
      <c r="J2323" s="2">
        <v>165.36</v>
      </c>
      <c r="K2323" s="2">
        <f t="shared" si="109"/>
        <v>165.36</v>
      </c>
      <c r="L2323" s="2">
        <f t="shared" si="110"/>
        <v>0</v>
      </c>
      <c r="M2323" t="s">
        <v>55</v>
      </c>
      <c r="N2323" t="s">
        <v>16</v>
      </c>
    </row>
    <row r="2324" spans="1:14" x14ac:dyDescent="0.3">
      <c r="A2324">
        <v>2024003322</v>
      </c>
      <c r="B2324" s="1">
        <v>45434</v>
      </c>
      <c r="C2324" s="11">
        <f t="shared" si="108"/>
        <v>2024</v>
      </c>
      <c r="D2324" t="s">
        <v>229</v>
      </c>
      <c r="E2324" t="s">
        <v>46</v>
      </c>
      <c r="F2324" t="s">
        <v>47</v>
      </c>
      <c r="G2324" t="s">
        <v>36</v>
      </c>
      <c r="H2324">
        <v>1</v>
      </c>
      <c r="I2324" s="2">
        <v>92.06</v>
      </c>
      <c r="J2324" s="2">
        <v>92.06</v>
      </c>
      <c r="K2324" s="2">
        <f t="shared" si="109"/>
        <v>92.06</v>
      </c>
      <c r="L2324" s="2">
        <f t="shared" si="110"/>
        <v>0</v>
      </c>
      <c r="M2324" t="s">
        <v>15</v>
      </c>
      <c r="N2324" t="s">
        <v>21</v>
      </c>
    </row>
    <row r="2325" spans="1:14" x14ac:dyDescent="0.3">
      <c r="A2325">
        <v>2024003323</v>
      </c>
      <c r="B2325" s="1">
        <v>45451</v>
      </c>
      <c r="C2325" s="11">
        <f t="shared" si="108"/>
        <v>2024</v>
      </c>
      <c r="D2325" t="s">
        <v>11</v>
      </c>
      <c r="E2325" t="s">
        <v>40</v>
      </c>
      <c r="F2325" t="s">
        <v>41</v>
      </c>
      <c r="G2325" t="s">
        <v>36</v>
      </c>
      <c r="H2325">
        <v>3</v>
      </c>
      <c r="I2325" s="2">
        <v>48.04</v>
      </c>
      <c r="J2325" s="2">
        <v>144.12</v>
      </c>
      <c r="K2325" s="2">
        <f t="shared" si="109"/>
        <v>144.12</v>
      </c>
      <c r="L2325" s="2">
        <f t="shared" si="110"/>
        <v>0</v>
      </c>
      <c r="M2325" t="s">
        <v>15</v>
      </c>
      <c r="N2325" t="s">
        <v>21</v>
      </c>
    </row>
    <row r="2326" spans="1:14" x14ac:dyDescent="0.3">
      <c r="A2326">
        <v>2024003324</v>
      </c>
      <c r="B2326" s="1">
        <v>45451</v>
      </c>
      <c r="C2326" s="11">
        <f t="shared" si="108"/>
        <v>2024</v>
      </c>
      <c r="D2326" t="s">
        <v>327</v>
      </c>
      <c r="E2326" t="s">
        <v>12</v>
      </c>
      <c r="F2326" t="s">
        <v>13</v>
      </c>
      <c r="G2326" t="s">
        <v>14</v>
      </c>
      <c r="H2326">
        <v>1</v>
      </c>
      <c r="I2326" s="2">
        <v>343.42</v>
      </c>
      <c r="J2326" s="2">
        <v>343.42</v>
      </c>
      <c r="K2326" s="2">
        <f t="shared" si="109"/>
        <v>343.42</v>
      </c>
      <c r="L2326" s="2">
        <f t="shared" si="110"/>
        <v>0</v>
      </c>
      <c r="M2326" t="s">
        <v>57</v>
      </c>
      <c r="N2326" t="s">
        <v>21</v>
      </c>
    </row>
    <row r="2327" spans="1:14" x14ac:dyDescent="0.3">
      <c r="A2327">
        <v>2024003325</v>
      </c>
      <c r="B2327" s="1">
        <v>45625</v>
      </c>
      <c r="C2327" s="11">
        <f t="shared" si="108"/>
        <v>2024</v>
      </c>
      <c r="D2327" t="s">
        <v>303</v>
      </c>
      <c r="E2327" t="s">
        <v>23</v>
      </c>
      <c r="F2327" t="s">
        <v>24</v>
      </c>
      <c r="G2327" t="s">
        <v>14</v>
      </c>
      <c r="H2327">
        <v>2</v>
      </c>
      <c r="I2327" s="2">
        <v>80.3</v>
      </c>
      <c r="J2327" s="2">
        <v>160.6</v>
      </c>
      <c r="K2327" s="2">
        <f t="shared" si="109"/>
        <v>160.6</v>
      </c>
      <c r="L2327" s="2">
        <f t="shared" si="110"/>
        <v>0</v>
      </c>
      <c r="M2327" t="s">
        <v>55</v>
      </c>
      <c r="N2327" t="s">
        <v>32</v>
      </c>
    </row>
    <row r="2328" spans="1:14" x14ac:dyDescent="0.3">
      <c r="A2328">
        <v>2024003326</v>
      </c>
      <c r="B2328" s="1">
        <v>45435</v>
      </c>
      <c r="C2328" s="11">
        <f t="shared" si="108"/>
        <v>2024</v>
      </c>
      <c r="D2328" t="s">
        <v>231</v>
      </c>
      <c r="E2328" t="s">
        <v>28</v>
      </c>
      <c r="F2328" t="s">
        <v>29</v>
      </c>
      <c r="G2328" t="s">
        <v>30</v>
      </c>
      <c r="H2328">
        <v>1</v>
      </c>
      <c r="I2328" s="2">
        <v>21.94</v>
      </c>
      <c r="J2328" s="2">
        <v>21.94</v>
      </c>
      <c r="K2328" s="2">
        <f t="shared" si="109"/>
        <v>21.94</v>
      </c>
      <c r="L2328" s="2">
        <f t="shared" si="110"/>
        <v>0</v>
      </c>
      <c r="M2328" t="s">
        <v>48</v>
      </c>
      <c r="N2328" t="s">
        <v>21</v>
      </c>
    </row>
    <row r="2329" spans="1:14" x14ac:dyDescent="0.3">
      <c r="A2329">
        <v>2024003327</v>
      </c>
      <c r="B2329" s="1">
        <v>45493</v>
      </c>
      <c r="C2329" s="11">
        <f t="shared" si="108"/>
        <v>2024</v>
      </c>
      <c r="D2329" t="s">
        <v>337</v>
      </c>
      <c r="E2329" t="s">
        <v>43</v>
      </c>
      <c r="F2329" t="s">
        <v>44</v>
      </c>
      <c r="G2329" t="s">
        <v>36</v>
      </c>
      <c r="H2329">
        <v>1</v>
      </c>
      <c r="I2329" s="2">
        <v>1316.02</v>
      </c>
      <c r="J2329" s="2">
        <v>1316.02</v>
      </c>
      <c r="K2329" s="2">
        <f t="shared" si="109"/>
        <v>1316.02</v>
      </c>
      <c r="L2329" s="2">
        <f t="shared" si="110"/>
        <v>0</v>
      </c>
      <c r="M2329" t="s">
        <v>48</v>
      </c>
      <c r="N2329" t="s">
        <v>32</v>
      </c>
    </row>
    <row r="2330" spans="1:14" x14ac:dyDescent="0.3">
      <c r="A2330">
        <v>2024003328</v>
      </c>
      <c r="B2330" s="1">
        <v>45455</v>
      </c>
      <c r="C2330" s="11">
        <f t="shared" si="108"/>
        <v>2024</v>
      </c>
      <c r="D2330" t="s">
        <v>211</v>
      </c>
      <c r="E2330" t="s">
        <v>67</v>
      </c>
      <c r="F2330" t="s">
        <v>68</v>
      </c>
      <c r="G2330" t="s">
        <v>36</v>
      </c>
      <c r="H2330">
        <v>1</v>
      </c>
      <c r="I2330" s="2">
        <v>381.16</v>
      </c>
      <c r="J2330" s="2">
        <v>381.16</v>
      </c>
      <c r="K2330" s="2">
        <f t="shared" si="109"/>
        <v>381.16</v>
      </c>
      <c r="L2330" s="2">
        <f t="shared" si="110"/>
        <v>0</v>
      </c>
      <c r="M2330" t="s">
        <v>57</v>
      </c>
      <c r="N2330" t="s">
        <v>16</v>
      </c>
    </row>
    <row r="2331" spans="1:14" x14ac:dyDescent="0.3">
      <c r="A2331">
        <v>2024003329</v>
      </c>
      <c r="B2331" s="1">
        <v>45483</v>
      </c>
      <c r="C2331" s="11">
        <f t="shared" si="108"/>
        <v>2024</v>
      </c>
      <c r="D2331" t="s">
        <v>324</v>
      </c>
      <c r="E2331" t="s">
        <v>18</v>
      </c>
      <c r="F2331" t="s">
        <v>19</v>
      </c>
      <c r="G2331" t="s">
        <v>14</v>
      </c>
      <c r="H2331">
        <v>2</v>
      </c>
      <c r="I2331" s="2">
        <v>605.79</v>
      </c>
      <c r="J2331" s="2">
        <v>1211.58</v>
      </c>
      <c r="K2331" s="2">
        <f t="shared" si="109"/>
        <v>1211.58</v>
      </c>
      <c r="L2331" s="2">
        <f t="shared" si="110"/>
        <v>0</v>
      </c>
      <c r="M2331" t="s">
        <v>48</v>
      </c>
      <c r="N2331" t="s">
        <v>26</v>
      </c>
    </row>
    <row r="2332" spans="1:14" x14ac:dyDescent="0.3">
      <c r="A2332">
        <v>2024003330</v>
      </c>
      <c r="B2332" s="1">
        <v>45298</v>
      </c>
      <c r="C2332" s="11">
        <f t="shared" si="108"/>
        <v>2024</v>
      </c>
      <c r="D2332" t="s">
        <v>231</v>
      </c>
      <c r="E2332" t="s">
        <v>28</v>
      </c>
      <c r="F2332" t="s">
        <v>29</v>
      </c>
      <c r="G2332" t="s">
        <v>30</v>
      </c>
      <c r="H2332">
        <v>1</v>
      </c>
      <c r="I2332" s="2">
        <v>25.75</v>
      </c>
      <c r="J2332" s="2">
        <v>25.75</v>
      </c>
      <c r="K2332" s="2">
        <f t="shared" si="109"/>
        <v>25.75</v>
      </c>
      <c r="L2332" s="2">
        <f t="shared" si="110"/>
        <v>0</v>
      </c>
      <c r="M2332" t="s">
        <v>57</v>
      </c>
      <c r="N2332" t="s">
        <v>16</v>
      </c>
    </row>
    <row r="2333" spans="1:14" x14ac:dyDescent="0.3">
      <c r="A2333">
        <v>2024003331</v>
      </c>
      <c r="B2333" s="1">
        <v>45475</v>
      </c>
      <c r="C2333" s="11">
        <f t="shared" si="108"/>
        <v>2024</v>
      </c>
      <c r="D2333" t="s">
        <v>66</v>
      </c>
      <c r="E2333" t="s">
        <v>28</v>
      </c>
      <c r="F2333" t="s">
        <v>29</v>
      </c>
      <c r="G2333" t="s">
        <v>30</v>
      </c>
      <c r="H2333">
        <v>1</v>
      </c>
      <c r="I2333" s="2">
        <v>25.68</v>
      </c>
      <c r="J2333" s="2">
        <v>25.68</v>
      </c>
      <c r="K2333" s="2">
        <f t="shared" si="109"/>
        <v>25.68</v>
      </c>
      <c r="L2333" s="2">
        <f t="shared" si="110"/>
        <v>0</v>
      </c>
      <c r="M2333" t="s">
        <v>38</v>
      </c>
      <c r="N2333" t="s">
        <v>32</v>
      </c>
    </row>
    <row r="2334" spans="1:14" x14ac:dyDescent="0.3">
      <c r="A2334">
        <v>2024003332</v>
      </c>
      <c r="B2334" s="1">
        <v>45485</v>
      </c>
      <c r="C2334" s="11">
        <f t="shared" si="108"/>
        <v>2024</v>
      </c>
      <c r="D2334" t="s">
        <v>200</v>
      </c>
      <c r="E2334" t="s">
        <v>40</v>
      </c>
      <c r="F2334" t="s">
        <v>41</v>
      </c>
      <c r="G2334" t="s">
        <v>36</v>
      </c>
      <c r="H2334">
        <v>2</v>
      </c>
      <c r="I2334" s="2">
        <v>43.63</v>
      </c>
      <c r="J2334" s="2">
        <v>87.26</v>
      </c>
      <c r="K2334" s="2">
        <f t="shared" si="109"/>
        <v>87.26</v>
      </c>
      <c r="L2334" s="2">
        <f t="shared" si="110"/>
        <v>0</v>
      </c>
      <c r="M2334" t="s">
        <v>64</v>
      </c>
      <c r="N2334" t="s">
        <v>16</v>
      </c>
    </row>
    <row r="2335" spans="1:14" x14ac:dyDescent="0.3">
      <c r="A2335">
        <v>2024003333</v>
      </c>
      <c r="B2335" s="1">
        <v>45327</v>
      </c>
      <c r="C2335" s="11">
        <f t="shared" si="108"/>
        <v>2024</v>
      </c>
      <c r="D2335" t="s">
        <v>293</v>
      </c>
      <c r="E2335" t="s">
        <v>12</v>
      </c>
      <c r="F2335" t="s">
        <v>13</v>
      </c>
      <c r="G2335" t="s">
        <v>14</v>
      </c>
      <c r="H2335">
        <v>2</v>
      </c>
      <c r="I2335" s="2">
        <v>368.9</v>
      </c>
      <c r="J2335" s="2">
        <v>737.8</v>
      </c>
      <c r="K2335" s="2">
        <f t="shared" si="109"/>
        <v>737.8</v>
      </c>
      <c r="L2335" s="2">
        <f t="shared" si="110"/>
        <v>0</v>
      </c>
      <c r="M2335" t="s">
        <v>48</v>
      </c>
      <c r="N2335" t="s">
        <v>21</v>
      </c>
    </row>
    <row r="2336" spans="1:14" x14ac:dyDescent="0.3">
      <c r="A2336">
        <v>2024003334</v>
      </c>
      <c r="B2336" s="1">
        <v>45389</v>
      </c>
      <c r="C2336" s="11">
        <f t="shared" si="108"/>
        <v>2024</v>
      </c>
      <c r="D2336" t="s">
        <v>11</v>
      </c>
      <c r="E2336" t="s">
        <v>23</v>
      </c>
      <c r="F2336" t="s">
        <v>24</v>
      </c>
      <c r="G2336" t="s">
        <v>14</v>
      </c>
      <c r="H2336">
        <v>4</v>
      </c>
      <c r="I2336" s="2">
        <v>76.510000000000005</v>
      </c>
      <c r="J2336" s="2">
        <v>306.04000000000002</v>
      </c>
      <c r="K2336" s="2">
        <f t="shared" si="109"/>
        <v>306.04000000000002</v>
      </c>
      <c r="L2336" s="2">
        <f t="shared" si="110"/>
        <v>0</v>
      </c>
      <c r="M2336" t="s">
        <v>57</v>
      </c>
      <c r="N2336" t="s">
        <v>16</v>
      </c>
    </row>
    <row r="2337" spans="1:14" x14ac:dyDescent="0.3">
      <c r="A2337">
        <v>2024003335</v>
      </c>
      <c r="B2337" s="1">
        <v>45393</v>
      </c>
      <c r="C2337" s="11">
        <f t="shared" si="108"/>
        <v>2024</v>
      </c>
      <c r="D2337" t="s">
        <v>162</v>
      </c>
      <c r="E2337" t="s">
        <v>46</v>
      </c>
      <c r="F2337" t="s">
        <v>47</v>
      </c>
      <c r="G2337" t="s">
        <v>36</v>
      </c>
      <c r="H2337">
        <v>2</v>
      </c>
      <c r="I2337" s="2">
        <v>85.86</v>
      </c>
      <c r="J2337" s="2">
        <v>171.72</v>
      </c>
      <c r="K2337" s="2">
        <f t="shared" si="109"/>
        <v>171.72</v>
      </c>
      <c r="L2337" s="2">
        <f t="shared" si="110"/>
        <v>0</v>
      </c>
      <c r="M2337" t="s">
        <v>15</v>
      </c>
      <c r="N2337" t="s">
        <v>32</v>
      </c>
    </row>
    <row r="2338" spans="1:14" x14ac:dyDescent="0.3">
      <c r="A2338">
        <v>2024003336</v>
      </c>
      <c r="B2338" s="1">
        <v>45519</v>
      </c>
      <c r="C2338" s="11">
        <f t="shared" si="108"/>
        <v>2024</v>
      </c>
      <c r="D2338" t="s">
        <v>253</v>
      </c>
      <c r="E2338" t="s">
        <v>34</v>
      </c>
      <c r="F2338" t="s">
        <v>35</v>
      </c>
      <c r="G2338" t="s">
        <v>36</v>
      </c>
      <c r="H2338">
        <v>1</v>
      </c>
      <c r="I2338" s="2">
        <v>14.87</v>
      </c>
      <c r="J2338" s="2">
        <v>14.87</v>
      </c>
      <c r="K2338" s="2">
        <f t="shared" si="109"/>
        <v>14.87</v>
      </c>
      <c r="L2338" s="2">
        <f t="shared" si="110"/>
        <v>0</v>
      </c>
      <c r="M2338" t="s">
        <v>31</v>
      </c>
      <c r="N2338" t="s">
        <v>26</v>
      </c>
    </row>
    <row r="2339" spans="1:14" x14ac:dyDescent="0.3">
      <c r="A2339">
        <v>2024003337</v>
      </c>
      <c r="B2339" s="1">
        <v>45586</v>
      </c>
      <c r="C2339" s="11">
        <f t="shared" si="108"/>
        <v>2024</v>
      </c>
      <c r="D2339" t="s">
        <v>346</v>
      </c>
      <c r="E2339" t="s">
        <v>40</v>
      </c>
      <c r="F2339" t="s">
        <v>41</v>
      </c>
      <c r="G2339" t="s">
        <v>36</v>
      </c>
      <c r="H2339">
        <v>1</v>
      </c>
      <c r="I2339" s="2">
        <v>46.75</v>
      </c>
      <c r="J2339" s="2">
        <v>46.75</v>
      </c>
      <c r="K2339" s="2">
        <f t="shared" si="109"/>
        <v>46.75</v>
      </c>
      <c r="L2339" s="2">
        <f t="shared" si="110"/>
        <v>0</v>
      </c>
      <c r="M2339" t="s">
        <v>25</v>
      </c>
      <c r="N2339" t="s">
        <v>16</v>
      </c>
    </row>
    <row r="2340" spans="1:14" x14ac:dyDescent="0.3">
      <c r="A2340">
        <v>2024003338</v>
      </c>
      <c r="B2340" s="1">
        <v>45522</v>
      </c>
      <c r="C2340" s="11">
        <f t="shared" si="108"/>
        <v>2024</v>
      </c>
      <c r="D2340" t="s">
        <v>11</v>
      </c>
      <c r="E2340" t="s">
        <v>40</v>
      </c>
      <c r="F2340" t="s">
        <v>41</v>
      </c>
      <c r="G2340" t="s">
        <v>36</v>
      </c>
      <c r="H2340">
        <v>1</v>
      </c>
      <c r="I2340" s="2">
        <v>45.5</v>
      </c>
      <c r="J2340" s="2">
        <v>45.5</v>
      </c>
      <c r="K2340" s="2">
        <f t="shared" si="109"/>
        <v>45.5</v>
      </c>
      <c r="L2340" s="2">
        <f t="shared" si="110"/>
        <v>0</v>
      </c>
      <c r="M2340" t="s">
        <v>31</v>
      </c>
      <c r="N2340" t="s">
        <v>21</v>
      </c>
    </row>
    <row r="2341" spans="1:14" x14ac:dyDescent="0.3">
      <c r="A2341">
        <v>2024003339</v>
      </c>
      <c r="B2341" s="1">
        <v>45471</v>
      </c>
      <c r="C2341" s="11">
        <f t="shared" si="108"/>
        <v>2024</v>
      </c>
      <c r="D2341" t="s">
        <v>294</v>
      </c>
      <c r="E2341" t="s">
        <v>53</v>
      </c>
      <c r="F2341" t="s">
        <v>54</v>
      </c>
      <c r="G2341" t="s">
        <v>36</v>
      </c>
      <c r="H2341">
        <v>4</v>
      </c>
      <c r="I2341" s="2">
        <v>123.48</v>
      </c>
      <c r="J2341" s="2">
        <v>493.92</v>
      </c>
      <c r="K2341" s="2">
        <f t="shared" si="109"/>
        <v>493.92</v>
      </c>
      <c r="L2341" s="2">
        <f t="shared" si="110"/>
        <v>0</v>
      </c>
      <c r="M2341" t="s">
        <v>57</v>
      </c>
      <c r="N2341" t="s">
        <v>16</v>
      </c>
    </row>
    <row r="2342" spans="1:14" x14ac:dyDescent="0.3">
      <c r="A2342">
        <v>2024003340</v>
      </c>
      <c r="B2342" s="1">
        <v>45347</v>
      </c>
      <c r="C2342" s="11">
        <f t="shared" si="108"/>
        <v>2024</v>
      </c>
      <c r="D2342" t="s">
        <v>131</v>
      </c>
      <c r="E2342" t="s">
        <v>43</v>
      </c>
      <c r="F2342" t="s">
        <v>44</v>
      </c>
      <c r="G2342" t="s">
        <v>36</v>
      </c>
      <c r="H2342">
        <v>2</v>
      </c>
      <c r="I2342" s="2">
        <v>1230.8699999999999</v>
      </c>
      <c r="J2342" s="2">
        <v>2461.7399999999998</v>
      </c>
      <c r="K2342" s="2">
        <f t="shared" si="109"/>
        <v>2461.7399999999998</v>
      </c>
      <c r="L2342" s="2">
        <f t="shared" si="110"/>
        <v>0</v>
      </c>
      <c r="M2342" t="s">
        <v>15</v>
      </c>
      <c r="N2342" t="s">
        <v>26</v>
      </c>
    </row>
    <row r="2343" spans="1:14" x14ac:dyDescent="0.3">
      <c r="A2343">
        <v>2024003341</v>
      </c>
      <c r="B2343" s="1">
        <v>45451</v>
      </c>
      <c r="C2343" s="11">
        <f t="shared" si="108"/>
        <v>2024</v>
      </c>
      <c r="D2343" t="s">
        <v>196</v>
      </c>
      <c r="E2343" t="s">
        <v>23</v>
      </c>
      <c r="F2343" t="s">
        <v>24</v>
      </c>
      <c r="G2343" t="s">
        <v>14</v>
      </c>
      <c r="H2343">
        <v>1</v>
      </c>
      <c r="I2343" s="2">
        <v>81.180000000000007</v>
      </c>
      <c r="J2343" s="2">
        <v>81.180000000000007</v>
      </c>
      <c r="K2343" s="2">
        <f t="shared" si="109"/>
        <v>81.180000000000007</v>
      </c>
      <c r="L2343" s="2">
        <f t="shared" si="110"/>
        <v>0</v>
      </c>
      <c r="M2343" t="s">
        <v>48</v>
      </c>
      <c r="N2343" t="s">
        <v>26</v>
      </c>
    </row>
    <row r="2344" spans="1:14" x14ac:dyDescent="0.3">
      <c r="A2344">
        <v>2024003342</v>
      </c>
      <c r="B2344" s="1">
        <v>45633</v>
      </c>
      <c r="C2344" s="11">
        <f t="shared" si="108"/>
        <v>2024</v>
      </c>
      <c r="D2344" t="s">
        <v>104</v>
      </c>
      <c r="E2344" t="s">
        <v>46</v>
      </c>
      <c r="F2344" t="s">
        <v>47</v>
      </c>
      <c r="G2344" t="s">
        <v>36</v>
      </c>
      <c r="H2344">
        <v>1</v>
      </c>
      <c r="I2344" s="2">
        <v>86.6</v>
      </c>
      <c r="J2344" s="2">
        <v>86.6</v>
      </c>
      <c r="K2344" s="2">
        <f t="shared" si="109"/>
        <v>86.6</v>
      </c>
      <c r="L2344" s="2">
        <f t="shared" si="110"/>
        <v>0</v>
      </c>
      <c r="M2344" t="s">
        <v>64</v>
      </c>
      <c r="N2344" t="s">
        <v>21</v>
      </c>
    </row>
    <row r="2345" spans="1:14" x14ac:dyDescent="0.3">
      <c r="A2345">
        <v>2024003343</v>
      </c>
      <c r="B2345" s="1">
        <v>45527</v>
      </c>
      <c r="C2345" s="11">
        <f t="shared" si="108"/>
        <v>2024</v>
      </c>
      <c r="D2345" t="s">
        <v>277</v>
      </c>
      <c r="E2345" t="s">
        <v>34</v>
      </c>
      <c r="F2345" t="s">
        <v>35</v>
      </c>
      <c r="G2345" t="s">
        <v>36</v>
      </c>
      <c r="H2345">
        <v>2</v>
      </c>
      <c r="I2345" s="2">
        <v>14.38</v>
      </c>
      <c r="J2345" s="2">
        <v>28.76</v>
      </c>
      <c r="K2345" s="2">
        <f t="shared" si="109"/>
        <v>28.76</v>
      </c>
      <c r="L2345" s="2">
        <f t="shared" si="110"/>
        <v>0</v>
      </c>
      <c r="M2345" t="s">
        <v>57</v>
      </c>
      <c r="N2345" t="s">
        <v>21</v>
      </c>
    </row>
    <row r="2346" spans="1:14" x14ac:dyDescent="0.3">
      <c r="A2346">
        <v>2024003344</v>
      </c>
      <c r="B2346" s="1">
        <v>45435</v>
      </c>
      <c r="C2346" s="11">
        <f t="shared" si="108"/>
        <v>2024</v>
      </c>
      <c r="D2346" t="s">
        <v>175</v>
      </c>
      <c r="E2346" t="s">
        <v>23</v>
      </c>
      <c r="F2346" t="s">
        <v>24</v>
      </c>
      <c r="G2346" t="s">
        <v>14</v>
      </c>
      <c r="H2346">
        <v>1</v>
      </c>
      <c r="I2346" s="2">
        <v>80.099999999999994</v>
      </c>
      <c r="J2346" s="2">
        <v>80.099999999999994</v>
      </c>
      <c r="K2346" s="2">
        <f t="shared" si="109"/>
        <v>80.099999999999994</v>
      </c>
      <c r="L2346" s="2">
        <f t="shared" si="110"/>
        <v>0</v>
      </c>
      <c r="M2346" t="s">
        <v>20</v>
      </c>
      <c r="N2346" t="s">
        <v>26</v>
      </c>
    </row>
    <row r="2347" spans="1:14" x14ac:dyDescent="0.3">
      <c r="A2347">
        <v>2024003345</v>
      </c>
      <c r="B2347" s="1">
        <v>45401</v>
      </c>
      <c r="C2347" s="11">
        <f t="shared" si="108"/>
        <v>2024</v>
      </c>
      <c r="D2347" t="s">
        <v>123</v>
      </c>
      <c r="E2347" t="s">
        <v>40</v>
      </c>
      <c r="F2347" t="s">
        <v>41</v>
      </c>
      <c r="G2347" t="s">
        <v>36</v>
      </c>
      <c r="H2347">
        <v>1</v>
      </c>
      <c r="I2347" s="2">
        <v>45.16</v>
      </c>
      <c r="J2347" s="2">
        <v>45.16</v>
      </c>
      <c r="K2347" s="2">
        <f t="shared" si="109"/>
        <v>45.16</v>
      </c>
      <c r="L2347" s="2">
        <f t="shared" si="110"/>
        <v>0</v>
      </c>
      <c r="M2347" t="s">
        <v>38</v>
      </c>
      <c r="N2347" t="s">
        <v>16</v>
      </c>
    </row>
    <row r="2348" spans="1:14" x14ac:dyDescent="0.3">
      <c r="A2348">
        <v>2024003346</v>
      </c>
      <c r="B2348" s="1">
        <v>45588</v>
      </c>
      <c r="C2348" s="11">
        <f t="shared" si="108"/>
        <v>2024</v>
      </c>
      <c r="D2348" t="s">
        <v>278</v>
      </c>
      <c r="E2348" t="s">
        <v>53</v>
      </c>
      <c r="F2348" t="s">
        <v>54</v>
      </c>
      <c r="G2348" t="s">
        <v>36</v>
      </c>
      <c r="H2348">
        <v>4</v>
      </c>
      <c r="I2348" s="2">
        <v>121.88</v>
      </c>
      <c r="J2348" s="2">
        <v>487.52</v>
      </c>
      <c r="K2348" s="2">
        <f t="shared" si="109"/>
        <v>487.52</v>
      </c>
      <c r="L2348" s="2">
        <f t="shared" si="110"/>
        <v>0</v>
      </c>
      <c r="M2348" t="s">
        <v>57</v>
      </c>
      <c r="N2348" t="s">
        <v>32</v>
      </c>
    </row>
    <row r="2349" spans="1:14" x14ac:dyDescent="0.3">
      <c r="A2349">
        <v>2024003347</v>
      </c>
      <c r="B2349" s="1">
        <v>45384</v>
      </c>
      <c r="C2349" s="11">
        <f t="shared" si="108"/>
        <v>2024</v>
      </c>
      <c r="D2349" t="s">
        <v>11</v>
      </c>
      <c r="E2349" t="s">
        <v>46</v>
      </c>
      <c r="F2349" t="s">
        <v>47</v>
      </c>
      <c r="G2349" t="s">
        <v>36</v>
      </c>
      <c r="H2349">
        <v>4</v>
      </c>
      <c r="I2349" s="2">
        <v>86.96</v>
      </c>
      <c r="J2349" s="2">
        <v>347.84</v>
      </c>
      <c r="K2349" s="2">
        <f t="shared" si="109"/>
        <v>347.84</v>
      </c>
      <c r="L2349" s="2">
        <f t="shared" si="110"/>
        <v>0</v>
      </c>
      <c r="M2349" t="s">
        <v>64</v>
      </c>
      <c r="N2349" t="s">
        <v>26</v>
      </c>
    </row>
    <row r="2350" spans="1:14" x14ac:dyDescent="0.3">
      <c r="A2350">
        <v>2024003348</v>
      </c>
      <c r="B2350" s="1">
        <v>45540</v>
      </c>
      <c r="C2350" s="11">
        <f t="shared" si="108"/>
        <v>2024</v>
      </c>
      <c r="D2350" t="s">
        <v>302</v>
      </c>
      <c r="E2350" t="s">
        <v>43</v>
      </c>
      <c r="F2350" t="s">
        <v>44</v>
      </c>
      <c r="G2350" t="s">
        <v>36</v>
      </c>
      <c r="H2350">
        <v>1</v>
      </c>
      <c r="I2350" s="2">
        <v>1230.93</v>
      </c>
      <c r="J2350" s="2">
        <v>1230.93</v>
      </c>
      <c r="K2350" s="2">
        <f t="shared" si="109"/>
        <v>1230.93</v>
      </c>
      <c r="L2350" s="2">
        <f t="shared" si="110"/>
        <v>0</v>
      </c>
      <c r="M2350" t="s">
        <v>25</v>
      </c>
      <c r="N2350" t="s">
        <v>21</v>
      </c>
    </row>
    <row r="2351" spans="1:14" x14ac:dyDescent="0.3">
      <c r="A2351">
        <v>2024003349</v>
      </c>
      <c r="B2351" s="1">
        <v>45582</v>
      </c>
      <c r="C2351" s="11">
        <f t="shared" si="108"/>
        <v>2024</v>
      </c>
      <c r="D2351" t="s">
        <v>278</v>
      </c>
      <c r="E2351" t="s">
        <v>23</v>
      </c>
      <c r="F2351" t="s">
        <v>24</v>
      </c>
      <c r="G2351" t="s">
        <v>14</v>
      </c>
      <c r="H2351">
        <v>3</v>
      </c>
      <c r="I2351" s="2">
        <v>81.3</v>
      </c>
      <c r="J2351" s="2">
        <v>243.9</v>
      </c>
      <c r="K2351" s="2">
        <f t="shared" si="109"/>
        <v>243.89999999999998</v>
      </c>
      <c r="L2351" s="2">
        <f t="shared" si="110"/>
        <v>0</v>
      </c>
      <c r="M2351" t="s">
        <v>55</v>
      </c>
      <c r="N2351" t="s">
        <v>26</v>
      </c>
    </row>
    <row r="2352" spans="1:14" x14ac:dyDescent="0.3">
      <c r="A2352">
        <v>2024003350</v>
      </c>
      <c r="B2352" s="1">
        <v>45559</v>
      </c>
      <c r="C2352" s="11">
        <f t="shared" si="108"/>
        <v>2024</v>
      </c>
      <c r="D2352" t="s">
        <v>11</v>
      </c>
      <c r="E2352" t="s">
        <v>43</v>
      </c>
      <c r="F2352" t="s">
        <v>44</v>
      </c>
      <c r="G2352" t="s">
        <v>36</v>
      </c>
      <c r="H2352">
        <v>1</v>
      </c>
      <c r="I2352" s="2">
        <v>1181.57</v>
      </c>
      <c r="J2352" s="2">
        <v>1181.57</v>
      </c>
      <c r="K2352" s="2">
        <f t="shared" si="109"/>
        <v>1181.57</v>
      </c>
      <c r="L2352" s="2">
        <f t="shared" si="110"/>
        <v>0</v>
      </c>
      <c r="M2352" t="s">
        <v>64</v>
      </c>
      <c r="N2352" t="s">
        <v>21</v>
      </c>
    </row>
    <row r="2353" spans="1:14" x14ac:dyDescent="0.3">
      <c r="A2353">
        <v>2024003351</v>
      </c>
      <c r="B2353" s="1">
        <v>45524</v>
      </c>
      <c r="C2353" s="11">
        <f t="shared" si="108"/>
        <v>2024</v>
      </c>
      <c r="D2353" t="s">
        <v>171</v>
      </c>
      <c r="E2353" t="s">
        <v>46</v>
      </c>
      <c r="F2353" t="s">
        <v>47</v>
      </c>
      <c r="G2353" t="s">
        <v>36</v>
      </c>
      <c r="H2353">
        <v>3</v>
      </c>
      <c r="I2353" s="2">
        <v>89.78</v>
      </c>
      <c r="J2353" s="2">
        <v>269.33999999999997</v>
      </c>
      <c r="K2353" s="2">
        <f t="shared" si="109"/>
        <v>269.34000000000003</v>
      </c>
      <c r="L2353" s="2">
        <f t="shared" si="110"/>
        <v>0</v>
      </c>
      <c r="M2353" t="s">
        <v>64</v>
      </c>
      <c r="N2353" t="s">
        <v>16</v>
      </c>
    </row>
    <row r="2354" spans="1:14" x14ac:dyDescent="0.3">
      <c r="A2354">
        <v>2024003352</v>
      </c>
      <c r="B2354" s="1">
        <v>45618</v>
      </c>
      <c r="C2354" s="11">
        <f t="shared" si="108"/>
        <v>2024</v>
      </c>
      <c r="D2354" t="s">
        <v>11</v>
      </c>
      <c r="E2354" t="s">
        <v>53</v>
      </c>
      <c r="F2354" t="s">
        <v>54</v>
      </c>
      <c r="G2354" t="s">
        <v>36</v>
      </c>
      <c r="H2354">
        <v>1</v>
      </c>
      <c r="I2354" s="2">
        <v>116.52</v>
      </c>
      <c r="J2354" s="2">
        <v>116.52</v>
      </c>
      <c r="K2354" s="2">
        <f t="shared" si="109"/>
        <v>116.52</v>
      </c>
      <c r="L2354" s="2">
        <f t="shared" si="110"/>
        <v>0</v>
      </c>
      <c r="M2354" t="s">
        <v>20</v>
      </c>
      <c r="N2354" t="s">
        <v>16</v>
      </c>
    </row>
    <row r="2355" spans="1:14" x14ac:dyDescent="0.3">
      <c r="A2355">
        <v>2024003353</v>
      </c>
      <c r="B2355" s="1">
        <v>45556</v>
      </c>
      <c r="C2355" s="11">
        <f t="shared" si="108"/>
        <v>2024</v>
      </c>
      <c r="D2355" t="s">
        <v>115</v>
      </c>
      <c r="E2355" t="s">
        <v>67</v>
      </c>
      <c r="F2355" t="s">
        <v>68</v>
      </c>
      <c r="G2355" t="s">
        <v>36</v>
      </c>
      <c r="H2355">
        <v>1</v>
      </c>
      <c r="I2355" s="2">
        <v>399.93</v>
      </c>
      <c r="J2355" s="2">
        <v>399.93</v>
      </c>
      <c r="K2355" s="2">
        <f t="shared" si="109"/>
        <v>399.93</v>
      </c>
      <c r="L2355" s="2">
        <f t="shared" si="110"/>
        <v>0</v>
      </c>
      <c r="M2355" t="s">
        <v>20</v>
      </c>
      <c r="N2355" t="s">
        <v>32</v>
      </c>
    </row>
    <row r="2356" spans="1:14" x14ac:dyDescent="0.3">
      <c r="A2356">
        <v>2024003354</v>
      </c>
      <c r="B2356" s="1">
        <v>45503</v>
      </c>
      <c r="C2356" s="11">
        <f t="shared" si="108"/>
        <v>2024</v>
      </c>
      <c r="D2356" t="s">
        <v>11</v>
      </c>
      <c r="E2356" t="s">
        <v>46</v>
      </c>
      <c r="F2356" t="s">
        <v>47</v>
      </c>
      <c r="G2356" t="s">
        <v>36</v>
      </c>
      <c r="H2356">
        <v>1</v>
      </c>
      <c r="I2356" s="2">
        <v>93.1</v>
      </c>
      <c r="J2356" s="2">
        <v>93.1</v>
      </c>
      <c r="K2356" s="2">
        <f t="shared" si="109"/>
        <v>93.1</v>
      </c>
      <c r="L2356" s="2">
        <f t="shared" si="110"/>
        <v>0</v>
      </c>
      <c r="M2356" t="s">
        <v>64</v>
      </c>
      <c r="N2356" t="s">
        <v>32</v>
      </c>
    </row>
    <row r="2357" spans="1:14" x14ac:dyDescent="0.3">
      <c r="A2357">
        <v>2024003355</v>
      </c>
      <c r="B2357" s="1">
        <v>45306</v>
      </c>
      <c r="C2357" s="11">
        <f t="shared" si="108"/>
        <v>2024</v>
      </c>
      <c r="D2357" t="s">
        <v>121</v>
      </c>
      <c r="E2357" t="s">
        <v>12</v>
      </c>
      <c r="F2357" t="s">
        <v>13</v>
      </c>
      <c r="G2357" t="s">
        <v>14</v>
      </c>
      <c r="H2357">
        <v>2</v>
      </c>
      <c r="I2357" s="2">
        <v>330.74</v>
      </c>
      <c r="J2357" s="2">
        <v>661.48</v>
      </c>
      <c r="K2357" s="2">
        <f t="shared" si="109"/>
        <v>661.48</v>
      </c>
      <c r="L2357" s="2">
        <f t="shared" si="110"/>
        <v>0</v>
      </c>
      <c r="M2357" t="s">
        <v>55</v>
      </c>
      <c r="N2357" t="s">
        <v>32</v>
      </c>
    </row>
    <row r="2358" spans="1:14" x14ac:dyDescent="0.3">
      <c r="A2358">
        <v>2024003356</v>
      </c>
      <c r="B2358" s="1">
        <v>45627</v>
      </c>
      <c r="C2358" s="11">
        <f t="shared" si="108"/>
        <v>2024</v>
      </c>
      <c r="D2358" t="s">
        <v>293</v>
      </c>
      <c r="E2358" t="s">
        <v>40</v>
      </c>
      <c r="F2358" t="s">
        <v>41</v>
      </c>
      <c r="G2358" t="s">
        <v>36</v>
      </c>
      <c r="H2358">
        <v>2</v>
      </c>
      <c r="I2358" s="2">
        <v>44.13</v>
      </c>
      <c r="J2358" s="2">
        <v>88.26</v>
      </c>
      <c r="K2358" s="2">
        <f t="shared" si="109"/>
        <v>88.26</v>
      </c>
      <c r="L2358" s="2">
        <f t="shared" si="110"/>
        <v>0</v>
      </c>
      <c r="M2358" t="s">
        <v>48</v>
      </c>
      <c r="N2358" t="s">
        <v>32</v>
      </c>
    </row>
    <row r="2359" spans="1:14" x14ac:dyDescent="0.3">
      <c r="A2359">
        <v>2024003357</v>
      </c>
      <c r="B2359" s="1">
        <v>45647</v>
      </c>
      <c r="C2359" s="11">
        <f t="shared" si="108"/>
        <v>2024</v>
      </c>
      <c r="D2359" t="s">
        <v>220</v>
      </c>
      <c r="E2359" t="s">
        <v>46</v>
      </c>
      <c r="F2359" t="s">
        <v>47</v>
      </c>
      <c r="G2359" t="s">
        <v>36</v>
      </c>
      <c r="H2359">
        <v>1</v>
      </c>
      <c r="I2359" s="2">
        <v>93</v>
      </c>
      <c r="J2359" s="2">
        <v>93</v>
      </c>
      <c r="K2359" s="2">
        <f t="shared" si="109"/>
        <v>93</v>
      </c>
      <c r="L2359" s="2">
        <f t="shared" si="110"/>
        <v>0</v>
      </c>
      <c r="M2359" t="s">
        <v>15</v>
      </c>
      <c r="N2359" t="s">
        <v>26</v>
      </c>
    </row>
    <row r="2360" spans="1:14" x14ac:dyDescent="0.3">
      <c r="A2360">
        <v>2024003358</v>
      </c>
      <c r="B2360" s="1">
        <v>45473</v>
      </c>
      <c r="C2360" s="11">
        <f t="shared" si="108"/>
        <v>2024</v>
      </c>
      <c r="D2360" t="s">
        <v>11</v>
      </c>
      <c r="E2360" t="s">
        <v>12</v>
      </c>
      <c r="F2360" t="s">
        <v>13</v>
      </c>
      <c r="G2360" t="s">
        <v>14</v>
      </c>
      <c r="H2360">
        <v>2</v>
      </c>
      <c r="I2360" s="2">
        <v>368.5</v>
      </c>
      <c r="J2360" s="2">
        <v>737</v>
      </c>
      <c r="K2360" s="2">
        <f t="shared" si="109"/>
        <v>737</v>
      </c>
      <c r="L2360" s="2">
        <f t="shared" si="110"/>
        <v>0</v>
      </c>
      <c r="M2360" t="s">
        <v>55</v>
      </c>
      <c r="N2360" t="s">
        <v>16</v>
      </c>
    </row>
    <row r="2361" spans="1:14" x14ac:dyDescent="0.3">
      <c r="A2361">
        <v>2024003359</v>
      </c>
      <c r="B2361" s="1">
        <v>45620</v>
      </c>
      <c r="C2361" s="11">
        <f t="shared" si="108"/>
        <v>2024</v>
      </c>
      <c r="D2361" t="s">
        <v>11</v>
      </c>
      <c r="E2361" t="s">
        <v>18</v>
      </c>
      <c r="F2361" t="s">
        <v>19</v>
      </c>
      <c r="G2361" t="s">
        <v>14</v>
      </c>
      <c r="H2361">
        <v>3</v>
      </c>
      <c r="I2361" s="2">
        <v>597.58000000000004</v>
      </c>
      <c r="J2361" s="2">
        <v>1792.74</v>
      </c>
      <c r="K2361" s="2">
        <f t="shared" si="109"/>
        <v>1792.7400000000002</v>
      </c>
      <c r="L2361" s="2">
        <f t="shared" si="110"/>
        <v>0</v>
      </c>
      <c r="M2361" t="s">
        <v>15</v>
      </c>
      <c r="N2361" t="s">
        <v>21</v>
      </c>
    </row>
    <row r="2362" spans="1:14" x14ac:dyDescent="0.3">
      <c r="A2362">
        <v>2024003360</v>
      </c>
      <c r="B2362" s="1">
        <v>45428</v>
      </c>
      <c r="C2362" s="11">
        <f t="shared" si="108"/>
        <v>2024</v>
      </c>
      <c r="D2362" t="s">
        <v>115</v>
      </c>
      <c r="E2362" t="s">
        <v>43</v>
      </c>
      <c r="F2362" t="s">
        <v>44</v>
      </c>
      <c r="G2362" t="s">
        <v>36</v>
      </c>
      <c r="H2362">
        <v>3</v>
      </c>
      <c r="I2362" s="2">
        <v>1142.5899999999999</v>
      </c>
      <c r="J2362" s="2">
        <v>3427.77</v>
      </c>
      <c r="K2362" s="2">
        <f t="shared" si="109"/>
        <v>3427.7699999999995</v>
      </c>
      <c r="L2362" s="2">
        <f t="shared" si="110"/>
        <v>0</v>
      </c>
      <c r="M2362" t="s">
        <v>48</v>
      </c>
      <c r="N2362" t="s">
        <v>21</v>
      </c>
    </row>
    <row r="2363" spans="1:14" x14ac:dyDescent="0.3">
      <c r="A2363">
        <v>2024003361</v>
      </c>
      <c r="B2363" s="1">
        <v>45445</v>
      </c>
      <c r="C2363" s="11">
        <f t="shared" si="108"/>
        <v>2024</v>
      </c>
      <c r="D2363" t="s">
        <v>11</v>
      </c>
      <c r="E2363" t="s">
        <v>40</v>
      </c>
      <c r="F2363" t="s">
        <v>41</v>
      </c>
      <c r="G2363" t="s">
        <v>36</v>
      </c>
      <c r="H2363">
        <v>4</v>
      </c>
      <c r="I2363" s="2">
        <v>45.67</v>
      </c>
      <c r="J2363" s="2">
        <v>182.68</v>
      </c>
      <c r="K2363" s="2">
        <f t="shared" si="109"/>
        <v>182.68</v>
      </c>
      <c r="L2363" s="2">
        <f t="shared" si="110"/>
        <v>0</v>
      </c>
      <c r="M2363" t="s">
        <v>55</v>
      </c>
      <c r="N2363" t="s">
        <v>21</v>
      </c>
    </row>
    <row r="2364" spans="1:14" x14ac:dyDescent="0.3">
      <c r="A2364">
        <v>2024003362</v>
      </c>
      <c r="B2364" s="1">
        <v>45586</v>
      </c>
      <c r="C2364" s="11">
        <f t="shared" si="108"/>
        <v>2024</v>
      </c>
      <c r="D2364" t="s">
        <v>296</v>
      </c>
      <c r="E2364" t="s">
        <v>18</v>
      </c>
      <c r="F2364" t="s">
        <v>19</v>
      </c>
      <c r="G2364" t="s">
        <v>14</v>
      </c>
      <c r="H2364">
        <v>1</v>
      </c>
      <c r="I2364" s="2">
        <v>563.62</v>
      </c>
      <c r="J2364" s="2">
        <v>563.62</v>
      </c>
      <c r="K2364" s="2">
        <f t="shared" si="109"/>
        <v>563.62</v>
      </c>
      <c r="L2364" s="2">
        <f t="shared" si="110"/>
        <v>0</v>
      </c>
      <c r="M2364" t="s">
        <v>48</v>
      </c>
      <c r="N2364" t="s">
        <v>26</v>
      </c>
    </row>
    <row r="2365" spans="1:14" x14ac:dyDescent="0.3">
      <c r="A2365">
        <v>2024003363</v>
      </c>
      <c r="B2365" s="1">
        <v>45447</v>
      </c>
      <c r="C2365" s="11">
        <f t="shared" si="108"/>
        <v>2024</v>
      </c>
      <c r="D2365" t="s">
        <v>219</v>
      </c>
      <c r="E2365" t="s">
        <v>46</v>
      </c>
      <c r="F2365" t="s">
        <v>47</v>
      </c>
      <c r="G2365" t="s">
        <v>36</v>
      </c>
      <c r="H2365">
        <v>1</v>
      </c>
      <c r="I2365" s="2">
        <v>76.459999999999994</v>
      </c>
      <c r="J2365" s="2">
        <v>76.459999999999994</v>
      </c>
      <c r="K2365" s="2">
        <f t="shared" si="109"/>
        <v>76.459999999999994</v>
      </c>
      <c r="L2365" s="2">
        <f t="shared" si="110"/>
        <v>0</v>
      </c>
      <c r="M2365" t="s">
        <v>64</v>
      </c>
      <c r="N2365" t="s">
        <v>16</v>
      </c>
    </row>
    <row r="2366" spans="1:14" x14ac:dyDescent="0.3">
      <c r="A2366">
        <v>2024003364</v>
      </c>
      <c r="B2366" s="1">
        <v>45468</v>
      </c>
      <c r="C2366" s="11">
        <f t="shared" si="108"/>
        <v>2024</v>
      </c>
      <c r="D2366" t="s">
        <v>195</v>
      </c>
      <c r="E2366" t="s">
        <v>18</v>
      </c>
      <c r="F2366" t="s">
        <v>19</v>
      </c>
      <c r="G2366" t="s">
        <v>14</v>
      </c>
      <c r="H2366">
        <v>1</v>
      </c>
      <c r="I2366" s="2">
        <v>602.88</v>
      </c>
      <c r="J2366" s="2">
        <v>602.88</v>
      </c>
      <c r="K2366" s="2">
        <f t="shared" si="109"/>
        <v>602.88</v>
      </c>
      <c r="L2366" s="2">
        <f t="shared" si="110"/>
        <v>0</v>
      </c>
      <c r="M2366" t="s">
        <v>61</v>
      </c>
      <c r="N2366" t="s">
        <v>21</v>
      </c>
    </row>
    <row r="2367" spans="1:14" x14ac:dyDescent="0.3">
      <c r="A2367">
        <v>2024003365</v>
      </c>
      <c r="B2367" s="1">
        <v>45334</v>
      </c>
      <c r="C2367" s="11">
        <f t="shared" si="108"/>
        <v>2024</v>
      </c>
      <c r="D2367" t="s">
        <v>98</v>
      </c>
      <c r="E2367" t="s">
        <v>23</v>
      </c>
      <c r="F2367" t="s">
        <v>24</v>
      </c>
      <c r="G2367" t="s">
        <v>14</v>
      </c>
      <c r="H2367">
        <v>1</v>
      </c>
      <c r="I2367" s="2">
        <v>80.81</v>
      </c>
      <c r="J2367" s="2">
        <v>80.81</v>
      </c>
      <c r="K2367" s="2">
        <f t="shared" si="109"/>
        <v>80.81</v>
      </c>
      <c r="L2367" s="2">
        <f t="shared" si="110"/>
        <v>0</v>
      </c>
      <c r="M2367" t="s">
        <v>15</v>
      </c>
      <c r="N2367" t="s">
        <v>16</v>
      </c>
    </row>
    <row r="2368" spans="1:14" x14ac:dyDescent="0.3">
      <c r="A2368">
        <v>2024003366</v>
      </c>
      <c r="B2368" s="1">
        <v>45364</v>
      </c>
      <c r="C2368" s="11">
        <f t="shared" si="108"/>
        <v>2024</v>
      </c>
      <c r="D2368" t="s">
        <v>79</v>
      </c>
      <c r="E2368" t="s">
        <v>12</v>
      </c>
      <c r="F2368" t="s">
        <v>13</v>
      </c>
      <c r="G2368" t="s">
        <v>14</v>
      </c>
      <c r="H2368">
        <v>1</v>
      </c>
      <c r="I2368" s="2">
        <v>331.52</v>
      </c>
      <c r="J2368" s="2">
        <v>331.52</v>
      </c>
      <c r="K2368" s="2">
        <f t="shared" si="109"/>
        <v>331.52</v>
      </c>
      <c r="L2368" s="2">
        <f t="shared" si="110"/>
        <v>0</v>
      </c>
      <c r="M2368" t="s">
        <v>20</v>
      </c>
      <c r="N2368" t="s">
        <v>21</v>
      </c>
    </row>
    <row r="2369" spans="1:14" x14ac:dyDescent="0.3">
      <c r="A2369">
        <v>2024003367</v>
      </c>
      <c r="B2369" s="1">
        <v>45437</v>
      </c>
      <c r="C2369" s="11">
        <f t="shared" si="108"/>
        <v>2024</v>
      </c>
      <c r="D2369" t="s">
        <v>177</v>
      </c>
      <c r="E2369" t="s">
        <v>43</v>
      </c>
      <c r="F2369" t="s">
        <v>44</v>
      </c>
      <c r="G2369" t="s">
        <v>36</v>
      </c>
      <c r="H2369">
        <v>2</v>
      </c>
      <c r="I2369" s="2">
        <v>1066</v>
      </c>
      <c r="J2369" s="2">
        <v>2132</v>
      </c>
      <c r="K2369" s="2">
        <f t="shared" si="109"/>
        <v>2132</v>
      </c>
      <c r="L2369" s="2">
        <f t="shared" si="110"/>
        <v>0</v>
      </c>
      <c r="M2369" t="s">
        <v>64</v>
      </c>
      <c r="N2369" t="s">
        <v>32</v>
      </c>
    </row>
    <row r="2370" spans="1:14" x14ac:dyDescent="0.3">
      <c r="A2370">
        <v>2024003368</v>
      </c>
      <c r="B2370" s="1">
        <v>45391</v>
      </c>
      <c r="C2370" s="11">
        <f t="shared" si="108"/>
        <v>2024</v>
      </c>
      <c r="D2370" t="s">
        <v>49</v>
      </c>
      <c r="E2370" t="s">
        <v>18</v>
      </c>
      <c r="F2370" t="s">
        <v>19</v>
      </c>
      <c r="G2370" t="s">
        <v>14</v>
      </c>
      <c r="H2370">
        <v>3</v>
      </c>
      <c r="I2370" s="2">
        <v>583.53</v>
      </c>
      <c r="J2370" s="2">
        <v>1750.59</v>
      </c>
      <c r="K2370" s="2">
        <f t="shared" si="109"/>
        <v>1750.59</v>
      </c>
      <c r="L2370" s="2">
        <f t="shared" si="110"/>
        <v>0</v>
      </c>
      <c r="M2370" t="s">
        <v>20</v>
      </c>
      <c r="N2370" t="s">
        <v>26</v>
      </c>
    </row>
    <row r="2371" spans="1:14" x14ac:dyDescent="0.3">
      <c r="A2371">
        <v>2024003369</v>
      </c>
      <c r="B2371" s="1">
        <v>45352</v>
      </c>
      <c r="C2371" s="11">
        <f t="shared" ref="C2371:C2434" si="111">YEAR(B2371)</f>
        <v>2024</v>
      </c>
      <c r="D2371" t="s">
        <v>347</v>
      </c>
      <c r="E2371" t="s">
        <v>34</v>
      </c>
      <c r="F2371" t="s">
        <v>35</v>
      </c>
      <c r="G2371" t="s">
        <v>36</v>
      </c>
      <c r="H2371">
        <v>1</v>
      </c>
      <c r="I2371" s="2">
        <v>14.55</v>
      </c>
      <c r="J2371" s="2">
        <v>14.55</v>
      </c>
      <c r="K2371" s="2">
        <f t="shared" ref="K2371:K2434" si="112">I2371*H2371</f>
        <v>14.55</v>
      </c>
      <c r="L2371" s="2">
        <f t="shared" ref="L2371:L2434" si="113">J2371-K2371</f>
        <v>0</v>
      </c>
      <c r="M2371" t="s">
        <v>31</v>
      </c>
      <c r="N2371" t="s">
        <v>26</v>
      </c>
    </row>
    <row r="2372" spans="1:14" x14ac:dyDescent="0.3">
      <c r="A2372">
        <v>2024003370</v>
      </c>
      <c r="B2372" s="1">
        <v>45487</v>
      </c>
      <c r="C2372" s="11">
        <f t="shared" si="111"/>
        <v>2024</v>
      </c>
      <c r="D2372" t="s">
        <v>105</v>
      </c>
      <c r="E2372" t="s">
        <v>23</v>
      </c>
      <c r="F2372" t="s">
        <v>24</v>
      </c>
      <c r="G2372" t="s">
        <v>14</v>
      </c>
      <c r="H2372">
        <v>3</v>
      </c>
      <c r="I2372" s="2">
        <v>78.48</v>
      </c>
      <c r="J2372" s="2">
        <v>235.44</v>
      </c>
      <c r="K2372" s="2">
        <f t="shared" si="112"/>
        <v>235.44</v>
      </c>
      <c r="L2372" s="2">
        <f t="shared" si="113"/>
        <v>0</v>
      </c>
      <c r="M2372" t="s">
        <v>25</v>
      </c>
      <c r="N2372" t="s">
        <v>26</v>
      </c>
    </row>
    <row r="2373" spans="1:14" x14ac:dyDescent="0.3">
      <c r="A2373">
        <v>2024003371</v>
      </c>
      <c r="B2373" s="1">
        <v>45490</v>
      </c>
      <c r="C2373" s="11">
        <f t="shared" si="111"/>
        <v>2024</v>
      </c>
      <c r="D2373" t="s">
        <v>110</v>
      </c>
      <c r="E2373" t="s">
        <v>53</v>
      </c>
      <c r="F2373" t="s">
        <v>54</v>
      </c>
      <c r="G2373" t="s">
        <v>36</v>
      </c>
      <c r="H2373">
        <v>1</v>
      </c>
      <c r="I2373" s="2">
        <v>118.76</v>
      </c>
      <c r="J2373" s="2">
        <v>118.76</v>
      </c>
      <c r="K2373" s="2">
        <f t="shared" si="112"/>
        <v>118.76</v>
      </c>
      <c r="L2373" s="2">
        <f t="shared" si="113"/>
        <v>0</v>
      </c>
      <c r="M2373" t="s">
        <v>38</v>
      </c>
      <c r="N2373" t="s">
        <v>32</v>
      </c>
    </row>
    <row r="2374" spans="1:14" x14ac:dyDescent="0.3">
      <c r="A2374">
        <v>2024003372</v>
      </c>
      <c r="B2374" s="1">
        <v>45483</v>
      </c>
      <c r="C2374" s="11">
        <f t="shared" si="111"/>
        <v>2024</v>
      </c>
      <c r="D2374" t="s">
        <v>271</v>
      </c>
      <c r="E2374" t="s">
        <v>40</v>
      </c>
      <c r="F2374" t="s">
        <v>41</v>
      </c>
      <c r="G2374" t="s">
        <v>36</v>
      </c>
      <c r="H2374">
        <v>2</v>
      </c>
      <c r="I2374" s="2">
        <v>47.52</v>
      </c>
      <c r="J2374" s="2">
        <v>95.04</v>
      </c>
      <c r="K2374" s="2">
        <f t="shared" si="112"/>
        <v>95.04</v>
      </c>
      <c r="L2374" s="2">
        <f t="shared" si="113"/>
        <v>0</v>
      </c>
      <c r="M2374" t="s">
        <v>55</v>
      </c>
      <c r="N2374" t="s">
        <v>16</v>
      </c>
    </row>
    <row r="2375" spans="1:14" x14ac:dyDescent="0.3">
      <c r="A2375">
        <v>2024003373</v>
      </c>
      <c r="B2375" s="1">
        <v>45386</v>
      </c>
      <c r="C2375" s="11">
        <f t="shared" si="111"/>
        <v>2024</v>
      </c>
      <c r="D2375" t="s">
        <v>73</v>
      </c>
      <c r="E2375" t="s">
        <v>43</v>
      </c>
      <c r="F2375" t="s">
        <v>44</v>
      </c>
      <c r="G2375" t="s">
        <v>36</v>
      </c>
      <c r="H2375">
        <v>1</v>
      </c>
      <c r="I2375" s="2">
        <v>1245.05</v>
      </c>
      <c r="J2375" s="2">
        <v>1245.05</v>
      </c>
      <c r="K2375" s="2">
        <f t="shared" si="112"/>
        <v>1245.05</v>
      </c>
      <c r="L2375" s="2">
        <f t="shared" si="113"/>
        <v>0</v>
      </c>
      <c r="M2375" t="s">
        <v>31</v>
      </c>
      <c r="N2375" t="s">
        <v>21</v>
      </c>
    </row>
    <row r="2376" spans="1:14" x14ac:dyDescent="0.3">
      <c r="A2376">
        <v>2024003374</v>
      </c>
      <c r="B2376" s="1">
        <v>45562</v>
      </c>
      <c r="C2376" s="11">
        <f t="shared" si="111"/>
        <v>2024</v>
      </c>
      <c r="D2376" t="s">
        <v>192</v>
      </c>
      <c r="E2376" t="s">
        <v>43</v>
      </c>
      <c r="F2376" t="s">
        <v>44</v>
      </c>
      <c r="G2376" t="s">
        <v>36</v>
      </c>
      <c r="H2376">
        <v>1</v>
      </c>
      <c r="I2376" s="2">
        <v>1197</v>
      </c>
      <c r="J2376" s="2">
        <v>1197</v>
      </c>
      <c r="K2376" s="2">
        <f t="shared" si="112"/>
        <v>1197</v>
      </c>
      <c r="L2376" s="2">
        <f t="shared" si="113"/>
        <v>0</v>
      </c>
      <c r="M2376" t="s">
        <v>25</v>
      </c>
      <c r="N2376" t="s">
        <v>32</v>
      </c>
    </row>
    <row r="2377" spans="1:14" x14ac:dyDescent="0.3">
      <c r="A2377">
        <v>2024003375</v>
      </c>
      <c r="B2377" s="1">
        <v>45587</v>
      </c>
      <c r="C2377" s="11">
        <f t="shared" si="111"/>
        <v>2024</v>
      </c>
      <c r="D2377" t="s">
        <v>11</v>
      </c>
      <c r="E2377" t="s">
        <v>18</v>
      </c>
      <c r="F2377" t="s">
        <v>19</v>
      </c>
      <c r="G2377" t="s">
        <v>14</v>
      </c>
      <c r="H2377">
        <v>2</v>
      </c>
      <c r="I2377" s="2">
        <v>644.15</v>
      </c>
      <c r="J2377" s="2">
        <v>1288.3</v>
      </c>
      <c r="K2377" s="2">
        <f t="shared" si="112"/>
        <v>1288.3</v>
      </c>
      <c r="L2377" s="2">
        <f t="shared" si="113"/>
        <v>0</v>
      </c>
      <c r="M2377" t="s">
        <v>61</v>
      </c>
      <c r="N2377" t="s">
        <v>32</v>
      </c>
    </row>
    <row r="2378" spans="1:14" x14ac:dyDescent="0.3">
      <c r="A2378">
        <v>2024003376</v>
      </c>
      <c r="B2378" s="1">
        <v>45469</v>
      </c>
      <c r="C2378" s="11">
        <f t="shared" si="111"/>
        <v>2024</v>
      </c>
      <c r="D2378" t="s">
        <v>11</v>
      </c>
      <c r="E2378" t="s">
        <v>46</v>
      </c>
      <c r="F2378" t="s">
        <v>47</v>
      </c>
      <c r="G2378" t="s">
        <v>36</v>
      </c>
      <c r="H2378">
        <v>1</v>
      </c>
      <c r="I2378" s="2">
        <v>86.4</v>
      </c>
      <c r="J2378" s="2">
        <v>86.4</v>
      </c>
      <c r="K2378" s="2">
        <f t="shared" si="112"/>
        <v>86.4</v>
      </c>
      <c r="L2378" s="2">
        <f t="shared" si="113"/>
        <v>0</v>
      </c>
      <c r="M2378" t="s">
        <v>61</v>
      </c>
      <c r="N2378" t="s">
        <v>32</v>
      </c>
    </row>
    <row r="2379" spans="1:14" x14ac:dyDescent="0.3">
      <c r="A2379">
        <v>2024003377</v>
      </c>
      <c r="B2379" s="1">
        <v>45323</v>
      </c>
      <c r="C2379" s="11">
        <f t="shared" si="111"/>
        <v>2024</v>
      </c>
      <c r="D2379" t="s">
        <v>276</v>
      </c>
      <c r="E2379" t="s">
        <v>34</v>
      </c>
      <c r="F2379" t="s">
        <v>35</v>
      </c>
      <c r="G2379" t="s">
        <v>36</v>
      </c>
      <c r="H2379">
        <v>1</v>
      </c>
      <c r="I2379" s="2">
        <v>14.34</v>
      </c>
      <c r="J2379" s="2">
        <v>14.34</v>
      </c>
      <c r="K2379" s="2">
        <f t="shared" si="112"/>
        <v>14.34</v>
      </c>
      <c r="L2379" s="2">
        <f t="shared" si="113"/>
        <v>0</v>
      </c>
      <c r="M2379" t="s">
        <v>57</v>
      </c>
      <c r="N2379" t="s">
        <v>21</v>
      </c>
    </row>
    <row r="2380" spans="1:14" x14ac:dyDescent="0.3">
      <c r="A2380">
        <v>2024003378</v>
      </c>
      <c r="B2380" s="1">
        <v>45525</v>
      </c>
      <c r="C2380" s="11">
        <f t="shared" si="111"/>
        <v>2024</v>
      </c>
      <c r="D2380" t="s">
        <v>234</v>
      </c>
      <c r="E2380" t="s">
        <v>40</v>
      </c>
      <c r="F2380" t="s">
        <v>41</v>
      </c>
      <c r="G2380" t="s">
        <v>36</v>
      </c>
      <c r="H2380">
        <v>1</v>
      </c>
      <c r="I2380" s="2">
        <v>43.09</v>
      </c>
      <c r="J2380" s="2">
        <v>43.09</v>
      </c>
      <c r="K2380" s="2">
        <f t="shared" si="112"/>
        <v>43.09</v>
      </c>
      <c r="L2380" s="2">
        <f t="shared" si="113"/>
        <v>0</v>
      </c>
      <c r="M2380" t="s">
        <v>15</v>
      </c>
      <c r="N2380" t="s">
        <v>26</v>
      </c>
    </row>
    <row r="2381" spans="1:14" x14ac:dyDescent="0.3">
      <c r="A2381">
        <v>2024003379</v>
      </c>
      <c r="B2381" s="1">
        <v>45632</v>
      </c>
      <c r="C2381" s="11">
        <f t="shared" si="111"/>
        <v>2024</v>
      </c>
      <c r="D2381" t="s">
        <v>208</v>
      </c>
      <c r="E2381" t="s">
        <v>46</v>
      </c>
      <c r="F2381" t="s">
        <v>47</v>
      </c>
      <c r="G2381" t="s">
        <v>36</v>
      </c>
      <c r="H2381">
        <v>3</v>
      </c>
      <c r="I2381" s="2">
        <v>86.72</v>
      </c>
      <c r="J2381" s="2">
        <v>260.16000000000003</v>
      </c>
      <c r="K2381" s="2">
        <f t="shared" si="112"/>
        <v>260.15999999999997</v>
      </c>
      <c r="L2381" s="2">
        <f t="shared" si="113"/>
        <v>0</v>
      </c>
      <c r="M2381" t="s">
        <v>48</v>
      </c>
      <c r="N2381" t="s">
        <v>32</v>
      </c>
    </row>
    <row r="2382" spans="1:14" x14ac:dyDescent="0.3">
      <c r="A2382">
        <v>2024003380</v>
      </c>
      <c r="B2382" s="1">
        <v>45348</v>
      </c>
      <c r="C2382" s="11">
        <f t="shared" si="111"/>
        <v>2024</v>
      </c>
      <c r="D2382" t="s">
        <v>318</v>
      </c>
      <c r="E2382" t="s">
        <v>40</v>
      </c>
      <c r="F2382" t="s">
        <v>41</v>
      </c>
      <c r="G2382" t="s">
        <v>36</v>
      </c>
      <c r="H2382">
        <v>1</v>
      </c>
      <c r="I2382" s="2">
        <v>47.46</v>
      </c>
      <c r="J2382" s="2">
        <v>47.46</v>
      </c>
      <c r="K2382" s="2">
        <f t="shared" si="112"/>
        <v>47.46</v>
      </c>
      <c r="L2382" s="2">
        <f t="shared" si="113"/>
        <v>0</v>
      </c>
      <c r="M2382" t="s">
        <v>64</v>
      </c>
      <c r="N2382" t="s">
        <v>21</v>
      </c>
    </row>
    <row r="2383" spans="1:14" x14ac:dyDescent="0.3">
      <c r="A2383">
        <v>2024003381</v>
      </c>
      <c r="B2383" s="1">
        <v>45559</v>
      </c>
      <c r="C2383" s="11">
        <f t="shared" si="111"/>
        <v>2024</v>
      </c>
      <c r="D2383" t="s">
        <v>267</v>
      </c>
      <c r="E2383" t="s">
        <v>28</v>
      </c>
      <c r="F2383" t="s">
        <v>29</v>
      </c>
      <c r="G2383" t="s">
        <v>30</v>
      </c>
      <c r="H2383">
        <v>1</v>
      </c>
      <c r="I2383" s="2">
        <v>25.37</v>
      </c>
      <c r="J2383" s="2">
        <v>25.37</v>
      </c>
      <c r="K2383" s="2">
        <f t="shared" si="112"/>
        <v>25.37</v>
      </c>
      <c r="L2383" s="2">
        <f t="shared" si="113"/>
        <v>0</v>
      </c>
      <c r="M2383" t="s">
        <v>25</v>
      </c>
      <c r="N2383" t="s">
        <v>32</v>
      </c>
    </row>
    <row r="2384" spans="1:14" x14ac:dyDescent="0.3">
      <c r="A2384">
        <v>2024003382</v>
      </c>
      <c r="B2384" s="1">
        <v>45334</v>
      </c>
      <c r="C2384" s="11">
        <f t="shared" si="111"/>
        <v>2024</v>
      </c>
      <c r="D2384" t="s">
        <v>147</v>
      </c>
      <c r="E2384" t="s">
        <v>46</v>
      </c>
      <c r="F2384" t="s">
        <v>47</v>
      </c>
      <c r="G2384" t="s">
        <v>36</v>
      </c>
      <c r="H2384">
        <v>1</v>
      </c>
      <c r="I2384" s="2">
        <v>89.65</v>
      </c>
      <c r="J2384" s="2">
        <v>89.65</v>
      </c>
      <c r="K2384" s="2">
        <f t="shared" si="112"/>
        <v>89.65</v>
      </c>
      <c r="L2384" s="2">
        <f t="shared" si="113"/>
        <v>0</v>
      </c>
      <c r="M2384" t="s">
        <v>57</v>
      </c>
      <c r="N2384" t="s">
        <v>16</v>
      </c>
    </row>
    <row r="2385" spans="1:14" x14ac:dyDescent="0.3">
      <c r="A2385">
        <v>2024003383</v>
      </c>
      <c r="B2385" s="1">
        <v>45396</v>
      </c>
      <c r="C2385" s="11">
        <f t="shared" si="111"/>
        <v>2024</v>
      </c>
      <c r="D2385" t="s">
        <v>143</v>
      </c>
      <c r="E2385" t="s">
        <v>67</v>
      </c>
      <c r="F2385" t="s">
        <v>68</v>
      </c>
      <c r="G2385" t="s">
        <v>36</v>
      </c>
      <c r="H2385">
        <v>3</v>
      </c>
      <c r="I2385" s="2">
        <v>417.75</v>
      </c>
      <c r="J2385" s="2">
        <v>1253.25</v>
      </c>
      <c r="K2385" s="2">
        <f t="shared" si="112"/>
        <v>1253.25</v>
      </c>
      <c r="L2385" s="2">
        <f t="shared" si="113"/>
        <v>0</v>
      </c>
      <c r="M2385" t="s">
        <v>38</v>
      </c>
      <c r="N2385" t="s">
        <v>16</v>
      </c>
    </row>
    <row r="2386" spans="1:14" x14ac:dyDescent="0.3">
      <c r="A2386">
        <v>2024003384</v>
      </c>
      <c r="B2386" s="1">
        <v>45470</v>
      </c>
      <c r="C2386" s="11">
        <f t="shared" si="111"/>
        <v>2024</v>
      </c>
      <c r="D2386" t="s">
        <v>59</v>
      </c>
      <c r="E2386" t="s">
        <v>40</v>
      </c>
      <c r="F2386" t="s">
        <v>41</v>
      </c>
      <c r="G2386" t="s">
        <v>36</v>
      </c>
      <c r="H2386">
        <v>1</v>
      </c>
      <c r="I2386" s="2">
        <v>43.78</v>
      </c>
      <c r="J2386" s="2">
        <v>43.78</v>
      </c>
      <c r="K2386" s="2">
        <f t="shared" si="112"/>
        <v>43.78</v>
      </c>
      <c r="L2386" s="2">
        <f t="shared" si="113"/>
        <v>0</v>
      </c>
      <c r="M2386" t="s">
        <v>25</v>
      </c>
      <c r="N2386" t="s">
        <v>32</v>
      </c>
    </row>
    <row r="2387" spans="1:14" x14ac:dyDescent="0.3">
      <c r="A2387">
        <v>2024003385</v>
      </c>
      <c r="B2387" s="1">
        <v>45657</v>
      </c>
      <c r="C2387" s="11">
        <f t="shared" si="111"/>
        <v>2024</v>
      </c>
      <c r="D2387" t="s">
        <v>165</v>
      </c>
      <c r="E2387" t="s">
        <v>67</v>
      </c>
      <c r="F2387" t="s">
        <v>68</v>
      </c>
      <c r="G2387" t="s">
        <v>36</v>
      </c>
      <c r="H2387">
        <v>3</v>
      </c>
      <c r="I2387" s="2">
        <v>386.06</v>
      </c>
      <c r="J2387" s="2">
        <v>1158.18</v>
      </c>
      <c r="K2387" s="2">
        <f t="shared" si="112"/>
        <v>1158.18</v>
      </c>
      <c r="L2387" s="2">
        <f t="shared" si="113"/>
        <v>0</v>
      </c>
      <c r="M2387" t="s">
        <v>38</v>
      </c>
      <c r="N2387" t="s">
        <v>16</v>
      </c>
    </row>
    <row r="2388" spans="1:14" x14ac:dyDescent="0.3">
      <c r="A2388">
        <v>2024003386</v>
      </c>
      <c r="B2388" s="1">
        <v>45322</v>
      </c>
      <c r="C2388" s="11">
        <f t="shared" si="111"/>
        <v>2024</v>
      </c>
      <c r="D2388" t="s">
        <v>184</v>
      </c>
      <c r="E2388" t="s">
        <v>53</v>
      </c>
      <c r="F2388" t="s">
        <v>54</v>
      </c>
      <c r="G2388" t="s">
        <v>36</v>
      </c>
      <c r="H2388">
        <v>2</v>
      </c>
      <c r="I2388" s="2">
        <v>122.37</v>
      </c>
      <c r="J2388" s="2">
        <v>244.74</v>
      </c>
      <c r="K2388" s="2">
        <f t="shared" si="112"/>
        <v>244.74</v>
      </c>
      <c r="L2388" s="2">
        <f t="shared" si="113"/>
        <v>0</v>
      </c>
      <c r="M2388" t="s">
        <v>48</v>
      </c>
      <c r="N2388" t="s">
        <v>32</v>
      </c>
    </row>
    <row r="2389" spans="1:14" x14ac:dyDescent="0.3">
      <c r="A2389">
        <v>2024003387</v>
      </c>
      <c r="B2389" s="1">
        <v>45379</v>
      </c>
      <c r="C2389" s="11">
        <f t="shared" si="111"/>
        <v>2024</v>
      </c>
      <c r="D2389" t="s">
        <v>62</v>
      </c>
      <c r="E2389" t="s">
        <v>34</v>
      </c>
      <c r="F2389" t="s">
        <v>35</v>
      </c>
      <c r="G2389" t="s">
        <v>36</v>
      </c>
      <c r="H2389">
        <v>1</v>
      </c>
      <c r="I2389" s="2">
        <v>15.08</v>
      </c>
      <c r="J2389" s="2">
        <v>15.08</v>
      </c>
      <c r="K2389" s="2">
        <f t="shared" si="112"/>
        <v>15.08</v>
      </c>
      <c r="L2389" s="2">
        <f t="shared" si="113"/>
        <v>0</v>
      </c>
      <c r="M2389" t="s">
        <v>57</v>
      </c>
      <c r="N2389" t="s">
        <v>21</v>
      </c>
    </row>
    <row r="2390" spans="1:14" x14ac:dyDescent="0.3">
      <c r="A2390">
        <v>2024003388</v>
      </c>
      <c r="B2390" s="1">
        <v>45436</v>
      </c>
      <c r="C2390" s="11">
        <f t="shared" si="111"/>
        <v>2024</v>
      </c>
      <c r="D2390" t="s">
        <v>103</v>
      </c>
      <c r="E2390" t="s">
        <v>53</v>
      </c>
      <c r="F2390" t="s">
        <v>54</v>
      </c>
      <c r="G2390" t="s">
        <v>36</v>
      </c>
      <c r="H2390">
        <v>1</v>
      </c>
      <c r="I2390" s="2">
        <v>122.39</v>
      </c>
      <c r="J2390" s="2">
        <v>122.39</v>
      </c>
      <c r="K2390" s="2">
        <f t="shared" si="112"/>
        <v>122.39</v>
      </c>
      <c r="L2390" s="2">
        <f t="shared" si="113"/>
        <v>0</v>
      </c>
      <c r="M2390" t="s">
        <v>25</v>
      </c>
      <c r="N2390" t="s">
        <v>32</v>
      </c>
    </row>
    <row r="2391" spans="1:14" x14ac:dyDescent="0.3">
      <c r="A2391">
        <v>2024003389</v>
      </c>
      <c r="B2391" s="1">
        <v>45339</v>
      </c>
      <c r="C2391" s="11">
        <f t="shared" si="111"/>
        <v>2024</v>
      </c>
      <c r="D2391" t="s">
        <v>88</v>
      </c>
      <c r="E2391" t="s">
        <v>53</v>
      </c>
      <c r="F2391" t="s">
        <v>54</v>
      </c>
      <c r="G2391" t="s">
        <v>36</v>
      </c>
      <c r="H2391">
        <v>3</v>
      </c>
      <c r="I2391" s="2">
        <v>115.57</v>
      </c>
      <c r="J2391" s="2">
        <v>346.71</v>
      </c>
      <c r="K2391" s="2">
        <f t="shared" si="112"/>
        <v>346.71</v>
      </c>
      <c r="L2391" s="2">
        <f t="shared" si="113"/>
        <v>0</v>
      </c>
      <c r="M2391" t="s">
        <v>31</v>
      </c>
      <c r="N2391" t="s">
        <v>26</v>
      </c>
    </row>
    <row r="2392" spans="1:14" x14ac:dyDescent="0.3">
      <c r="A2392">
        <v>2024003390</v>
      </c>
      <c r="B2392" s="1">
        <v>45504</v>
      </c>
      <c r="C2392" s="11">
        <f t="shared" si="111"/>
        <v>2024</v>
      </c>
      <c r="D2392" t="s">
        <v>52</v>
      </c>
      <c r="E2392" t="s">
        <v>43</v>
      </c>
      <c r="F2392" t="s">
        <v>44</v>
      </c>
      <c r="G2392" t="s">
        <v>36</v>
      </c>
      <c r="H2392">
        <v>1</v>
      </c>
      <c r="I2392" s="2">
        <v>1204.79</v>
      </c>
      <c r="J2392" s="2">
        <v>1204.79</v>
      </c>
      <c r="K2392" s="2">
        <f t="shared" si="112"/>
        <v>1204.79</v>
      </c>
      <c r="L2392" s="2">
        <f t="shared" si="113"/>
        <v>0</v>
      </c>
      <c r="M2392" t="s">
        <v>38</v>
      </c>
      <c r="N2392" t="s">
        <v>21</v>
      </c>
    </row>
    <row r="2393" spans="1:14" x14ac:dyDescent="0.3">
      <c r="A2393">
        <v>2024003391</v>
      </c>
      <c r="B2393" s="1">
        <v>45566</v>
      </c>
      <c r="C2393" s="11">
        <f t="shared" si="111"/>
        <v>2024</v>
      </c>
      <c r="D2393" t="s">
        <v>151</v>
      </c>
      <c r="E2393" t="s">
        <v>23</v>
      </c>
      <c r="F2393" t="s">
        <v>24</v>
      </c>
      <c r="G2393" t="s">
        <v>14</v>
      </c>
      <c r="H2393">
        <v>3</v>
      </c>
      <c r="I2393" s="2">
        <v>72.7</v>
      </c>
      <c r="J2393" s="2">
        <v>218.1</v>
      </c>
      <c r="K2393" s="2">
        <f t="shared" si="112"/>
        <v>218.10000000000002</v>
      </c>
      <c r="L2393" s="2">
        <f t="shared" si="113"/>
        <v>0</v>
      </c>
      <c r="M2393" t="s">
        <v>15</v>
      </c>
      <c r="N2393" t="s">
        <v>32</v>
      </c>
    </row>
    <row r="2394" spans="1:14" x14ac:dyDescent="0.3">
      <c r="A2394">
        <v>2024003392</v>
      </c>
      <c r="B2394" s="1">
        <v>45512</v>
      </c>
      <c r="C2394" s="11">
        <f t="shared" si="111"/>
        <v>2024</v>
      </c>
      <c r="D2394" t="s">
        <v>195</v>
      </c>
      <c r="E2394" t="s">
        <v>46</v>
      </c>
      <c r="F2394" t="s">
        <v>47</v>
      </c>
      <c r="G2394" t="s">
        <v>36</v>
      </c>
      <c r="H2394">
        <v>1</v>
      </c>
      <c r="I2394" s="2">
        <v>86.6</v>
      </c>
      <c r="J2394" s="2">
        <v>86.6</v>
      </c>
      <c r="K2394" s="2">
        <f t="shared" si="112"/>
        <v>86.6</v>
      </c>
      <c r="L2394" s="2">
        <f t="shared" si="113"/>
        <v>0</v>
      </c>
      <c r="M2394" t="s">
        <v>64</v>
      </c>
      <c r="N2394" t="s">
        <v>32</v>
      </c>
    </row>
    <row r="2395" spans="1:14" x14ac:dyDescent="0.3">
      <c r="A2395">
        <v>2024003393</v>
      </c>
      <c r="B2395" s="1">
        <v>45434</v>
      </c>
      <c r="C2395" s="11">
        <f t="shared" si="111"/>
        <v>2024</v>
      </c>
      <c r="D2395" t="s">
        <v>328</v>
      </c>
      <c r="E2395" t="s">
        <v>43</v>
      </c>
      <c r="F2395" t="s">
        <v>44</v>
      </c>
      <c r="G2395" t="s">
        <v>36</v>
      </c>
      <c r="H2395">
        <v>2</v>
      </c>
      <c r="I2395" s="2">
        <v>1333.99</v>
      </c>
      <c r="J2395" s="2">
        <v>2667.98</v>
      </c>
      <c r="K2395" s="2">
        <f t="shared" si="112"/>
        <v>2667.98</v>
      </c>
      <c r="L2395" s="2">
        <f t="shared" si="113"/>
        <v>0</v>
      </c>
      <c r="M2395" t="s">
        <v>25</v>
      </c>
      <c r="N2395" t="s">
        <v>32</v>
      </c>
    </row>
    <row r="2396" spans="1:14" x14ac:dyDescent="0.3">
      <c r="A2396">
        <v>2024003394</v>
      </c>
      <c r="B2396" s="1">
        <v>45292</v>
      </c>
      <c r="C2396" s="11">
        <f t="shared" si="111"/>
        <v>2024</v>
      </c>
      <c r="D2396" t="s">
        <v>167</v>
      </c>
      <c r="E2396" t="s">
        <v>46</v>
      </c>
      <c r="F2396" t="s">
        <v>47</v>
      </c>
      <c r="G2396" t="s">
        <v>36</v>
      </c>
      <c r="H2396">
        <v>1</v>
      </c>
      <c r="I2396" s="2">
        <v>87.12</v>
      </c>
      <c r="J2396" s="2">
        <v>87.12</v>
      </c>
      <c r="K2396" s="2">
        <f t="shared" si="112"/>
        <v>87.12</v>
      </c>
      <c r="L2396" s="2">
        <f t="shared" si="113"/>
        <v>0</v>
      </c>
      <c r="M2396" t="s">
        <v>57</v>
      </c>
      <c r="N2396" t="s">
        <v>32</v>
      </c>
    </row>
    <row r="2397" spans="1:14" x14ac:dyDescent="0.3">
      <c r="A2397">
        <v>2024003395</v>
      </c>
      <c r="B2397" s="1">
        <v>45297</v>
      </c>
      <c r="C2397" s="11">
        <f t="shared" si="111"/>
        <v>2024</v>
      </c>
      <c r="D2397" t="s">
        <v>196</v>
      </c>
      <c r="E2397" t="s">
        <v>53</v>
      </c>
      <c r="F2397" t="s">
        <v>54</v>
      </c>
      <c r="G2397" t="s">
        <v>36</v>
      </c>
      <c r="H2397">
        <v>3</v>
      </c>
      <c r="I2397" s="2">
        <v>110.33</v>
      </c>
      <c r="J2397" s="2">
        <v>330.99</v>
      </c>
      <c r="K2397" s="2">
        <f t="shared" si="112"/>
        <v>330.99</v>
      </c>
      <c r="L2397" s="2">
        <f t="shared" si="113"/>
        <v>0</v>
      </c>
      <c r="M2397" t="s">
        <v>31</v>
      </c>
      <c r="N2397" t="s">
        <v>16</v>
      </c>
    </row>
    <row r="2398" spans="1:14" x14ac:dyDescent="0.3">
      <c r="A2398">
        <v>2024003396</v>
      </c>
      <c r="B2398" s="1">
        <v>45403</v>
      </c>
      <c r="C2398" s="11">
        <f t="shared" si="111"/>
        <v>2024</v>
      </c>
      <c r="D2398" t="s">
        <v>11</v>
      </c>
      <c r="E2398" t="s">
        <v>43</v>
      </c>
      <c r="F2398" t="s">
        <v>44</v>
      </c>
      <c r="G2398" t="s">
        <v>36</v>
      </c>
      <c r="H2398">
        <v>1</v>
      </c>
      <c r="I2398" s="2">
        <v>1238.1099999999999</v>
      </c>
      <c r="J2398" s="2">
        <v>1238.1099999999999</v>
      </c>
      <c r="K2398" s="2">
        <f t="shared" si="112"/>
        <v>1238.1099999999999</v>
      </c>
      <c r="L2398" s="2">
        <f t="shared" si="113"/>
        <v>0</v>
      </c>
      <c r="M2398" t="s">
        <v>31</v>
      </c>
      <c r="N2398" t="s">
        <v>26</v>
      </c>
    </row>
    <row r="2399" spans="1:14" x14ac:dyDescent="0.3">
      <c r="A2399">
        <v>2024003397</v>
      </c>
      <c r="B2399" s="1">
        <v>45638</v>
      </c>
      <c r="C2399" s="11">
        <f t="shared" si="111"/>
        <v>2024</v>
      </c>
      <c r="D2399" t="s">
        <v>307</v>
      </c>
      <c r="E2399" t="s">
        <v>12</v>
      </c>
      <c r="F2399" t="s">
        <v>13</v>
      </c>
      <c r="G2399" t="s">
        <v>14</v>
      </c>
      <c r="H2399">
        <v>2</v>
      </c>
      <c r="I2399" s="2">
        <v>332.04</v>
      </c>
      <c r="J2399" s="2">
        <v>664.08</v>
      </c>
      <c r="K2399" s="2">
        <f t="shared" si="112"/>
        <v>664.08</v>
      </c>
      <c r="L2399" s="2">
        <f t="shared" si="113"/>
        <v>0</v>
      </c>
      <c r="M2399" t="s">
        <v>61</v>
      </c>
      <c r="N2399" t="s">
        <v>21</v>
      </c>
    </row>
    <row r="2400" spans="1:14" x14ac:dyDescent="0.3">
      <c r="A2400">
        <v>2024003398</v>
      </c>
      <c r="B2400" s="1">
        <v>45506</v>
      </c>
      <c r="C2400" s="11">
        <f t="shared" si="111"/>
        <v>2024</v>
      </c>
      <c r="D2400" t="s">
        <v>318</v>
      </c>
      <c r="E2400" t="s">
        <v>46</v>
      </c>
      <c r="F2400" t="s">
        <v>47</v>
      </c>
      <c r="G2400" t="s">
        <v>36</v>
      </c>
      <c r="H2400">
        <v>4</v>
      </c>
      <c r="I2400" s="2">
        <v>88.4</v>
      </c>
      <c r="J2400" s="2">
        <v>353.6</v>
      </c>
      <c r="K2400" s="2">
        <f t="shared" si="112"/>
        <v>353.6</v>
      </c>
      <c r="L2400" s="2">
        <f t="shared" si="113"/>
        <v>0</v>
      </c>
      <c r="M2400" t="s">
        <v>55</v>
      </c>
      <c r="N2400" t="s">
        <v>26</v>
      </c>
    </row>
    <row r="2401" spans="1:14" x14ac:dyDescent="0.3">
      <c r="A2401">
        <v>2024003399</v>
      </c>
      <c r="B2401" s="1">
        <v>45507</v>
      </c>
      <c r="C2401" s="11">
        <f t="shared" si="111"/>
        <v>2024</v>
      </c>
      <c r="D2401" t="s">
        <v>322</v>
      </c>
      <c r="E2401" t="s">
        <v>46</v>
      </c>
      <c r="F2401" t="s">
        <v>47</v>
      </c>
      <c r="G2401" t="s">
        <v>36</v>
      </c>
      <c r="H2401">
        <v>1</v>
      </c>
      <c r="I2401" s="2">
        <v>87.55</v>
      </c>
      <c r="J2401" s="2">
        <v>87.55</v>
      </c>
      <c r="K2401" s="2">
        <f t="shared" si="112"/>
        <v>87.55</v>
      </c>
      <c r="L2401" s="2">
        <f t="shared" si="113"/>
        <v>0</v>
      </c>
      <c r="M2401" t="s">
        <v>55</v>
      </c>
      <c r="N2401" t="s">
        <v>26</v>
      </c>
    </row>
    <row r="2402" spans="1:14" x14ac:dyDescent="0.3">
      <c r="A2402">
        <v>2024003400</v>
      </c>
      <c r="B2402" s="1">
        <v>45547</v>
      </c>
      <c r="C2402" s="11">
        <f t="shared" si="111"/>
        <v>2024</v>
      </c>
      <c r="D2402" t="s">
        <v>11</v>
      </c>
      <c r="E2402" t="s">
        <v>34</v>
      </c>
      <c r="F2402" t="s">
        <v>35</v>
      </c>
      <c r="G2402" t="s">
        <v>36</v>
      </c>
      <c r="H2402">
        <v>3</v>
      </c>
      <c r="I2402" s="2">
        <v>15.42</v>
      </c>
      <c r="J2402" s="2">
        <v>46.26</v>
      </c>
      <c r="K2402" s="2">
        <f t="shared" si="112"/>
        <v>46.26</v>
      </c>
      <c r="L2402" s="2">
        <f t="shared" si="113"/>
        <v>0</v>
      </c>
      <c r="M2402" t="s">
        <v>64</v>
      </c>
      <c r="N2402" t="s">
        <v>26</v>
      </c>
    </row>
    <row r="2403" spans="1:14" x14ac:dyDescent="0.3">
      <c r="A2403">
        <v>2024003401</v>
      </c>
      <c r="B2403" s="1">
        <v>45538</v>
      </c>
      <c r="C2403" s="11">
        <f t="shared" si="111"/>
        <v>2024</v>
      </c>
      <c r="D2403" t="s">
        <v>109</v>
      </c>
      <c r="E2403" t="s">
        <v>12</v>
      </c>
      <c r="F2403" t="s">
        <v>13</v>
      </c>
      <c r="G2403" t="s">
        <v>14</v>
      </c>
      <c r="H2403">
        <v>1</v>
      </c>
      <c r="I2403" s="2">
        <v>342.39</v>
      </c>
      <c r="J2403" s="2">
        <v>342.39</v>
      </c>
      <c r="K2403" s="2">
        <f t="shared" si="112"/>
        <v>342.39</v>
      </c>
      <c r="L2403" s="2">
        <f t="shared" si="113"/>
        <v>0</v>
      </c>
      <c r="M2403" t="s">
        <v>48</v>
      </c>
      <c r="N2403" t="s">
        <v>26</v>
      </c>
    </row>
    <row r="2404" spans="1:14" x14ac:dyDescent="0.3">
      <c r="A2404">
        <v>2024003402</v>
      </c>
      <c r="B2404" s="1">
        <v>45417</v>
      </c>
      <c r="C2404" s="11">
        <f t="shared" si="111"/>
        <v>2024</v>
      </c>
      <c r="D2404" t="s">
        <v>11</v>
      </c>
      <c r="E2404" t="s">
        <v>18</v>
      </c>
      <c r="F2404" t="s">
        <v>19</v>
      </c>
      <c r="G2404" t="s">
        <v>14</v>
      </c>
      <c r="H2404">
        <v>4</v>
      </c>
      <c r="I2404" s="2">
        <v>561.99</v>
      </c>
      <c r="J2404" s="2">
        <v>2247.96</v>
      </c>
      <c r="K2404" s="2">
        <f t="shared" si="112"/>
        <v>2247.96</v>
      </c>
      <c r="L2404" s="2">
        <f t="shared" si="113"/>
        <v>0</v>
      </c>
      <c r="M2404" t="s">
        <v>55</v>
      </c>
      <c r="N2404" t="s">
        <v>26</v>
      </c>
    </row>
    <row r="2405" spans="1:14" x14ac:dyDescent="0.3">
      <c r="A2405">
        <v>2024003403</v>
      </c>
      <c r="B2405" s="1">
        <v>45434</v>
      </c>
      <c r="C2405" s="11">
        <f t="shared" si="111"/>
        <v>2024</v>
      </c>
      <c r="D2405" t="s">
        <v>120</v>
      </c>
      <c r="E2405" t="s">
        <v>67</v>
      </c>
      <c r="F2405" t="s">
        <v>68</v>
      </c>
      <c r="G2405" t="s">
        <v>36</v>
      </c>
      <c r="H2405">
        <v>1</v>
      </c>
      <c r="I2405" s="2">
        <v>395.88</v>
      </c>
      <c r="J2405" s="2">
        <v>395.88</v>
      </c>
      <c r="K2405" s="2">
        <f t="shared" si="112"/>
        <v>395.88</v>
      </c>
      <c r="L2405" s="2">
        <f t="shared" si="113"/>
        <v>0</v>
      </c>
      <c r="M2405" t="s">
        <v>25</v>
      </c>
      <c r="N2405" t="s">
        <v>32</v>
      </c>
    </row>
    <row r="2406" spans="1:14" x14ac:dyDescent="0.3">
      <c r="A2406">
        <v>2024003404</v>
      </c>
      <c r="B2406" s="1">
        <v>45575</v>
      </c>
      <c r="C2406" s="11">
        <f t="shared" si="111"/>
        <v>2024</v>
      </c>
      <c r="D2406" t="s">
        <v>140</v>
      </c>
      <c r="E2406" t="s">
        <v>67</v>
      </c>
      <c r="F2406" t="s">
        <v>68</v>
      </c>
      <c r="G2406" t="s">
        <v>36</v>
      </c>
      <c r="H2406">
        <v>1</v>
      </c>
      <c r="I2406" s="2">
        <v>376.8</v>
      </c>
      <c r="J2406" s="2">
        <v>376.8</v>
      </c>
      <c r="K2406" s="2">
        <f t="shared" si="112"/>
        <v>376.8</v>
      </c>
      <c r="L2406" s="2">
        <f t="shared" si="113"/>
        <v>0</v>
      </c>
      <c r="M2406" t="s">
        <v>55</v>
      </c>
      <c r="N2406" t="s">
        <v>16</v>
      </c>
    </row>
    <row r="2407" spans="1:14" x14ac:dyDescent="0.3">
      <c r="A2407">
        <v>2024003405</v>
      </c>
      <c r="B2407" s="1">
        <v>45460</v>
      </c>
      <c r="C2407" s="11">
        <f t="shared" si="111"/>
        <v>2024</v>
      </c>
      <c r="D2407" t="s">
        <v>249</v>
      </c>
      <c r="E2407" t="s">
        <v>40</v>
      </c>
      <c r="F2407" t="s">
        <v>41</v>
      </c>
      <c r="G2407" t="s">
        <v>36</v>
      </c>
      <c r="H2407">
        <v>1</v>
      </c>
      <c r="I2407" s="2">
        <v>46.36</v>
      </c>
      <c r="J2407" s="2">
        <v>46.36</v>
      </c>
      <c r="K2407" s="2">
        <f t="shared" si="112"/>
        <v>46.36</v>
      </c>
      <c r="L2407" s="2">
        <f t="shared" si="113"/>
        <v>0</v>
      </c>
      <c r="M2407" t="s">
        <v>48</v>
      </c>
      <c r="N2407" t="s">
        <v>32</v>
      </c>
    </row>
    <row r="2408" spans="1:14" x14ac:dyDescent="0.3">
      <c r="A2408">
        <v>2024003406</v>
      </c>
      <c r="B2408" s="1">
        <v>45435</v>
      </c>
      <c r="C2408" s="11">
        <f t="shared" si="111"/>
        <v>2024</v>
      </c>
      <c r="D2408" t="s">
        <v>211</v>
      </c>
      <c r="E2408" t="s">
        <v>18</v>
      </c>
      <c r="F2408" t="s">
        <v>19</v>
      </c>
      <c r="G2408" t="s">
        <v>14</v>
      </c>
      <c r="H2408">
        <v>1</v>
      </c>
      <c r="I2408" s="2">
        <v>598.32000000000005</v>
      </c>
      <c r="J2408" s="2">
        <v>598.32000000000005</v>
      </c>
      <c r="K2408" s="2">
        <f t="shared" si="112"/>
        <v>598.32000000000005</v>
      </c>
      <c r="L2408" s="2">
        <f t="shared" si="113"/>
        <v>0</v>
      </c>
      <c r="M2408" t="s">
        <v>25</v>
      </c>
      <c r="N2408" t="s">
        <v>16</v>
      </c>
    </row>
    <row r="2409" spans="1:14" x14ac:dyDescent="0.3">
      <c r="A2409">
        <v>2024003407</v>
      </c>
      <c r="B2409" s="1">
        <v>45369</v>
      </c>
      <c r="C2409" s="11">
        <f t="shared" si="111"/>
        <v>2024</v>
      </c>
      <c r="D2409" t="s">
        <v>11</v>
      </c>
      <c r="E2409" t="s">
        <v>53</v>
      </c>
      <c r="F2409" t="s">
        <v>54</v>
      </c>
      <c r="G2409" t="s">
        <v>36</v>
      </c>
      <c r="H2409">
        <v>1</v>
      </c>
      <c r="I2409" s="2">
        <v>119.53</v>
      </c>
      <c r="J2409" s="2">
        <v>119.53</v>
      </c>
      <c r="K2409" s="2">
        <f t="shared" si="112"/>
        <v>119.53</v>
      </c>
      <c r="L2409" s="2">
        <f t="shared" si="113"/>
        <v>0</v>
      </c>
      <c r="M2409" t="s">
        <v>15</v>
      </c>
      <c r="N2409" t="s">
        <v>32</v>
      </c>
    </row>
    <row r="2410" spans="1:14" x14ac:dyDescent="0.3">
      <c r="A2410">
        <v>2024003408</v>
      </c>
      <c r="B2410" s="1">
        <v>45371</v>
      </c>
      <c r="C2410" s="11">
        <f t="shared" si="111"/>
        <v>2024</v>
      </c>
      <c r="D2410" t="s">
        <v>121</v>
      </c>
      <c r="E2410" t="s">
        <v>34</v>
      </c>
      <c r="F2410" t="s">
        <v>35</v>
      </c>
      <c r="G2410" t="s">
        <v>36</v>
      </c>
      <c r="H2410">
        <v>1</v>
      </c>
      <c r="I2410" s="2">
        <v>15.26</v>
      </c>
      <c r="J2410" s="2">
        <v>15.26</v>
      </c>
      <c r="K2410" s="2">
        <f t="shared" si="112"/>
        <v>15.26</v>
      </c>
      <c r="L2410" s="2">
        <f t="shared" si="113"/>
        <v>0</v>
      </c>
      <c r="M2410" t="s">
        <v>20</v>
      </c>
      <c r="N2410" t="s">
        <v>26</v>
      </c>
    </row>
    <row r="2411" spans="1:14" x14ac:dyDescent="0.3">
      <c r="A2411">
        <v>2024003409</v>
      </c>
      <c r="B2411" s="1">
        <v>45417</v>
      </c>
      <c r="C2411" s="11">
        <f t="shared" si="111"/>
        <v>2024</v>
      </c>
      <c r="D2411" t="s">
        <v>52</v>
      </c>
      <c r="E2411" t="s">
        <v>34</v>
      </c>
      <c r="F2411" t="s">
        <v>35</v>
      </c>
      <c r="G2411" t="s">
        <v>36</v>
      </c>
      <c r="H2411">
        <v>1</v>
      </c>
      <c r="I2411" s="2">
        <v>14.53</v>
      </c>
      <c r="J2411" s="2">
        <v>14.53</v>
      </c>
      <c r="K2411" s="2">
        <f t="shared" si="112"/>
        <v>14.53</v>
      </c>
      <c r="L2411" s="2">
        <f t="shared" si="113"/>
        <v>0</v>
      </c>
      <c r="M2411" t="s">
        <v>25</v>
      </c>
      <c r="N2411" t="s">
        <v>26</v>
      </c>
    </row>
    <row r="2412" spans="1:14" x14ac:dyDescent="0.3">
      <c r="A2412">
        <v>2024003410</v>
      </c>
      <c r="B2412" s="1">
        <v>45333</v>
      </c>
      <c r="C2412" s="11">
        <f t="shared" si="111"/>
        <v>2024</v>
      </c>
      <c r="D2412" t="s">
        <v>170</v>
      </c>
      <c r="E2412" t="s">
        <v>53</v>
      </c>
      <c r="F2412" t="s">
        <v>54</v>
      </c>
      <c r="G2412" t="s">
        <v>36</v>
      </c>
      <c r="H2412">
        <v>1</v>
      </c>
      <c r="I2412" s="2">
        <v>111.81</v>
      </c>
      <c r="J2412" s="2">
        <v>111.81</v>
      </c>
      <c r="K2412" s="2">
        <f t="shared" si="112"/>
        <v>111.81</v>
      </c>
      <c r="L2412" s="2">
        <f t="shared" si="113"/>
        <v>0</v>
      </c>
      <c r="M2412" t="s">
        <v>31</v>
      </c>
      <c r="N2412" t="s">
        <v>32</v>
      </c>
    </row>
    <row r="2413" spans="1:14" x14ac:dyDescent="0.3">
      <c r="A2413">
        <v>2024003411</v>
      </c>
      <c r="B2413" s="1">
        <v>45598</v>
      </c>
      <c r="C2413" s="11">
        <f t="shared" si="111"/>
        <v>2024</v>
      </c>
      <c r="D2413" t="s">
        <v>168</v>
      </c>
      <c r="E2413" t="s">
        <v>18</v>
      </c>
      <c r="F2413" t="s">
        <v>19</v>
      </c>
      <c r="G2413" t="s">
        <v>14</v>
      </c>
      <c r="H2413">
        <v>2</v>
      </c>
      <c r="I2413" s="2">
        <v>664.1</v>
      </c>
      <c r="J2413" s="2">
        <v>1328.2</v>
      </c>
      <c r="K2413" s="2">
        <f t="shared" si="112"/>
        <v>1328.2</v>
      </c>
      <c r="L2413" s="2">
        <f t="shared" si="113"/>
        <v>0</v>
      </c>
      <c r="M2413" t="s">
        <v>57</v>
      </c>
      <c r="N2413" t="s">
        <v>21</v>
      </c>
    </row>
    <row r="2414" spans="1:14" x14ac:dyDescent="0.3">
      <c r="A2414">
        <v>2024003412</v>
      </c>
      <c r="B2414" s="1">
        <v>45505</v>
      </c>
      <c r="C2414" s="11">
        <f t="shared" si="111"/>
        <v>2024</v>
      </c>
      <c r="D2414" t="s">
        <v>129</v>
      </c>
      <c r="E2414" t="s">
        <v>28</v>
      </c>
      <c r="F2414" t="s">
        <v>29</v>
      </c>
      <c r="G2414" t="s">
        <v>30</v>
      </c>
      <c r="H2414">
        <v>2</v>
      </c>
      <c r="I2414" s="2">
        <v>26.96</v>
      </c>
      <c r="J2414" s="2">
        <v>53.92</v>
      </c>
      <c r="K2414" s="2">
        <f t="shared" si="112"/>
        <v>53.92</v>
      </c>
      <c r="L2414" s="2">
        <f t="shared" si="113"/>
        <v>0</v>
      </c>
      <c r="M2414" t="s">
        <v>31</v>
      </c>
      <c r="N2414" t="s">
        <v>21</v>
      </c>
    </row>
    <row r="2415" spans="1:14" x14ac:dyDescent="0.3">
      <c r="A2415">
        <v>2024003413</v>
      </c>
      <c r="B2415" s="1">
        <v>45507</v>
      </c>
      <c r="C2415" s="11">
        <f t="shared" si="111"/>
        <v>2024</v>
      </c>
      <c r="D2415" t="s">
        <v>49</v>
      </c>
      <c r="E2415" t="s">
        <v>23</v>
      </c>
      <c r="F2415" t="s">
        <v>24</v>
      </c>
      <c r="G2415" t="s">
        <v>14</v>
      </c>
      <c r="H2415">
        <v>1</v>
      </c>
      <c r="I2415" s="2">
        <v>73.91</v>
      </c>
      <c r="J2415" s="2">
        <v>73.91</v>
      </c>
      <c r="K2415" s="2">
        <f t="shared" si="112"/>
        <v>73.91</v>
      </c>
      <c r="L2415" s="2">
        <f t="shared" si="113"/>
        <v>0</v>
      </c>
      <c r="M2415" t="s">
        <v>55</v>
      </c>
      <c r="N2415" t="s">
        <v>21</v>
      </c>
    </row>
    <row r="2416" spans="1:14" x14ac:dyDescent="0.3">
      <c r="A2416">
        <v>2024003414</v>
      </c>
      <c r="B2416" s="1">
        <v>45426</v>
      </c>
      <c r="C2416" s="11">
        <f t="shared" si="111"/>
        <v>2024</v>
      </c>
      <c r="D2416" t="s">
        <v>260</v>
      </c>
      <c r="E2416" t="s">
        <v>53</v>
      </c>
      <c r="F2416" t="s">
        <v>54</v>
      </c>
      <c r="G2416" t="s">
        <v>36</v>
      </c>
      <c r="H2416">
        <v>1</v>
      </c>
      <c r="I2416" s="2">
        <v>120.98</v>
      </c>
      <c r="J2416" s="2">
        <v>120.98</v>
      </c>
      <c r="K2416" s="2">
        <f t="shared" si="112"/>
        <v>120.98</v>
      </c>
      <c r="L2416" s="2">
        <f t="shared" si="113"/>
        <v>0</v>
      </c>
      <c r="M2416" t="s">
        <v>57</v>
      </c>
      <c r="N2416" t="s">
        <v>21</v>
      </c>
    </row>
    <row r="2417" spans="1:14" x14ac:dyDescent="0.3">
      <c r="A2417">
        <v>2024003415</v>
      </c>
      <c r="B2417" s="1">
        <v>45391</v>
      </c>
      <c r="C2417" s="11">
        <f t="shared" si="111"/>
        <v>2024</v>
      </c>
      <c r="D2417" t="s">
        <v>75</v>
      </c>
      <c r="E2417" t="s">
        <v>12</v>
      </c>
      <c r="F2417" t="s">
        <v>13</v>
      </c>
      <c r="G2417" t="s">
        <v>14</v>
      </c>
      <c r="H2417">
        <v>4</v>
      </c>
      <c r="I2417" s="2">
        <v>337</v>
      </c>
      <c r="J2417" s="2">
        <v>1348</v>
      </c>
      <c r="K2417" s="2">
        <f t="shared" si="112"/>
        <v>1348</v>
      </c>
      <c r="L2417" s="2">
        <f t="shared" si="113"/>
        <v>0</v>
      </c>
      <c r="M2417" t="s">
        <v>31</v>
      </c>
      <c r="N2417" t="s">
        <v>26</v>
      </c>
    </row>
    <row r="2418" spans="1:14" x14ac:dyDescent="0.3">
      <c r="A2418">
        <v>2024003416</v>
      </c>
      <c r="B2418" s="1">
        <v>45301</v>
      </c>
      <c r="C2418" s="11">
        <f t="shared" si="111"/>
        <v>2024</v>
      </c>
      <c r="D2418" t="s">
        <v>11</v>
      </c>
      <c r="E2418" t="s">
        <v>23</v>
      </c>
      <c r="F2418" t="s">
        <v>24</v>
      </c>
      <c r="G2418" t="s">
        <v>14</v>
      </c>
      <c r="H2418">
        <v>3</v>
      </c>
      <c r="I2418" s="2">
        <v>79.25</v>
      </c>
      <c r="J2418" s="2">
        <v>237.75</v>
      </c>
      <c r="K2418" s="2">
        <f t="shared" si="112"/>
        <v>237.75</v>
      </c>
      <c r="L2418" s="2">
        <f t="shared" si="113"/>
        <v>0</v>
      </c>
      <c r="M2418" t="s">
        <v>31</v>
      </c>
      <c r="N2418" t="s">
        <v>26</v>
      </c>
    </row>
    <row r="2419" spans="1:14" x14ac:dyDescent="0.3">
      <c r="A2419">
        <v>2024003417</v>
      </c>
      <c r="B2419" s="1">
        <v>45418</v>
      </c>
      <c r="C2419" s="11">
        <f t="shared" si="111"/>
        <v>2024</v>
      </c>
      <c r="D2419" t="s">
        <v>11</v>
      </c>
      <c r="E2419" t="s">
        <v>67</v>
      </c>
      <c r="F2419" t="s">
        <v>68</v>
      </c>
      <c r="G2419" t="s">
        <v>36</v>
      </c>
      <c r="H2419">
        <v>4</v>
      </c>
      <c r="I2419" s="2">
        <v>443.42</v>
      </c>
      <c r="J2419" s="2">
        <v>1773.68</v>
      </c>
      <c r="K2419" s="2">
        <f t="shared" si="112"/>
        <v>1773.68</v>
      </c>
      <c r="L2419" s="2">
        <f t="shared" si="113"/>
        <v>0</v>
      </c>
      <c r="M2419" t="s">
        <v>48</v>
      </c>
      <c r="N2419" t="s">
        <v>32</v>
      </c>
    </row>
    <row r="2420" spans="1:14" x14ac:dyDescent="0.3">
      <c r="A2420">
        <v>2024003418</v>
      </c>
      <c r="B2420" s="1">
        <v>45437</v>
      </c>
      <c r="C2420" s="11">
        <f t="shared" si="111"/>
        <v>2024</v>
      </c>
      <c r="D2420" t="s">
        <v>11</v>
      </c>
      <c r="E2420" t="s">
        <v>18</v>
      </c>
      <c r="F2420" t="s">
        <v>19</v>
      </c>
      <c r="G2420" t="s">
        <v>14</v>
      </c>
      <c r="H2420">
        <v>4</v>
      </c>
      <c r="I2420" s="2">
        <v>626.62</v>
      </c>
      <c r="J2420" s="2">
        <v>2506.48</v>
      </c>
      <c r="K2420" s="2">
        <f t="shared" si="112"/>
        <v>2506.48</v>
      </c>
      <c r="L2420" s="2">
        <f t="shared" si="113"/>
        <v>0</v>
      </c>
      <c r="M2420" t="s">
        <v>48</v>
      </c>
      <c r="N2420" t="s">
        <v>16</v>
      </c>
    </row>
    <row r="2421" spans="1:14" x14ac:dyDescent="0.3">
      <c r="A2421">
        <v>2024003419</v>
      </c>
      <c r="B2421" s="1">
        <v>45428</v>
      </c>
      <c r="C2421" s="11">
        <f t="shared" si="111"/>
        <v>2024</v>
      </c>
      <c r="D2421" t="s">
        <v>86</v>
      </c>
      <c r="E2421" t="s">
        <v>53</v>
      </c>
      <c r="F2421" t="s">
        <v>54</v>
      </c>
      <c r="G2421" t="s">
        <v>36</v>
      </c>
      <c r="H2421">
        <v>4</v>
      </c>
      <c r="I2421" s="2">
        <v>126.5</v>
      </c>
      <c r="J2421" s="2">
        <v>506</v>
      </c>
      <c r="K2421" s="2">
        <f t="shared" si="112"/>
        <v>506</v>
      </c>
      <c r="L2421" s="2">
        <f t="shared" si="113"/>
        <v>0</v>
      </c>
      <c r="M2421" t="s">
        <v>31</v>
      </c>
      <c r="N2421" t="s">
        <v>16</v>
      </c>
    </row>
    <row r="2422" spans="1:14" x14ac:dyDescent="0.3">
      <c r="A2422">
        <v>2024003420</v>
      </c>
      <c r="B2422" s="1">
        <v>45453</v>
      </c>
      <c r="C2422" s="11">
        <f t="shared" si="111"/>
        <v>2024</v>
      </c>
      <c r="D2422" t="s">
        <v>302</v>
      </c>
      <c r="E2422" t="s">
        <v>18</v>
      </c>
      <c r="F2422" t="s">
        <v>19</v>
      </c>
      <c r="G2422" t="s">
        <v>14</v>
      </c>
      <c r="H2422">
        <v>0</v>
      </c>
      <c r="I2422" s="2">
        <v>630.37</v>
      </c>
      <c r="J2422" s="2">
        <v>0</v>
      </c>
      <c r="K2422" s="2">
        <f t="shared" si="112"/>
        <v>0</v>
      </c>
      <c r="L2422" s="2">
        <f t="shared" si="113"/>
        <v>0</v>
      </c>
      <c r="M2422" t="s">
        <v>31</v>
      </c>
      <c r="N2422" t="s">
        <v>26</v>
      </c>
    </row>
    <row r="2423" spans="1:14" x14ac:dyDescent="0.3">
      <c r="A2423">
        <v>2024003421</v>
      </c>
      <c r="B2423" s="1">
        <v>45653</v>
      </c>
      <c r="C2423" s="11">
        <f t="shared" si="111"/>
        <v>2024</v>
      </c>
      <c r="D2423" t="s">
        <v>86</v>
      </c>
      <c r="E2423" t="s">
        <v>43</v>
      </c>
      <c r="F2423" t="s">
        <v>44</v>
      </c>
      <c r="G2423" t="s">
        <v>36</v>
      </c>
      <c r="H2423">
        <v>1</v>
      </c>
      <c r="I2423" s="2">
        <v>1339.38</v>
      </c>
      <c r="J2423" s="2">
        <v>1339.38</v>
      </c>
      <c r="K2423" s="2">
        <f t="shared" si="112"/>
        <v>1339.38</v>
      </c>
      <c r="L2423" s="2">
        <f t="shared" si="113"/>
        <v>0</v>
      </c>
      <c r="M2423" t="s">
        <v>61</v>
      </c>
      <c r="N2423" t="s">
        <v>16</v>
      </c>
    </row>
    <row r="2424" spans="1:14" x14ac:dyDescent="0.3">
      <c r="A2424">
        <v>2024003422</v>
      </c>
      <c r="B2424" s="1">
        <v>45630</v>
      </c>
      <c r="C2424" s="11">
        <f t="shared" si="111"/>
        <v>2024</v>
      </c>
      <c r="D2424" t="s">
        <v>80</v>
      </c>
      <c r="E2424" t="s">
        <v>46</v>
      </c>
      <c r="F2424" t="s">
        <v>47</v>
      </c>
      <c r="G2424" t="s">
        <v>36</v>
      </c>
      <c r="H2424">
        <v>1</v>
      </c>
      <c r="I2424" s="2">
        <v>98.07</v>
      </c>
      <c r="J2424" s="2">
        <v>98.07</v>
      </c>
      <c r="K2424" s="2">
        <f t="shared" si="112"/>
        <v>98.07</v>
      </c>
      <c r="L2424" s="2">
        <f t="shared" si="113"/>
        <v>0</v>
      </c>
      <c r="M2424" t="s">
        <v>25</v>
      </c>
      <c r="N2424" t="s">
        <v>21</v>
      </c>
    </row>
    <row r="2425" spans="1:14" x14ac:dyDescent="0.3">
      <c r="A2425">
        <v>2024003423</v>
      </c>
      <c r="B2425" s="1">
        <v>45593</v>
      </c>
      <c r="C2425" s="11">
        <f t="shared" si="111"/>
        <v>2024</v>
      </c>
      <c r="D2425" t="s">
        <v>209</v>
      </c>
      <c r="E2425" t="s">
        <v>40</v>
      </c>
      <c r="F2425" t="s">
        <v>41</v>
      </c>
      <c r="G2425" t="s">
        <v>36</v>
      </c>
      <c r="H2425">
        <v>1</v>
      </c>
      <c r="I2425" s="2">
        <v>41.54</v>
      </c>
      <c r="J2425" s="2">
        <v>41.54</v>
      </c>
      <c r="K2425" s="2">
        <f t="shared" si="112"/>
        <v>41.54</v>
      </c>
      <c r="L2425" s="2">
        <f t="shared" si="113"/>
        <v>0</v>
      </c>
      <c r="M2425" t="s">
        <v>48</v>
      </c>
      <c r="N2425" t="s">
        <v>16</v>
      </c>
    </row>
    <row r="2426" spans="1:14" x14ac:dyDescent="0.3">
      <c r="A2426">
        <v>2024003424</v>
      </c>
      <c r="B2426" s="1">
        <v>45320</v>
      </c>
      <c r="C2426" s="11">
        <f t="shared" si="111"/>
        <v>2024</v>
      </c>
      <c r="D2426" t="s">
        <v>11</v>
      </c>
      <c r="E2426" t="s">
        <v>46</v>
      </c>
      <c r="F2426" t="s">
        <v>47</v>
      </c>
      <c r="G2426" t="s">
        <v>36</v>
      </c>
      <c r="H2426">
        <v>2</v>
      </c>
      <c r="I2426" s="2">
        <v>87.34</v>
      </c>
      <c r="J2426" s="2">
        <v>174.68</v>
      </c>
      <c r="K2426" s="2">
        <f t="shared" si="112"/>
        <v>174.68</v>
      </c>
      <c r="L2426" s="2">
        <f t="shared" si="113"/>
        <v>0</v>
      </c>
      <c r="M2426" t="s">
        <v>38</v>
      </c>
      <c r="N2426" t="s">
        <v>26</v>
      </c>
    </row>
    <row r="2427" spans="1:14" x14ac:dyDescent="0.3">
      <c r="A2427">
        <v>2024003425</v>
      </c>
      <c r="B2427" s="1">
        <v>45314</v>
      </c>
      <c r="C2427" s="11">
        <f t="shared" si="111"/>
        <v>2024</v>
      </c>
      <c r="D2427" t="s">
        <v>101</v>
      </c>
      <c r="E2427" t="s">
        <v>28</v>
      </c>
      <c r="F2427" t="s">
        <v>29</v>
      </c>
      <c r="G2427" t="s">
        <v>30</v>
      </c>
      <c r="H2427">
        <v>1</v>
      </c>
      <c r="I2427" s="2">
        <v>24.72</v>
      </c>
      <c r="J2427" s="2">
        <v>24.72</v>
      </c>
      <c r="K2427" s="2">
        <f t="shared" si="112"/>
        <v>24.72</v>
      </c>
      <c r="L2427" s="2">
        <f t="shared" si="113"/>
        <v>0</v>
      </c>
      <c r="M2427" t="s">
        <v>61</v>
      </c>
      <c r="N2427" t="s">
        <v>26</v>
      </c>
    </row>
    <row r="2428" spans="1:14" x14ac:dyDescent="0.3">
      <c r="A2428">
        <v>2024003426</v>
      </c>
      <c r="B2428" s="1">
        <v>45426</v>
      </c>
      <c r="C2428" s="11">
        <f t="shared" si="111"/>
        <v>2024</v>
      </c>
      <c r="D2428" t="s">
        <v>223</v>
      </c>
      <c r="E2428" t="s">
        <v>67</v>
      </c>
      <c r="F2428" t="s">
        <v>68</v>
      </c>
      <c r="G2428" t="s">
        <v>36</v>
      </c>
      <c r="H2428">
        <v>3</v>
      </c>
      <c r="I2428" s="2">
        <v>426.47</v>
      </c>
      <c r="J2428" s="2">
        <v>1279.4100000000001</v>
      </c>
      <c r="K2428" s="2">
        <f t="shared" si="112"/>
        <v>1279.4100000000001</v>
      </c>
      <c r="L2428" s="2">
        <f t="shared" si="113"/>
        <v>0</v>
      </c>
      <c r="M2428" t="s">
        <v>61</v>
      </c>
      <c r="N2428" t="s">
        <v>32</v>
      </c>
    </row>
    <row r="2429" spans="1:14" x14ac:dyDescent="0.3">
      <c r="A2429">
        <v>2024003427</v>
      </c>
      <c r="B2429" s="1">
        <v>45290</v>
      </c>
      <c r="C2429" s="11">
        <f t="shared" si="111"/>
        <v>2023</v>
      </c>
      <c r="D2429" t="s">
        <v>315</v>
      </c>
      <c r="E2429" t="s">
        <v>67</v>
      </c>
      <c r="F2429" t="s">
        <v>68</v>
      </c>
      <c r="G2429" t="s">
        <v>36</v>
      </c>
      <c r="H2429">
        <v>1</v>
      </c>
      <c r="I2429" s="2">
        <v>399.34</v>
      </c>
      <c r="J2429" s="2">
        <v>399.34</v>
      </c>
      <c r="K2429" s="2">
        <f t="shared" si="112"/>
        <v>399.34</v>
      </c>
      <c r="L2429" s="2">
        <f t="shared" si="113"/>
        <v>0</v>
      </c>
      <c r="M2429" t="s">
        <v>57</v>
      </c>
      <c r="N2429" t="s">
        <v>32</v>
      </c>
    </row>
    <row r="2430" spans="1:14" x14ac:dyDescent="0.3">
      <c r="A2430">
        <v>2024003428</v>
      </c>
      <c r="B2430" s="1">
        <v>45464</v>
      </c>
      <c r="C2430" s="11">
        <f t="shared" si="111"/>
        <v>2024</v>
      </c>
      <c r="D2430" t="s">
        <v>69</v>
      </c>
      <c r="E2430" t="s">
        <v>40</v>
      </c>
      <c r="F2430" t="s">
        <v>41</v>
      </c>
      <c r="G2430" t="s">
        <v>36</v>
      </c>
      <c r="H2430">
        <v>4</v>
      </c>
      <c r="I2430" s="2">
        <v>47.35</v>
      </c>
      <c r="J2430" s="2">
        <v>189.4</v>
      </c>
      <c r="K2430" s="2">
        <f t="shared" si="112"/>
        <v>189.4</v>
      </c>
      <c r="L2430" s="2">
        <f t="shared" si="113"/>
        <v>0</v>
      </c>
      <c r="M2430" t="s">
        <v>64</v>
      </c>
      <c r="N2430" t="s">
        <v>32</v>
      </c>
    </row>
    <row r="2431" spans="1:14" x14ac:dyDescent="0.3">
      <c r="A2431">
        <v>2024003429</v>
      </c>
      <c r="B2431" s="1">
        <v>45459</v>
      </c>
      <c r="C2431" s="11">
        <f t="shared" si="111"/>
        <v>2024</v>
      </c>
      <c r="D2431" t="s">
        <v>180</v>
      </c>
      <c r="E2431" t="s">
        <v>40</v>
      </c>
      <c r="F2431" t="s">
        <v>41</v>
      </c>
      <c r="G2431" t="s">
        <v>36</v>
      </c>
      <c r="H2431">
        <v>2</v>
      </c>
      <c r="I2431" s="2">
        <v>43.62</v>
      </c>
      <c r="J2431" s="2">
        <v>87.24</v>
      </c>
      <c r="K2431" s="2">
        <f t="shared" si="112"/>
        <v>87.24</v>
      </c>
      <c r="L2431" s="2">
        <f t="shared" si="113"/>
        <v>0</v>
      </c>
      <c r="M2431" t="s">
        <v>20</v>
      </c>
      <c r="N2431" t="s">
        <v>16</v>
      </c>
    </row>
    <row r="2432" spans="1:14" x14ac:dyDescent="0.3">
      <c r="A2432">
        <v>2024003430</v>
      </c>
      <c r="B2432" s="1">
        <v>45500</v>
      </c>
      <c r="C2432" s="11">
        <f t="shared" si="111"/>
        <v>2024</v>
      </c>
      <c r="D2432" t="s">
        <v>157</v>
      </c>
      <c r="E2432" t="s">
        <v>12</v>
      </c>
      <c r="F2432" t="s">
        <v>13</v>
      </c>
      <c r="G2432" t="s">
        <v>14</v>
      </c>
      <c r="H2432">
        <v>2</v>
      </c>
      <c r="I2432" s="2">
        <v>343.79</v>
      </c>
      <c r="J2432" s="2">
        <v>687.58</v>
      </c>
      <c r="K2432" s="2">
        <f t="shared" si="112"/>
        <v>687.58</v>
      </c>
      <c r="L2432" s="2">
        <f t="shared" si="113"/>
        <v>0</v>
      </c>
      <c r="M2432" t="s">
        <v>38</v>
      </c>
      <c r="N2432" t="s">
        <v>16</v>
      </c>
    </row>
    <row r="2433" spans="1:14" x14ac:dyDescent="0.3">
      <c r="A2433">
        <v>2024003431</v>
      </c>
      <c r="B2433" s="1">
        <v>45356</v>
      </c>
      <c r="C2433" s="11">
        <f t="shared" si="111"/>
        <v>2024</v>
      </c>
      <c r="D2433" t="s">
        <v>11</v>
      </c>
      <c r="E2433" t="s">
        <v>23</v>
      </c>
      <c r="F2433" t="s">
        <v>24</v>
      </c>
      <c r="G2433" t="s">
        <v>14</v>
      </c>
      <c r="H2433">
        <v>1</v>
      </c>
      <c r="I2433" s="2">
        <v>76.91</v>
      </c>
      <c r="J2433" s="2">
        <v>76.91</v>
      </c>
      <c r="K2433" s="2">
        <f t="shared" si="112"/>
        <v>76.91</v>
      </c>
      <c r="L2433" s="2">
        <f t="shared" si="113"/>
        <v>0</v>
      </c>
      <c r="M2433" t="s">
        <v>57</v>
      </c>
      <c r="N2433" t="s">
        <v>16</v>
      </c>
    </row>
    <row r="2434" spans="1:14" x14ac:dyDescent="0.3">
      <c r="A2434">
        <v>2024003432</v>
      </c>
      <c r="B2434" s="1">
        <v>45381</v>
      </c>
      <c r="C2434" s="11">
        <f t="shared" si="111"/>
        <v>2024</v>
      </c>
      <c r="D2434" t="s">
        <v>209</v>
      </c>
      <c r="E2434" t="s">
        <v>67</v>
      </c>
      <c r="F2434" t="s">
        <v>68</v>
      </c>
      <c r="G2434" t="s">
        <v>36</v>
      </c>
      <c r="H2434">
        <v>2</v>
      </c>
      <c r="I2434" s="2">
        <v>411.73</v>
      </c>
      <c r="J2434" s="2">
        <v>823.46</v>
      </c>
      <c r="K2434" s="2">
        <f t="shared" si="112"/>
        <v>823.46</v>
      </c>
      <c r="L2434" s="2">
        <f t="shared" si="113"/>
        <v>0</v>
      </c>
      <c r="M2434" t="s">
        <v>20</v>
      </c>
      <c r="N2434" t="s">
        <v>26</v>
      </c>
    </row>
    <row r="2435" spans="1:14" x14ac:dyDescent="0.3">
      <c r="A2435">
        <v>2024003433</v>
      </c>
      <c r="B2435" s="1">
        <v>45341</v>
      </c>
      <c r="C2435" s="11">
        <f t="shared" ref="C2435:C2498" si="114">YEAR(B2435)</f>
        <v>2024</v>
      </c>
      <c r="D2435" t="s">
        <v>249</v>
      </c>
      <c r="E2435" t="s">
        <v>23</v>
      </c>
      <c r="F2435" t="s">
        <v>24</v>
      </c>
      <c r="G2435" t="s">
        <v>14</v>
      </c>
      <c r="H2435">
        <v>2</v>
      </c>
      <c r="I2435" s="2">
        <v>80.209999999999994</v>
      </c>
      <c r="J2435" s="2">
        <v>160.41999999999999</v>
      </c>
      <c r="K2435" s="2">
        <f t="shared" ref="K2435:K2498" si="115">I2435*H2435</f>
        <v>160.41999999999999</v>
      </c>
      <c r="L2435" s="2">
        <f t="shared" ref="L2435:L2498" si="116">J2435-K2435</f>
        <v>0</v>
      </c>
      <c r="M2435" t="s">
        <v>57</v>
      </c>
      <c r="N2435" t="s">
        <v>21</v>
      </c>
    </row>
    <row r="2436" spans="1:14" x14ac:dyDescent="0.3">
      <c r="A2436">
        <v>2024003434</v>
      </c>
      <c r="B2436" s="1">
        <v>45559</v>
      </c>
      <c r="C2436" s="11">
        <f t="shared" si="114"/>
        <v>2024</v>
      </c>
      <c r="D2436" t="s">
        <v>221</v>
      </c>
      <c r="E2436" t="s">
        <v>43</v>
      </c>
      <c r="F2436" t="s">
        <v>44</v>
      </c>
      <c r="G2436" t="s">
        <v>36</v>
      </c>
      <c r="H2436">
        <v>1</v>
      </c>
      <c r="I2436" s="2">
        <v>1096.3</v>
      </c>
      <c r="J2436" s="2">
        <v>1096.3</v>
      </c>
      <c r="K2436" s="2">
        <f t="shared" si="115"/>
        <v>1096.3</v>
      </c>
      <c r="L2436" s="2">
        <f t="shared" si="116"/>
        <v>0</v>
      </c>
      <c r="M2436" t="s">
        <v>55</v>
      </c>
      <c r="N2436" t="s">
        <v>32</v>
      </c>
    </row>
    <row r="2437" spans="1:14" x14ac:dyDescent="0.3">
      <c r="A2437">
        <v>2024003435</v>
      </c>
      <c r="B2437" s="1">
        <v>45621</v>
      </c>
      <c r="C2437" s="11">
        <f t="shared" si="114"/>
        <v>2024</v>
      </c>
      <c r="D2437" t="s">
        <v>325</v>
      </c>
      <c r="E2437" t="s">
        <v>12</v>
      </c>
      <c r="F2437" t="s">
        <v>13</v>
      </c>
      <c r="G2437" t="s">
        <v>14</v>
      </c>
      <c r="H2437">
        <v>0</v>
      </c>
      <c r="I2437" s="2">
        <v>328.15</v>
      </c>
      <c r="J2437" s="2">
        <v>0</v>
      </c>
      <c r="K2437" s="2">
        <f t="shared" si="115"/>
        <v>0</v>
      </c>
      <c r="L2437" s="2">
        <f t="shared" si="116"/>
        <v>0</v>
      </c>
      <c r="M2437" t="s">
        <v>25</v>
      </c>
      <c r="N2437" t="s">
        <v>16</v>
      </c>
    </row>
    <row r="2438" spans="1:14" x14ac:dyDescent="0.3">
      <c r="A2438">
        <v>2024003436</v>
      </c>
      <c r="B2438" s="1">
        <v>45462</v>
      </c>
      <c r="C2438" s="11">
        <f t="shared" si="114"/>
        <v>2024</v>
      </c>
      <c r="D2438" t="s">
        <v>70</v>
      </c>
      <c r="E2438" t="s">
        <v>18</v>
      </c>
      <c r="F2438" t="s">
        <v>19</v>
      </c>
      <c r="G2438" t="s">
        <v>14</v>
      </c>
      <c r="H2438">
        <v>3</v>
      </c>
      <c r="I2438" s="2">
        <v>563.19000000000005</v>
      </c>
      <c r="J2438" s="2">
        <v>1689.57</v>
      </c>
      <c r="K2438" s="2">
        <f t="shared" si="115"/>
        <v>1689.5700000000002</v>
      </c>
      <c r="L2438" s="2">
        <f t="shared" si="116"/>
        <v>0</v>
      </c>
      <c r="M2438" t="s">
        <v>64</v>
      </c>
      <c r="N2438" t="s">
        <v>16</v>
      </c>
    </row>
    <row r="2439" spans="1:14" x14ac:dyDescent="0.3">
      <c r="A2439">
        <v>2024003437</v>
      </c>
      <c r="B2439" s="1">
        <v>45308</v>
      </c>
      <c r="C2439" s="11">
        <f t="shared" si="114"/>
        <v>2024</v>
      </c>
      <c r="D2439" t="s">
        <v>189</v>
      </c>
      <c r="E2439" t="s">
        <v>34</v>
      </c>
      <c r="F2439" t="s">
        <v>35</v>
      </c>
      <c r="G2439" t="s">
        <v>36</v>
      </c>
      <c r="H2439">
        <v>2</v>
      </c>
      <c r="I2439" s="2">
        <v>15.3</v>
      </c>
      <c r="J2439" s="2">
        <v>30.6</v>
      </c>
      <c r="K2439" s="2">
        <f t="shared" si="115"/>
        <v>30.6</v>
      </c>
      <c r="L2439" s="2">
        <f t="shared" si="116"/>
        <v>0</v>
      </c>
      <c r="M2439" t="s">
        <v>31</v>
      </c>
      <c r="N2439" t="s">
        <v>26</v>
      </c>
    </row>
    <row r="2440" spans="1:14" x14ac:dyDescent="0.3">
      <c r="A2440">
        <v>2024003438</v>
      </c>
      <c r="B2440" s="1">
        <v>45430</v>
      </c>
      <c r="C2440" s="11">
        <f t="shared" si="114"/>
        <v>2024</v>
      </c>
      <c r="D2440" t="s">
        <v>11</v>
      </c>
      <c r="E2440" t="s">
        <v>67</v>
      </c>
      <c r="F2440" t="s">
        <v>68</v>
      </c>
      <c r="G2440" t="s">
        <v>36</v>
      </c>
      <c r="H2440">
        <v>1</v>
      </c>
      <c r="I2440" s="2">
        <v>376.69</v>
      </c>
      <c r="J2440" s="2">
        <v>376.69</v>
      </c>
      <c r="K2440" s="2">
        <f t="shared" si="115"/>
        <v>376.69</v>
      </c>
      <c r="L2440" s="2">
        <f t="shared" si="116"/>
        <v>0</v>
      </c>
      <c r="M2440" t="s">
        <v>25</v>
      </c>
      <c r="N2440" t="s">
        <v>21</v>
      </c>
    </row>
    <row r="2441" spans="1:14" x14ac:dyDescent="0.3">
      <c r="A2441">
        <v>2024003439</v>
      </c>
      <c r="B2441" s="1">
        <v>45391</v>
      </c>
      <c r="C2441" s="11">
        <f t="shared" si="114"/>
        <v>2024</v>
      </c>
      <c r="D2441" t="s">
        <v>113</v>
      </c>
      <c r="E2441" t="s">
        <v>12</v>
      </c>
      <c r="F2441" t="s">
        <v>13</v>
      </c>
      <c r="G2441" t="s">
        <v>14</v>
      </c>
      <c r="H2441">
        <v>2</v>
      </c>
      <c r="I2441" s="2">
        <v>375.74</v>
      </c>
      <c r="J2441" s="2">
        <v>751.48</v>
      </c>
      <c r="K2441" s="2">
        <f t="shared" si="115"/>
        <v>751.48</v>
      </c>
      <c r="L2441" s="2">
        <f t="shared" si="116"/>
        <v>0</v>
      </c>
      <c r="M2441" t="s">
        <v>31</v>
      </c>
      <c r="N2441" t="s">
        <v>26</v>
      </c>
    </row>
    <row r="2442" spans="1:14" x14ac:dyDescent="0.3">
      <c r="A2442">
        <v>2024003440</v>
      </c>
      <c r="B2442" s="1">
        <v>45500</v>
      </c>
      <c r="C2442" s="11">
        <f t="shared" si="114"/>
        <v>2024</v>
      </c>
      <c r="D2442" t="s">
        <v>33</v>
      </c>
      <c r="E2442" t="s">
        <v>18</v>
      </c>
      <c r="F2442" t="s">
        <v>19</v>
      </c>
      <c r="G2442" t="s">
        <v>14</v>
      </c>
      <c r="H2442">
        <v>1</v>
      </c>
      <c r="I2442" s="2">
        <v>604.02</v>
      </c>
      <c r="J2442" s="2">
        <v>604.02</v>
      </c>
      <c r="K2442" s="2">
        <f t="shared" si="115"/>
        <v>604.02</v>
      </c>
      <c r="L2442" s="2">
        <f t="shared" si="116"/>
        <v>0</v>
      </c>
      <c r="M2442" t="s">
        <v>61</v>
      </c>
      <c r="N2442" t="s">
        <v>32</v>
      </c>
    </row>
    <row r="2443" spans="1:14" x14ac:dyDescent="0.3">
      <c r="A2443">
        <v>2024003441</v>
      </c>
      <c r="B2443" s="1">
        <v>45389</v>
      </c>
      <c r="C2443" s="11">
        <f t="shared" si="114"/>
        <v>2024</v>
      </c>
      <c r="D2443" t="s">
        <v>270</v>
      </c>
      <c r="E2443" t="s">
        <v>67</v>
      </c>
      <c r="F2443" t="s">
        <v>68</v>
      </c>
      <c r="G2443" t="s">
        <v>36</v>
      </c>
      <c r="H2443">
        <v>2</v>
      </c>
      <c r="I2443" s="2">
        <v>432.53</v>
      </c>
      <c r="J2443" s="2">
        <v>865.06</v>
      </c>
      <c r="K2443" s="2">
        <f t="shared" si="115"/>
        <v>865.06</v>
      </c>
      <c r="L2443" s="2">
        <f t="shared" si="116"/>
        <v>0</v>
      </c>
      <c r="M2443" t="s">
        <v>38</v>
      </c>
      <c r="N2443" t="s">
        <v>21</v>
      </c>
    </row>
    <row r="2444" spans="1:14" x14ac:dyDescent="0.3">
      <c r="A2444">
        <v>2024003442</v>
      </c>
      <c r="B2444" s="1">
        <v>45425</v>
      </c>
      <c r="C2444" s="11">
        <f t="shared" si="114"/>
        <v>2024</v>
      </c>
      <c r="D2444" t="s">
        <v>176</v>
      </c>
      <c r="E2444" t="s">
        <v>40</v>
      </c>
      <c r="F2444" t="s">
        <v>41</v>
      </c>
      <c r="G2444" t="s">
        <v>36</v>
      </c>
      <c r="H2444">
        <v>2</v>
      </c>
      <c r="I2444" s="2">
        <v>45.13</v>
      </c>
      <c r="J2444" s="2">
        <v>90.26</v>
      </c>
      <c r="K2444" s="2">
        <f t="shared" si="115"/>
        <v>90.26</v>
      </c>
      <c r="L2444" s="2">
        <f t="shared" si="116"/>
        <v>0</v>
      </c>
      <c r="M2444" t="s">
        <v>64</v>
      </c>
      <c r="N2444" t="s">
        <v>16</v>
      </c>
    </row>
    <row r="2445" spans="1:14" x14ac:dyDescent="0.3">
      <c r="A2445">
        <v>2024003443</v>
      </c>
      <c r="B2445" s="1">
        <v>45499</v>
      </c>
      <c r="C2445" s="11">
        <f t="shared" si="114"/>
        <v>2024</v>
      </c>
      <c r="D2445" t="s">
        <v>260</v>
      </c>
      <c r="E2445" t="s">
        <v>18</v>
      </c>
      <c r="F2445" t="s">
        <v>19</v>
      </c>
      <c r="G2445" t="s">
        <v>14</v>
      </c>
      <c r="H2445">
        <v>5</v>
      </c>
      <c r="I2445" s="2">
        <v>553.75</v>
      </c>
      <c r="J2445" s="2">
        <v>2768.75</v>
      </c>
      <c r="K2445" s="2">
        <f t="shared" si="115"/>
        <v>2768.75</v>
      </c>
      <c r="L2445" s="2">
        <f t="shared" si="116"/>
        <v>0</v>
      </c>
      <c r="M2445" t="s">
        <v>20</v>
      </c>
      <c r="N2445" t="s">
        <v>26</v>
      </c>
    </row>
    <row r="2446" spans="1:14" x14ac:dyDescent="0.3">
      <c r="A2446">
        <v>2024003444</v>
      </c>
      <c r="B2446" s="1">
        <v>45578</v>
      </c>
      <c r="C2446" s="11">
        <f t="shared" si="114"/>
        <v>2024</v>
      </c>
      <c r="D2446" t="s">
        <v>242</v>
      </c>
      <c r="E2446" t="s">
        <v>28</v>
      </c>
      <c r="F2446" t="s">
        <v>29</v>
      </c>
      <c r="G2446" t="s">
        <v>30</v>
      </c>
      <c r="H2446">
        <v>1</v>
      </c>
      <c r="I2446" s="2">
        <v>25.29</v>
      </c>
      <c r="J2446" s="2">
        <v>25.29</v>
      </c>
      <c r="K2446" s="2">
        <f t="shared" si="115"/>
        <v>25.29</v>
      </c>
      <c r="L2446" s="2">
        <f t="shared" si="116"/>
        <v>0</v>
      </c>
      <c r="M2446" t="s">
        <v>31</v>
      </c>
      <c r="N2446" t="s">
        <v>21</v>
      </c>
    </row>
    <row r="2447" spans="1:14" x14ac:dyDescent="0.3">
      <c r="A2447">
        <v>2024003445</v>
      </c>
      <c r="B2447" s="1">
        <v>45364</v>
      </c>
      <c r="C2447" s="11">
        <f t="shared" si="114"/>
        <v>2024</v>
      </c>
      <c r="D2447" t="s">
        <v>33</v>
      </c>
      <c r="E2447" t="s">
        <v>34</v>
      </c>
      <c r="F2447" t="s">
        <v>35</v>
      </c>
      <c r="G2447" t="s">
        <v>36</v>
      </c>
      <c r="H2447">
        <v>2</v>
      </c>
      <c r="I2447" s="2">
        <v>14.74</v>
      </c>
      <c r="J2447" s="2">
        <v>29.48</v>
      </c>
      <c r="K2447" s="2">
        <f t="shared" si="115"/>
        <v>29.48</v>
      </c>
      <c r="L2447" s="2">
        <f t="shared" si="116"/>
        <v>0</v>
      </c>
      <c r="M2447" t="s">
        <v>57</v>
      </c>
      <c r="N2447" t="s">
        <v>26</v>
      </c>
    </row>
    <row r="2448" spans="1:14" x14ac:dyDescent="0.3">
      <c r="A2448">
        <v>2024003446</v>
      </c>
      <c r="B2448" s="1">
        <v>45247</v>
      </c>
      <c r="C2448" s="11">
        <f t="shared" si="114"/>
        <v>2023</v>
      </c>
      <c r="D2448" t="s">
        <v>11</v>
      </c>
      <c r="E2448" t="s">
        <v>12</v>
      </c>
      <c r="F2448" t="s">
        <v>13</v>
      </c>
      <c r="G2448" t="s">
        <v>14</v>
      </c>
      <c r="H2448">
        <v>1</v>
      </c>
      <c r="I2448" s="2">
        <v>343.67</v>
      </c>
      <c r="J2448" s="2">
        <v>343.67</v>
      </c>
      <c r="K2448" s="2">
        <f t="shared" si="115"/>
        <v>343.67</v>
      </c>
      <c r="L2448" s="2">
        <f t="shared" si="116"/>
        <v>0</v>
      </c>
      <c r="M2448" t="s">
        <v>55</v>
      </c>
      <c r="N2448" t="s">
        <v>21</v>
      </c>
    </row>
    <row r="2449" spans="1:14" x14ac:dyDescent="0.3">
      <c r="A2449">
        <v>2024003447</v>
      </c>
      <c r="B2449" s="1">
        <v>45612</v>
      </c>
      <c r="C2449" s="11">
        <f t="shared" si="114"/>
        <v>2024</v>
      </c>
      <c r="D2449" t="s">
        <v>11</v>
      </c>
      <c r="E2449" t="s">
        <v>28</v>
      </c>
      <c r="F2449" t="s">
        <v>29</v>
      </c>
      <c r="G2449" t="s">
        <v>30</v>
      </c>
      <c r="H2449">
        <v>3</v>
      </c>
      <c r="I2449" s="2">
        <v>25.22</v>
      </c>
      <c r="J2449" s="2">
        <v>75.66</v>
      </c>
      <c r="K2449" s="2">
        <f t="shared" si="115"/>
        <v>75.66</v>
      </c>
      <c r="L2449" s="2">
        <f t="shared" si="116"/>
        <v>0</v>
      </c>
      <c r="M2449" t="s">
        <v>20</v>
      </c>
      <c r="N2449" t="s">
        <v>26</v>
      </c>
    </row>
    <row r="2450" spans="1:14" x14ac:dyDescent="0.3">
      <c r="A2450">
        <v>2024003448</v>
      </c>
      <c r="B2450" s="1">
        <v>45347</v>
      </c>
      <c r="C2450" s="11">
        <f t="shared" si="114"/>
        <v>2024</v>
      </c>
      <c r="D2450" t="s">
        <v>264</v>
      </c>
      <c r="E2450" t="s">
        <v>12</v>
      </c>
      <c r="F2450" t="s">
        <v>13</v>
      </c>
      <c r="G2450" t="s">
        <v>14</v>
      </c>
      <c r="H2450">
        <v>4</v>
      </c>
      <c r="I2450" s="2">
        <v>341.83</v>
      </c>
      <c r="J2450" s="2">
        <v>1367.32</v>
      </c>
      <c r="K2450" s="2">
        <f t="shared" si="115"/>
        <v>1367.32</v>
      </c>
      <c r="L2450" s="2">
        <f t="shared" si="116"/>
        <v>0</v>
      </c>
      <c r="M2450" t="s">
        <v>48</v>
      </c>
      <c r="N2450" t="s">
        <v>16</v>
      </c>
    </row>
    <row r="2451" spans="1:14" x14ac:dyDescent="0.3">
      <c r="A2451">
        <v>2024003449</v>
      </c>
      <c r="B2451" s="1">
        <v>45600</v>
      </c>
      <c r="C2451" s="11">
        <f t="shared" si="114"/>
        <v>2024</v>
      </c>
      <c r="D2451" t="s">
        <v>150</v>
      </c>
      <c r="E2451" t="s">
        <v>28</v>
      </c>
      <c r="F2451" t="s">
        <v>29</v>
      </c>
      <c r="G2451" t="s">
        <v>30</v>
      </c>
      <c r="H2451">
        <v>5</v>
      </c>
      <c r="I2451" s="2">
        <v>24.54</v>
      </c>
      <c r="J2451" s="2">
        <v>122.7</v>
      </c>
      <c r="K2451" s="2">
        <f t="shared" si="115"/>
        <v>122.69999999999999</v>
      </c>
      <c r="L2451" s="2">
        <f t="shared" si="116"/>
        <v>0</v>
      </c>
      <c r="M2451" t="s">
        <v>38</v>
      </c>
      <c r="N2451" t="s">
        <v>21</v>
      </c>
    </row>
    <row r="2452" spans="1:14" x14ac:dyDescent="0.3">
      <c r="A2452">
        <v>2024003450</v>
      </c>
      <c r="B2452" s="1">
        <v>45331</v>
      </c>
      <c r="C2452" s="11">
        <f t="shared" si="114"/>
        <v>2024</v>
      </c>
      <c r="D2452" t="s">
        <v>311</v>
      </c>
      <c r="E2452" t="s">
        <v>28</v>
      </c>
      <c r="F2452" t="s">
        <v>29</v>
      </c>
      <c r="G2452" t="s">
        <v>30</v>
      </c>
      <c r="H2452">
        <v>1</v>
      </c>
      <c r="I2452" s="2">
        <v>22.61</v>
      </c>
      <c r="J2452" s="2">
        <v>22.61</v>
      </c>
      <c r="K2452" s="2">
        <f t="shared" si="115"/>
        <v>22.61</v>
      </c>
      <c r="L2452" s="2">
        <f t="shared" si="116"/>
        <v>0</v>
      </c>
      <c r="M2452" t="s">
        <v>57</v>
      </c>
      <c r="N2452" t="s">
        <v>32</v>
      </c>
    </row>
    <row r="2453" spans="1:14" x14ac:dyDescent="0.3">
      <c r="A2453">
        <v>2024003451</v>
      </c>
      <c r="B2453" s="1">
        <v>45656</v>
      </c>
      <c r="C2453" s="11">
        <f t="shared" si="114"/>
        <v>2024</v>
      </c>
      <c r="D2453" t="s">
        <v>247</v>
      </c>
      <c r="E2453" t="s">
        <v>43</v>
      </c>
      <c r="F2453" t="s">
        <v>44</v>
      </c>
      <c r="G2453" t="s">
        <v>36</v>
      </c>
      <c r="H2453">
        <v>1</v>
      </c>
      <c r="I2453" s="2">
        <v>1306.6400000000001</v>
      </c>
      <c r="J2453" s="2">
        <v>1306.6400000000001</v>
      </c>
      <c r="K2453" s="2">
        <f t="shared" si="115"/>
        <v>1306.6400000000001</v>
      </c>
      <c r="L2453" s="2">
        <f t="shared" si="116"/>
        <v>0</v>
      </c>
      <c r="M2453" t="s">
        <v>15</v>
      </c>
      <c r="N2453" t="s">
        <v>26</v>
      </c>
    </row>
    <row r="2454" spans="1:14" x14ac:dyDescent="0.3">
      <c r="A2454">
        <v>2024003452</v>
      </c>
      <c r="B2454" s="1">
        <v>45381</v>
      </c>
      <c r="C2454" s="11">
        <f t="shared" si="114"/>
        <v>2024</v>
      </c>
      <c r="D2454" t="s">
        <v>11</v>
      </c>
      <c r="E2454" t="s">
        <v>46</v>
      </c>
      <c r="F2454" t="s">
        <v>47</v>
      </c>
      <c r="G2454" t="s">
        <v>36</v>
      </c>
      <c r="H2454">
        <v>1</v>
      </c>
      <c r="I2454" s="2">
        <v>87.69</v>
      </c>
      <c r="J2454" s="2">
        <v>87.69</v>
      </c>
      <c r="K2454" s="2">
        <f t="shared" si="115"/>
        <v>87.69</v>
      </c>
      <c r="L2454" s="2">
        <f t="shared" si="116"/>
        <v>0</v>
      </c>
      <c r="M2454" t="s">
        <v>61</v>
      </c>
      <c r="N2454" t="s">
        <v>32</v>
      </c>
    </row>
    <row r="2455" spans="1:14" x14ac:dyDescent="0.3">
      <c r="A2455">
        <v>2024003453</v>
      </c>
      <c r="B2455" s="1">
        <v>45388</v>
      </c>
      <c r="C2455" s="11">
        <f t="shared" si="114"/>
        <v>2024</v>
      </c>
      <c r="D2455" t="s">
        <v>76</v>
      </c>
      <c r="E2455" t="s">
        <v>23</v>
      </c>
      <c r="F2455" t="s">
        <v>24</v>
      </c>
      <c r="G2455" t="s">
        <v>14</v>
      </c>
      <c r="H2455">
        <v>1</v>
      </c>
      <c r="I2455" s="2">
        <v>81.040000000000006</v>
      </c>
      <c r="J2455" s="2">
        <v>81.040000000000006</v>
      </c>
      <c r="K2455" s="2">
        <f t="shared" si="115"/>
        <v>81.040000000000006</v>
      </c>
      <c r="L2455" s="2">
        <f t="shared" si="116"/>
        <v>0</v>
      </c>
      <c r="M2455" t="s">
        <v>61</v>
      </c>
      <c r="N2455" t="s">
        <v>32</v>
      </c>
    </row>
    <row r="2456" spans="1:14" x14ac:dyDescent="0.3">
      <c r="A2456">
        <v>2024003454</v>
      </c>
      <c r="B2456" s="1">
        <v>45545</v>
      </c>
      <c r="C2456" s="11">
        <f t="shared" si="114"/>
        <v>2024</v>
      </c>
      <c r="D2456" t="s">
        <v>301</v>
      </c>
      <c r="E2456" t="s">
        <v>53</v>
      </c>
      <c r="F2456" t="s">
        <v>54</v>
      </c>
      <c r="G2456" t="s">
        <v>36</v>
      </c>
      <c r="H2456">
        <v>1</v>
      </c>
      <c r="I2456" s="2">
        <v>112.22</v>
      </c>
      <c r="J2456" s="2">
        <v>112.22</v>
      </c>
      <c r="K2456" s="2">
        <f t="shared" si="115"/>
        <v>112.22</v>
      </c>
      <c r="L2456" s="2">
        <f t="shared" si="116"/>
        <v>0</v>
      </c>
      <c r="M2456" t="s">
        <v>57</v>
      </c>
      <c r="N2456" t="s">
        <v>26</v>
      </c>
    </row>
    <row r="2457" spans="1:14" x14ac:dyDescent="0.3">
      <c r="A2457">
        <v>2024003455</v>
      </c>
      <c r="B2457" s="1">
        <v>45604</v>
      </c>
      <c r="C2457" s="11">
        <f t="shared" si="114"/>
        <v>2024</v>
      </c>
      <c r="D2457" t="s">
        <v>65</v>
      </c>
      <c r="E2457" t="s">
        <v>34</v>
      </c>
      <c r="F2457" t="s">
        <v>35</v>
      </c>
      <c r="G2457" t="s">
        <v>36</v>
      </c>
      <c r="H2457">
        <v>1</v>
      </c>
      <c r="I2457" s="2">
        <v>14.42</v>
      </c>
      <c r="J2457" s="2">
        <v>14.42</v>
      </c>
      <c r="K2457" s="2">
        <f t="shared" si="115"/>
        <v>14.42</v>
      </c>
      <c r="L2457" s="2">
        <f t="shared" si="116"/>
        <v>0</v>
      </c>
      <c r="M2457" t="s">
        <v>64</v>
      </c>
      <c r="N2457" t="s">
        <v>16</v>
      </c>
    </row>
    <row r="2458" spans="1:14" x14ac:dyDescent="0.3">
      <c r="A2458">
        <v>2024003456</v>
      </c>
      <c r="B2458" s="1">
        <v>45294</v>
      </c>
      <c r="C2458" s="11">
        <f t="shared" si="114"/>
        <v>2024</v>
      </c>
      <c r="D2458" t="s">
        <v>242</v>
      </c>
      <c r="E2458" t="s">
        <v>12</v>
      </c>
      <c r="F2458" t="s">
        <v>13</v>
      </c>
      <c r="G2458" t="s">
        <v>14</v>
      </c>
      <c r="H2458">
        <v>1</v>
      </c>
      <c r="I2458" s="2">
        <v>383.28</v>
      </c>
      <c r="J2458" s="2">
        <v>383.28</v>
      </c>
      <c r="K2458" s="2">
        <f t="shared" si="115"/>
        <v>383.28</v>
      </c>
      <c r="L2458" s="2">
        <f t="shared" si="116"/>
        <v>0</v>
      </c>
      <c r="M2458" t="s">
        <v>61</v>
      </c>
      <c r="N2458" t="s">
        <v>21</v>
      </c>
    </row>
    <row r="2459" spans="1:14" x14ac:dyDescent="0.3">
      <c r="A2459">
        <v>2024003457</v>
      </c>
      <c r="B2459" s="1">
        <v>45454</v>
      </c>
      <c r="C2459" s="11">
        <f t="shared" si="114"/>
        <v>2024</v>
      </c>
      <c r="D2459" t="s">
        <v>69</v>
      </c>
      <c r="E2459" t="s">
        <v>53</v>
      </c>
      <c r="F2459" t="s">
        <v>54</v>
      </c>
      <c r="G2459" t="s">
        <v>36</v>
      </c>
      <c r="H2459">
        <v>2</v>
      </c>
      <c r="I2459" s="2">
        <v>119.35</v>
      </c>
      <c r="J2459" s="2">
        <v>238.7</v>
      </c>
      <c r="K2459" s="2">
        <f t="shared" si="115"/>
        <v>238.7</v>
      </c>
      <c r="L2459" s="2">
        <f t="shared" si="116"/>
        <v>0</v>
      </c>
      <c r="M2459" t="s">
        <v>57</v>
      </c>
      <c r="N2459" t="s">
        <v>16</v>
      </c>
    </row>
    <row r="2460" spans="1:14" x14ac:dyDescent="0.3">
      <c r="A2460">
        <v>2024003458</v>
      </c>
      <c r="B2460" s="1">
        <v>45404</v>
      </c>
      <c r="C2460" s="11">
        <f t="shared" si="114"/>
        <v>2024</v>
      </c>
      <c r="D2460" t="s">
        <v>11</v>
      </c>
      <c r="E2460" t="s">
        <v>28</v>
      </c>
      <c r="F2460" t="s">
        <v>29</v>
      </c>
      <c r="G2460" t="s">
        <v>30</v>
      </c>
      <c r="H2460">
        <v>2</v>
      </c>
      <c r="I2460" s="2">
        <v>25.95</v>
      </c>
      <c r="J2460" s="2">
        <v>51.9</v>
      </c>
      <c r="K2460" s="2">
        <f t="shared" si="115"/>
        <v>51.9</v>
      </c>
      <c r="L2460" s="2">
        <f t="shared" si="116"/>
        <v>0</v>
      </c>
      <c r="M2460" t="s">
        <v>25</v>
      </c>
      <c r="N2460" t="s">
        <v>16</v>
      </c>
    </row>
    <row r="2461" spans="1:14" x14ac:dyDescent="0.3">
      <c r="A2461">
        <v>2024001518</v>
      </c>
      <c r="B2461" s="1">
        <v>45473</v>
      </c>
      <c r="C2461" s="11">
        <f t="shared" si="114"/>
        <v>2024</v>
      </c>
      <c r="D2461" t="s">
        <v>127</v>
      </c>
      <c r="E2461" t="s">
        <v>28</v>
      </c>
      <c r="F2461" t="s">
        <v>29</v>
      </c>
      <c r="G2461" t="s">
        <v>30</v>
      </c>
      <c r="H2461">
        <v>5</v>
      </c>
      <c r="I2461" s="2">
        <v>22.76</v>
      </c>
      <c r="J2461" s="2">
        <v>113.8</v>
      </c>
      <c r="K2461" s="2">
        <f t="shared" si="115"/>
        <v>113.80000000000001</v>
      </c>
      <c r="L2461" s="2">
        <f t="shared" si="116"/>
        <v>0</v>
      </c>
      <c r="M2461" t="s">
        <v>38</v>
      </c>
      <c r="N2461" t="s">
        <v>16</v>
      </c>
    </row>
    <row r="2462" spans="1:14" x14ac:dyDescent="0.3">
      <c r="A2462">
        <v>2024003460</v>
      </c>
      <c r="B2462" s="1">
        <v>45478</v>
      </c>
      <c r="C2462" s="11">
        <f t="shared" si="114"/>
        <v>2024</v>
      </c>
      <c r="D2462" t="s">
        <v>11</v>
      </c>
      <c r="E2462" t="s">
        <v>23</v>
      </c>
      <c r="F2462" t="s">
        <v>24</v>
      </c>
      <c r="G2462" t="s">
        <v>14</v>
      </c>
      <c r="H2462">
        <v>3</v>
      </c>
      <c r="I2462" s="2">
        <v>74.19</v>
      </c>
      <c r="J2462" s="2">
        <v>222.57</v>
      </c>
      <c r="K2462" s="2">
        <f t="shared" si="115"/>
        <v>222.57</v>
      </c>
      <c r="L2462" s="2">
        <f t="shared" si="116"/>
        <v>0</v>
      </c>
      <c r="M2462" t="s">
        <v>64</v>
      </c>
      <c r="N2462" t="s">
        <v>32</v>
      </c>
    </row>
    <row r="2463" spans="1:14" x14ac:dyDescent="0.3">
      <c r="A2463">
        <v>2024003461</v>
      </c>
      <c r="B2463" s="1">
        <v>45620</v>
      </c>
      <c r="C2463" s="11">
        <f t="shared" si="114"/>
        <v>2024</v>
      </c>
      <c r="D2463" t="s">
        <v>11</v>
      </c>
      <c r="E2463" t="s">
        <v>34</v>
      </c>
      <c r="F2463" t="s">
        <v>35</v>
      </c>
      <c r="G2463" t="s">
        <v>36</v>
      </c>
      <c r="H2463">
        <v>1</v>
      </c>
      <c r="I2463" s="2">
        <v>14.87</v>
      </c>
      <c r="J2463" s="2">
        <v>14.87</v>
      </c>
      <c r="K2463" s="2">
        <f t="shared" si="115"/>
        <v>14.87</v>
      </c>
      <c r="L2463" s="2">
        <f t="shared" si="116"/>
        <v>0</v>
      </c>
      <c r="M2463" t="s">
        <v>38</v>
      </c>
      <c r="N2463" t="s">
        <v>16</v>
      </c>
    </row>
    <row r="2464" spans="1:14" x14ac:dyDescent="0.3">
      <c r="A2464">
        <v>2024003462</v>
      </c>
      <c r="B2464" s="1">
        <v>45368</v>
      </c>
      <c r="C2464" s="11">
        <f t="shared" si="114"/>
        <v>2024</v>
      </c>
      <c r="D2464" t="s">
        <v>293</v>
      </c>
      <c r="E2464" t="s">
        <v>53</v>
      </c>
      <c r="F2464" t="s">
        <v>54</v>
      </c>
      <c r="G2464" t="s">
        <v>36</v>
      </c>
      <c r="H2464">
        <v>0</v>
      </c>
      <c r="I2464" s="2">
        <v>125.64</v>
      </c>
      <c r="J2464" s="2">
        <v>0</v>
      </c>
      <c r="K2464" s="2">
        <f t="shared" si="115"/>
        <v>0</v>
      </c>
      <c r="L2464" s="2">
        <f t="shared" si="116"/>
        <v>0</v>
      </c>
      <c r="M2464" t="s">
        <v>31</v>
      </c>
      <c r="N2464" t="s">
        <v>26</v>
      </c>
    </row>
    <row r="2465" spans="1:14" x14ac:dyDescent="0.3">
      <c r="A2465">
        <v>2024003463</v>
      </c>
      <c r="B2465" s="1">
        <v>45495</v>
      </c>
      <c r="C2465" s="11">
        <f t="shared" si="114"/>
        <v>2024</v>
      </c>
      <c r="D2465" t="s">
        <v>331</v>
      </c>
      <c r="E2465" t="s">
        <v>23</v>
      </c>
      <c r="F2465" t="s">
        <v>24</v>
      </c>
      <c r="G2465" t="s">
        <v>14</v>
      </c>
      <c r="H2465">
        <v>1</v>
      </c>
      <c r="I2465" s="2">
        <v>79.28</v>
      </c>
      <c r="J2465" s="2">
        <v>79.28</v>
      </c>
      <c r="K2465" s="2">
        <f t="shared" si="115"/>
        <v>79.28</v>
      </c>
      <c r="L2465" s="2">
        <f t="shared" si="116"/>
        <v>0</v>
      </c>
      <c r="M2465" t="s">
        <v>64</v>
      </c>
      <c r="N2465" t="s">
        <v>32</v>
      </c>
    </row>
    <row r="2466" spans="1:14" x14ac:dyDescent="0.3">
      <c r="A2466">
        <v>2024003464</v>
      </c>
      <c r="B2466" s="1">
        <v>45613</v>
      </c>
      <c r="C2466" s="11">
        <f t="shared" si="114"/>
        <v>2024</v>
      </c>
      <c r="D2466" t="s">
        <v>323</v>
      </c>
      <c r="E2466" t="s">
        <v>23</v>
      </c>
      <c r="F2466" t="s">
        <v>24</v>
      </c>
      <c r="G2466" t="s">
        <v>14</v>
      </c>
      <c r="H2466">
        <v>3</v>
      </c>
      <c r="I2466" s="2">
        <v>85.13</v>
      </c>
      <c r="J2466" s="2">
        <v>255.39</v>
      </c>
      <c r="K2466" s="2">
        <f t="shared" si="115"/>
        <v>255.39</v>
      </c>
      <c r="L2466" s="2">
        <f t="shared" si="116"/>
        <v>0</v>
      </c>
      <c r="M2466" t="s">
        <v>57</v>
      </c>
      <c r="N2466" t="s">
        <v>21</v>
      </c>
    </row>
    <row r="2467" spans="1:14" x14ac:dyDescent="0.3">
      <c r="A2467">
        <v>2024003465</v>
      </c>
      <c r="B2467" s="1">
        <v>45542</v>
      </c>
      <c r="C2467" s="11">
        <f t="shared" si="114"/>
        <v>2024</v>
      </c>
      <c r="D2467" t="s">
        <v>100</v>
      </c>
      <c r="E2467" t="s">
        <v>34</v>
      </c>
      <c r="F2467" t="s">
        <v>35</v>
      </c>
      <c r="G2467" t="s">
        <v>36</v>
      </c>
      <c r="H2467">
        <v>1</v>
      </c>
      <c r="I2467" s="2">
        <v>14.92</v>
      </c>
      <c r="J2467" s="2">
        <v>14.92</v>
      </c>
      <c r="K2467" s="2">
        <f t="shared" si="115"/>
        <v>14.92</v>
      </c>
      <c r="L2467" s="2">
        <f t="shared" si="116"/>
        <v>0</v>
      </c>
      <c r="M2467" t="s">
        <v>31</v>
      </c>
      <c r="N2467" t="s">
        <v>26</v>
      </c>
    </row>
    <row r="2468" spans="1:14" x14ac:dyDescent="0.3">
      <c r="A2468">
        <v>2024003466</v>
      </c>
      <c r="B2468" s="1">
        <v>45415</v>
      </c>
      <c r="C2468" s="11">
        <f t="shared" si="114"/>
        <v>2024</v>
      </c>
      <c r="D2468" t="s">
        <v>189</v>
      </c>
      <c r="E2468" t="s">
        <v>53</v>
      </c>
      <c r="F2468" t="s">
        <v>54</v>
      </c>
      <c r="G2468" t="s">
        <v>36</v>
      </c>
      <c r="H2468">
        <v>2</v>
      </c>
      <c r="I2468" s="2">
        <v>120.38</v>
      </c>
      <c r="J2468" s="2">
        <v>240.76</v>
      </c>
      <c r="K2468" s="2">
        <f t="shared" si="115"/>
        <v>240.76</v>
      </c>
      <c r="L2468" s="2">
        <f t="shared" si="116"/>
        <v>0</v>
      </c>
      <c r="M2468" t="s">
        <v>20</v>
      </c>
      <c r="N2468" t="s">
        <v>16</v>
      </c>
    </row>
    <row r="2469" spans="1:14" x14ac:dyDescent="0.3">
      <c r="A2469">
        <v>2024003467</v>
      </c>
      <c r="B2469" s="1">
        <v>45588</v>
      </c>
      <c r="C2469" s="11">
        <f t="shared" si="114"/>
        <v>2024</v>
      </c>
      <c r="D2469" t="s">
        <v>141</v>
      </c>
      <c r="E2469" t="s">
        <v>53</v>
      </c>
      <c r="F2469" t="s">
        <v>54</v>
      </c>
      <c r="G2469" t="s">
        <v>36</v>
      </c>
      <c r="H2469">
        <v>2</v>
      </c>
      <c r="I2469" s="2">
        <v>131.72</v>
      </c>
      <c r="J2469" s="2">
        <v>263.44</v>
      </c>
      <c r="K2469" s="2">
        <f t="shared" si="115"/>
        <v>263.44</v>
      </c>
      <c r="L2469" s="2">
        <f t="shared" si="116"/>
        <v>0</v>
      </c>
      <c r="M2469" t="s">
        <v>20</v>
      </c>
      <c r="N2469" t="s">
        <v>16</v>
      </c>
    </row>
    <row r="2470" spans="1:14" x14ac:dyDescent="0.3">
      <c r="A2470">
        <v>2024003468</v>
      </c>
      <c r="B2470" s="1">
        <v>45389</v>
      </c>
      <c r="C2470" s="11">
        <f t="shared" si="114"/>
        <v>2024</v>
      </c>
      <c r="D2470" t="s">
        <v>17</v>
      </c>
      <c r="E2470" t="s">
        <v>43</v>
      </c>
      <c r="F2470" t="s">
        <v>44</v>
      </c>
      <c r="G2470" t="s">
        <v>36</v>
      </c>
      <c r="H2470">
        <v>5</v>
      </c>
      <c r="I2470" s="2">
        <v>1251.19</v>
      </c>
      <c r="J2470" s="2">
        <v>6255.95</v>
      </c>
      <c r="K2470" s="2">
        <f t="shared" si="115"/>
        <v>6255.9500000000007</v>
      </c>
      <c r="L2470" s="2">
        <f t="shared" si="116"/>
        <v>0</v>
      </c>
      <c r="M2470" t="s">
        <v>15</v>
      </c>
      <c r="N2470" t="s">
        <v>16</v>
      </c>
    </row>
    <row r="2471" spans="1:14" x14ac:dyDescent="0.3">
      <c r="A2471">
        <v>2024003469</v>
      </c>
      <c r="B2471" s="1">
        <v>45466</v>
      </c>
      <c r="C2471" s="11">
        <f t="shared" si="114"/>
        <v>2024</v>
      </c>
      <c r="D2471" t="s">
        <v>205</v>
      </c>
      <c r="E2471" t="s">
        <v>53</v>
      </c>
      <c r="F2471" t="s">
        <v>54</v>
      </c>
      <c r="G2471" t="s">
        <v>36</v>
      </c>
      <c r="H2471">
        <v>1</v>
      </c>
      <c r="I2471" s="2">
        <v>123.15</v>
      </c>
      <c r="J2471" s="2">
        <v>123.15</v>
      </c>
      <c r="K2471" s="2">
        <f t="shared" si="115"/>
        <v>123.15</v>
      </c>
      <c r="L2471" s="2">
        <f t="shared" si="116"/>
        <v>0</v>
      </c>
      <c r="M2471" t="s">
        <v>57</v>
      </c>
      <c r="N2471" t="s">
        <v>32</v>
      </c>
    </row>
    <row r="2472" spans="1:14" x14ac:dyDescent="0.3">
      <c r="A2472">
        <v>2024003470</v>
      </c>
      <c r="B2472" s="1">
        <v>45621</v>
      </c>
      <c r="C2472" s="11">
        <f t="shared" si="114"/>
        <v>2024</v>
      </c>
      <c r="D2472" t="s">
        <v>50</v>
      </c>
      <c r="E2472" t="s">
        <v>18</v>
      </c>
      <c r="F2472" t="s">
        <v>19</v>
      </c>
      <c r="G2472" t="s">
        <v>14</v>
      </c>
      <c r="H2472">
        <v>2</v>
      </c>
      <c r="I2472" s="2">
        <v>569.80999999999995</v>
      </c>
      <c r="J2472" s="2">
        <v>1139.6199999999999</v>
      </c>
      <c r="K2472" s="2">
        <f t="shared" si="115"/>
        <v>1139.6199999999999</v>
      </c>
      <c r="L2472" s="2">
        <f t="shared" si="116"/>
        <v>0</v>
      </c>
      <c r="M2472" t="s">
        <v>55</v>
      </c>
      <c r="N2472" t="s">
        <v>32</v>
      </c>
    </row>
    <row r="2473" spans="1:14" x14ac:dyDescent="0.3">
      <c r="A2473">
        <v>2024003471</v>
      </c>
      <c r="B2473" s="1">
        <v>45421</v>
      </c>
      <c r="C2473" s="11">
        <f t="shared" si="114"/>
        <v>2024</v>
      </c>
      <c r="D2473" t="s">
        <v>296</v>
      </c>
      <c r="E2473" t="s">
        <v>23</v>
      </c>
      <c r="F2473" t="s">
        <v>24</v>
      </c>
      <c r="G2473" t="s">
        <v>14</v>
      </c>
      <c r="H2473">
        <v>3</v>
      </c>
      <c r="I2473" s="2">
        <v>79.23</v>
      </c>
      <c r="J2473" s="2">
        <v>237.69</v>
      </c>
      <c r="K2473" s="2">
        <f t="shared" si="115"/>
        <v>237.69</v>
      </c>
      <c r="L2473" s="2">
        <f t="shared" si="116"/>
        <v>0</v>
      </c>
      <c r="M2473" t="s">
        <v>64</v>
      </c>
      <c r="N2473" t="s">
        <v>16</v>
      </c>
    </row>
    <row r="2474" spans="1:14" x14ac:dyDescent="0.3">
      <c r="A2474">
        <v>2024003472</v>
      </c>
      <c r="B2474" s="1">
        <v>45516</v>
      </c>
      <c r="C2474" s="11">
        <f t="shared" si="114"/>
        <v>2024</v>
      </c>
      <c r="D2474" t="s">
        <v>140</v>
      </c>
      <c r="E2474" t="s">
        <v>28</v>
      </c>
      <c r="F2474" t="s">
        <v>29</v>
      </c>
      <c r="G2474" t="s">
        <v>30</v>
      </c>
      <c r="H2474">
        <v>1</v>
      </c>
      <c r="I2474" s="2">
        <v>24.02</v>
      </c>
      <c r="J2474" s="2">
        <v>24.02</v>
      </c>
      <c r="K2474" s="2">
        <f t="shared" si="115"/>
        <v>24.02</v>
      </c>
      <c r="L2474" s="2">
        <f t="shared" si="116"/>
        <v>0</v>
      </c>
      <c r="M2474" t="s">
        <v>20</v>
      </c>
      <c r="N2474" t="s">
        <v>21</v>
      </c>
    </row>
    <row r="2475" spans="1:14" x14ac:dyDescent="0.3">
      <c r="A2475">
        <v>2024003473</v>
      </c>
      <c r="B2475" s="1">
        <v>45558</v>
      </c>
      <c r="C2475" s="11">
        <f t="shared" si="114"/>
        <v>2024</v>
      </c>
      <c r="D2475" t="s">
        <v>293</v>
      </c>
      <c r="E2475" t="s">
        <v>12</v>
      </c>
      <c r="F2475" t="s">
        <v>13</v>
      </c>
      <c r="G2475" t="s">
        <v>14</v>
      </c>
      <c r="H2475">
        <v>2</v>
      </c>
      <c r="I2475" s="2">
        <v>384.11</v>
      </c>
      <c r="J2475" s="2">
        <v>768.22</v>
      </c>
      <c r="K2475" s="2">
        <f t="shared" si="115"/>
        <v>768.22</v>
      </c>
      <c r="L2475" s="2">
        <f t="shared" si="116"/>
        <v>0</v>
      </c>
      <c r="M2475" t="s">
        <v>31</v>
      </c>
      <c r="N2475" t="s">
        <v>32</v>
      </c>
    </row>
    <row r="2476" spans="1:14" x14ac:dyDescent="0.3">
      <c r="A2476">
        <v>2024003474</v>
      </c>
      <c r="B2476" s="1">
        <v>45560</v>
      </c>
      <c r="C2476" s="11">
        <f t="shared" si="114"/>
        <v>2024</v>
      </c>
      <c r="D2476" t="s">
        <v>192</v>
      </c>
      <c r="E2476" t="s">
        <v>12</v>
      </c>
      <c r="F2476" t="s">
        <v>13</v>
      </c>
      <c r="G2476" t="s">
        <v>14</v>
      </c>
      <c r="H2476">
        <v>1</v>
      </c>
      <c r="I2476" s="2">
        <v>370.6</v>
      </c>
      <c r="J2476" s="2">
        <v>370.6</v>
      </c>
      <c r="K2476" s="2">
        <f t="shared" si="115"/>
        <v>370.6</v>
      </c>
      <c r="L2476" s="2">
        <f t="shared" si="116"/>
        <v>0</v>
      </c>
      <c r="M2476" t="s">
        <v>57</v>
      </c>
      <c r="N2476" t="s">
        <v>16</v>
      </c>
    </row>
    <row r="2477" spans="1:14" x14ac:dyDescent="0.3">
      <c r="A2477">
        <v>2024003475</v>
      </c>
      <c r="B2477" s="1">
        <v>45417</v>
      </c>
      <c r="C2477" s="11">
        <f t="shared" si="114"/>
        <v>2024</v>
      </c>
      <c r="D2477" t="s">
        <v>169</v>
      </c>
      <c r="E2477" t="s">
        <v>23</v>
      </c>
      <c r="F2477" t="s">
        <v>24</v>
      </c>
      <c r="G2477" t="s">
        <v>14</v>
      </c>
      <c r="H2477">
        <v>1</v>
      </c>
      <c r="I2477" s="2">
        <v>87.34</v>
      </c>
      <c r="J2477" s="2">
        <v>87.34</v>
      </c>
      <c r="K2477" s="2">
        <f t="shared" si="115"/>
        <v>87.34</v>
      </c>
      <c r="L2477" s="2">
        <f t="shared" si="116"/>
        <v>0</v>
      </c>
      <c r="M2477" t="s">
        <v>15</v>
      </c>
      <c r="N2477" t="s">
        <v>21</v>
      </c>
    </row>
    <row r="2478" spans="1:14" x14ac:dyDescent="0.3">
      <c r="A2478">
        <v>2024003476</v>
      </c>
      <c r="B2478" s="1">
        <v>45638</v>
      </c>
      <c r="C2478" s="11">
        <f t="shared" si="114"/>
        <v>2024</v>
      </c>
      <c r="D2478" t="s">
        <v>11</v>
      </c>
      <c r="E2478" t="s">
        <v>40</v>
      </c>
      <c r="F2478" t="s">
        <v>41</v>
      </c>
      <c r="G2478" t="s">
        <v>36</v>
      </c>
      <c r="H2478">
        <v>1</v>
      </c>
      <c r="I2478" s="2">
        <v>44.32</v>
      </c>
      <c r="J2478" s="2">
        <v>44.32</v>
      </c>
      <c r="K2478" s="2">
        <f t="shared" si="115"/>
        <v>44.32</v>
      </c>
      <c r="L2478" s="2">
        <f t="shared" si="116"/>
        <v>0</v>
      </c>
      <c r="M2478" t="s">
        <v>57</v>
      </c>
      <c r="N2478" t="s">
        <v>16</v>
      </c>
    </row>
    <row r="2479" spans="1:14" x14ac:dyDescent="0.3">
      <c r="A2479">
        <v>2024003477</v>
      </c>
      <c r="B2479" s="1">
        <v>45625</v>
      </c>
      <c r="C2479" s="11">
        <f t="shared" si="114"/>
        <v>2024</v>
      </c>
      <c r="D2479" t="s">
        <v>218</v>
      </c>
      <c r="E2479" t="s">
        <v>67</v>
      </c>
      <c r="F2479" t="s">
        <v>68</v>
      </c>
      <c r="G2479" t="s">
        <v>36</v>
      </c>
      <c r="H2479">
        <v>5</v>
      </c>
      <c r="I2479" s="2">
        <v>391.06</v>
      </c>
      <c r="J2479" s="2">
        <v>1955.3</v>
      </c>
      <c r="K2479" s="2">
        <f t="shared" si="115"/>
        <v>1955.3</v>
      </c>
      <c r="L2479" s="2">
        <f t="shared" si="116"/>
        <v>0</v>
      </c>
      <c r="M2479" t="s">
        <v>64</v>
      </c>
      <c r="N2479" t="s">
        <v>32</v>
      </c>
    </row>
    <row r="2480" spans="1:14" x14ac:dyDescent="0.3">
      <c r="A2480">
        <v>2024003478</v>
      </c>
      <c r="B2480" s="1">
        <v>45509</v>
      </c>
      <c r="C2480" s="11">
        <f t="shared" si="114"/>
        <v>2024</v>
      </c>
      <c r="D2480" t="s">
        <v>289</v>
      </c>
      <c r="E2480" t="s">
        <v>12</v>
      </c>
      <c r="F2480" t="s">
        <v>13</v>
      </c>
      <c r="G2480" t="s">
        <v>14</v>
      </c>
      <c r="H2480">
        <v>5</v>
      </c>
      <c r="I2480" s="2">
        <v>360.7</v>
      </c>
      <c r="J2480" s="2">
        <v>1803.5</v>
      </c>
      <c r="K2480" s="2">
        <f t="shared" si="115"/>
        <v>1803.5</v>
      </c>
      <c r="L2480" s="2">
        <f t="shared" si="116"/>
        <v>0</v>
      </c>
      <c r="M2480" t="s">
        <v>38</v>
      </c>
      <c r="N2480" t="s">
        <v>32</v>
      </c>
    </row>
    <row r="2481" spans="1:14" x14ac:dyDescent="0.3">
      <c r="A2481">
        <v>2024003479</v>
      </c>
      <c r="B2481" s="1">
        <v>45301</v>
      </c>
      <c r="C2481" s="11">
        <f t="shared" si="114"/>
        <v>2024</v>
      </c>
      <c r="D2481" t="s">
        <v>338</v>
      </c>
      <c r="E2481" t="s">
        <v>12</v>
      </c>
      <c r="F2481" t="s">
        <v>13</v>
      </c>
      <c r="G2481" t="s">
        <v>14</v>
      </c>
      <c r="H2481">
        <v>1</v>
      </c>
      <c r="I2481" s="2">
        <v>365.69</v>
      </c>
      <c r="J2481" s="2">
        <v>365.69</v>
      </c>
      <c r="K2481" s="2">
        <f t="shared" si="115"/>
        <v>365.69</v>
      </c>
      <c r="L2481" s="2">
        <f t="shared" si="116"/>
        <v>0</v>
      </c>
      <c r="M2481" t="s">
        <v>38</v>
      </c>
      <c r="N2481" t="s">
        <v>32</v>
      </c>
    </row>
    <row r="2482" spans="1:14" x14ac:dyDescent="0.3">
      <c r="A2482">
        <v>2024003480</v>
      </c>
      <c r="B2482" s="1">
        <v>45626</v>
      </c>
      <c r="C2482" s="11">
        <f t="shared" si="114"/>
        <v>2024</v>
      </c>
      <c r="D2482" t="s">
        <v>313</v>
      </c>
      <c r="E2482" t="s">
        <v>53</v>
      </c>
      <c r="F2482" t="s">
        <v>54</v>
      </c>
      <c r="G2482" t="s">
        <v>36</v>
      </c>
      <c r="H2482">
        <v>3</v>
      </c>
      <c r="I2482" s="2">
        <v>116.18</v>
      </c>
      <c r="J2482" s="2">
        <v>348.54</v>
      </c>
      <c r="K2482" s="2">
        <f t="shared" si="115"/>
        <v>348.54</v>
      </c>
      <c r="L2482" s="2">
        <f t="shared" si="116"/>
        <v>0</v>
      </c>
      <c r="M2482" t="s">
        <v>55</v>
      </c>
      <c r="N2482" t="s">
        <v>32</v>
      </c>
    </row>
    <row r="2483" spans="1:14" x14ac:dyDescent="0.3">
      <c r="A2483">
        <v>2024003481</v>
      </c>
      <c r="B2483" s="1">
        <v>45495</v>
      </c>
      <c r="C2483" s="11">
        <f t="shared" si="114"/>
        <v>2024</v>
      </c>
      <c r="D2483" t="s">
        <v>171</v>
      </c>
      <c r="E2483" t="s">
        <v>46</v>
      </c>
      <c r="F2483" t="s">
        <v>47</v>
      </c>
      <c r="G2483" t="s">
        <v>36</v>
      </c>
      <c r="H2483">
        <v>1</v>
      </c>
      <c r="I2483" s="2">
        <v>93.59</v>
      </c>
      <c r="J2483" s="2">
        <v>93.59</v>
      </c>
      <c r="K2483" s="2">
        <f t="shared" si="115"/>
        <v>93.59</v>
      </c>
      <c r="L2483" s="2">
        <f t="shared" si="116"/>
        <v>0</v>
      </c>
      <c r="M2483" t="s">
        <v>48</v>
      </c>
      <c r="N2483" t="s">
        <v>21</v>
      </c>
    </row>
    <row r="2484" spans="1:14" x14ac:dyDescent="0.3">
      <c r="A2484">
        <v>2024003482</v>
      </c>
      <c r="B2484" s="1">
        <v>45403</v>
      </c>
      <c r="C2484" s="11">
        <f t="shared" si="114"/>
        <v>2024</v>
      </c>
      <c r="D2484" t="s">
        <v>60</v>
      </c>
      <c r="E2484" t="s">
        <v>12</v>
      </c>
      <c r="F2484" t="s">
        <v>13</v>
      </c>
      <c r="G2484" t="s">
        <v>14</v>
      </c>
      <c r="H2484">
        <v>4</v>
      </c>
      <c r="I2484" s="2">
        <v>340.54</v>
      </c>
      <c r="J2484" s="2">
        <v>1362.16</v>
      </c>
      <c r="K2484" s="2">
        <f t="shared" si="115"/>
        <v>1362.16</v>
      </c>
      <c r="L2484" s="2">
        <f t="shared" si="116"/>
        <v>0</v>
      </c>
      <c r="M2484" t="s">
        <v>57</v>
      </c>
      <c r="N2484" t="s">
        <v>21</v>
      </c>
    </row>
    <row r="2485" spans="1:14" x14ac:dyDescent="0.3">
      <c r="A2485">
        <v>2024003483</v>
      </c>
      <c r="B2485" s="1">
        <v>45415</v>
      </c>
      <c r="C2485" s="11">
        <f t="shared" si="114"/>
        <v>2024</v>
      </c>
      <c r="D2485" t="s">
        <v>215</v>
      </c>
      <c r="E2485" t="s">
        <v>18</v>
      </c>
      <c r="F2485" t="s">
        <v>19</v>
      </c>
      <c r="G2485" t="s">
        <v>14</v>
      </c>
      <c r="H2485">
        <v>2</v>
      </c>
      <c r="I2485" s="2">
        <v>578.09</v>
      </c>
      <c r="J2485" s="2">
        <v>1156.18</v>
      </c>
      <c r="K2485" s="2">
        <f t="shared" si="115"/>
        <v>1156.18</v>
      </c>
      <c r="L2485" s="2">
        <f t="shared" si="116"/>
        <v>0</v>
      </c>
      <c r="M2485" t="s">
        <v>20</v>
      </c>
      <c r="N2485" t="s">
        <v>26</v>
      </c>
    </row>
    <row r="2486" spans="1:14" x14ac:dyDescent="0.3">
      <c r="A2486">
        <v>2024003484</v>
      </c>
      <c r="B2486" s="1">
        <v>45394</v>
      </c>
      <c r="C2486" s="11">
        <f t="shared" si="114"/>
        <v>2024</v>
      </c>
      <c r="D2486" t="s">
        <v>147</v>
      </c>
      <c r="E2486" t="s">
        <v>46</v>
      </c>
      <c r="F2486" t="s">
        <v>47</v>
      </c>
      <c r="G2486" t="s">
        <v>36</v>
      </c>
      <c r="H2486">
        <v>3</v>
      </c>
      <c r="I2486" s="2">
        <v>92.07</v>
      </c>
      <c r="J2486" s="2">
        <v>276.20999999999998</v>
      </c>
      <c r="K2486" s="2">
        <f t="shared" si="115"/>
        <v>276.20999999999998</v>
      </c>
      <c r="L2486" s="2">
        <f t="shared" si="116"/>
        <v>0</v>
      </c>
      <c r="M2486" t="s">
        <v>38</v>
      </c>
      <c r="N2486" t="s">
        <v>26</v>
      </c>
    </row>
    <row r="2487" spans="1:14" x14ac:dyDescent="0.3">
      <c r="A2487">
        <v>2024003485</v>
      </c>
      <c r="B2487" s="1">
        <v>45492</v>
      </c>
      <c r="C2487" s="11">
        <f t="shared" si="114"/>
        <v>2024</v>
      </c>
      <c r="D2487" t="s">
        <v>332</v>
      </c>
      <c r="E2487" t="s">
        <v>34</v>
      </c>
      <c r="F2487" t="s">
        <v>35</v>
      </c>
      <c r="G2487" t="s">
        <v>36</v>
      </c>
      <c r="H2487">
        <v>2</v>
      </c>
      <c r="I2487" s="2">
        <v>15.69</v>
      </c>
      <c r="J2487" s="2">
        <v>31.38</v>
      </c>
      <c r="K2487" s="2">
        <f t="shared" si="115"/>
        <v>31.38</v>
      </c>
      <c r="L2487" s="2">
        <f t="shared" si="116"/>
        <v>0</v>
      </c>
      <c r="M2487" t="s">
        <v>15</v>
      </c>
      <c r="N2487" t="s">
        <v>26</v>
      </c>
    </row>
    <row r="2488" spans="1:14" x14ac:dyDescent="0.3">
      <c r="A2488">
        <v>2024003486</v>
      </c>
      <c r="B2488" s="1">
        <v>45657</v>
      </c>
      <c r="C2488" s="11">
        <f t="shared" si="114"/>
        <v>2024</v>
      </c>
      <c r="D2488" t="s">
        <v>162</v>
      </c>
      <c r="E2488" t="s">
        <v>28</v>
      </c>
      <c r="F2488" t="s">
        <v>29</v>
      </c>
      <c r="G2488" t="s">
        <v>30</v>
      </c>
      <c r="H2488">
        <v>4</v>
      </c>
      <c r="I2488" s="2">
        <v>24.72</v>
      </c>
      <c r="J2488" s="2">
        <v>98.88</v>
      </c>
      <c r="K2488" s="2">
        <f t="shared" si="115"/>
        <v>98.88</v>
      </c>
      <c r="L2488" s="2">
        <f t="shared" si="116"/>
        <v>0</v>
      </c>
      <c r="M2488" t="s">
        <v>57</v>
      </c>
      <c r="N2488" t="s">
        <v>16</v>
      </c>
    </row>
    <row r="2489" spans="1:14" x14ac:dyDescent="0.3">
      <c r="A2489">
        <v>2024003487</v>
      </c>
      <c r="B2489" s="1">
        <v>45587</v>
      </c>
      <c r="C2489" s="11">
        <f t="shared" si="114"/>
        <v>2024</v>
      </c>
      <c r="D2489" t="s">
        <v>226</v>
      </c>
      <c r="E2489" t="s">
        <v>53</v>
      </c>
      <c r="F2489" t="s">
        <v>54</v>
      </c>
      <c r="G2489" t="s">
        <v>36</v>
      </c>
      <c r="H2489">
        <v>1</v>
      </c>
      <c r="I2489" s="2">
        <v>122.63</v>
      </c>
      <c r="J2489" s="2">
        <v>122.63</v>
      </c>
      <c r="K2489" s="2">
        <f t="shared" si="115"/>
        <v>122.63</v>
      </c>
      <c r="L2489" s="2">
        <f t="shared" si="116"/>
        <v>0</v>
      </c>
      <c r="M2489" t="s">
        <v>38</v>
      </c>
      <c r="N2489" t="s">
        <v>26</v>
      </c>
    </row>
    <row r="2490" spans="1:14" x14ac:dyDescent="0.3">
      <c r="A2490">
        <v>2024003488</v>
      </c>
      <c r="B2490" s="1">
        <v>45400</v>
      </c>
      <c r="C2490" s="11">
        <f t="shared" si="114"/>
        <v>2024</v>
      </c>
      <c r="D2490" t="s">
        <v>286</v>
      </c>
      <c r="E2490" t="s">
        <v>23</v>
      </c>
      <c r="F2490" t="s">
        <v>24</v>
      </c>
      <c r="G2490" t="s">
        <v>14</v>
      </c>
      <c r="H2490">
        <v>2</v>
      </c>
      <c r="I2490" s="2">
        <v>74.569999999999993</v>
      </c>
      <c r="J2490" s="2">
        <v>149.13999999999999</v>
      </c>
      <c r="K2490" s="2">
        <f t="shared" si="115"/>
        <v>149.13999999999999</v>
      </c>
      <c r="L2490" s="2">
        <f t="shared" si="116"/>
        <v>0</v>
      </c>
      <c r="M2490" t="s">
        <v>61</v>
      </c>
      <c r="N2490" t="s">
        <v>16</v>
      </c>
    </row>
    <row r="2491" spans="1:14" x14ac:dyDescent="0.3">
      <c r="A2491">
        <v>2024003489</v>
      </c>
      <c r="B2491" s="1">
        <v>45425</v>
      </c>
      <c r="C2491" s="11">
        <f t="shared" si="114"/>
        <v>2024</v>
      </c>
      <c r="D2491" t="s">
        <v>11</v>
      </c>
      <c r="E2491" t="s">
        <v>46</v>
      </c>
      <c r="F2491" t="s">
        <v>47</v>
      </c>
      <c r="G2491" t="s">
        <v>36</v>
      </c>
      <c r="H2491">
        <v>1</v>
      </c>
      <c r="I2491" s="2">
        <v>94.54</v>
      </c>
      <c r="J2491" s="2">
        <v>94.54</v>
      </c>
      <c r="K2491" s="2">
        <f t="shared" si="115"/>
        <v>94.54</v>
      </c>
      <c r="L2491" s="2">
        <f t="shared" si="116"/>
        <v>0</v>
      </c>
      <c r="M2491" t="s">
        <v>55</v>
      </c>
      <c r="N2491" t="s">
        <v>32</v>
      </c>
    </row>
    <row r="2492" spans="1:14" x14ac:dyDescent="0.3">
      <c r="A2492">
        <v>2024003490</v>
      </c>
      <c r="B2492" s="1">
        <v>45380</v>
      </c>
      <c r="C2492" s="11">
        <f t="shared" si="114"/>
        <v>2024</v>
      </c>
      <c r="D2492" t="s">
        <v>205</v>
      </c>
      <c r="E2492" t="s">
        <v>28</v>
      </c>
      <c r="F2492" t="s">
        <v>29</v>
      </c>
      <c r="G2492" t="s">
        <v>30</v>
      </c>
      <c r="H2492">
        <v>2</v>
      </c>
      <c r="I2492" s="2">
        <v>25.68</v>
      </c>
      <c r="J2492" s="2">
        <v>51.36</v>
      </c>
      <c r="K2492" s="2">
        <f t="shared" si="115"/>
        <v>51.36</v>
      </c>
      <c r="L2492" s="2">
        <f t="shared" si="116"/>
        <v>0</v>
      </c>
      <c r="M2492" t="s">
        <v>57</v>
      </c>
      <c r="N2492" t="s">
        <v>32</v>
      </c>
    </row>
    <row r="2493" spans="1:14" x14ac:dyDescent="0.3">
      <c r="A2493">
        <v>2024003491</v>
      </c>
      <c r="B2493" s="1">
        <v>45652</v>
      </c>
      <c r="C2493" s="11">
        <f t="shared" si="114"/>
        <v>2024</v>
      </c>
      <c r="D2493" t="s">
        <v>185</v>
      </c>
      <c r="E2493" t="s">
        <v>18</v>
      </c>
      <c r="F2493" t="s">
        <v>19</v>
      </c>
      <c r="G2493" t="s">
        <v>14</v>
      </c>
      <c r="H2493">
        <v>4</v>
      </c>
      <c r="I2493" s="2">
        <v>560.02</v>
      </c>
      <c r="J2493" s="2">
        <v>2240.08</v>
      </c>
      <c r="K2493" s="2">
        <f t="shared" si="115"/>
        <v>2240.08</v>
      </c>
      <c r="L2493" s="2">
        <f t="shared" si="116"/>
        <v>0</v>
      </c>
      <c r="M2493" t="s">
        <v>31</v>
      </c>
      <c r="N2493" t="s">
        <v>21</v>
      </c>
    </row>
    <row r="2494" spans="1:14" x14ac:dyDescent="0.3">
      <c r="A2494">
        <v>2024003492</v>
      </c>
      <c r="B2494" s="1">
        <v>45380</v>
      </c>
      <c r="C2494" s="11">
        <f t="shared" si="114"/>
        <v>2024</v>
      </c>
      <c r="D2494" t="s">
        <v>181</v>
      </c>
      <c r="E2494" t="s">
        <v>46</v>
      </c>
      <c r="F2494" t="s">
        <v>47</v>
      </c>
      <c r="G2494" t="s">
        <v>36</v>
      </c>
      <c r="H2494">
        <v>1</v>
      </c>
      <c r="I2494" s="2">
        <v>95.98</v>
      </c>
      <c r="J2494" s="2">
        <v>95.98</v>
      </c>
      <c r="K2494" s="2">
        <f t="shared" si="115"/>
        <v>95.98</v>
      </c>
      <c r="L2494" s="2">
        <f t="shared" si="116"/>
        <v>0</v>
      </c>
      <c r="M2494" t="s">
        <v>57</v>
      </c>
      <c r="N2494" t="s">
        <v>16</v>
      </c>
    </row>
    <row r="2495" spans="1:14" x14ac:dyDescent="0.3">
      <c r="A2495">
        <v>2024003493</v>
      </c>
      <c r="B2495" s="1">
        <v>45303</v>
      </c>
      <c r="C2495" s="11">
        <f t="shared" si="114"/>
        <v>2024</v>
      </c>
      <c r="D2495" t="s">
        <v>271</v>
      </c>
      <c r="E2495" t="s">
        <v>23</v>
      </c>
      <c r="F2495" t="s">
        <v>24</v>
      </c>
      <c r="G2495" t="s">
        <v>14</v>
      </c>
      <c r="H2495">
        <v>5</v>
      </c>
      <c r="I2495" s="2">
        <v>77.64</v>
      </c>
      <c r="J2495" s="2">
        <v>388.2</v>
      </c>
      <c r="K2495" s="2">
        <f t="shared" si="115"/>
        <v>388.2</v>
      </c>
      <c r="L2495" s="2">
        <f t="shared" si="116"/>
        <v>0</v>
      </c>
      <c r="M2495" t="s">
        <v>64</v>
      </c>
      <c r="N2495" t="s">
        <v>21</v>
      </c>
    </row>
    <row r="2496" spans="1:14" x14ac:dyDescent="0.3">
      <c r="A2496">
        <v>2024003494</v>
      </c>
      <c r="B2496" s="1">
        <v>45495</v>
      </c>
      <c r="C2496" s="11">
        <f t="shared" si="114"/>
        <v>2024</v>
      </c>
      <c r="D2496" t="s">
        <v>42</v>
      </c>
      <c r="E2496" t="s">
        <v>28</v>
      </c>
      <c r="F2496" t="s">
        <v>29</v>
      </c>
      <c r="G2496" t="s">
        <v>30</v>
      </c>
      <c r="H2496">
        <v>1</v>
      </c>
      <c r="I2496" s="2">
        <v>24.43</v>
      </c>
      <c r="J2496" s="2">
        <v>24.43</v>
      </c>
      <c r="K2496" s="2">
        <f t="shared" si="115"/>
        <v>24.43</v>
      </c>
      <c r="L2496" s="2">
        <f t="shared" si="116"/>
        <v>0</v>
      </c>
      <c r="M2496" t="s">
        <v>55</v>
      </c>
      <c r="N2496" t="s">
        <v>21</v>
      </c>
    </row>
    <row r="2497" spans="1:14" x14ac:dyDescent="0.3">
      <c r="A2497">
        <v>2024003495</v>
      </c>
      <c r="B2497" s="1">
        <v>45444</v>
      </c>
      <c r="C2497" s="11">
        <f t="shared" si="114"/>
        <v>2024</v>
      </c>
      <c r="D2497" t="s">
        <v>176</v>
      </c>
      <c r="E2497" t="s">
        <v>40</v>
      </c>
      <c r="F2497" t="s">
        <v>41</v>
      </c>
      <c r="G2497" t="s">
        <v>36</v>
      </c>
      <c r="H2497">
        <v>3</v>
      </c>
      <c r="I2497" s="2">
        <v>48.87</v>
      </c>
      <c r="J2497" s="2">
        <v>146.61000000000001</v>
      </c>
      <c r="K2497" s="2">
        <f t="shared" si="115"/>
        <v>146.60999999999999</v>
      </c>
      <c r="L2497" s="2">
        <f t="shared" si="116"/>
        <v>0</v>
      </c>
      <c r="M2497" t="s">
        <v>38</v>
      </c>
      <c r="N2497" t="s">
        <v>21</v>
      </c>
    </row>
    <row r="2498" spans="1:14" x14ac:dyDescent="0.3">
      <c r="A2498">
        <v>2024003496</v>
      </c>
      <c r="B2498" s="1">
        <v>45461</v>
      </c>
      <c r="C2498" s="11">
        <f t="shared" si="114"/>
        <v>2024</v>
      </c>
      <c r="D2498" t="s">
        <v>327</v>
      </c>
      <c r="E2498" t="s">
        <v>23</v>
      </c>
      <c r="F2498" t="s">
        <v>24</v>
      </c>
      <c r="G2498" t="s">
        <v>14</v>
      </c>
      <c r="H2498">
        <v>2</v>
      </c>
      <c r="I2498" s="2">
        <v>79.59</v>
      </c>
      <c r="J2498" s="2">
        <v>159.18</v>
      </c>
      <c r="K2498" s="2">
        <f t="shared" si="115"/>
        <v>159.18</v>
      </c>
      <c r="L2498" s="2">
        <f t="shared" si="116"/>
        <v>0</v>
      </c>
      <c r="M2498" t="s">
        <v>15</v>
      </c>
      <c r="N2498" t="s">
        <v>21</v>
      </c>
    </row>
    <row r="2499" spans="1:14" x14ac:dyDescent="0.3">
      <c r="A2499">
        <v>2024003497</v>
      </c>
      <c r="B2499" s="1">
        <v>45559</v>
      </c>
      <c r="C2499" s="11">
        <f t="shared" ref="C2499:C2562" si="117">YEAR(B2499)</f>
        <v>2024</v>
      </c>
      <c r="D2499" t="s">
        <v>11</v>
      </c>
      <c r="E2499" t="s">
        <v>18</v>
      </c>
      <c r="F2499" t="s">
        <v>19</v>
      </c>
      <c r="G2499" t="s">
        <v>14</v>
      </c>
      <c r="H2499">
        <v>1</v>
      </c>
      <c r="I2499" s="2">
        <v>561.67999999999995</v>
      </c>
      <c r="J2499" s="2">
        <v>561.67999999999995</v>
      </c>
      <c r="K2499" s="2">
        <f t="shared" ref="K2499:K2562" si="118">I2499*H2499</f>
        <v>561.67999999999995</v>
      </c>
      <c r="L2499" s="2">
        <f t="shared" ref="L2499:L2562" si="119">J2499-K2499</f>
        <v>0</v>
      </c>
      <c r="M2499" t="s">
        <v>25</v>
      </c>
      <c r="N2499" t="s">
        <v>26</v>
      </c>
    </row>
    <row r="2500" spans="1:14" x14ac:dyDescent="0.3">
      <c r="A2500">
        <v>2024003498</v>
      </c>
      <c r="B2500" s="1">
        <v>45657</v>
      </c>
      <c r="C2500" s="11">
        <f t="shared" si="117"/>
        <v>2024</v>
      </c>
      <c r="D2500" t="s">
        <v>211</v>
      </c>
      <c r="E2500" t="s">
        <v>67</v>
      </c>
      <c r="F2500" t="s">
        <v>68</v>
      </c>
      <c r="G2500" t="s">
        <v>36</v>
      </c>
      <c r="H2500">
        <v>1</v>
      </c>
      <c r="I2500" s="2">
        <v>407.27</v>
      </c>
      <c r="J2500" s="2">
        <v>407.27</v>
      </c>
      <c r="K2500" s="2">
        <f t="shared" si="118"/>
        <v>407.27</v>
      </c>
      <c r="L2500" s="2">
        <f t="shared" si="119"/>
        <v>0</v>
      </c>
      <c r="M2500" t="s">
        <v>25</v>
      </c>
      <c r="N2500" t="s">
        <v>21</v>
      </c>
    </row>
    <row r="2501" spans="1:14" x14ac:dyDescent="0.3">
      <c r="A2501">
        <v>2024003499</v>
      </c>
      <c r="B2501" s="1">
        <v>45657</v>
      </c>
      <c r="C2501" s="11">
        <f t="shared" si="117"/>
        <v>2024</v>
      </c>
      <c r="D2501" t="s">
        <v>260</v>
      </c>
      <c r="E2501" t="s">
        <v>34</v>
      </c>
      <c r="F2501" t="s">
        <v>35</v>
      </c>
      <c r="G2501" t="s">
        <v>36</v>
      </c>
      <c r="H2501">
        <v>1</v>
      </c>
      <c r="I2501" s="2">
        <v>15.76</v>
      </c>
      <c r="J2501" s="2">
        <v>15.76</v>
      </c>
      <c r="K2501" s="2">
        <f t="shared" si="118"/>
        <v>15.76</v>
      </c>
      <c r="L2501" s="2">
        <f t="shared" si="119"/>
        <v>0</v>
      </c>
      <c r="M2501" t="s">
        <v>64</v>
      </c>
      <c r="N2501" t="s">
        <v>32</v>
      </c>
    </row>
    <row r="2502" spans="1:14" x14ac:dyDescent="0.3">
      <c r="A2502">
        <v>2024003500</v>
      </c>
      <c r="B2502" s="1">
        <v>45349</v>
      </c>
      <c r="C2502" s="11">
        <f t="shared" si="117"/>
        <v>2024</v>
      </c>
      <c r="D2502" t="s">
        <v>115</v>
      </c>
      <c r="E2502" t="s">
        <v>40</v>
      </c>
      <c r="F2502" t="s">
        <v>41</v>
      </c>
      <c r="G2502" t="s">
        <v>36</v>
      </c>
      <c r="H2502">
        <v>1</v>
      </c>
      <c r="I2502" s="2">
        <v>44.18</v>
      </c>
      <c r="J2502" s="2">
        <v>44.18</v>
      </c>
      <c r="K2502" s="2">
        <f t="shared" si="118"/>
        <v>44.18</v>
      </c>
      <c r="L2502" s="2">
        <f t="shared" si="119"/>
        <v>0</v>
      </c>
      <c r="M2502" t="s">
        <v>25</v>
      </c>
      <c r="N2502" t="s">
        <v>32</v>
      </c>
    </row>
    <row r="2503" spans="1:14" x14ac:dyDescent="0.3">
      <c r="A2503">
        <v>2024003501</v>
      </c>
      <c r="B2503" s="1">
        <v>45515</v>
      </c>
      <c r="C2503" s="11">
        <f t="shared" si="117"/>
        <v>2024</v>
      </c>
      <c r="D2503" t="s">
        <v>11</v>
      </c>
      <c r="E2503" t="s">
        <v>40</v>
      </c>
      <c r="F2503" t="s">
        <v>41</v>
      </c>
      <c r="G2503" t="s">
        <v>36</v>
      </c>
      <c r="H2503">
        <v>1</v>
      </c>
      <c r="I2503" s="2">
        <v>45.69</v>
      </c>
      <c r="J2503" s="2">
        <v>45.69</v>
      </c>
      <c r="K2503" s="2">
        <f t="shared" si="118"/>
        <v>45.69</v>
      </c>
      <c r="L2503" s="2">
        <f t="shared" si="119"/>
        <v>0</v>
      </c>
      <c r="M2503" t="s">
        <v>15</v>
      </c>
      <c r="N2503" t="s">
        <v>21</v>
      </c>
    </row>
    <row r="2504" spans="1:14" x14ac:dyDescent="0.3">
      <c r="A2504">
        <v>2024003502</v>
      </c>
      <c r="B2504" s="1">
        <v>45328</v>
      </c>
      <c r="C2504" s="11">
        <f t="shared" si="117"/>
        <v>2024</v>
      </c>
      <c r="D2504" t="s">
        <v>232</v>
      </c>
      <c r="E2504" t="s">
        <v>28</v>
      </c>
      <c r="F2504" t="s">
        <v>29</v>
      </c>
      <c r="G2504" t="s">
        <v>30</v>
      </c>
      <c r="H2504">
        <v>1</v>
      </c>
      <c r="I2504" s="2">
        <v>24.43</v>
      </c>
      <c r="J2504" s="2">
        <v>24.43</v>
      </c>
      <c r="K2504" s="2">
        <f t="shared" si="118"/>
        <v>24.43</v>
      </c>
      <c r="L2504" s="2">
        <f t="shared" si="119"/>
        <v>0</v>
      </c>
      <c r="M2504" t="s">
        <v>20</v>
      </c>
      <c r="N2504" t="s">
        <v>26</v>
      </c>
    </row>
    <row r="2505" spans="1:14" x14ac:dyDescent="0.3">
      <c r="A2505">
        <v>2024003503</v>
      </c>
      <c r="B2505" s="1">
        <v>45593</v>
      </c>
      <c r="C2505" s="11">
        <f t="shared" si="117"/>
        <v>2024</v>
      </c>
      <c r="D2505" t="s">
        <v>175</v>
      </c>
      <c r="E2505" t="s">
        <v>67</v>
      </c>
      <c r="F2505" t="s">
        <v>68</v>
      </c>
      <c r="G2505" t="s">
        <v>36</v>
      </c>
      <c r="H2505">
        <v>1</v>
      </c>
      <c r="I2505" s="2">
        <v>410.48</v>
      </c>
      <c r="J2505" s="2">
        <v>410.48</v>
      </c>
      <c r="K2505" s="2">
        <f t="shared" si="118"/>
        <v>410.48</v>
      </c>
      <c r="L2505" s="2">
        <f t="shared" si="119"/>
        <v>0</v>
      </c>
      <c r="M2505" t="s">
        <v>57</v>
      </c>
      <c r="N2505" t="s">
        <v>21</v>
      </c>
    </row>
    <row r="2506" spans="1:14" x14ac:dyDescent="0.3">
      <c r="A2506">
        <v>2024003504</v>
      </c>
      <c r="B2506" s="1">
        <v>45616</v>
      </c>
      <c r="C2506" s="11">
        <f t="shared" si="117"/>
        <v>2024</v>
      </c>
      <c r="D2506" t="s">
        <v>195</v>
      </c>
      <c r="E2506" t="s">
        <v>28</v>
      </c>
      <c r="F2506" t="s">
        <v>29</v>
      </c>
      <c r="G2506" t="s">
        <v>30</v>
      </c>
      <c r="H2506">
        <v>3</v>
      </c>
      <c r="I2506" s="2">
        <v>22.51</v>
      </c>
      <c r="J2506" s="2">
        <v>67.53</v>
      </c>
      <c r="K2506" s="2">
        <f t="shared" si="118"/>
        <v>67.53</v>
      </c>
      <c r="L2506" s="2">
        <f t="shared" si="119"/>
        <v>0</v>
      </c>
      <c r="M2506" t="s">
        <v>15</v>
      </c>
      <c r="N2506" t="s">
        <v>16</v>
      </c>
    </row>
    <row r="2507" spans="1:14" x14ac:dyDescent="0.3">
      <c r="A2507">
        <v>2024003505</v>
      </c>
      <c r="B2507" s="1">
        <v>45475</v>
      </c>
      <c r="C2507" s="11">
        <f t="shared" si="117"/>
        <v>2024</v>
      </c>
      <c r="D2507" t="s">
        <v>11</v>
      </c>
      <c r="E2507" t="s">
        <v>18</v>
      </c>
      <c r="F2507" t="s">
        <v>19</v>
      </c>
      <c r="G2507" t="s">
        <v>14</v>
      </c>
      <c r="H2507">
        <v>1</v>
      </c>
      <c r="I2507" s="2">
        <v>578.76</v>
      </c>
      <c r="J2507" s="2">
        <v>578.76</v>
      </c>
      <c r="K2507" s="2">
        <f t="shared" si="118"/>
        <v>578.76</v>
      </c>
      <c r="L2507" s="2">
        <f t="shared" si="119"/>
        <v>0</v>
      </c>
      <c r="M2507" t="s">
        <v>57</v>
      </c>
      <c r="N2507" t="s">
        <v>21</v>
      </c>
    </row>
    <row r="2508" spans="1:14" x14ac:dyDescent="0.3">
      <c r="A2508">
        <v>2024003506</v>
      </c>
      <c r="B2508" s="1">
        <v>45572</v>
      </c>
      <c r="C2508" s="11">
        <f t="shared" si="117"/>
        <v>2024</v>
      </c>
      <c r="D2508" t="s">
        <v>11</v>
      </c>
      <c r="E2508" t="s">
        <v>18</v>
      </c>
      <c r="F2508" t="s">
        <v>19</v>
      </c>
      <c r="G2508" t="s">
        <v>14</v>
      </c>
      <c r="H2508">
        <v>1</v>
      </c>
      <c r="I2508" s="2">
        <v>590.92999999999995</v>
      </c>
      <c r="J2508" s="2">
        <v>590.92999999999995</v>
      </c>
      <c r="K2508" s="2">
        <f t="shared" si="118"/>
        <v>590.92999999999995</v>
      </c>
      <c r="L2508" s="2">
        <f t="shared" si="119"/>
        <v>0</v>
      </c>
      <c r="M2508" t="s">
        <v>57</v>
      </c>
      <c r="N2508" t="s">
        <v>26</v>
      </c>
    </row>
    <row r="2509" spans="1:14" x14ac:dyDescent="0.3">
      <c r="A2509">
        <v>2024003507</v>
      </c>
      <c r="B2509" s="1">
        <v>45430</v>
      </c>
      <c r="C2509" s="11">
        <f t="shared" si="117"/>
        <v>2024</v>
      </c>
      <c r="D2509" t="s">
        <v>94</v>
      </c>
      <c r="E2509" t="s">
        <v>67</v>
      </c>
      <c r="F2509" t="s">
        <v>68</v>
      </c>
      <c r="G2509" t="s">
        <v>36</v>
      </c>
      <c r="H2509">
        <v>1</v>
      </c>
      <c r="I2509" s="2">
        <v>416.83</v>
      </c>
      <c r="J2509" s="2">
        <v>416.83</v>
      </c>
      <c r="K2509" s="2">
        <f t="shared" si="118"/>
        <v>416.83</v>
      </c>
      <c r="L2509" s="2">
        <f t="shared" si="119"/>
        <v>0</v>
      </c>
      <c r="M2509" t="s">
        <v>55</v>
      </c>
      <c r="N2509" t="s">
        <v>32</v>
      </c>
    </row>
    <row r="2510" spans="1:14" x14ac:dyDescent="0.3">
      <c r="A2510">
        <v>2024003508</v>
      </c>
      <c r="B2510" s="1">
        <v>45485</v>
      </c>
      <c r="C2510" s="11">
        <f t="shared" si="117"/>
        <v>2024</v>
      </c>
      <c r="D2510" t="s">
        <v>176</v>
      </c>
      <c r="E2510" t="s">
        <v>40</v>
      </c>
      <c r="F2510" t="s">
        <v>41</v>
      </c>
      <c r="G2510" t="s">
        <v>36</v>
      </c>
      <c r="H2510">
        <v>1</v>
      </c>
      <c r="I2510" s="2">
        <v>42.91</v>
      </c>
      <c r="J2510" s="2">
        <v>42.91</v>
      </c>
      <c r="K2510" s="2">
        <f t="shared" si="118"/>
        <v>42.91</v>
      </c>
      <c r="L2510" s="2">
        <f t="shared" si="119"/>
        <v>0</v>
      </c>
      <c r="M2510" t="s">
        <v>64</v>
      </c>
      <c r="N2510" t="s">
        <v>26</v>
      </c>
    </row>
    <row r="2511" spans="1:14" x14ac:dyDescent="0.3">
      <c r="A2511">
        <v>2024003509</v>
      </c>
      <c r="B2511" s="1">
        <v>45472</v>
      </c>
      <c r="C2511" s="11">
        <f t="shared" si="117"/>
        <v>2024</v>
      </c>
      <c r="D2511" t="s">
        <v>207</v>
      </c>
      <c r="E2511" t="s">
        <v>67</v>
      </c>
      <c r="F2511" t="s">
        <v>68</v>
      </c>
      <c r="G2511" t="s">
        <v>36</v>
      </c>
      <c r="H2511">
        <v>2</v>
      </c>
      <c r="I2511" s="2">
        <v>422.13</v>
      </c>
      <c r="J2511" s="2">
        <v>844.26</v>
      </c>
      <c r="K2511" s="2">
        <f t="shared" si="118"/>
        <v>844.26</v>
      </c>
      <c r="L2511" s="2">
        <f t="shared" si="119"/>
        <v>0</v>
      </c>
      <c r="M2511" t="s">
        <v>57</v>
      </c>
      <c r="N2511" t="s">
        <v>26</v>
      </c>
    </row>
    <row r="2512" spans="1:14" x14ac:dyDescent="0.3">
      <c r="A2512">
        <v>2024003510</v>
      </c>
      <c r="B2512" s="1">
        <v>45383</v>
      </c>
      <c r="C2512" s="11">
        <f t="shared" si="117"/>
        <v>2024</v>
      </c>
      <c r="D2512" t="s">
        <v>153</v>
      </c>
      <c r="E2512" t="s">
        <v>18</v>
      </c>
      <c r="F2512" t="s">
        <v>19</v>
      </c>
      <c r="G2512" t="s">
        <v>14</v>
      </c>
      <c r="H2512">
        <v>2</v>
      </c>
      <c r="I2512" s="2">
        <v>646.44000000000005</v>
      </c>
      <c r="J2512" s="2">
        <v>1292.8800000000001</v>
      </c>
      <c r="K2512" s="2">
        <f t="shared" si="118"/>
        <v>1292.8800000000001</v>
      </c>
      <c r="L2512" s="2">
        <f t="shared" si="119"/>
        <v>0</v>
      </c>
      <c r="M2512" t="s">
        <v>61</v>
      </c>
      <c r="N2512" t="s">
        <v>16</v>
      </c>
    </row>
    <row r="2513" spans="1:14" x14ac:dyDescent="0.3">
      <c r="A2513">
        <v>2024003511</v>
      </c>
      <c r="B2513" s="1">
        <v>45428</v>
      </c>
      <c r="C2513" s="11">
        <f t="shared" si="117"/>
        <v>2024</v>
      </c>
      <c r="D2513" t="s">
        <v>207</v>
      </c>
      <c r="E2513" t="s">
        <v>18</v>
      </c>
      <c r="F2513" t="s">
        <v>19</v>
      </c>
      <c r="G2513" t="s">
        <v>14</v>
      </c>
      <c r="H2513">
        <v>1</v>
      </c>
      <c r="I2513" s="2">
        <v>597.96</v>
      </c>
      <c r="J2513" s="2">
        <v>597.96</v>
      </c>
      <c r="K2513" s="2">
        <f t="shared" si="118"/>
        <v>597.96</v>
      </c>
      <c r="L2513" s="2">
        <f t="shared" si="119"/>
        <v>0</v>
      </c>
      <c r="M2513" t="s">
        <v>25</v>
      </c>
      <c r="N2513" t="s">
        <v>21</v>
      </c>
    </row>
    <row r="2514" spans="1:14" x14ac:dyDescent="0.3">
      <c r="A2514">
        <v>2024003512</v>
      </c>
      <c r="B2514" s="1">
        <v>45426</v>
      </c>
      <c r="C2514" s="11">
        <f t="shared" si="117"/>
        <v>2024</v>
      </c>
      <c r="D2514" t="s">
        <v>342</v>
      </c>
      <c r="E2514" t="s">
        <v>67</v>
      </c>
      <c r="F2514" t="s">
        <v>68</v>
      </c>
      <c r="G2514" t="s">
        <v>36</v>
      </c>
      <c r="H2514">
        <v>1</v>
      </c>
      <c r="I2514" s="2">
        <v>439.87</v>
      </c>
      <c r="J2514" s="2">
        <v>439.87</v>
      </c>
      <c r="K2514" s="2">
        <f t="shared" si="118"/>
        <v>439.87</v>
      </c>
      <c r="L2514" s="2">
        <f t="shared" si="119"/>
        <v>0</v>
      </c>
      <c r="M2514" t="s">
        <v>64</v>
      </c>
      <c r="N2514" t="s">
        <v>32</v>
      </c>
    </row>
    <row r="2515" spans="1:14" x14ac:dyDescent="0.3">
      <c r="A2515">
        <v>2024003513</v>
      </c>
      <c r="B2515" s="1">
        <v>45571</v>
      </c>
      <c r="C2515" s="11">
        <f t="shared" si="117"/>
        <v>2024</v>
      </c>
      <c r="D2515" t="s">
        <v>212</v>
      </c>
      <c r="E2515" t="s">
        <v>12</v>
      </c>
      <c r="F2515" t="s">
        <v>13</v>
      </c>
      <c r="G2515" t="s">
        <v>14</v>
      </c>
      <c r="H2515">
        <v>4</v>
      </c>
      <c r="I2515" s="2">
        <v>354.94</v>
      </c>
      <c r="J2515" s="2">
        <v>1419.76</v>
      </c>
      <c r="K2515" s="2">
        <f t="shared" si="118"/>
        <v>1419.76</v>
      </c>
      <c r="L2515" s="2">
        <f t="shared" si="119"/>
        <v>0</v>
      </c>
      <c r="M2515" t="s">
        <v>55</v>
      </c>
      <c r="N2515" t="s">
        <v>26</v>
      </c>
    </row>
    <row r="2516" spans="1:14" x14ac:dyDescent="0.3">
      <c r="A2516">
        <v>2024003514</v>
      </c>
      <c r="B2516" s="1">
        <v>45556</v>
      </c>
      <c r="C2516" s="11">
        <f t="shared" si="117"/>
        <v>2024</v>
      </c>
      <c r="D2516" t="s">
        <v>51</v>
      </c>
      <c r="E2516" t="s">
        <v>46</v>
      </c>
      <c r="F2516" t="s">
        <v>47</v>
      </c>
      <c r="G2516" t="s">
        <v>36</v>
      </c>
      <c r="H2516">
        <v>2</v>
      </c>
      <c r="I2516" s="2">
        <v>98.22</v>
      </c>
      <c r="J2516" s="2">
        <v>196.44</v>
      </c>
      <c r="K2516" s="2">
        <f t="shared" si="118"/>
        <v>196.44</v>
      </c>
      <c r="L2516" s="2">
        <f t="shared" si="119"/>
        <v>0</v>
      </c>
      <c r="M2516" t="s">
        <v>15</v>
      </c>
      <c r="N2516" t="s">
        <v>16</v>
      </c>
    </row>
    <row r="2517" spans="1:14" x14ac:dyDescent="0.3">
      <c r="A2517">
        <v>2024003515</v>
      </c>
      <c r="B2517" s="1">
        <v>45507</v>
      </c>
      <c r="C2517" s="11">
        <f t="shared" si="117"/>
        <v>2024</v>
      </c>
      <c r="D2517" t="s">
        <v>62</v>
      </c>
      <c r="E2517" t="s">
        <v>23</v>
      </c>
      <c r="F2517" t="s">
        <v>24</v>
      </c>
      <c r="G2517" t="s">
        <v>14</v>
      </c>
      <c r="H2517">
        <v>2</v>
      </c>
      <c r="I2517" s="2">
        <v>71.87</v>
      </c>
      <c r="J2517" s="2">
        <v>143.74</v>
      </c>
      <c r="K2517" s="2">
        <f t="shared" si="118"/>
        <v>143.74</v>
      </c>
      <c r="L2517" s="2">
        <f t="shared" si="119"/>
        <v>0</v>
      </c>
      <c r="M2517" t="s">
        <v>31</v>
      </c>
      <c r="N2517" t="s">
        <v>21</v>
      </c>
    </row>
    <row r="2518" spans="1:14" x14ac:dyDescent="0.3">
      <c r="A2518">
        <v>2024003516</v>
      </c>
      <c r="B2518" s="1">
        <v>45402</v>
      </c>
      <c r="C2518" s="11">
        <f t="shared" si="117"/>
        <v>2024</v>
      </c>
      <c r="D2518" t="s">
        <v>269</v>
      </c>
      <c r="E2518" t="s">
        <v>23</v>
      </c>
      <c r="F2518" t="s">
        <v>24</v>
      </c>
      <c r="G2518" t="s">
        <v>14</v>
      </c>
      <c r="H2518">
        <v>1</v>
      </c>
      <c r="I2518" s="2">
        <v>78.14</v>
      </c>
      <c r="J2518" s="2">
        <v>78.14</v>
      </c>
      <c r="K2518" s="2">
        <f t="shared" si="118"/>
        <v>78.14</v>
      </c>
      <c r="L2518" s="2">
        <f t="shared" si="119"/>
        <v>0</v>
      </c>
      <c r="M2518" t="s">
        <v>38</v>
      </c>
      <c r="N2518" t="s">
        <v>26</v>
      </c>
    </row>
    <row r="2519" spans="1:14" x14ac:dyDescent="0.3">
      <c r="A2519">
        <v>2024003517</v>
      </c>
      <c r="B2519" s="1">
        <v>45530</v>
      </c>
      <c r="C2519" s="11">
        <f t="shared" si="117"/>
        <v>2024</v>
      </c>
      <c r="D2519" t="s">
        <v>109</v>
      </c>
      <c r="E2519" t="s">
        <v>67</v>
      </c>
      <c r="F2519" t="s">
        <v>68</v>
      </c>
      <c r="G2519" t="s">
        <v>36</v>
      </c>
      <c r="H2519">
        <v>1</v>
      </c>
      <c r="I2519" s="2">
        <v>428.48</v>
      </c>
      <c r="J2519" s="2">
        <v>428.48</v>
      </c>
      <c r="K2519" s="2">
        <f t="shared" si="118"/>
        <v>428.48</v>
      </c>
      <c r="L2519" s="2">
        <f t="shared" si="119"/>
        <v>0</v>
      </c>
      <c r="M2519" t="s">
        <v>61</v>
      </c>
      <c r="N2519" t="s">
        <v>26</v>
      </c>
    </row>
    <row r="2520" spans="1:14" x14ac:dyDescent="0.3">
      <c r="A2520">
        <v>2024003518</v>
      </c>
      <c r="B2520" s="1">
        <v>45565</v>
      </c>
      <c r="C2520" s="11">
        <f t="shared" si="117"/>
        <v>2024</v>
      </c>
      <c r="D2520" t="s">
        <v>256</v>
      </c>
      <c r="E2520" t="s">
        <v>53</v>
      </c>
      <c r="F2520" t="s">
        <v>54</v>
      </c>
      <c r="G2520" t="s">
        <v>36</v>
      </c>
      <c r="H2520">
        <v>1</v>
      </c>
      <c r="I2520" s="2">
        <v>116.24</v>
      </c>
      <c r="J2520" s="2">
        <v>116.24</v>
      </c>
      <c r="K2520" s="2">
        <f t="shared" si="118"/>
        <v>116.24</v>
      </c>
      <c r="L2520" s="2">
        <f t="shared" si="119"/>
        <v>0</v>
      </c>
      <c r="M2520" t="s">
        <v>31</v>
      </c>
      <c r="N2520" t="s">
        <v>26</v>
      </c>
    </row>
    <row r="2521" spans="1:14" x14ac:dyDescent="0.3">
      <c r="A2521">
        <v>2024003519</v>
      </c>
      <c r="B2521" s="1">
        <v>45640</v>
      </c>
      <c r="C2521" s="11">
        <f t="shared" si="117"/>
        <v>2024</v>
      </c>
      <c r="D2521" t="s">
        <v>287</v>
      </c>
      <c r="E2521" t="s">
        <v>40</v>
      </c>
      <c r="F2521" t="s">
        <v>41</v>
      </c>
      <c r="G2521" t="s">
        <v>36</v>
      </c>
      <c r="H2521">
        <v>3</v>
      </c>
      <c r="I2521" s="2">
        <v>47.72</v>
      </c>
      <c r="J2521" s="2">
        <v>143.16</v>
      </c>
      <c r="K2521" s="2">
        <f t="shared" si="118"/>
        <v>143.16</v>
      </c>
      <c r="L2521" s="2">
        <f t="shared" si="119"/>
        <v>0</v>
      </c>
      <c r="M2521" t="s">
        <v>20</v>
      </c>
      <c r="N2521" t="s">
        <v>16</v>
      </c>
    </row>
    <row r="2522" spans="1:14" x14ac:dyDescent="0.3">
      <c r="A2522">
        <v>2024003520</v>
      </c>
      <c r="B2522" s="1">
        <v>45383</v>
      </c>
      <c r="C2522" s="11">
        <f t="shared" si="117"/>
        <v>2024</v>
      </c>
      <c r="D2522" t="s">
        <v>239</v>
      </c>
      <c r="E2522" t="s">
        <v>34</v>
      </c>
      <c r="F2522" t="s">
        <v>35</v>
      </c>
      <c r="G2522" t="s">
        <v>36</v>
      </c>
      <c r="H2522">
        <v>2</v>
      </c>
      <c r="I2522" s="2">
        <v>14.75</v>
      </c>
      <c r="J2522" s="2">
        <v>29.5</v>
      </c>
      <c r="K2522" s="2">
        <f t="shared" si="118"/>
        <v>29.5</v>
      </c>
      <c r="L2522" s="2">
        <f t="shared" si="119"/>
        <v>0</v>
      </c>
      <c r="M2522" t="s">
        <v>61</v>
      </c>
      <c r="N2522" t="s">
        <v>26</v>
      </c>
    </row>
    <row r="2523" spans="1:14" x14ac:dyDescent="0.3">
      <c r="A2523">
        <v>2024003521</v>
      </c>
      <c r="B2523" s="1">
        <v>45449</v>
      </c>
      <c r="C2523" s="11">
        <f t="shared" si="117"/>
        <v>2024</v>
      </c>
      <c r="D2523" t="s">
        <v>72</v>
      </c>
      <c r="E2523" t="s">
        <v>43</v>
      </c>
      <c r="F2523" t="s">
        <v>44</v>
      </c>
      <c r="G2523" t="s">
        <v>36</v>
      </c>
      <c r="H2523">
        <v>1</v>
      </c>
      <c r="I2523" s="2">
        <v>1185</v>
      </c>
      <c r="J2523" s="2">
        <v>1185</v>
      </c>
      <c r="K2523" s="2">
        <f t="shared" si="118"/>
        <v>1185</v>
      </c>
      <c r="L2523" s="2">
        <f t="shared" si="119"/>
        <v>0</v>
      </c>
      <c r="M2523" t="s">
        <v>48</v>
      </c>
      <c r="N2523" t="s">
        <v>21</v>
      </c>
    </row>
    <row r="2524" spans="1:14" x14ac:dyDescent="0.3">
      <c r="A2524">
        <v>2024003522</v>
      </c>
      <c r="B2524" s="1">
        <v>45350</v>
      </c>
      <c r="C2524" s="11">
        <f t="shared" si="117"/>
        <v>2024</v>
      </c>
      <c r="D2524" t="s">
        <v>143</v>
      </c>
      <c r="E2524" t="s">
        <v>53</v>
      </c>
      <c r="F2524" t="s">
        <v>54</v>
      </c>
      <c r="G2524" t="s">
        <v>36</v>
      </c>
      <c r="H2524">
        <v>2</v>
      </c>
      <c r="I2524" s="2">
        <v>131.18</v>
      </c>
      <c r="J2524" s="2">
        <v>262.36</v>
      </c>
      <c r="K2524" s="2">
        <f t="shared" si="118"/>
        <v>262.36</v>
      </c>
      <c r="L2524" s="2">
        <f t="shared" si="119"/>
        <v>0</v>
      </c>
      <c r="M2524" t="s">
        <v>20</v>
      </c>
      <c r="N2524" t="s">
        <v>16</v>
      </c>
    </row>
    <row r="2525" spans="1:14" x14ac:dyDescent="0.3">
      <c r="A2525">
        <v>2024003523</v>
      </c>
      <c r="B2525" s="1">
        <v>45389</v>
      </c>
      <c r="C2525" s="11">
        <f t="shared" si="117"/>
        <v>2024</v>
      </c>
      <c r="D2525" t="s">
        <v>11</v>
      </c>
      <c r="E2525" t="s">
        <v>12</v>
      </c>
      <c r="F2525" t="s">
        <v>13</v>
      </c>
      <c r="G2525" t="s">
        <v>14</v>
      </c>
      <c r="H2525">
        <v>1</v>
      </c>
      <c r="I2525" s="2">
        <v>352.18</v>
      </c>
      <c r="J2525" s="2">
        <v>352.18</v>
      </c>
      <c r="K2525" s="2">
        <f t="shared" si="118"/>
        <v>352.18</v>
      </c>
      <c r="L2525" s="2">
        <f t="shared" si="119"/>
        <v>0</v>
      </c>
      <c r="M2525" t="s">
        <v>31</v>
      </c>
      <c r="N2525" t="s">
        <v>32</v>
      </c>
    </row>
    <row r="2526" spans="1:14" x14ac:dyDescent="0.3">
      <c r="A2526">
        <v>2024003524</v>
      </c>
      <c r="B2526" s="1">
        <v>45619</v>
      </c>
      <c r="C2526" s="11">
        <f t="shared" si="117"/>
        <v>2024</v>
      </c>
      <c r="D2526" t="s">
        <v>83</v>
      </c>
      <c r="E2526" t="s">
        <v>34</v>
      </c>
      <c r="F2526" t="s">
        <v>35</v>
      </c>
      <c r="G2526" t="s">
        <v>36</v>
      </c>
      <c r="H2526">
        <v>1</v>
      </c>
      <c r="I2526" s="2">
        <v>15.63</v>
      </c>
      <c r="J2526" s="2">
        <v>15.63</v>
      </c>
      <c r="K2526" s="2">
        <f t="shared" si="118"/>
        <v>15.63</v>
      </c>
      <c r="L2526" s="2">
        <f t="shared" si="119"/>
        <v>0</v>
      </c>
      <c r="M2526" t="s">
        <v>55</v>
      </c>
      <c r="N2526" t="s">
        <v>26</v>
      </c>
    </row>
    <row r="2527" spans="1:14" x14ac:dyDescent="0.3">
      <c r="A2527">
        <v>2024003525</v>
      </c>
      <c r="B2527" s="1">
        <v>45481</v>
      </c>
      <c r="C2527" s="11">
        <f t="shared" si="117"/>
        <v>2024</v>
      </c>
      <c r="D2527" t="s">
        <v>250</v>
      </c>
      <c r="E2527" t="s">
        <v>18</v>
      </c>
      <c r="F2527" t="s">
        <v>19</v>
      </c>
      <c r="G2527" t="s">
        <v>14</v>
      </c>
      <c r="H2527">
        <v>1</v>
      </c>
      <c r="I2527" s="2">
        <v>591.49</v>
      </c>
      <c r="J2527" s="2">
        <v>591.49</v>
      </c>
      <c r="K2527" s="2">
        <f t="shared" si="118"/>
        <v>591.49</v>
      </c>
      <c r="L2527" s="2">
        <f t="shared" si="119"/>
        <v>0</v>
      </c>
      <c r="M2527" t="s">
        <v>64</v>
      </c>
      <c r="N2527" t="s">
        <v>32</v>
      </c>
    </row>
    <row r="2528" spans="1:14" x14ac:dyDescent="0.3">
      <c r="A2528">
        <v>2024003526</v>
      </c>
      <c r="B2528" s="1">
        <v>45498</v>
      </c>
      <c r="C2528" s="11">
        <f t="shared" si="117"/>
        <v>2024</v>
      </c>
      <c r="D2528" t="s">
        <v>285</v>
      </c>
      <c r="E2528" t="s">
        <v>23</v>
      </c>
      <c r="F2528" t="s">
        <v>24</v>
      </c>
      <c r="G2528" t="s">
        <v>14</v>
      </c>
      <c r="H2528">
        <v>2</v>
      </c>
      <c r="I2528" s="2">
        <v>75.13</v>
      </c>
      <c r="J2528" s="2">
        <v>150.26</v>
      </c>
      <c r="K2528" s="2">
        <f t="shared" si="118"/>
        <v>150.26</v>
      </c>
      <c r="L2528" s="2">
        <f t="shared" si="119"/>
        <v>0</v>
      </c>
      <c r="M2528" t="s">
        <v>15</v>
      </c>
      <c r="N2528" t="s">
        <v>21</v>
      </c>
    </row>
    <row r="2529" spans="1:14" x14ac:dyDescent="0.3">
      <c r="A2529">
        <v>2024003527</v>
      </c>
      <c r="B2529" s="1">
        <v>45533</v>
      </c>
      <c r="C2529" s="11">
        <f t="shared" si="117"/>
        <v>2024</v>
      </c>
      <c r="D2529" t="s">
        <v>232</v>
      </c>
      <c r="E2529" t="s">
        <v>43</v>
      </c>
      <c r="F2529" t="s">
        <v>44</v>
      </c>
      <c r="G2529" t="s">
        <v>36</v>
      </c>
      <c r="H2529">
        <v>2</v>
      </c>
      <c r="I2529" s="2">
        <v>1223.78</v>
      </c>
      <c r="J2529" s="2">
        <v>2447.56</v>
      </c>
      <c r="K2529" s="2">
        <f t="shared" si="118"/>
        <v>2447.56</v>
      </c>
      <c r="L2529" s="2">
        <f t="shared" si="119"/>
        <v>0</v>
      </c>
      <c r="M2529" t="s">
        <v>31</v>
      </c>
      <c r="N2529" t="s">
        <v>21</v>
      </c>
    </row>
    <row r="2530" spans="1:14" x14ac:dyDescent="0.3">
      <c r="A2530">
        <v>2024003528</v>
      </c>
      <c r="B2530" s="1">
        <v>45581</v>
      </c>
      <c r="C2530" s="11">
        <f t="shared" si="117"/>
        <v>2024</v>
      </c>
      <c r="D2530" t="s">
        <v>347</v>
      </c>
      <c r="E2530" t="s">
        <v>67</v>
      </c>
      <c r="F2530" t="s">
        <v>68</v>
      </c>
      <c r="G2530" t="s">
        <v>36</v>
      </c>
      <c r="H2530">
        <v>3</v>
      </c>
      <c r="I2530" s="2">
        <v>415.76</v>
      </c>
      <c r="J2530" s="2">
        <v>1247.28</v>
      </c>
      <c r="K2530" s="2">
        <f t="shared" si="118"/>
        <v>1247.28</v>
      </c>
      <c r="L2530" s="2">
        <f t="shared" si="119"/>
        <v>0</v>
      </c>
      <c r="M2530" t="s">
        <v>31</v>
      </c>
      <c r="N2530" t="s">
        <v>26</v>
      </c>
    </row>
    <row r="2531" spans="1:14" x14ac:dyDescent="0.3">
      <c r="A2531">
        <v>2024003529</v>
      </c>
      <c r="B2531" s="1">
        <v>45371</v>
      </c>
      <c r="C2531" s="11">
        <f t="shared" si="117"/>
        <v>2024</v>
      </c>
      <c r="D2531" t="s">
        <v>96</v>
      </c>
      <c r="E2531" t="s">
        <v>18</v>
      </c>
      <c r="F2531" t="s">
        <v>19</v>
      </c>
      <c r="G2531" t="s">
        <v>14</v>
      </c>
      <c r="H2531">
        <v>1</v>
      </c>
      <c r="I2531" s="2">
        <v>589.72</v>
      </c>
      <c r="J2531" s="2">
        <v>589.72</v>
      </c>
      <c r="K2531" s="2">
        <f t="shared" si="118"/>
        <v>589.72</v>
      </c>
      <c r="L2531" s="2">
        <f t="shared" si="119"/>
        <v>0</v>
      </c>
      <c r="M2531" t="s">
        <v>48</v>
      </c>
      <c r="N2531" t="s">
        <v>16</v>
      </c>
    </row>
    <row r="2532" spans="1:14" x14ac:dyDescent="0.3">
      <c r="A2532">
        <v>2024003530</v>
      </c>
      <c r="B2532" s="1">
        <v>45587</v>
      </c>
      <c r="C2532" s="11">
        <f t="shared" si="117"/>
        <v>2024</v>
      </c>
      <c r="D2532" t="s">
        <v>344</v>
      </c>
      <c r="E2532" t="s">
        <v>12</v>
      </c>
      <c r="F2532" t="s">
        <v>13</v>
      </c>
      <c r="G2532" t="s">
        <v>14</v>
      </c>
      <c r="H2532">
        <v>2</v>
      </c>
      <c r="I2532" s="2">
        <v>300.70999999999998</v>
      </c>
      <c r="J2532" s="2">
        <v>601.41999999999996</v>
      </c>
      <c r="K2532" s="2">
        <f t="shared" si="118"/>
        <v>601.41999999999996</v>
      </c>
      <c r="L2532" s="2">
        <f t="shared" si="119"/>
        <v>0</v>
      </c>
      <c r="M2532" t="s">
        <v>48</v>
      </c>
      <c r="N2532" t="s">
        <v>26</v>
      </c>
    </row>
    <row r="2533" spans="1:14" x14ac:dyDescent="0.3">
      <c r="A2533">
        <v>2024003531</v>
      </c>
      <c r="B2533" s="1">
        <v>45518</v>
      </c>
      <c r="C2533" s="11">
        <f t="shared" si="117"/>
        <v>2024</v>
      </c>
      <c r="D2533" t="s">
        <v>227</v>
      </c>
      <c r="E2533" t="s">
        <v>12</v>
      </c>
      <c r="F2533" t="s">
        <v>13</v>
      </c>
      <c r="G2533" t="s">
        <v>14</v>
      </c>
      <c r="H2533">
        <v>2</v>
      </c>
      <c r="I2533" s="2">
        <v>336.38</v>
      </c>
      <c r="J2533" s="2">
        <v>672.76</v>
      </c>
      <c r="K2533" s="2">
        <f t="shared" si="118"/>
        <v>672.76</v>
      </c>
      <c r="L2533" s="2">
        <f t="shared" si="119"/>
        <v>0</v>
      </c>
      <c r="M2533" t="s">
        <v>64</v>
      </c>
      <c r="N2533" t="s">
        <v>16</v>
      </c>
    </row>
    <row r="2534" spans="1:14" x14ac:dyDescent="0.3">
      <c r="A2534">
        <v>2024003532</v>
      </c>
      <c r="B2534" s="1">
        <v>45627</v>
      </c>
      <c r="C2534" s="11">
        <f t="shared" si="117"/>
        <v>2024</v>
      </c>
      <c r="D2534" t="s">
        <v>11</v>
      </c>
      <c r="E2534" t="s">
        <v>12</v>
      </c>
      <c r="F2534" t="s">
        <v>13</v>
      </c>
      <c r="G2534" t="s">
        <v>14</v>
      </c>
      <c r="H2534">
        <v>2</v>
      </c>
      <c r="I2534" s="2">
        <v>349.43</v>
      </c>
      <c r="J2534" s="2">
        <v>698.86</v>
      </c>
      <c r="K2534" s="2">
        <f t="shared" si="118"/>
        <v>698.86</v>
      </c>
      <c r="L2534" s="2">
        <f t="shared" si="119"/>
        <v>0</v>
      </c>
      <c r="M2534" t="s">
        <v>38</v>
      </c>
      <c r="N2534" t="s">
        <v>26</v>
      </c>
    </row>
    <row r="2535" spans="1:14" x14ac:dyDescent="0.3">
      <c r="A2535">
        <v>2024003533</v>
      </c>
      <c r="B2535" s="1">
        <v>45530</v>
      </c>
      <c r="C2535" s="11">
        <f t="shared" si="117"/>
        <v>2024</v>
      </c>
      <c r="D2535" t="s">
        <v>146</v>
      </c>
      <c r="E2535" t="s">
        <v>40</v>
      </c>
      <c r="F2535" t="s">
        <v>41</v>
      </c>
      <c r="G2535" t="s">
        <v>36</v>
      </c>
      <c r="H2535">
        <v>3</v>
      </c>
      <c r="I2535" s="2">
        <v>39.46</v>
      </c>
      <c r="J2535" s="2">
        <v>118.38</v>
      </c>
      <c r="K2535" s="2">
        <f t="shared" si="118"/>
        <v>118.38</v>
      </c>
      <c r="L2535" s="2">
        <f t="shared" si="119"/>
        <v>0</v>
      </c>
      <c r="M2535" t="s">
        <v>61</v>
      </c>
      <c r="N2535" t="s">
        <v>21</v>
      </c>
    </row>
    <row r="2536" spans="1:14" x14ac:dyDescent="0.3">
      <c r="A2536">
        <v>2024003534</v>
      </c>
      <c r="B2536" s="1">
        <v>45506</v>
      </c>
      <c r="C2536" s="11">
        <f t="shared" si="117"/>
        <v>2024</v>
      </c>
      <c r="D2536" t="s">
        <v>105</v>
      </c>
      <c r="E2536" t="s">
        <v>46</v>
      </c>
      <c r="F2536" t="s">
        <v>47</v>
      </c>
      <c r="G2536" t="s">
        <v>36</v>
      </c>
      <c r="H2536">
        <v>2</v>
      </c>
      <c r="I2536" s="2">
        <v>92.53</v>
      </c>
      <c r="J2536" s="2">
        <v>185.06</v>
      </c>
      <c r="K2536" s="2">
        <f t="shared" si="118"/>
        <v>185.06</v>
      </c>
      <c r="L2536" s="2">
        <f t="shared" si="119"/>
        <v>0</v>
      </c>
      <c r="M2536" t="s">
        <v>15</v>
      </c>
      <c r="N2536" t="s">
        <v>21</v>
      </c>
    </row>
    <row r="2537" spans="1:14" x14ac:dyDescent="0.3">
      <c r="A2537">
        <v>2024003535</v>
      </c>
      <c r="B2537" s="1">
        <v>45462</v>
      </c>
      <c r="C2537" s="11">
        <f t="shared" si="117"/>
        <v>2024</v>
      </c>
      <c r="D2537" t="s">
        <v>222</v>
      </c>
      <c r="E2537" t="s">
        <v>23</v>
      </c>
      <c r="F2537" t="s">
        <v>24</v>
      </c>
      <c r="G2537" t="s">
        <v>14</v>
      </c>
      <c r="H2537">
        <v>1</v>
      </c>
      <c r="I2537" s="2">
        <v>72.709999999999994</v>
      </c>
      <c r="J2537" s="2">
        <v>72.709999999999994</v>
      </c>
      <c r="K2537" s="2">
        <f t="shared" si="118"/>
        <v>72.709999999999994</v>
      </c>
      <c r="L2537" s="2">
        <f t="shared" si="119"/>
        <v>0</v>
      </c>
      <c r="M2537" t="s">
        <v>57</v>
      </c>
      <c r="N2537" t="s">
        <v>16</v>
      </c>
    </row>
    <row r="2538" spans="1:14" x14ac:dyDescent="0.3">
      <c r="A2538">
        <v>2024003536</v>
      </c>
      <c r="B2538" s="1">
        <v>45566</v>
      </c>
      <c r="C2538" s="11">
        <f t="shared" si="117"/>
        <v>2024</v>
      </c>
      <c r="D2538" t="s">
        <v>56</v>
      </c>
      <c r="E2538" t="s">
        <v>53</v>
      </c>
      <c r="F2538" t="s">
        <v>54</v>
      </c>
      <c r="G2538" t="s">
        <v>36</v>
      </c>
      <c r="H2538">
        <v>3</v>
      </c>
      <c r="I2538" s="2">
        <v>122.9</v>
      </c>
      <c r="J2538" s="2">
        <v>368.7</v>
      </c>
      <c r="K2538" s="2">
        <f t="shared" si="118"/>
        <v>368.70000000000005</v>
      </c>
      <c r="L2538" s="2">
        <f t="shared" si="119"/>
        <v>0</v>
      </c>
      <c r="M2538" t="s">
        <v>38</v>
      </c>
      <c r="N2538" t="s">
        <v>21</v>
      </c>
    </row>
    <row r="2539" spans="1:14" x14ac:dyDescent="0.3">
      <c r="A2539">
        <v>2024003537</v>
      </c>
      <c r="B2539" s="1">
        <v>45554</v>
      </c>
      <c r="C2539" s="11">
        <f t="shared" si="117"/>
        <v>2024</v>
      </c>
      <c r="D2539" t="s">
        <v>273</v>
      </c>
      <c r="E2539" t="s">
        <v>23</v>
      </c>
      <c r="F2539" t="s">
        <v>24</v>
      </c>
      <c r="G2539" t="s">
        <v>14</v>
      </c>
      <c r="H2539">
        <v>5</v>
      </c>
      <c r="I2539" s="2">
        <v>84.75</v>
      </c>
      <c r="J2539" s="2">
        <v>423.75</v>
      </c>
      <c r="K2539" s="2">
        <f t="shared" si="118"/>
        <v>423.75</v>
      </c>
      <c r="L2539" s="2">
        <f t="shared" si="119"/>
        <v>0</v>
      </c>
      <c r="M2539" t="s">
        <v>31</v>
      </c>
      <c r="N2539" t="s">
        <v>21</v>
      </c>
    </row>
    <row r="2540" spans="1:14" x14ac:dyDescent="0.3">
      <c r="A2540">
        <v>2024003538</v>
      </c>
      <c r="B2540" s="1">
        <v>45433</v>
      </c>
      <c r="C2540" s="11">
        <f t="shared" si="117"/>
        <v>2024</v>
      </c>
      <c r="D2540" t="s">
        <v>11</v>
      </c>
      <c r="E2540" t="s">
        <v>28</v>
      </c>
      <c r="F2540" t="s">
        <v>29</v>
      </c>
      <c r="G2540" t="s">
        <v>30</v>
      </c>
      <c r="H2540">
        <v>2</v>
      </c>
      <c r="I2540" s="2">
        <v>25.02</v>
      </c>
      <c r="J2540" s="2">
        <v>50.04</v>
      </c>
      <c r="K2540" s="2">
        <f t="shared" si="118"/>
        <v>50.04</v>
      </c>
      <c r="L2540" s="2">
        <f t="shared" si="119"/>
        <v>0</v>
      </c>
      <c r="M2540" t="s">
        <v>38</v>
      </c>
      <c r="N2540" t="s">
        <v>26</v>
      </c>
    </row>
    <row r="2541" spans="1:14" x14ac:dyDescent="0.3">
      <c r="A2541">
        <v>2024003539</v>
      </c>
      <c r="B2541" s="1">
        <v>45494</v>
      </c>
      <c r="C2541" s="11">
        <f t="shared" si="117"/>
        <v>2024</v>
      </c>
      <c r="D2541" t="s">
        <v>128</v>
      </c>
      <c r="E2541" t="s">
        <v>34</v>
      </c>
      <c r="F2541" t="s">
        <v>35</v>
      </c>
      <c r="G2541" t="s">
        <v>36</v>
      </c>
      <c r="H2541">
        <v>4</v>
      </c>
      <c r="I2541" s="2">
        <v>15.65</v>
      </c>
      <c r="J2541" s="2">
        <v>62.6</v>
      </c>
      <c r="K2541" s="2">
        <f t="shared" si="118"/>
        <v>62.6</v>
      </c>
      <c r="L2541" s="2">
        <f t="shared" si="119"/>
        <v>0</v>
      </c>
      <c r="M2541" t="s">
        <v>20</v>
      </c>
      <c r="N2541" t="s">
        <v>26</v>
      </c>
    </row>
    <row r="2542" spans="1:14" x14ac:dyDescent="0.3">
      <c r="A2542">
        <v>2024003540</v>
      </c>
      <c r="B2542" s="1">
        <v>45493</v>
      </c>
      <c r="C2542" s="11">
        <f t="shared" si="117"/>
        <v>2024</v>
      </c>
      <c r="D2542" t="s">
        <v>178</v>
      </c>
      <c r="E2542" t="s">
        <v>23</v>
      </c>
      <c r="F2542" t="s">
        <v>24</v>
      </c>
      <c r="G2542" t="s">
        <v>14</v>
      </c>
      <c r="H2542">
        <v>1</v>
      </c>
      <c r="I2542" s="2">
        <v>77.819999999999993</v>
      </c>
      <c r="J2542" s="2">
        <v>77.819999999999993</v>
      </c>
      <c r="K2542" s="2">
        <f t="shared" si="118"/>
        <v>77.819999999999993</v>
      </c>
      <c r="L2542" s="2">
        <f t="shared" si="119"/>
        <v>0</v>
      </c>
      <c r="M2542" t="s">
        <v>31</v>
      </c>
      <c r="N2542" t="s">
        <v>16</v>
      </c>
    </row>
    <row r="2543" spans="1:14" x14ac:dyDescent="0.3">
      <c r="A2543">
        <v>2024003541</v>
      </c>
      <c r="B2543" s="1">
        <v>45563</v>
      </c>
      <c r="C2543" s="11">
        <f t="shared" si="117"/>
        <v>2024</v>
      </c>
      <c r="D2543" t="s">
        <v>224</v>
      </c>
      <c r="E2543" t="s">
        <v>18</v>
      </c>
      <c r="F2543" t="s">
        <v>19</v>
      </c>
      <c r="G2543" t="s">
        <v>14</v>
      </c>
      <c r="H2543">
        <v>1</v>
      </c>
      <c r="I2543" s="2">
        <v>567.66999999999996</v>
      </c>
      <c r="J2543" s="2">
        <v>567.66999999999996</v>
      </c>
      <c r="K2543" s="2">
        <f t="shared" si="118"/>
        <v>567.66999999999996</v>
      </c>
      <c r="L2543" s="2">
        <f t="shared" si="119"/>
        <v>0</v>
      </c>
      <c r="M2543" t="s">
        <v>38</v>
      </c>
      <c r="N2543" t="s">
        <v>16</v>
      </c>
    </row>
    <row r="2544" spans="1:14" x14ac:dyDescent="0.3">
      <c r="A2544">
        <v>2024003542</v>
      </c>
      <c r="B2544" s="1">
        <v>45444</v>
      </c>
      <c r="C2544" s="11">
        <f t="shared" si="117"/>
        <v>2024</v>
      </c>
      <c r="D2544" t="s">
        <v>229</v>
      </c>
      <c r="E2544" t="s">
        <v>53</v>
      </c>
      <c r="F2544" t="s">
        <v>54</v>
      </c>
      <c r="G2544" t="s">
        <v>36</v>
      </c>
      <c r="H2544">
        <v>4</v>
      </c>
      <c r="I2544" s="2">
        <v>122.76</v>
      </c>
      <c r="J2544" s="2">
        <v>491.04</v>
      </c>
      <c r="K2544" s="2">
        <f t="shared" si="118"/>
        <v>491.04</v>
      </c>
      <c r="L2544" s="2">
        <f t="shared" si="119"/>
        <v>0</v>
      </c>
      <c r="M2544" t="s">
        <v>25</v>
      </c>
      <c r="N2544" t="s">
        <v>32</v>
      </c>
    </row>
    <row r="2545" spans="1:14" x14ac:dyDescent="0.3">
      <c r="A2545">
        <v>2024003543</v>
      </c>
      <c r="B2545" s="1">
        <v>45387</v>
      </c>
      <c r="C2545" s="11">
        <f t="shared" si="117"/>
        <v>2024</v>
      </c>
      <c r="D2545" t="s">
        <v>264</v>
      </c>
      <c r="E2545" t="s">
        <v>67</v>
      </c>
      <c r="F2545" t="s">
        <v>68</v>
      </c>
      <c r="G2545" t="s">
        <v>36</v>
      </c>
      <c r="H2545">
        <v>3</v>
      </c>
      <c r="I2545" s="2">
        <v>439.2</v>
      </c>
      <c r="J2545" s="2">
        <v>1317.6</v>
      </c>
      <c r="K2545" s="2">
        <f t="shared" si="118"/>
        <v>1317.6</v>
      </c>
      <c r="L2545" s="2">
        <f t="shared" si="119"/>
        <v>0</v>
      </c>
      <c r="M2545" t="s">
        <v>55</v>
      </c>
      <c r="N2545" t="s">
        <v>26</v>
      </c>
    </row>
    <row r="2546" spans="1:14" x14ac:dyDescent="0.3">
      <c r="A2546">
        <v>2024003544</v>
      </c>
      <c r="B2546" s="1">
        <v>45652</v>
      </c>
      <c r="C2546" s="11">
        <f t="shared" si="117"/>
        <v>2024</v>
      </c>
      <c r="D2546" t="s">
        <v>59</v>
      </c>
      <c r="E2546" t="s">
        <v>18</v>
      </c>
      <c r="F2546" t="s">
        <v>19</v>
      </c>
      <c r="G2546" t="s">
        <v>14</v>
      </c>
      <c r="H2546">
        <v>4</v>
      </c>
      <c r="I2546" s="2">
        <v>618.15</v>
      </c>
      <c r="J2546" s="2">
        <v>2472.6</v>
      </c>
      <c r="K2546" s="2">
        <f t="shared" si="118"/>
        <v>2472.6</v>
      </c>
      <c r="L2546" s="2">
        <f t="shared" si="119"/>
        <v>0</v>
      </c>
      <c r="M2546" t="s">
        <v>25</v>
      </c>
      <c r="N2546" t="s">
        <v>16</v>
      </c>
    </row>
    <row r="2547" spans="1:14" x14ac:dyDescent="0.3">
      <c r="A2547">
        <v>2024003545</v>
      </c>
      <c r="B2547" s="1">
        <v>45566</v>
      </c>
      <c r="C2547" s="11">
        <f t="shared" si="117"/>
        <v>2024</v>
      </c>
      <c r="D2547" t="s">
        <v>253</v>
      </c>
      <c r="E2547" t="s">
        <v>23</v>
      </c>
      <c r="F2547" t="s">
        <v>24</v>
      </c>
      <c r="G2547" t="s">
        <v>14</v>
      </c>
      <c r="H2547">
        <v>2</v>
      </c>
      <c r="I2547" s="2">
        <v>78.28</v>
      </c>
      <c r="J2547" s="2">
        <v>156.56</v>
      </c>
      <c r="K2547" s="2">
        <f t="shared" si="118"/>
        <v>156.56</v>
      </c>
      <c r="L2547" s="2">
        <f t="shared" si="119"/>
        <v>0</v>
      </c>
      <c r="M2547" t="s">
        <v>48</v>
      </c>
      <c r="N2547" t="s">
        <v>16</v>
      </c>
    </row>
    <row r="2548" spans="1:14" x14ac:dyDescent="0.3">
      <c r="A2548">
        <v>2024003546</v>
      </c>
      <c r="B2548" s="1">
        <v>45347</v>
      </c>
      <c r="C2548" s="11">
        <f t="shared" si="117"/>
        <v>2024</v>
      </c>
      <c r="D2548" t="s">
        <v>346</v>
      </c>
      <c r="E2548" t="s">
        <v>23</v>
      </c>
      <c r="F2548" t="s">
        <v>24</v>
      </c>
      <c r="G2548" t="s">
        <v>14</v>
      </c>
      <c r="H2548">
        <v>2</v>
      </c>
      <c r="I2548" s="2">
        <v>85.98</v>
      </c>
      <c r="J2548" s="2">
        <v>171.96</v>
      </c>
      <c r="K2548" s="2">
        <f t="shared" si="118"/>
        <v>171.96</v>
      </c>
      <c r="L2548" s="2">
        <f t="shared" si="119"/>
        <v>0</v>
      </c>
      <c r="M2548" t="s">
        <v>31</v>
      </c>
      <c r="N2548" t="s">
        <v>26</v>
      </c>
    </row>
    <row r="2549" spans="1:14" x14ac:dyDescent="0.3">
      <c r="A2549">
        <v>2024003547</v>
      </c>
      <c r="B2549" s="1">
        <v>45648</v>
      </c>
      <c r="C2549" s="11">
        <f t="shared" si="117"/>
        <v>2024</v>
      </c>
      <c r="D2549" t="s">
        <v>146</v>
      </c>
      <c r="E2549" t="s">
        <v>43</v>
      </c>
      <c r="F2549" t="s">
        <v>44</v>
      </c>
      <c r="G2549" t="s">
        <v>36</v>
      </c>
      <c r="H2549">
        <v>3</v>
      </c>
      <c r="I2549" s="2">
        <v>1180.1600000000001</v>
      </c>
      <c r="J2549" s="2">
        <v>3540.48</v>
      </c>
      <c r="K2549" s="2">
        <f t="shared" si="118"/>
        <v>3540.4800000000005</v>
      </c>
      <c r="L2549" s="2">
        <f t="shared" si="119"/>
        <v>0</v>
      </c>
      <c r="M2549" t="s">
        <v>64</v>
      </c>
      <c r="N2549" t="s">
        <v>21</v>
      </c>
    </row>
    <row r="2550" spans="1:14" x14ac:dyDescent="0.3">
      <c r="A2550">
        <v>2024003548</v>
      </c>
      <c r="B2550" s="1">
        <v>45569</v>
      </c>
      <c r="C2550" s="11">
        <f t="shared" si="117"/>
        <v>2024</v>
      </c>
      <c r="D2550" t="s">
        <v>260</v>
      </c>
      <c r="E2550" t="s">
        <v>53</v>
      </c>
      <c r="F2550" t="s">
        <v>54</v>
      </c>
      <c r="G2550" t="s">
        <v>36</v>
      </c>
      <c r="H2550">
        <v>2</v>
      </c>
      <c r="I2550" s="2">
        <v>130.6</v>
      </c>
      <c r="J2550" s="2">
        <v>261.2</v>
      </c>
      <c r="K2550" s="2">
        <f t="shared" si="118"/>
        <v>261.2</v>
      </c>
      <c r="L2550" s="2">
        <f t="shared" si="119"/>
        <v>0</v>
      </c>
      <c r="M2550" t="s">
        <v>55</v>
      </c>
      <c r="N2550" t="s">
        <v>16</v>
      </c>
    </row>
    <row r="2551" spans="1:14" x14ac:dyDescent="0.3">
      <c r="A2551">
        <v>2024003549</v>
      </c>
      <c r="B2551" s="1">
        <v>45343</v>
      </c>
      <c r="C2551" s="11">
        <f t="shared" si="117"/>
        <v>2024</v>
      </c>
      <c r="D2551" t="s">
        <v>249</v>
      </c>
      <c r="E2551" t="s">
        <v>18</v>
      </c>
      <c r="F2551" t="s">
        <v>19</v>
      </c>
      <c r="G2551" t="s">
        <v>14</v>
      </c>
      <c r="H2551">
        <v>3</v>
      </c>
      <c r="I2551" s="2">
        <v>613.04</v>
      </c>
      <c r="J2551" s="2">
        <v>1839.12</v>
      </c>
      <c r="K2551" s="2">
        <f t="shared" si="118"/>
        <v>1839.12</v>
      </c>
      <c r="L2551" s="2">
        <f t="shared" si="119"/>
        <v>0</v>
      </c>
      <c r="M2551" t="s">
        <v>31</v>
      </c>
      <c r="N2551" t="s">
        <v>21</v>
      </c>
    </row>
    <row r="2552" spans="1:14" x14ac:dyDescent="0.3">
      <c r="A2552">
        <v>2024003550</v>
      </c>
      <c r="B2552" s="1">
        <v>45490</v>
      </c>
      <c r="C2552" s="11">
        <f t="shared" si="117"/>
        <v>2024</v>
      </c>
      <c r="D2552" t="s">
        <v>251</v>
      </c>
      <c r="E2552" t="s">
        <v>28</v>
      </c>
      <c r="F2552" t="s">
        <v>29</v>
      </c>
      <c r="G2552" t="s">
        <v>30</v>
      </c>
      <c r="H2552">
        <v>2</v>
      </c>
      <c r="I2552" s="2">
        <v>26.43</v>
      </c>
      <c r="J2552" s="2">
        <v>52.86</v>
      </c>
      <c r="K2552" s="2">
        <f t="shared" si="118"/>
        <v>52.86</v>
      </c>
      <c r="L2552" s="2">
        <f t="shared" si="119"/>
        <v>0</v>
      </c>
      <c r="M2552" t="s">
        <v>55</v>
      </c>
      <c r="N2552" t="s">
        <v>21</v>
      </c>
    </row>
    <row r="2553" spans="1:14" x14ac:dyDescent="0.3">
      <c r="A2553">
        <v>2024003551</v>
      </c>
      <c r="B2553" s="1">
        <v>45456</v>
      </c>
      <c r="C2553" s="11">
        <f t="shared" si="117"/>
        <v>2024</v>
      </c>
      <c r="D2553" t="s">
        <v>290</v>
      </c>
      <c r="E2553" t="s">
        <v>28</v>
      </c>
      <c r="F2553" t="s">
        <v>29</v>
      </c>
      <c r="G2553" t="s">
        <v>30</v>
      </c>
      <c r="H2553">
        <v>2</v>
      </c>
      <c r="I2553" s="2">
        <v>24.92</v>
      </c>
      <c r="J2553" s="2">
        <v>49.84</v>
      </c>
      <c r="K2553" s="2">
        <f t="shared" si="118"/>
        <v>49.84</v>
      </c>
      <c r="L2553" s="2">
        <f t="shared" si="119"/>
        <v>0</v>
      </c>
      <c r="M2553" t="s">
        <v>57</v>
      </c>
      <c r="N2553" t="s">
        <v>16</v>
      </c>
    </row>
    <row r="2554" spans="1:14" x14ac:dyDescent="0.3">
      <c r="A2554">
        <v>2024003552</v>
      </c>
      <c r="B2554" s="1">
        <v>45580</v>
      </c>
      <c r="C2554" s="11">
        <f t="shared" si="117"/>
        <v>2024</v>
      </c>
      <c r="D2554" t="s">
        <v>120</v>
      </c>
      <c r="E2554" t="s">
        <v>43</v>
      </c>
      <c r="F2554" t="s">
        <v>44</v>
      </c>
      <c r="G2554" t="s">
        <v>36</v>
      </c>
      <c r="H2554">
        <v>1</v>
      </c>
      <c r="I2554" s="2">
        <v>1195.1099999999999</v>
      </c>
      <c r="J2554" s="2">
        <v>1195.1099999999999</v>
      </c>
      <c r="K2554" s="2">
        <f t="shared" si="118"/>
        <v>1195.1099999999999</v>
      </c>
      <c r="L2554" s="2">
        <f t="shared" si="119"/>
        <v>0</v>
      </c>
      <c r="M2554" t="s">
        <v>38</v>
      </c>
      <c r="N2554" t="s">
        <v>21</v>
      </c>
    </row>
    <row r="2555" spans="1:14" x14ac:dyDescent="0.3">
      <c r="A2555">
        <v>2024003553</v>
      </c>
      <c r="B2555" s="1">
        <v>45321</v>
      </c>
      <c r="C2555" s="11">
        <f t="shared" si="117"/>
        <v>2024</v>
      </c>
      <c r="D2555" t="s">
        <v>259</v>
      </c>
      <c r="E2555" t="s">
        <v>53</v>
      </c>
      <c r="F2555" t="s">
        <v>54</v>
      </c>
      <c r="G2555" t="s">
        <v>36</v>
      </c>
      <c r="H2555">
        <v>3</v>
      </c>
      <c r="I2555" s="2">
        <v>124.69</v>
      </c>
      <c r="J2555" s="2">
        <v>374.07</v>
      </c>
      <c r="K2555" s="2">
        <f t="shared" si="118"/>
        <v>374.07</v>
      </c>
      <c r="L2555" s="2">
        <f t="shared" si="119"/>
        <v>0</v>
      </c>
      <c r="M2555" t="s">
        <v>48</v>
      </c>
      <c r="N2555" t="s">
        <v>21</v>
      </c>
    </row>
    <row r="2556" spans="1:14" x14ac:dyDescent="0.3">
      <c r="A2556">
        <v>2024003554</v>
      </c>
      <c r="B2556" s="1">
        <v>45563</v>
      </c>
      <c r="C2556" s="11">
        <f t="shared" si="117"/>
        <v>2024</v>
      </c>
      <c r="D2556" t="s">
        <v>113</v>
      </c>
      <c r="E2556" t="s">
        <v>46</v>
      </c>
      <c r="F2556" t="s">
        <v>47</v>
      </c>
      <c r="G2556" t="s">
        <v>36</v>
      </c>
      <c r="H2556">
        <v>2</v>
      </c>
      <c r="I2556" s="2">
        <v>90.46</v>
      </c>
      <c r="J2556" s="2">
        <v>180.92</v>
      </c>
      <c r="K2556" s="2">
        <f t="shared" si="118"/>
        <v>180.92</v>
      </c>
      <c r="L2556" s="2">
        <f t="shared" si="119"/>
        <v>0</v>
      </c>
      <c r="M2556" t="s">
        <v>31</v>
      </c>
      <c r="N2556" t="s">
        <v>21</v>
      </c>
    </row>
    <row r="2557" spans="1:14" x14ac:dyDescent="0.3">
      <c r="A2557">
        <v>2024003555</v>
      </c>
      <c r="B2557" s="1">
        <v>45584</v>
      </c>
      <c r="C2557" s="11">
        <f t="shared" si="117"/>
        <v>2024</v>
      </c>
      <c r="D2557" t="s">
        <v>237</v>
      </c>
      <c r="E2557" t="s">
        <v>23</v>
      </c>
      <c r="F2557" t="s">
        <v>24</v>
      </c>
      <c r="G2557" t="s">
        <v>14</v>
      </c>
      <c r="H2557">
        <v>1</v>
      </c>
      <c r="I2557" s="2">
        <v>76.989999999999995</v>
      </c>
      <c r="J2557" s="2">
        <v>76.989999999999995</v>
      </c>
      <c r="K2557" s="2">
        <f t="shared" si="118"/>
        <v>76.989999999999995</v>
      </c>
      <c r="L2557" s="2">
        <f t="shared" si="119"/>
        <v>0</v>
      </c>
      <c r="M2557" t="s">
        <v>57</v>
      </c>
      <c r="N2557" t="s">
        <v>21</v>
      </c>
    </row>
    <row r="2558" spans="1:14" x14ac:dyDescent="0.3">
      <c r="A2558">
        <v>2024003556</v>
      </c>
      <c r="B2558" s="1">
        <v>45453</v>
      </c>
      <c r="C2558" s="11">
        <f t="shared" si="117"/>
        <v>2024</v>
      </c>
      <c r="D2558" t="s">
        <v>175</v>
      </c>
      <c r="E2558" t="s">
        <v>23</v>
      </c>
      <c r="F2558" t="s">
        <v>24</v>
      </c>
      <c r="G2558" t="s">
        <v>14</v>
      </c>
      <c r="H2558">
        <v>1</v>
      </c>
      <c r="I2558" s="2">
        <v>78.89</v>
      </c>
      <c r="J2558" s="2">
        <v>78.89</v>
      </c>
      <c r="K2558" s="2">
        <f t="shared" si="118"/>
        <v>78.89</v>
      </c>
      <c r="L2558" s="2">
        <f t="shared" si="119"/>
        <v>0</v>
      </c>
      <c r="M2558" t="s">
        <v>55</v>
      </c>
      <c r="N2558" t="s">
        <v>21</v>
      </c>
    </row>
    <row r="2559" spans="1:14" x14ac:dyDescent="0.3">
      <c r="A2559">
        <v>2024003557</v>
      </c>
      <c r="B2559" s="1">
        <v>45447</v>
      </c>
      <c r="C2559" s="11">
        <f t="shared" si="117"/>
        <v>2024</v>
      </c>
      <c r="D2559" t="s">
        <v>11</v>
      </c>
      <c r="E2559" t="s">
        <v>12</v>
      </c>
      <c r="F2559" t="s">
        <v>13</v>
      </c>
      <c r="G2559" t="s">
        <v>14</v>
      </c>
      <c r="H2559">
        <v>1</v>
      </c>
      <c r="I2559" s="2">
        <v>359.55</v>
      </c>
      <c r="J2559" s="2">
        <v>359.55</v>
      </c>
      <c r="K2559" s="2">
        <f t="shared" si="118"/>
        <v>359.55</v>
      </c>
      <c r="L2559" s="2">
        <f t="shared" si="119"/>
        <v>0</v>
      </c>
      <c r="M2559" t="s">
        <v>25</v>
      </c>
      <c r="N2559" t="s">
        <v>16</v>
      </c>
    </row>
    <row r="2560" spans="1:14" x14ac:dyDescent="0.3">
      <c r="A2560">
        <v>2024003558</v>
      </c>
      <c r="B2560" s="1">
        <v>45340</v>
      </c>
      <c r="C2560" s="11">
        <f t="shared" si="117"/>
        <v>2024</v>
      </c>
      <c r="D2560" t="s">
        <v>217</v>
      </c>
      <c r="E2560" t="s">
        <v>12</v>
      </c>
      <c r="F2560" t="s">
        <v>13</v>
      </c>
      <c r="G2560" t="s">
        <v>14</v>
      </c>
      <c r="H2560">
        <v>1</v>
      </c>
      <c r="I2560" s="2">
        <v>367.36</v>
      </c>
      <c r="J2560" s="2">
        <v>367.36</v>
      </c>
      <c r="K2560" s="2">
        <f t="shared" si="118"/>
        <v>367.36</v>
      </c>
      <c r="L2560" s="2">
        <f t="shared" si="119"/>
        <v>0</v>
      </c>
      <c r="M2560" t="s">
        <v>48</v>
      </c>
      <c r="N2560" t="s">
        <v>26</v>
      </c>
    </row>
    <row r="2561" spans="1:14" x14ac:dyDescent="0.3">
      <c r="A2561">
        <v>2024003559</v>
      </c>
      <c r="B2561" s="1">
        <v>45468</v>
      </c>
      <c r="C2561" s="11">
        <f t="shared" si="117"/>
        <v>2024</v>
      </c>
      <c r="D2561" t="s">
        <v>282</v>
      </c>
      <c r="E2561" t="s">
        <v>18</v>
      </c>
      <c r="F2561" t="s">
        <v>19</v>
      </c>
      <c r="G2561" t="s">
        <v>14</v>
      </c>
      <c r="H2561">
        <v>3</v>
      </c>
      <c r="I2561" s="2">
        <v>598.85</v>
      </c>
      <c r="J2561" s="2">
        <v>1796.55</v>
      </c>
      <c r="K2561" s="2">
        <f t="shared" si="118"/>
        <v>1796.5500000000002</v>
      </c>
      <c r="L2561" s="2">
        <f t="shared" si="119"/>
        <v>0</v>
      </c>
      <c r="M2561" t="s">
        <v>38</v>
      </c>
      <c r="N2561" t="s">
        <v>26</v>
      </c>
    </row>
    <row r="2562" spans="1:14" x14ac:dyDescent="0.3">
      <c r="A2562">
        <v>2024003560</v>
      </c>
      <c r="B2562" s="1">
        <v>45657</v>
      </c>
      <c r="C2562" s="11">
        <f t="shared" si="117"/>
        <v>2024</v>
      </c>
      <c r="D2562" t="s">
        <v>75</v>
      </c>
      <c r="E2562" t="s">
        <v>40</v>
      </c>
      <c r="F2562" t="s">
        <v>41</v>
      </c>
      <c r="G2562" t="s">
        <v>36</v>
      </c>
      <c r="H2562">
        <v>1</v>
      </c>
      <c r="I2562" s="2">
        <v>43.58</v>
      </c>
      <c r="J2562" s="2">
        <v>43.58</v>
      </c>
      <c r="K2562" s="2">
        <f t="shared" si="118"/>
        <v>43.58</v>
      </c>
      <c r="L2562" s="2">
        <f t="shared" si="119"/>
        <v>0</v>
      </c>
      <c r="M2562" t="s">
        <v>38</v>
      </c>
      <c r="N2562" t="s">
        <v>21</v>
      </c>
    </row>
    <row r="2563" spans="1:14" x14ac:dyDescent="0.3">
      <c r="A2563">
        <v>2024003561</v>
      </c>
      <c r="B2563" s="1">
        <v>45424</v>
      </c>
      <c r="C2563" s="11">
        <f t="shared" ref="C2563:C2626" si="120">YEAR(B2563)</f>
        <v>2024</v>
      </c>
      <c r="D2563" t="s">
        <v>11</v>
      </c>
      <c r="E2563" t="s">
        <v>40</v>
      </c>
      <c r="F2563" t="s">
        <v>41</v>
      </c>
      <c r="G2563" t="s">
        <v>36</v>
      </c>
      <c r="H2563">
        <v>2</v>
      </c>
      <c r="I2563" s="2">
        <v>42.23</v>
      </c>
      <c r="J2563" s="2">
        <v>84.46</v>
      </c>
      <c r="K2563" s="2">
        <f t="shared" ref="K2563:K2626" si="121">I2563*H2563</f>
        <v>84.46</v>
      </c>
      <c r="L2563" s="2">
        <f t="shared" ref="L2563:L2626" si="122">J2563-K2563</f>
        <v>0</v>
      </c>
      <c r="M2563" t="s">
        <v>25</v>
      </c>
      <c r="N2563" t="s">
        <v>21</v>
      </c>
    </row>
    <row r="2564" spans="1:14" x14ac:dyDescent="0.3">
      <c r="A2564">
        <v>2024003562</v>
      </c>
      <c r="B2564" s="1">
        <v>45542</v>
      </c>
      <c r="C2564" s="11">
        <f t="shared" si="120"/>
        <v>2024</v>
      </c>
      <c r="D2564" t="s">
        <v>294</v>
      </c>
      <c r="E2564" t="s">
        <v>28</v>
      </c>
      <c r="F2564" t="s">
        <v>29</v>
      </c>
      <c r="G2564" t="s">
        <v>30</v>
      </c>
      <c r="H2564">
        <v>2</v>
      </c>
      <c r="I2564" s="2">
        <v>24.05</v>
      </c>
      <c r="J2564" s="2">
        <v>48.1</v>
      </c>
      <c r="K2564" s="2">
        <f t="shared" si="121"/>
        <v>48.1</v>
      </c>
      <c r="L2564" s="2">
        <f t="shared" si="122"/>
        <v>0</v>
      </c>
      <c r="M2564" t="s">
        <v>64</v>
      </c>
      <c r="N2564" t="s">
        <v>21</v>
      </c>
    </row>
    <row r="2565" spans="1:14" x14ac:dyDescent="0.3">
      <c r="A2565">
        <v>2024003563</v>
      </c>
      <c r="B2565" s="1">
        <v>45473</v>
      </c>
      <c r="C2565" s="11">
        <f t="shared" si="120"/>
        <v>2024</v>
      </c>
      <c r="D2565" t="s">
        <v>122</v>
      </c>
      <c r="E2565" t="s">
        <v>43</v>
      </c>
      <c r="F2565" t="s">
        <v>44</v>
      </c>
      <c r="G2565" t="s">
        <v>36</v>
      </c>
      <c r="H2565">
        <v>1</v>
      </c>
      <c r="I2565" s="2">
        <v>1237.3399999999999</v>
      </c>
      <c r="J2565" s="2">
        <v>1237.3399999999999</v>
      </c>
      <c r="K2565" s="2">
        <f t="shared" si="121"/>
        <v>1237.3399999999999</v>
      </c>
      <c r="L2565" s="2">
        <f t="shared" si="122"/>
        <v>0</v>
      </c>
      <c r="M2565" t="s">
        <v>15</v>
      </c>
      <c r="N2565" t="s">
        <v>26</v>
      </c>
    </row>
    <row r="2566" spans="1:14" x14ac:dyDescent="0.3">
      <c r="A2566">
        <v>2024003564</v>
      </c>
      <c r="B2566" s="1">
        <v>45639</v>
      </c>
      <c r="C2566" s="11">
        <f t="shared" si="120"/>
        <v>2024</v>
      </c>
      <c r="D2566" t="s">
        <v>291</v>
      </c>
      <c r="E2566" t="s">
        <v>34</v>
      </c>
      <c r="F2566" t="s">
        <v>35</v>
      </c>
      <c r="G2566" t="s">
        <v>36</v>
      </c>
      <c r="H2566">
        <v>1</v>
      </c>
      <c r="I2566" s="2">
        <v>14.35</v>
      </c>
      <c r="J2566" s="2">
        <v>14.35</v>
      </c>
      <c r="K2566" s="2">
        <f t="shared" si="121"/>
        <v>14.35</v>
      </c>
      <c r="L2566" s="2">
        <f t="shared" si="122"/>
        <v>0</v>
      </c>
      <c r="M2566" t="s">
        <v>31</v>
      </c>
      <c r="N2566" t="s">
        <v>16</v>
      </c>
    </row>
    <row r="2567" spans="1:14" x14ac:dyDescent="0.3">
      <c r="A2567">
        <v>2024003565</v>
      </c>
      <c r="B2567" s="1">
        <v>45518</v>
      </c>
      <c r="C2567" s="11">
        <f t="shared" si="120"/>
        <v>2024</v>
      </c>
      <c r="D2567" t="s">
        <v>130</v>
      </c>
      <c r="E2567" t="s">
        <v>40</v>
      </c>
      <c r="F2567" t="s">
        <v>41</v>
      </c>
      <c r="G2567" t="s">
        <v>36</v>
      </c>
      <c r="H2567">
        <v>2</v>
      </c>
      <c r="I2567" s="2">
        <v>43.98</v>
      </c>
      <c r="J2567" s="2">
        <v>87.96</v>
      </c>
      <c r="K2567" s="2">
        <f t="shared" si="121"/>
        <v>87.96</v>
      </c>
      <c r="L2567" s="2">
        <f t="shared" si="122"/>
        <v>0</v>
      </c>
      <c r="M2567" t="s">
        <v>57</v>
      </c>
      <c r="N2567" t="s">
        <v>21</v>
      </c>
    </row>
    <row r="2568" spans="1:14" x14ac:dyDescent="0.3">
      <c r="A2568">
        <v>2024003566</v>
      </c>
      <c r="B2568" s="1">
        <v>45506</v>
      </c>
      <c r="C2568" s="11">
        <f t="shared" si="120"/>
        <v>2024</v>
      </c>
      <c r="D2568" t="s">
        <v>291</v>
      </c>
      <c r="E2568" t="s">
        <v>18</v>
      </c>
      <c r="F2568" t="s">
        <v>19</v>
      </c>
      <c r="G2568" t="s">
        <v>14</v>
      </c>
      <c r="H2568">
        <v>1</v>
      </c>
      <c r="I2568" s="2">
        <v>615.57000000000005</v>
      </c>
      <c r="J2568" s="2">
        <v>615.57000000000005</v>
      </c>
      <c r="K2568" s="2">
        <f t="shared" si="121"/>
        <v>615.57000000000005</v>
      </c>
      <c r="L2568" s="2">
        <f t="shared" si="122"/>
        <v>0</v>
      </c>
      <c r="M2568" t="s">
        <v>38</v>
      </c>
      <c r="N2568" t="s">
        <v>21</v>
      </c>
    </row>
    <row r="2569" spans="1:14" x14ac:dyDescent="0.3">
      <c r="A2569">
        <v>2024003567</v>
      </c>
      <c r="B2569" s="1">
        <v>45621</v>
      </c>
      <c r="C2569" s="11">
        <f t="shared" si="120"/>
        <v>2024</v>
      </c>
      <c r="D2569" t="s">
        <v>11</v>
      </c>
      <c r="E2569" t="s">
        <v>23</v>
      </c>
      <c r="F2569" t="s">
        <v>24</v>
      </c>
      <c r="G2569" t="s">
        <v>14</v>
      </c>
      <c r="H2569">
        <v>2</v>
      </c>
      <c r="I2569" s="2">
        <v>78.06</v>
      </c>
      <c r="J2569" s="2">
        <v>156.12</v>
      </c>
      <c r="K2569" s="2">
        <f t="shared" si="121"/>
        <v>156.12</v>
      </c>
      <c r="L2569" s="2">
        <f t="shared" si="122"/>
        <v>0</v>
      </c>
      <c r="M2569" t="s">
        <v>48</v>
      </c>
      <c r="N2569" t="s">
        <v>26</v>
      </c>
    </row>
    <row r="2570" spans="1:14" x14ac:dyDescent="0.3">
      <c r="A2570">
        <v>2024003568</v>
      </c>
      <c r="B2570" s="1">
        <v>45536</v>
      </c>
      <c r="C2570" s="11">
        <f t="shared" si="120"/>
        <v>2024</v>
      </c>
      <c r="D2570" t="s">
        <v>231</v>
      </c>
      <c r="E2570" t="s">
        <v>12</v>
      </c>
      <c r="F2570" t="s">
        <v>13</v>
      </c>
      <c r="G2570" t="s">
        <v>14</v>
      </c>
      <c r="H2570">
        <v>1</v>
      </c>
      <c r="I2570" s="2">
        <v>366.39</v>
      </c>
      <c r="J2570" s="2">
        <v>366.39</v>
      </c>
      <c r="K2570" s="2">
        <f t="shared" si="121"/>
        <v>366.39</v>
      </c>
      <c r="L2570" s="2">
        <f t="shared" si="122"/>
        <v>0</v>
      </c>
      <c r="M2570" t="s">
        <v>15</v>
      </c>
      <c r="N2570" t="s">
        <v>32</v>
      </c>
    </row>
    <row r="2571" spans="1:14" x14ac:dyDescent="0.3">
      <c r="A2571">
        <v>2024003569</v>
      </c>
      <c r="B2571" s="1">
        <v>45367</v>
      </c>
      <c r="C2571" s="11">
        <f t="shared" si="120"/>
        <v>2024</v>
      </c>
      <c r="D2571" t="s">
        <v>72</v>
      </c>
      <c r="E2571" t="s">
        <v>12</v>
      </c>
      <c r="F2571" t="s">
        <v>13</v>
      </c>
      <c r="G2571" t="s">
        <v>14</v>
      </c>
      <c r="H2571">
        <v>4</v>
      </c>
      <c r="I2571" s="2">
        <v>346.63</v>
      </c>
      <c r="J2571" s="2">
        <v>1386.52</v>
      </c>
      <c r="K2571" s="2">
        <f t="shared" si="121"/>
        <v>1386.52</v>
      </c>
      <c r="L2571" s="2">
        <f t="shared" si="122"/>
        <v>0</v>
      </c>
      <c r="M2571" t="s">
        <v>48</v>
      </c>
      <c r="N2571" t="s">
        <v>16</v>
      </c>
    </row>
    <row r="2572" spans="1:14" x14ac:dyDescent="0.3">
      <c r="A2572">
        <v>2024003570</v>
      </c>
      <c r="B2572" s="1">
        <v>45304</v>
      </c>
      <c r="C2572" s="11">
        <f t="shared" si="120"/>
        <v>2024</v>
      </c>
      <c r="D2572" t="s">
        <v>102</v>
      </c>
      <c r="E2572" t="s">
        <v>40</v>
      </c>
      <c r="F2572" t="s">
        <v>41</v>
      </c>
      <c r="G2572" t="s">
        <v>36</v>
      </c>
      <c r="H2572">
        <v>1</v>
      </c>
      <c r="I2572" s="2">
        <v>44.96</v>
      </c>
      <c r="J2572" s="2">
        <v>44.96</v>
      </c>
      <c r="K2572" s="2">
        <f t="shared" si="121"/>
        <v>44.96</v>
      </c>
      <c r="L2572" s="2">
        <f t="shared" si="122"/>
        <v>0</v>
      </c>
      <c r="M2572" t="s">
        <v>64</v>
      </c>
      <c r="N2572" t="s">
        <v>32</v>
      </c>
    </row>
    <row r="2573" spans="1:14" x14ac:dyDescent="0.3">
      <c r="A2573">
        <v>2024003571</v>
      </c>
      <c r="B2573" s="1">
        <v>45292</v>
      </c>
      <c r="C2573" s="11">
        <f t="shared" si="120"/>
        <v>2024</v>
      </c>
      <c r="D2573" t="s">
        <v>279</v>
      </c>
      <c r="E2573" t="s">
        <v>53</v>
      </c>
      <c r="F2573" t="s">
        <v>54</v>
      </c>
      <c r="G2573" t="s">
        <v>36</v>
      </c>
      <c r="H2573">
        <v>2</v>
      </c>
      <c r="I2573" s="2">
        <v>119.3</v>
      </c>
      <c r="J2573" s="2">
        <v>238.6</v>
      </c>
      <c r="K2573" s="2">
        <f t="shared" si="121"/>
        <v>238.6</v>
      </c>
      <c r="L2573" s="2">
        <f t="shared" si="122"/>
        <v>0</v>
      </c>
      <c r="M2573" t="s">
        <v>55</v>
      </c>
      <c r="N2573" t="s">
        <v>16</v>
      </c>
    </row>
    <row r="2574" spans="1:14" x14ac:dyDescent="0.3">
      <c r="A2574">
        <v>2024003572</v>
      </c>
      <c r="B2574" s="1">
        <v>45467</v>
      </c>
      <c r="C2574" s="11">
        <f t="shared" si="120"/>
        <v>2024</v>
      </c>
      <c r="D2574" t="s">
        <v>11</v>
      </c>
      <c r="E2574" t="s">
        <v>43</v>
      </c>
      <c r="F2574" t="s">
        <v>44</v>
      </c>
      <c r="G2574" t="s">
        <v>36</v>
      </c>
      <c r="H2574">
        <v>2</v>
      </c>
      <c r="I2574" s="2">
        <v>1687.46</v>
      </c>
      <c r="J2574" s="2">
        <v>3374.92</v>
      </c>
      <c r="K2574" s="2">
        <f t="shared" si="121"/>
        <v>3374.92</v>
      </c>
      <c r="L2574" s="2">
        <f t="shared" si="122"/>
        <v>0</v>
      </c>
      <c r="M2574" t="s">
        <v>15</v>
      </c>
      <c r="N2574" t="s">
        <v>16</v>
      </c>
    </row>
    <row r="2575" spans="1:14" x14ac:dyDescent="0.3">
      <c r="A2575">
        <v>2024001089</v>
      </c>
      <c r="B2575" s="1">
        <v>45434</v>
      </c>
      <c r="C2575" s="11">
        <f t="shared" si="120"/>
        <v>2024</v>
      </c>
      <c r="D2575" t="s">
        <v>290</v>
      </c>
      <c r="E2575" t="s">
        <v>18</v>
      </c>
      <c r="F2575" t="s">
        <v>19</v>
      </c>
      <c r="G2575" t="s">
        <v>14</v>
      </c>
      <c r="H2575">
        <v>2</v>
      </c>
      <c r="I2575" s="2">
        <v>550.33000000000004</v>
      </c>
      <c r="J2575" s="2">
        <v>1100.6600000000001</v>
      </c>
      <c r="K2575" s="2">
        <f t="shared" si="121"/>
        <v>1100.6600000000001</v>
      </c>
      <c r="L2575" s="2">
        <f t="shared" si="122"/>
        <v>0</v>
      </c>
      <c r="M2575" t="s">
        <v>38</v>
      </c>
      <c r="N2575" t="s">
        <v>26</v>
      </c>
    </row>
    <row r="2576" spans="1:14" x14ac:dyDescent="0.3">
      <c r="A2576">
        <v>2024003574</v>
      </c>
      <c r="B2576" s="1">
        <v>45476</v>
      </c>
      <c r="C2576" s="11">
        <f t="shared" si="120"/>
        <v>2024</v>
      </c>
      <c r="D2576" t="s">
        <v>328</v>
      </c>
      <c r="E2576" t="s">
        <v>23</v>
      </c>
      <c r="F2576" t="s">
        <v>24</v>
      </c>
      <c r="G2576" t="s">
        <v>14</v>
      </c>
      <c r="H2576">
        <v>2</v>
      </c>
      <c r="I2576" s="2">
        <v>77.209999999999994</v>
      </c>
      <c r="J2576" s="2">
        <v>154.41999999999999</v>
      </c>
      <c r="K2576" s="2">
        <f t="shared" si="121"/>
        <v>154.41999999999999</v>
      </c>
      <c r="L2576" s="2">
        <f t="shared" si="122"/>
        <v>0</v>
      </c>
      <c r="M2576" t="s">
        <v>15</v>
      </c>
      <c r="N2576" t="s">
        <v>16</v>
      </c>
    </row>
    <row r="2577" spans="1:14" x14ac:dyDescent="0.3">
      <c r="A2577">
        <v>2024003575</v>
      </c>
      <c r="B2577" s="1">
        <v>45615</v>
      </c>
      <c r="C2577" s="11">
        <f t="shared" si="120"/>
        <v>2024</v>
      </c>
      <c r="D2577" t="s">
        <v>201</v>
      </c>
      <c r="E2577" t="s">
        <v>46</v>
      </c>
      <c r="F2577" t="s">
        <v>47</v>
      </c>
      <c r="G2577" t="s">
        <v>36</v>
      </c>
      <c r="H2577">
        <v>1</v>
      </c>
      <c r="I2577" s="2">
        <v>90.55</v>
      </c>
      <c r="J2577" s="2">
        <v>90.55</v>
      </c>
      <c r="K2577" s="2">
        <f t="shared" si="121"/>
        <v>90.55</v>
      </c>
      <c r="L2577" s="2">
        <f t="shared" si="122"/>
        <v>0</v>
      </c>
      <c r="M2577" t="s">
        <v>64</v>
      </c>
      <c r="N2577" t="s">
        <v>26</v>
      </c>
    </row>
    <row r="2578" spans="1:14" x14ac:dyDescent="0.3">
      <c r="A2578">
        <v>2024003576</v>
      </c>
      <c r="B2578" s="1">
        <v>45444</v>
      </c>
      <c r="C2578" s="11">
        <f t="shared" si="120"/>
        <v>2024</v>
      </c>
      <c r="D2578" t="s">
        <v>342</v>
      </c>
      <c r="E2578" t="s">
        <v>40</v>
      </c>
      <c r="F2578" t="s">
        <v>41</v>
      </c>
      <c r="G2578" t="s">
        <v>36</v>
      </c>
      <c r="H2578">
        <v>4</v>
      </c>
      <c r="I2578" s="2">
        <v>46.51</v>
      </c>
      <c r="J2578" s="2">
        <v>186.04</v>
      </c>
      <c r="K2578" s="2">
        <f t="shared" si="121"/>
        <v>186.04</v>
      </c>
      <c r="L2578" s="2">
        <f t="shared" si="122"/>
        <v>0</v>
      </c>
      <c r="M2578" t="s">
        <v>38</v>
      </c>
      <c r="N2578" t="s">
        <v>26</v>
      </c>
    </row>
    <row r="2579" spans="1:14" x14ac:dyDescent="0.3">
      <c r="A2579">
        <v>2024003577</v>
      </c>
      <c r="B2579" s="1">
        <v>45600</v>
      </c>
      <c r="C2579" s="11">
        <f t="shared" si="120"/>
        <v>2024</v>
      </c>
      <c r="D2579" t="s">
        <v>11</v>
      </c>
      <c r="E2579" t="s">
        <v>34</v>
      </c>
      <c r="F2579" t="s">
        <v>35</v>
      </c>
      <c r="G2579" t="s">
        <v>36</v>
      </c>
      <c r="H2579">
        <v>1</v>
      </c>
      <c r="I2579" s="2">
        <v>15.19</v>
      </c>
      <c r="J2579" s="2">
        <v>15.19</v>
      </c>
      <c r="K2579" s="2">
        <f t="shared" si="121"/>
        <v>15.19</v>
      </c>
      <c r="L2579" s="2">
        <f t="shared" si="122"/>
        <v>0</v>
      </c>
      <c r="M2579" t="s">
        <v>38</v>
      </c>
      <c r="N2579" t="s">
        <v>21</v>
      </c>
    </row>
    <row r="2580" spans="1:14" x14ac:dyDescent="0.3">
      <c r="A2580">
        <v>2024003578</v>
      </c>
      <c r="B2580" s="1">
        <v>45602</v>
      </c>
      <c r="C2580" s="11">
        <f t="shared" si="120"/>
        <v>2024</v>
      </c>
      <c r="D2580" t="s">
        <v>33</v>
      </c>
      <c r="E2580" t="s">
        <v>43</v>
      </c>
      <c r="F2580" t="s">
        <v>44</v>
      </c>
      <c r="G2580" t="s">
        <v>36</v>
      </c>
      <c r="H2580">
        <v>4</v>
      </c>
      <c r="I2580" s="2">
        <v>1235.4100000000001</v>
      </c>
      <c r="J2580" s="2">
        <v>4941.6400000000003</v>
      </c>
      <c r="K2580" s="2">
        <f t="shared" si="121"/>
        <v>4941.6400000000003</v>
      </c>
      <c r="L2580" s="2">
        <f t="shared" si="122"/>
        <v>0</v>
      </c>
      <c r="M2580" t="s">
        <v>61</v>
      </c>
      <c r="N2580" t="s">
        <v>26</v>
      </c>
    </row>
    <row r="2581" spans="1:14" x14ac:dyDescent="0.3">
      <c r="A2581">
        <v>2024003579</v>
      </c>
      <c r="B2581" s="1">
        <v>45488</v>
      </c>
      <c r="C2581" s="11">
        <f t="shared" si="120"/>
        <v>2024</v>
      </c>
      <c r="D2581" t="s">
        <v>97</v>
      </c>
      <c r="E2581" t="s">
        <v>46</v>
      </c>
      <c r="F2581" t="s">
        <v>47</v>
      </c>
      <c r="G2581" t="s">
        <v>36</v>
      </c>
      <c r="H2581">
        <v>1</v>
      </c>
      <c r="I2581" s="2">
        <v>91.56</v>
      </c>
      <c r="J2581" s="2">
        <v>91.56</v>
      </c>
      <c r="K2581" s="2">
        <f t="shared" si="121"/>
        <v>91.56</v>
      </c>
      <c r="L2581" s="2">
        <f t="shared" si="122"/>
        <v>0</v>
      </c>
      <c r="M2581" t="s">
        <v>38</v>
      </c>
      <c r="N2581" t="s">
        <v>16</v>
      </c>
    </row>
    <row r="2582" spans="1:14" x14ac:dyDescent="0.3">
      <c r="A2582">
        <v>2024003580</v>
      </c>
      <c r="B2582" s="1">
        <v>45540</v>
      </c>
      <c r="C2582" s="11">
        <f t="shared" si="120"/>
        <v>2024</v>
      </c>
      <c r="D2582" t="s">
        <v>268</v>
      </c>
      <c r="E2582" t="s">
        <v>53</v>
      </c>
      <c r="F2582" t="s">
        <v>54</v>
      </c>
      <c r="G2582" t="s">
        <v>36</v>
      </c>
      <c r="H2582">
        <v>2</v>
      </c>
      <c r="I2582" s="2">
        <v>126.14</v>
      </c>
      <c r="J2582" s="2">
        <v>252.28</v>
      </c>
      <c r="K2582" s="2">
        <f t="shared" si="121"/>
        <v>252.28</v>
      </c>
      <c r="L2582" s="2">
        <f t="shared" si="122"/>
        <v>0</v>
      </c>
      <c r="M2582" t="s">
        <v>25</v>
      </c>
      <c r="N2582" t="s">
        <v>21</v>
      </c>
    </row>
    <row r="2583" spans="1:14" x14ac:dyDescent="0.3">
      <c r="A2583">
        <v>2024003581</v>
      </c>
      <c r="B2583" s="1">
        <v>45374</v>
      </c>
      <c r="C2583" s="11">
        <f t="shared" si="120"/>
        <v>2024</v>
      </c>
      <c r="D2583" t="s">
        <v>123</v>
      </c>
      <c r="E2583" t="s">
        <v>40</v>
      </c>
      <c r="F2583" t="s">
        <v>41</v>
      </c>
      <c r="G2583" t="s">
        <v>36</v>
      </c>
      <c r="H2583">
        <v>2</v>
      </c>
      <c r="I2583" s="2">
        <v>44.52</v>
      </c>
      <c r="J2583" s="2">
        <v>89.04</v>
      </c>
      <c r="K2583" s="2">
        <f t="shared" si="121"/>
        <v>89.04</v>
      </c>
      <c r="L2583" s="2">
        <f t="shared" si="122"/>
        <v>0</v>
      </c>
      <c r="M2583" t="s">
        <v>20</v>
      </c>
      <c r="N2583" t="s">
        <v>32</v>
      </c>
    </row>
    <row r="2584" spans="1:14" x14ac:dyDescent="0.3">
      <c r="A2584">
        <v>2024003582</v>
      </c>
      <c r="B2584" s="1">
        <v>45562</v>
      </c>
      <c r="C2584" s="11">
        <f t="shared" si="120"/>
        <v>2024</v>
      </c>
      <c r="D2584" t="s">
        <v>278</v>
      </c>
      <c r="E2584" t="s">
        <v>18</v>
      </c>
      <c r="F2584" t="s">
        <v>19</v>
      </c>
      <c r="G2584" t="s">
        <v>14</v>
      </c>
      <c r="H2584">
        <v>3</v>
      </c>
      <c r="I2584" s="2">
        <v>544.01</v>
      </c>
      <c r="J2584" s="2">
        <v>1632.03</v>
      </c>
      <c r="K2584" s="2">
        <f t="shared" si="121"/>
        <v>1632.03</v>
      </c>
      <c r="L2584" s="2">
        <f t="shared" si="122"/>
        <v>0</v>
      </c>
      <c r="M2584" t="s">
        <v>31</v>
      </c>
      <c r="N2584" t="s">
        <v>26</v>
      </c>
    </row>
    <row r="2585" spans="1:14" x14ac:dyDescent="0.3">
      <c r="A2585">
        <v>2024003583</v>
      </c>
      <c r="B2585" s="1">
        <v>45631</v>
      </c>
      <c r="C2585" s="11">
        <f t="shared" si="120"/>
        <v>2024</v>
      </c>
      <c r="D2585" t="s">
        <v>280</v>
      </c>
      <c r="E2585" t="s">
        <v>53</v>
      </c>
      <c r="F2585" t="s">
        <v>54</v>
      </c>
      <c r="G2585" t="s">
        <v>36</v>
      </c>
      <c r="H2585">
        <v>1</v>
      </c>
      <c r="I2585" s="2">
        <v>115.44</v>
      </c>
      <c r="J2585" s="2">
        <v>115.44</v>
      </c>
      <c r="K2585" s="2">
        <f t="shared" si="121"/>
        <v>115.44</v>
      </c>
      <c r="L2585" s="2">
        <f t="shared" si="122"/>
        <v>0</v>
      </c>
      <c r="M2585" t="s">
        <v>20</v>
      </c>
      <c r="N2585" t="s">
        <v>32</v>
      </c>
    </row>
    <row r="2586" spans="1:14" x14ac:dyDescent="0.3">
      <c r="A2586">
        <v>2024003584</v>
      </c>
      <c r="B2586" s="1">
        <v>45417</v>
      </c>
      <c r="C2586" s="11">
        <f t="shared" si="120"/>
        <v>2024</v>
      </c>
      <c r="D2586" t="s">
        <v>58</v>
      </c>
      <c r="E2586" t="s">
        <v>40</v>
      </c>
      <c r="F2586" t="s">
        <v>41</v>
      </c>
      <c r="G2586" t="s">
        <v>36</v>
      </c>
      <c r="H2586">
        <v>2</v>
      </c>
      <c r="I2586" s="2">
        <v>44.13</v>
      </c>
      <c r="J2586" s="2">
        <v>88.26</v>
      </c>
      <c r="K2586" s="2">
        <f t="shared" si="121"/>
        <v>88.26</v>
      </c>
      <c r="L2586" s="2">
        <f t="shared" si="122"/>
        <v>0</v>
      </c>
      <c r="M2586" t="s">
        <v>48</v>
      </c>
      <c r="N2586" t="s">
        <v>21</v>
      </c>
    </row>
    <row r="2587" spans="1:14" x14ac:dyDescent="0.3">
      <c r="A2587">
        <v>2024003585</v>
      </c>
      <c r="B2587" s="1">
        <v>45481</v>
      </c>
      <c r="C2587" s="11">
        <f t="shared" si="120"/>
        <v>2024</v>
      </c>
      <c r="D2587" t="s">
        <v>98</v>
      </c>
      <c r="E2587" t="s">
        <v>67</v>
      </c>
      <c r="F2587" t="s">
        <v>68</v>
      </c>
      <c r="G2587" t="s">
        <v>36</v>
      </c>
      <c r="H2587">
        <v>1</v>
      </c>
      <c r="I2587" s="2">
        <v>419.65</v>
      </c>
      <c r="J2587" s="2">
        <v>419.65</v>
      </c>
      <c r="K2587" s="2">
        <f t="shared" si="121"/>
        <v>419.65</v>
      </c>
      <c r="L2587" s="2">
        <f t="shared" si="122"/>
        <v>0</v>
      </c>
      <c r="M2587" t="s">
        <v>38</v>
      </c>
      <c r="N2587" t="s">
        <v>26</v>
      </c>
    </row>
    <row r="2588" spans="1:14" x14ac:dyDescent="0.3">
      <c r="A2588">
        <v>2024003586</v>
      </c>
      <c r="B2588" s="1">
        <v>45367</v>
      </c>
      <c r="C2588" s="11">
        <f t="shared" si="120"/>
        <v>2024</v>
      </c>
      <c r="D2588" t="s">
        <v>105</v>
      </c>
      <c r="E2588" t="s">
        <v>18</v>
      </c>
      <c r="F2588" t="s">
        <v>19</v>
      </c>
      <c r="G2588" t="s">
        <v>14</v>
      </c>
      <c r="H2588">
        <v>3</v>
      </c>
      <c r="I2588" s="2">
        <v>661.06</v>
      </c>
      <c r="J2588" s="2">
        <v>1983.18</v>
      </c>
      <c r="K2588" s="2">
        <f t="shared" si="121"/>
        <v>1983.1799999999998</v>
      </c>
      <c r="L2588" s="2">
        <f t="shared" si="122"/>
        <v>0</v>
      </c>
      <c r="M2588" t="s">
        <v>57</v>
      </c>
      <c r="N2588" t="s">
        <v>32</v>
      </c>
    </row>
    <row r="2589" spans="1:14" x14ac:dyDescent="0.3">
      <c r="A2589">
        <v>2024003587</v>
      </c>
      <c r="B2589" s="1">
        <v>45319</v>
      </c>
      <c r="C2589" s="11">
        <f t="shared" si="120"/>
        <v>2024</v>
      </c>
      <c r="D2589" t="s">
        <v>304</v>
      </c>
      <c r="E2589" t="s">
        <v>43</v>
      </c>
      <c r="F2589" t="s">
        <v>44</v>
      </c>
      <c r="G2589" t="s">
        <v>36</v>
      </c>
      <c r="H2589">
        <v>1</v>
      </c>
      <c r="I2589" s="2">
        <v>1288.53</v>
      </c>
      <c r="J2589" s="2">
        <v>1288.53</v>
      </c>
      <c r="K2589" s="2">
        <f t="shared" si="121"/>
        <v>1288.53</v>
      </c>
      <c r="L2589" s="2">
        <f t="shared" si="122"/>
        <v>0</v>
      </c>
      <c r="M2589" t="s">
        <v>64</v>
      </c>
      <c r="N2589" t="s">
        <v>26</v>
      </c>
    </row>
    <row r="2590" spans="1:14" x14ac:dyDescent="0.3">
      <c r="A2590">
        <v>2024003588</v>
      </c>
      <c r="B2590" s="1">
        <v>45510</v>
      </c>
      <c r="C2590" s="11">
        <f t="shared" si="120"/>
        <v>2024</v>
      </c>
      <c r="D2590" t="s">
        <v>302</v>
      </c>
      <c r="E2590" t="s">
        <v>34</v>
      </c>
      <c r="F2590" t="s">
        <v>35</v>
      </c>
      <c r="G2590" t="s">
        <v>36</v>
      </c>
      <c r="H2590">
        <v>1</v>
      </c>
      <c r="I2590" s="2">
        <v>14.66</v>
      </c>
      <c r="J2590" s="2">
        <v>14.66</v>
      </c>
      <c r="K2590" s="2">
        <f t="shared" si="121"/>
        <v>14.66</v>
      </c>
      <c r="L2590" s="2">
        <f t="shared" si="122"/>
        <v>0</v>
      </c>
      <c r="M2590" t="s">
        <v>64</v>
      </c>
      <c r="N2590" t="s">
        <v>26</v>
      </c>
    </row>
    <row r="2591" spans="1:14" x14ac:dyDescent="0.3">
      <c r="A2591">
        <v>2024003589</v>
      </c>
      <c r="B2591" s="1">
        <v>45307</v>
      </c>
      <c r="C2591" s="11">
        <f t="shared" si="120"/>
        <v>2024</v>
      </c>
      <c r="D2591" t="s">
        <v>174</v>
      </c>
      <c r="E2591" t="s">
        <v>12</v>
      </c>
      <c r="F2591" t="s">
        <v>13</v>
      </c>
      <c r="G2591" t="s">
        <v>14</v>
      </c>
      <c r="H2591">
        <v>1</v>
      </c>
      <c r="I2591" s="2">
        <v>372.54</v>
      </c>
      <c r="J2591" s="2">
        <v>372.54</v>
      </c>
      <c r="K2591" s="2">
        <f t="shared" si="121"/>
        <v>372.54</v>
      </c>
      <c r="L2591" s="2">
        <f t="shared" si="122"/>
        <v>0</v>
      </c>
      <c r="M2591" t="s">
        <v>15</v>
      </c>
      <c r="N2591" t="s">
        <v>16</v>
      </c>
    </row>
    <row r="2592" spans="1:14" x14ac:dyDescent="0.3">
      <c r="A2592">
        <v>2024003590</v>
      </c>
      <c r="B2592" s="1">
        <v>45358</v>
      </c>
      <c r="C2592" s="11">
        <f t="shared" si="120"/>
        <v>2024</v>
      </c>
      <c r="D2592" t="s">
        <v>242</v>
      </c>
      <c r="E2592" t="s">
        <v>67</v>
      </c>
      <c r="F2592" t="s">
        <v>68</v>
      </c>
      <c r="G2592" t="s">
        <v>36</v>
      </c>
      <c r="H2592">
        <v>2</v>
      </c>
      <c r="I2592" s="2">
        <v>422</v>
      </c>
      <c r="J2592" s="2">
        <v>844</v>
      </c>
      <c r="K2592" s="2">
        <f t="shared" si="121"/>
        <v>844</v>
      </c>
      <c r="L2592" s="2">
        <f t="shared" si="122"/>
        <v>0</v>
      </c>
      <c r="M2592" t="s">
        <v>61</v>
      </c>
      <c r="N2592" t="s">
        <v>32</v>
      </c>
    </row>
    <row r="2593" spans="1:14" x14ac:dyDescent="0.3">
      <c r="A2593">
        <v>2024003591</v>
      </c>
      <c r="B2593" s="1">
        <v>45318</v>
      </c>
      <c r="C2593" s="11">
        <f t="shared" si="120"/>
        <v>2024</v>
      </c>
      <c r="D2593" t="s">
        <v>11</v>
      </c>
      <c r="E2593" t="s">
        <v>43</v>
      </c>
      <c r="F2593" t="s">
        <v>44</v>
      </c>
      <c r="G2593" t="s">
        <v>36</v>
      </c>
      <c r="H2593">
        <v>2</v>
      </c>
      <c r="I2593" s="2">
        <v>1194.3499999999999</v>
      </c>
      <c r="J2593" s="2">
        <v>2388.6999999999998</v>
      </c>
      <c r="K2593" s="2">
        <f t="shared" si="121"/>
        <v>2388.6999999999998</v>
      </c>
      <c r="L2593" s="2">
        <f t="shared" si="122"/>
        <v>0</v>
      </c>
      <c r="M2593" t="s">
        <v>15</v>
      </c>
      <c r="N2593" t="s">
        <v>26</v>
      </c>
    </row>
    <row r="2594" spans="1:14" x14ac:dyDescent="0.3">
      <c r="A2594">
        <v>2024003592</v>
      </c>
      <c r="B2594" s="1">
        <v>45332</v>
      </c>
      <c r="C2594" s="11">
        <f t="shared" si="120"/>
        <v>2024</v>
      </c>
      <c r="D2594" t="s">
        <v>76</v>
      </c>
      <c r="E2594" t="s">
        <v>23</v>
      </c>
      <c r="F2594" t="s">
        <v>24</v>
      </c>
      <c r="G2594" t="s">
        <v>14</v>
      </c>
      <c r="H2594">
        <v>3</v>
      </c>
      <c r="I2594" s="2">
        <v>80.290000000000006</v>
      </c>
      <c r="J2594" s="2">
        <v>240.87</v>
      </c>
      <c r="K2594" s="2">
        <f t="shared" si="121"/>
        <v>240.87</v>
      </c>
      <c r="L2594" s="2">
        <f t="shared" si="122"/>
        <v>0</v>
      </c>
      <c r="M2594" t="s">
        <v>64</v>
      </c>
      <c r="N2594" t="s">
        <v>32</v>
      </c>
    </row>
    <row r="2595" spans="1:14" x14ac:dyDescent="0.3">
      <c r="A2595">
        <v>2024003593</v>
      </c>
      <c r="B2595" s="1">
        <v>45331</v>
      </c>
      <c r="C2595" s="11">
        <f t="shared" si="120"/>
        <v>2024</v>
      </c>
      <c r="D2595" t="s">
        <v>280</v>
      </c>
      <c r="E2595" t="s">
        <v>46</v>
      </c>
      <c r="F2595" t="s">
        <v>47</v>
      </c>
      <c r="G2595" t="s">
        <v>36</v>
      </c>
      <c r="H2595">
        <v>2</v>
      </c>
      <c r="I2595" s="2">
        <v>89.51</v>
      </c>
      <c r="J2595" s="2">
        <v>179.02</v>
      </c>
      <c r="K2595" s="2">
        <f t="shared" si="121"/>
        <v>179.02</v>
      </c>
      <c r="L2595" s="2">
        <f t="shared" si="122"/>
        <v>0</v>
      </c>
      <c r="M2595" t="s">
        <v>31</v>
      </c>
      <c r="N2595" t="s">
        <v>21</v>
      </c>
    </row>
    <row r="2596" spans="1:14" x14ac:dyDescent="0.3">
      <c r="A2596">
        <v>2024003594</v>
      </c>
      <c r="B2596" s="1">
        <v>45616</v>
      </c>
      <c r="C2596" s="11">
        <f t="shared" si="120"/>
        <v>2024</v>
      </c>
      <c r="D2596" t="s">
        <v>11</v>
      </c>
      <c r="E2596" t="s">
        <v>28</v>
      </c>
      <c r="F2596" t="s">
        <v>29</v>
      </c>
      <c r="G2596" t="s">
        <v>30</v>
      </c>
      <c r="H2596">
        <v>1</v>
      </c>
      <c r="I2596" s="2">
        <v>26.46</v>
      </c>
      <c r="J2596" s="2">
        <v>26.46</v>
      </c>
      <c r="K2596" s="2">
        <f t="shared" si="121"/>
        <v>26.46</v>
      </c>
      <c r="L2596" s="2">
        <f t="shared" si="122"/>
        <v>0</v>
      </c>
      <c r="M2596" t="s">
        <v>31</v>
      </c>
      <c r="N2596" t="s">
        <v>21</v>
      </c>
    </row>
    <row r="2597" spans="1:14" x14ac:dyDescent="0.3">
      <c r="A2597">
        <v>2024003595</v>
      </c>
      <c r="B2597" s="1">
        <v>45516</v>
      </c>
      <c r="C2597" s="11">
        <f t="shared" si="120"/>
        <v>2024</v>
      </c>
      <c r="D2597" t="s">
        <v>11</v>
      </c>
      <c r="E2597" t="s">
        <v>67</v>
      </c>
      <c r="F2597" t="s">
        <v>68</v>
      </c>
      <c r="G2597" t="s">
        <v>36</v>
      </c>
      <c r="H2597">
        <v>1</v>
      </c>
      <c r="I2597" s="2">
        <v>418.22</v>
      </c>
      <c r="J2597" s="2">
        <v>418.22</v>
      </c>
      <c r="K2597" s="2">
        <f t="shared" si="121"/>
        <v>418.22</v>
      </c>
      <c r="L2597" s="2">
        <f t="shared" si="122"/>
        <v>0</v>
      </c>
      <c r="M2597" t="s">
        <v>20</v>
      </c>
      <c r="N2597" t="s">
        <v>21</v>
      </c>
    </row>
    <row r="2598" spans="1:14" x14ac:dyDescent="0.3">
      <c r="A2598">
        <v>2024003596</v>
      </c>
      <c r="B2598" s="1">
        <v>45452</v>
      </c>
      <c r="C2598" s="11">
        <f t="shared" si="120"/>
        <v>2024</v>
      </c>
      <c r="D2598" t="s">
        <v>11</v>
      </c>
      <c r="E2598" t="s">
        <v>28</v>
      </c>
      <c r="F2598" t="s">
        <v>29</v>
      </c>
      <c r="G2598" t="s">
        <v>30</v>
      </c>
      <c r="H2598">
        <v>1</v>
      </c>
      <c r="I2598" s="2">
        <v>24.51</v>
      </c>
      <c r="J2598" s="2">
        <v>24.51</v>
      </c>
      <c r="K2598" s="2">
        <f t="shared" si="121"/>
        <v>24.51</v>
      </c>
      <c r="L2598" s="2">
        <f t="shared" si="122"/>
        <v>0</v>
      </c>
      <c r="M2598" t="s">
        <v>61</v>
      </c>
      <c r="N2598" t="s">
        <v>16</v>
      </c>
    </row>
    <row r="2599" spans="1:14" x14ac:dyDescent="0.3">
      <c r="A2599">
        <v>2024003597</v>
      </c>
      <c r="B2599" s="1">
        <v>45608</v>
      </c>
      <c r="C2599" s="11">
        <f t="shared" si="120"/>
        <v>2024</v>
      </c>
      <c r="D2599" t="s">
        <v>237</v>
      </c>
      <c r="E2599" t="s">
        <v>34</v>
      </c>
      <c r="F2599" t="s">
        <v>35</v>
      </c>
      <c r="G2599" t="s">
        <v>36</v>
      </c>
      <c r="H2599">
        <v>2</v>
      </c>
      <c r="I2599" s="2">
        <v>15.02</v>
      </c>
      <c r="J2599" s="2">
        <v>30.04</v>
      </c>
      <c r="K2599" s="2">
        <f t="shared" si="121"/>
        <v>30.04</v>
      </c>
      <c r="L2599" s="2">
        <f t="shared" si="122"/>
        <v>0</v>
      </c>
      <c r="M2599" t="s">
        <v>15</v>
      </c>
      <c r="N2599" t="s">
        <v>16</v>
      </c>
    </row>
    <row r="2600" spans="1:14" x14ac:dyDescent="0.3">
      <c r="A2600">
        <v>2024003598</v>
      </c>
      <c r="B2600" s="1">
        <v>45548</v>
      </c>
      <c r="C2600" s="11">
        <f t="shared" si="120"/>
        <v>2024</v>
      </c>
      <c r="D2600" t="s">
        <v>315</v>
      </c>
      <c r="E2600" t="s">
        <v>12</v>
      </c>
      <c r="F2600" t="s">
        <v>13</v>
      </c>
      <c r="G2600" t="s">
        <v>14</v>
      </c>
      <c r="H2600">
        <v>3</v>
      </c>
      <c r="I2600" s="2">
        <v>387.41</v>
      </c>
      <c r="J2600" s="2">
        <v>1162.23</v>
      </c>
      <c r="K2600" s="2">
        <f t="shared" si="121"/>
        <v>1162.23</v>
      </c>
      <c r="L2600" s="2">
        <f t="shared" si="122"/>
        <v>0</v>
      </c>
      <c r="M2600" t="s">
        <v>25</v>
      </c>
      <c r="N2600" t="s">
        <v>21</v>
      </c>
    </row>
    <row r="2601" spans="1:14" x14ac:dyDescent="0.3">
      <c r="A2601">
        <v>2024003599</v>
      </c>
      <c r="B2601" s="1">
        <v>45454</v>
      </c>
      <c r="C2601" s="11">
        <f t="shared" si="120"/>
        <v>2024</v>
      </c>
      <c r="D2601" t="s">
        <v>186</v>
      </c>
      <c r="E2601" t="s">
        <v>40</v>
      </c>
      <c r="F2601" t="s">
        <v>41</v>
      </c>
      <c r="G2601" t="s">
        <v>36</v>
      </c>
      <c r="H2601">
        <v>1</v>
      </c>
      <c r="I2601" s="2">
        <v>43.3</v>
      </c>
      <c r="J2601" s="2">
        <v>43.3</v>
      </c>
      <c r="K2601" s="2">
        <f t="shared" si="121"/>
        <v>43.3</v>
      </c>
      <c r="L2601" s="2">
        <f t="shared" si="122"/>
        <v>0</v>
      </c>
      <c r="M2601" t="s">
        <v>57</v>
      </c>
      <c r="N2601" t="s">
        <v>21</v>
      </c>
    </row>
    <row r="2602" spans="1:14" x14ac:dyDescent="0.3">
      <c r="A2602">
        <v>2024003600</v>
      </c>
      <c r="B2602" s="1">
        <v>45483</v>
      </c>
      <c r="C2602" s="11">
        <f t="shared" si="120"/>
        <v>2024</v>
      </c>
      <c r="D2602" t="s">
        <v>282</v>
      </c>
      <c r="E2602" t="s">
        <v>43</v>
      </c>
      <c r="F2602" t="s">
        <v>44</v>
      </c>
      <c r="G2602" t="s">
        <v>36</v>
      </c>
      <c r="H2602">
        <v>1</v>
      </c>
      <c r="I2602" s="2">
        <v>1182.7</v>
      </c>
      <c r="J2602" s="2">
        <v>1182.7</v>
      </c>
      <c r="K2602" s="2">
        <f t="shared" si="121"/>
        <v>1182.7</v>
      </c>
      <c r="L2602" s="2">
        <f t="shared" si="122"/>
        <v>0</v>
      </c>
      <c r="M2602" t="s">
        <v>25</v>
      </c>
      <c r="N2602" t="s">
        <v>26</v>
      </c>
    </row>
    <row r="2603" spans="1:14" x14ac:dyDescent="0.3">
      <c r="A2603">
        <v>2024003601</v>
      </c>
      <c r="B2603" s="1">
        <v>45383</v>
      </c>
      <c r="C2603" s="11">
        <f t="shared" si="120"/>
        <v>2024</v>
      </c>
      <c r="D2603" t="s">
        <v>179</v>
      </c>
      <c r="E2603" t="s">
        <v>23</v>
      </c>
      <c r="F2603" t="s">
        <v>24</v>
      </c>
      <c r="G2603" t="s">
        <v>14</v>
      </c>
      <c r="H2603">
        <v>2</v>
      </c>
      <c r="I2603" s="2">
        <v>76.7</v>
      </c>
      <c r="J2603" s="2">
        <v>153.4</v>
      </c>
      <c r="K2603" s="2">
        <f t="shared" si="121"/>
        <v>153.4</v>
      </c>
      <c r="L2603" s="2">
        <f t="shared" si="122"/>
        <v>0</v>
      </c>
      <c r="M2603" t="s">
        <v>61</v>
      </c>
      <c r="N2603" t="s">
        <v>16</v>
      </c>
    </row>
    <row r="2604" spans="1:14" x14ac:dyDescent="0.3">
      <c r="A2604">
        <v>2024003602</v>
      </c>
      <c r="B2604" s="1">
        <v>45364</v>
      </c>
      <c r="C2604" s="11">
        <f t="shared" si="120"/>
        <v>2024</v>
      </c>
      <c r="D2604" t="s">
        <v>176</v>
      </c>
      <c r="E2604" t="s">
        <v>53</v>
      </c>
      <c r="F2604" t="s">
        <v>54</v>
      </c>
      <c r="G2604" t="s">
        <v>36</v>
      </c>
      <c r="H2604">
        <v>1</v>
      </c>
      <c r="I2604" s="2">
        <v>113.42</v>
      </c>
      <c r="J2604" s="2">
        <v>113.42</v>
      </c>
      <c r="K2604" s="2">
        <f t="shared" si="121"/>
        <v>113.42</v>
      </c>
      <c r="L2604" s="2">
        <f t="shared" si="122"/>
        <v>0</v>
      </c>
      <c r="M2604" t="s">
        <v>31</v>
      </c>
      <c r="N2604" t="s">
        <v>16</v>
      </c>
    </row>
    <row r="2605" spans="1:14" x14ac:dyDescent="0.3">
      <c r="A2605">
        <v>2024003603</v>
      </c>
      <c r="B2605" s="1">
        <v>45650</v>
      </c>
      <c r="C2605" s="11">
        <f t="shared" si="120"/>
        <v>2024</v>
      </c>
      <c r="D2605" t="s">
        <v>81</v>
      </c>
      <c r="E2605" t="s">
        <v>40</v>
      </c>
      <c r="F2605" t="s">
        <v>41</v>
      </c>
      <c r="G2605" t="s">
        <v>36</v>
      </c>
      <c r="H2605">
        <v>1</v>
      </c>
      <c r="I2605" s="2">
        <v>48.03</v>
      </c>
      <c r="J2605" s="2">
        <v>48.03</v>
      </c>
      <c r="K2605" s="2">
        <f t="shared" si="121"/>
        <v>48.03</v>
      </c>
      <c r="L2605" s="2">
        <f t="shared" si="122"/>
        <v>0</v>
      </c>
      <c r="M2605" t="s">
        <v>48</v>
      </c>
      <c r="N2605" t="s">
        <v>26</v>
      </c>
    </row>
    <row r="2606" spans="1:14" x14ac:dyDescent="0.3">
      <c r="A2606">
        <v>2024003604</v>
      </c>
      <c r="B2606" s="1">
        <v>45332</v>
      </c>
      <c r="C2606" s="11">
        <f t="shared" si="120"/>
        <v>2024</v>
      </c>
      <c r="D2606" t="s">
        <v>223</v>
      </c>
      <c r="E2606" t="s">
        <v>28</v>
      </c>
      <c r="F2606" t="s">
        <v>29</v>
      </c>
      <c r="G2606" t="s">
        <v>30</v>
      </c>
      <c r="H2606">
        <v>1</v>
      </c>
      <c r="I2606" s="2">
        <v>23.86</v>
      </c>
      <c r="J2606" s="2">
        <v>23.86</v>
      </c>
      <c r="K2606" s="2">
        <f t="shared" si="121"/>
        <v>23.86</v>
      </c>
      <c r="L2606" s="2">
        <f t="shared" si="122"/>
        <v>0</v>
      </c>
      <c r="M2606" t="s">
        <v>38</v>
      </c>
      <c r="N2606" t="s">
        <v>16</v>
      </c>
    </row>
    <row r="2607" spans="1:14" x14ac:dyDescent="0.3">
      <c r="A2607">
        <v>2024003605</v>
      </c>
      <c r="B2607" s="1">
        <v>45615</v>
      </c>
      <c r="C2607" s="11">
        <f t="shared" si="120"/>
        <v>2024</v>
      </c>
      <c r="D2607" t="s">
        <v>162</v>
      </c>
      <c r="E2607" t="s">
        <v>12</v>
      </c>
      <c r="F2607" t="s">
        <v>13</v>
      </c>
      <c r="G2607" t="s">
        <v>14</v>
      </c>
      <c r="H2607">
        <v>1</v>
      </c>
      <c r="I2607" s="2">
        <v>345.12</v>
      </c>
      <c r="J2607" s="2">
        <v>345.12</v>
      </c>
      <c r="K2607" s="2">
        <f t="shared" si="121"/>
        <v>345.12</v>
      </c>
      <c r="L2607" s="2">
        <f t="shared" si="122"/>
        <v>0</v>
      </c>
      <c r="M2607" t="s">
        <v>55</v>
      </c>
      <c r="N2607" t="s">
        <v>21</v>
      </c>
    </row>
    <row r="2608" spans="1:14" x14ac:dyDescent="0.3">
      <c r="A2608">
        <v>2024003606</v>
      </c>
      <c r="B2608" s="1">
        <v>45309</v>
      </c>
      <c r="C2608" s="11">
        <f t="shared" si="120"/>
        <v>2024</v>
      </c>
      <c r="D2608" t="s">
        <v>11</v>
      </c>
      <c r="E2608" t="s">
        <v>23</v>
      </c>
      <c r="F2608" t="s">
        <v>24</v>
      </c>
      <c r="G2608" t="s">
        <v>14</v>
      </c>
      <c r="H2608">
        <v>1</v>
      </c>
      <c r="I2608" s="2">
        <v>80.88</v>
      </c>
      <c r="J2608" s="2">
        <v>80.88</v>
      </c>
      <c r="K2608" s="2">
        <f t="shared" si="121"/>
        <v>80.88</v>
      </c>
      <c r="L2608" s="2">
        <f t="shared" si="122"/>
        <v>0</v>
      </c>
      <c r="M2608" t="s">
        <v>25</v>
      </c>
      <c r="N2608" t="s">
        <v>26</v>
      </c>
    </row>
    <row r="2609" spans="1:14" x14ac:dyDescent="0.3">
      <c r="A2609">
        <v>2024003607</v>
      </c>
      <c r="B2609" s="1">
        <v>45379</v>
      </c>
      <c r="C2609" s="11">
        <f t="shared" si="120"/>
        <v>2024</v>
      </c>
      <c r="D2609" t="s">
        <v>11</v>
      </c>
      <c r="E2609" t="s">
        <v>18</v>
      </c>
      <c r="F2609" t="s">
        <v>19</v>
      </c>
      <c r="G2609" t="s">
        <v>14</v>
      </c>
      <c r="H2609">
        <v>2</v>
      </c>
      <c r="I2609" s="2">
        <v>581.95000000000005</v>
      </c>
      <c r="J2609" s="2">
        <v>1163.9000000000001</v>
      </c>
      <c r="K2609" s="2">
        <f t="shared" si="121"/>
        <v>1163.9000000000001</v>
      </c>
      <c r="L2609" s="2">
        <f t="shared" si="122"/>
        <v>0</v>
      </c>
      <c r="M2609" t="s">
        <v>64</v>
      </c>
      <c r="N2609" t="s">
        <v>21</v>
      </c>
    </row>
    <row r="2610" spans="1:14" x14ac:dyDescent="0.3">
      <c r="A2610">
        <v>2024003608</v>
      </c>
      <c r="B2610" s="1">
        <v>45522</v>
      </c>
      <c r="C2610" s="11">
        <f t="shared" si="120"/>
        <v>2024</v>
      </c>
      <c r="D2610" t="s">
        <v>91</v>
      </c>
      <c r="E2610" t="s">
        <v>46</v>
      </c>
      <c r="F2610" t="s">
        <v>47</v>
      </c>
      <c r="G2610" t="s">
        <v>36</v>
      </c>
      <c r="H2610">
        <v>3</v>
      </c>
      <c r="I2610" s="2">
        <v>90.66</v>
      </c>
      <c r="J2610" s="2">
        <v>271.98</v>
      </c>
      <c r="K2610" s="2">
        <f t="shared" si="121"/>
        <v>271.98</v>
      </c>
      <c r="L2610" s="2">
        <f t="shared" si="122"/>
        <v>0</v>
      </c>
      <c r="M2610" t="s">
        <v>15</v>
      </c>
      <c r="N2610" t="s">
        <v>32</v>
      </c>
    </row>
    <row r="2611" spans="1:14" x14ac:dyDescent="0.3">
      <c r="A2611">
        <v>2024003609</v>
      </c>
      <c r="B2611" s="1">
        <v>45404</v>
      </c>
      <c r="C2611" s="11">
        <f t="shared" si="120"/>
        <v>2024</v>
      </c>
      <c r="D2611" t="s">
        <v>256</v>
      </c>
      <c r="E2611" t="s">
        <v>67</v>
      </c>
      <c r="F2611" t="s">
        <v>68</v>
      </c>
      <c r="G2611" t="s">
        <v>36</v>
      </c>
      <c r="H2611">
        <v>1</v>
      </c>
      <c r="I2611" s="2">
        <v>369.26</v>
      </c>
      <c r="J2611" s="2">
        <v>369.26</v>
      </c>
      <c r="K2611" s="2">
        <f t="shared" si="121"/>
        <v>369.26</v>
      </c>
      <c r="L2611" s="2">
        <f t="shared" si="122"/>
        <v>0</v>
      </c>
      <c r="M2611" t="s">
        <v>61</v>
      </c>
      <c r="N2611" t="s">
        <v>21</v>
      </c>
    </row>
    <row r="2612" spans="1:14" x14ac:dyDescent="0.3">
      <c r="A2612">
        <v>2024003610</v>
      </c>
      <c r="B2612" s="1">
        <v>45240</v>
      </c>
      <c r="C2612" s="11">
        <f t="shared" si="120"/>
        <v>2023</v>
      </c>
      <c r="D2612" t="s">
        <v>11</v>
      </c>
      <c r="E2612" t="s">
        <v>40</v>
      </c>
      <c r="F2612" t="s">
        <v>41</v>
      </c>
      <c r="G2612" t="s">
        <v>36</v>
      </c>
      <c r="H2612">
        <v>1</v>
      </c>
      <c r="I2612" s="2">
        <v>46.15</v>
      </c>
      <c r="J2612" s="2">
        <v>46.15</v>
      </c>
      <c r="K2612" s="2">
        <f t="shared" si="121"/>
        <v>46.15</v>
      </c>
      <c r="L2612" s="2">
        <f t="shared" si="122"/>
        <v>0</v>
      </c>
      <c r="M2612" t="s">
        <v>31</v>
      </c>
      <c r="N2612" t="s">
        <v>26</v>
      </c>
    </row>
    <row r="2613" spans="1:14" x14ac:dyDescent="0.3">
      <c r="A2613">
        <v>2024003611</v>
      </c>
      <c r="B2613" s="1">
        <v>45556</v>
      </c>
      <c r="C2613" s="11">
        <f t="shared" si="120"/>
        <v>2024</v>
      </c>
      <c r="D2613" t="s">
        <v>49</v>
      </c>
      <c r="E2613" t="s">
        <v>46</v>
      </c>
      <c r="F2613" t="s">
        <v>47</v>
      </c>
      <c r="G2613" t="s">
        <v>36</v>
      </c>
      <c r="H2613">
        <v>1</v>
      </c>
      <c r="I2613" s="2">
        <v>94.4</v>
      </c>
      <c r="J2613" s="2">
        <v>94.4</v>
      </c>
      <c r="K2613" s="2">
        <f t="shared" si="121"/>
        <v>94.4</v>
      </c>
      <c r="L2613" s="2">
        <f t="shared" si="122"/>
        <v>0</v>
      </c>
      <c r="M2613" t="s">
        <v>38</v>
      </c>
      <c r="N2613" t="s">
        <v>16</v>
      </c>
    </row>
    <row r="2614" spans="1:14" x14ac:dyDescent="0.3">
      <c r="A2614">
        <v>2024003612</v>
      </c>
      <c r="B2614" s="1">
        <v>45547</v>
      </c>
      <c r="C2614" s="11">
        <f t="shared" si="120"/>
        <v>2024</v>
      </c>
      <c r="D2614" t="s">
        <v>163</v>
      </c>
      <c r="E2614" t="s">
        <v>43</v>
      </c>
      <c r="F2614" t="s">
        <v>44</v>
      </c>
      <c r="G2614" t="s">
        <v>36</v>
      </c>
      <c r="H2614">
        <v>2</v>
      </c>
      <c r="I2614" s="2">
        <v>1259.97</v>
      </c>
      <c r="J2614" s="2">
        <v>2519.94</v>
      </c>
      <c r="K2614" s="2">
        <f t="shared" si="121"/>
        <v>2519.94</v>
      </c>
      <c r="L2614" s="2">
        <f t="shared" si="122"/>
        <v>0</v>
      </c>
      <c r="M2614" t="s">
        <v>61</v>
      </c>
      <c r="N2614" t="s">
        <v>32</v>
      </c>
    </row>
    <row r="2615" spans="1:14" x14ac:dyDescent="0.3">
      <c r="A2615">
        <v>2024003613</v>
      </c>
      <c r="B2615" s="1">
        <v>45517</v>
      </c>
      <c r="C2615" s="11">
        <f t="shared" si="120"/>
        <v>2024</v>
      </c>
      <c r="D2615" t="s">
        <v>331</v>
      </c>
      <c r="E2615" t="s">
        <v>46</v>
      </c>
      <c r="F2615" t="s">
        <v>47</v>
      </c>
      <c r="G2615" t="s">
        <v>36</v>
      </c>
      <c r="H2615">
        <v>2</v>
      </c>
      <c r="I2615" s="2">
        <v>93.93</v>
      </c>
      <c r="J2615" s="2">
        <v>187.86</v>
      </c>
      <c r="K2615" s="2">
        <f t="shared" si="121"/>
        <v>187.86</v>
      </c>
      <c r="L2615" s="2">
        <f t="shared" si="122"/>
        <v>0</v>
      </c>
      <c r="M2615" t="s">
        <v>64</v>
      </c>
      <c r="N2615" t="s">
        <v>26</v>
      </c>
    </row>
    <row r="2616" spans="1:14" x14ac:dyDescent="0.3">
      <c r="A2616">
        <v>2024003614</v>
      </c>
      <c r="B2616" s="1">
        <v>45402</v>
      </c>
      <c r="C2616" s="11">
        <f t="shared" si="120"/>
        <v>2024</v>
      </c>
      <c r="D2616" t="s">
        <v>110</v>
      </c>
      <c r="E2616" t="s">
        <v>46</v>
      </c>
      <c r="F2616" t="s">
        <v>47</v>
      </c>
      <c r="G2616" t="s">
        <v>36</v>
      </c>
      <c r="H2616">
        <v>4</v>
      </c>
      <c r="I2616" s="2">
        <v>88.64</v>
      </c>
      <c r="J2616" s="2">
        <v>354.56</v>
      </c>
      <c r="K2616" s="2">
        <f t="shared" si="121"/>
        <v>354.56</v>
      </c>
      <c r="L2616" s="2">
        <f t="shared" si="122"/>
        <v>0</v>
      </c>
      <c r="M2616" t="s">
        <v>61</v>
      </c>
      <c r="N2616" t="s">
        <v>16</v>
      </c>
    </row>
    <row r="2617" spans="1:14" x14ac:dyDescent="0.3">
      <c r="A2617">
        <v>2024003615</v>
      </c>
      <c r="B2617" s="1">
        <v>45595</v>
      </c>
      <c r="C2617" s="11">
        <f t="shared" si="120"/>
        <v>2024</v>
      </c>
      <c r="D2617" t="s">
        <v>257</v>
      </c>
      <c r="E2617" t="s">
        <v>23</v>
      </c>
      <c r="F2617" t="s">
        <v>24</v>
      </c>
      <c r="G2617" t="s">
        <v>14</v>
      </c>
      <c r="H2617">
        <v>5</v>
      </c>
      <c r="I2617" s="2">
        <v>80.91</v>
      </c>
      <c r="J2617" s="2">
        <v>404.55</v>
      </c>
      <c r="K2617" s="2">
        <f t="shared" si="121"/>
        <v>404.54999999999995</v>
      </c>
      <c r="L2617" s="2">
        <f t="shared" si="122"/>
        <v>0</v>
      </c>
      <c r="M2617" t="s">
        <v>25</v>
      </c>
      <c r="N2617" t="s">
        <v>32</v>
      </c>
    </row>
    <row r="2618" spans="1:14" x14ac:dyDescent="0.3">
      <c r="A2618">
        <v>2024003616</v>
      </c>
      <c r="B2618" s="1">
        <v>45457</v>
      </c>
      <c r="C2618" s="11">
        <f t="shared" si="120"/>
        <v>2024</v>
      </c>
      <c r="D2618" t="s">
        <v>129</v>
      </c>
      <c r="E2618" t="s">
        <v>46</v>
      </c>
      <c r="F2618" t="s">
        <v>47</v>
      </c>
      <c r="G2618" t="s">
        <v>36</v>
      </c>
      <c r="H2618">
        <v>1</v>
      </c>
      <c r="I2618" s="2">
        <v>93.54</v>
      </c>
      <c r="J2618" s="2">
        <v>93.54</v>
      </c>
      <c r="K2618" s="2">
        <f t="shared" si="121"/>
        <v>93.54</v>
      </c>
      <c r="L2618" s="2">
        <f t="shared" si="122"/>
        <v>0</v>
      </c>
      <c r="M2618" t="s">
        <v>61</v>
      </c>
      <c r="N2618" t="s">
        <v>26</v>
      </c>
    </row>
    <row r="2619" spans="1:14" x14ac:dyDescent="0.3">
      <c r="A2619">
        <v>2024003617</v>
      </c>
      <c r="B2619" s="1">
        <v>45637</v>
      </c>
      <c r="C2619" s="11">
        <f t="shared" si="120"/>
        <v>2024</v>
      </c>
      <c r="D2619" t="s">
        <v>320</v>
      </c>
      <c r="E2619" t="s">
        <v>43</v>
      </c>
      <c r="F2619" t="s">
        <v>44</v>
      </c>
      <c r="G2619" t="s">
        <v>36</v>
      </c>
      <c r="H2619">
        <v>1</v>
      </c>
      <c r="I2619" s="2">
        <v>1227.57</v>
      </c>
      <c r="J2619" s="2">
        <v>1227.57</v>
      </c>
      <c r="K2619" s="2">
        <f t="shared" si="121"/>
        <v>1227.57</v>
      </c>
      <c r="L2619" s="2">
        <f t="shared" si="122"/>
        <v>0</v>
      </c>
      <c r="M2619" t="s">
        <v>15</v>
      </c>
      <c r="N2619" t="s">
        <v>26</v>
      </c>
    </row>
    <row r="2620" spans="1:14" x14ac:dyDescent="0.3">
      <c r="A2620">
        <v>2024003618</v>
      </c>
      <c r="B2620" s="1">
        <v>45344</v>
      </c>
      <c r="C2620" s="11">
        <f t="shared" si="120"/>
        <v>2024</v>
      </c>
      <c r="D2620" t="s">
        <v>292</v>
      </c>
      <c r="E2620" t="s">
        <v>23</v>
      </c>
      <c r="F2620" t="s">
        <v>24</v>
      </c>
      <c r="G2620" t="s">
        <v>14</v>
      </c>
      <c r="H2620">
        <v>2</v>
      </c>
      <c r="I2620" s="2">
        <v>76.77</v>
      </c>
      <c r="J2620" s="2">
        <v>153.54</v>
      </c>
      <c r="K2620" s="2">
        <f t="shared" si="121"/>
        <v>153.54</v>
      </c>
      <c r="L2620" s="2">
        <f t="shared" si="122"/>
        <v>0</v>
      </c>
      <c r="M2620" t="s">
        <v>57</v>
      </c>
      <c r="N2620" t="s">
        <v>26</v>
      </c>
    </row>
    <row r="2621" spans="1:14" x14ac:dyDescent="0.3">
      <c r="A2621">
        <v>2024003619</v>
      </c>
      <c r="B2621" s="1">
        <v>45657</v>
      </c>
      <c r="C2621" s="11">
        <f t="shared" si="120"/>
        <v>2024</v>
      </c>
      <c r="D2621" t="s">
        <v>11</v>
      </c>
      <c r="E2621" t="s">
        <v>34</v>
      </c>
      <c r="F2621" t="s">
        <v>35</v>
      </c>
      <c r="G2621" t="s">
        <v>36</v>
      </c>
      <c r="H2621">
        <v>0</v>
      </c>
      <c r="I2621" s="2">
        <v>14.73</v>
      </c>
      <c r="J2621" s="2">
        <v>0</v>
      </c>
      <c r="K2621" s="2">
        <f t="shared" si="121"/>
        <v>0</v>
      </c>
      <c r="L2621" s="2">
        <f t="shared" si="122"/>
        <v>0</v>
      </c>
      <c r="M2621" t="s">
        <v>55</v>
      </c>
      <c r="N2621" t="s">
        <v>26</v>
      </c>
    </row>
    <row r="2622" spans="1:14" x14ac:dyDescent="0.3">
      <c r="A2622">
        <v>2024003620</v>
      </c>
      <c r="B2622" s="1">
        <v>45657</v>
      </c>
      <c r="C2622" s="11">
        <f t="shared" si="120"/>
        <v>2024</v>
      </c>
      <c r="D2622" t="s">
        <v>331</v>
      </c>
      <c r="E2622" t="s">
        <v>28</v>
      </c>
      <c r="F2622" t="s">
        <v>29</v>
      </c>
      <c r="G2622" t="s">
        <v>30</v>
      </c>
      <c r="H2622">
        <v>5</v>
      </c>
      <c r="I2622" s="2">
        <v>26.75</v>
      </c>
      <c r="J2622" s="2">
        <v>133.75</v>
      </c>
      <c r="K2622" s="2">
        <f t="shared" si="121"/>
        <v>133.75</v>
      </c>
      <c r="L2622" s="2">
        <f t="shared" si="122"/>
        <v>0</v>
      </c>
      <c r="M2622" t="s">
        <v>15</v>
      </c>
      <c r="N2622" t="s">
        <v>16</v>
      </c>
    </row>
    <row r="2623" spans="1:14" x14ac:dyDescent="0.3">
      <c r="A2623">
        <v>2024003621</v>
      </c>
      <c r="B2623" s="1">
        <v>45538</v>
      </c>
      <c r="C2623" s="11">
        <f t="shared" si="120"/>
        <v>2024</v>
      </c>
      <c r="D2623" t="s">
        <v>230</v>
      </c>
      <c r="E2623" t="s">
        <v>18</v>
      </c>
      <c r="F2623" t="s">
        <v>19</v>
      </c>
      <c r="G2623" t="s">
        <v>14</v>
      </c>
      <c r="H2623">
        <v>2</v>
      </c>
      <c r="I2623" s="2">
        <v>597.59</v>
      </c>
      <c r="J2623" s="2">
        <v>1195.18</v>
      </c>
      <c r="K2623" s="2">
        <f t="shared" si="121"/>
        <v>1195.18</v>
      </c>
      <c r="L2623" s="2">
        <f t="shared" si="122"/>
        <v>0</v>
      </c>
      <c r="M2623" t="s">
        <v>38</v>
      </c>
      <c r="N2623" t="s">
        <v>32</v>
      </c>
    </row>
    <row r="2624" spans="1:14" x14ac:dyDescent="0.3">
      <c r="A2624">
        <v>2024003622</v>
      </c>
      <c r="B2624" s="1">
        <v>45379</v>
      </c>
      <c r="C2624" s="11">
        <f t="shared" si="120"/>
        <v>2024</v>
      </c>
      <c r="D2624" t="s">
        <v>307</v>
      </c>
      <c r="E2624" t="s">
        <v>34</v>
      </c>
      <c r="F2624" t="s">
        <v>35</v>
      </c>
      <c r="G2624" t="s">
        <v>36</v>
      </c>
      <c r="H2624">
        <v>2</v>
      </c>
      <c r="I2624" s="2">
        <v>14.33</v>
      </c>
      <c r="J2624" s="2">
        <v>28.66</v>
      </c>
      <c r="K2624" s="2">
        <f t="shared" si="121"/>
        <v>28.66</v>
      </c>
      <c r="L2624" s="2">
        <f t="shared" si="122"/>
        <v>0</v>
      </c>
      <c r="M2624" t="s">
        <v>15</v>
      </c>
      <c r="N2624" t="s">
        <v>21</v>
      </c>
    </row>
    <row r="2625" spans="1:14" x14ac:dyDescent="0.3">
      <c r="A2625">
        <v>2024003623</v>
      </c>
      <c r="B2625" s="1">
        <v>45416</v>
      </c>
      <c r="C2625" s="11">
        <f t="shared" si="120"/>
        <v>2024</v>
      </c>
      <c r="D2625" t="s">
        <v>129</v>
      </c>
      <c r="E2625" t="s">
        <v>53</v>
      </c>
      <c r="F2625" t="s">
        <v>54</v>
      </c>
      <c r="G2625" t="s">
        <v>36</v>
      </c>
      <c r="H2625">
        <v>2</v>
      </c>
      <c r="I2625" s="2">
        <v>115.9</v>
      </c>
      <c r="J2625" s="2">
        <v>231.8</v>
      </c>
      <c r="K2625" s="2">
        <f t="shared" si="121"/>
        <v>231.8</v>
      </c>
      <c r="L2625" s="2">
        <f t="shared" si="122"/>
        <v>0</v>
      </c>
      <c r="M2625" t="s">
        <v>57</v>
      </c>
      <c r="N2625" t="s">
        <v>21</v>
      </c>
    </row>
    <row r="2626" spans="1:14" x14ac:dyDescent="0.3">
      <c r="A2626">
        <v>2024003624</v>
      </c>
      <c r="B2626" s="1">
        <v>45568</v>
      </c>
      <c r="C2626" s="11">
        <f t="shared" si="120"/>
        <v>2024</v>
      </c>
      <c r="D2626" t="s">
        <v>283</v>
      </c>
      <c r="E2626" t="s">
        <v>67</v>
      </c>
      <c r="F2626" t="s">
        <v>68</v>
      </c>
      <c r="G2626" t="s">
        <v>36</v>
      </c>
      <c r="H2626">
        <v>3</v>
      </c>
      <c r="I2626" s="2">
        <v>405.78</v>
      </c>
      <c r="J2626" s="2">
        <v>1217.3399999999999</v>
      </c>
      <c r="K2626" s="2">
        <f t="shared" si="121"/>
        <v>1217.3399999999999</v>
      </c>
      <c r="L2626" s="2">
        <f t="shared" si="122"/>
        <v>0</v>
      </c>
      <c r="M2626" t="s">
        <v>20</v>
      </c>
      <c r="N2626" t="s">
        <v>32</v>
      </c>
    </row>
    <row r="2627" spans="1:14" x14ac:dyDescent="0.3">
      <c r="A2627">
        <v>2024003625</v>
      </c>
      <c r="B2627" s="1">
        <v>45592</v>
      </c>
      <c r="C2627" s="11">
        <f t="shared" ref="C2627:C2690" si="123">YEAR(B2627)</f>
        <v>2024</v>
      </c>
      <c r="D2627" t="s">
        <v>81</v>
      </c>
      <c r="E2627" t="s">
        <v>53</v>
      </c>
      <c r="F2627" t="s">
        <v>54</v>
      </c>
      <c r="G2627" t="s">
        <v>36</v>
      </c>
      <c r="H2627">
        <v>2</v>
      </c>
      <c r="I2627" s="2">
        <v>121.26</v>
      </c>
      <c r="J2627" s="2">
        <v>242.52</v>
      </c>
      <c r="K2627" s="2">
        <f t="shared" ref="K2627:K2690" si="124">I2627*H2627</f>
        <v>242.52</v>
      </c>
      <c r="L2627" s="2">
        <f t="shared" ref="L2627:L2690" si="125">J2627-K2627</f>
        <v>0</v>
      </c>
      <c r="M2627" t="s">
        <v>64</v>
      </c>
      <c r="N2627" t="s">
        <v>32</v>
      </c>
    </row>
    <row r="2628" spans="1:14" x14ac:dyDescent="0.3">
      <c r="A2628">
        <v>2024003626</v>
      </c>
      <c r="B2628" s="1">
        <v>45650</v>
      </c>
      <c r="C2628" s="11">
        <f t="shared" si="123"/>
        <v>2024</v>
      </c>
      <c r="D2628" t="s">
        <v>140</v>
      </c>
      <c r="E2628" t="s">
        <v>12</v>
      </c>
      <c r="F2628" t="s">
        <v>13</v>
      </c>
      <c r="G2628" t="s">
        <v>14</v>
      </c>
      <c r="H2628">
        <v>1</v>
      </c>
      <c r="I2628" s="2">
        <v>361.25</v>
      </c>
      <c r="J2628" s="2">
        <v>361.25</v>
      </c>
      <c r="K2628" s="2">
        <f t="shared" si="124"/>
        <v>361.25</v>
      </c>
      <c r="L2628" s="2">
        <f t="shared" si="125"/>
        <v>0</v>
      </c>
      <c r="M2628" t="s">
        <v>57</v>
      </c>
      <c r="N2628" t="s">
        <v>26</v>
      </c>
    </row>
    <row r="2629" spans="1:14" x14ac:dyDescent="0.3">
      <c r="A2629">
        <v>2024003627</v>
      </c>
      <c r="B2629" s="1">
        <v>45636</v>
      </c>
      <c r="C2629" s="11">
        <f t="shared" si="123"/>
        <v>2024</v>
      </c>
      <c r="D2629" t="s">
        <v>246</v>
      </c>
      <c r="E2629" t="s">
        <v>12</v>
      </c>
      <c r="F2629" t="s">
        <v>13</v>
      </c>
      <c r="G2629" t="s">
        <v>14</v>
      </c>
      <c r="H2629">
        <v>3</v>
      </c>
      <c r="I2629" s="2">
        <v>362.61</v>
      </c>
      <c r="J2629" s="2">
        <v>1087.83</v>
      </c>
      <c r="K2629" s="2">
        <f t="shared" si="124"/>
        <v>1087.83</v>
      </c>
      <c r="L2629" s="2">
        <f t="shared" si="125"/>
        <v>0</v>
      </c>
      <c r="M2629" t="s">
        <v>31</v>
      </c>
      <c r="N2629" t="s">
        <v>26</v>
      </c>
    </row>
    <row r="2630" spans="1:14" x14ac:dyDescent="0.3">
      <c r="A2630">
        <v>2024003628</v>
      </c>
      <c r="B2630" s="1">
        <v>45433</v>
      </c>
      <c r="C2630" s="11">
        <f t="shared" si="123"/>
        <v>2024</v>
      </c>
      <c r="D2630" t="s">
        <v>254</v>
      </c>
      <c r="E2630" t="s">
        <v>12</v>
      </c>
      <c r="F2630" t="s">
        <v>13</v>
      </c>
      <c r="G2630" t="s">
        <v>14</v>
      </c>
      <c r="H2630">
        <v>1</v>
      </c>
      <c r="I2630" s="2">
        <v>357.61</v>
      </c>
      <c r="J2630" s="2">
        <v>357.61</v>
      </c>
      <c r="K2630" s="2">
        <f t="shared" si="124"/>
        <v>357.61</v>
      </c>
      <c r="L2630" s="2">
        <f t="shared" si="125"/>
        <v>0</v>
      </c>
      <c r="M2630" t="s">
        <v>48</v>
      </c>
      <c r="N2630" t="s">
        <v>21</v>
      </c>
    </row>
    <row r="2631" spans="1:14" x14ac:dyDescent="0.3">
      <c r="A2631">
        <v>2024003629</v>
      </c>
      <c r="B2631" s="1">
        <v>45300</v>
      </c>
      <c r="C2631" s="11">
        <f t="shared" si="123"/>
        <v>2024</v>
      </c>
      <c r="D2631" t="s">
        <v>324</v>
      </c>
      <c r="E2631" t="s">
        <v>46</v>
      </c>
      <c r="F2631" t="s">
        <v>47</v>
      </c>
      <c r="G2631" t="s">
        <v>36</v>
      </c>
      <c r="H2631">
        <v>1</v>
      </c>
      <c r="I2631" s="2">
        <v>94.71</v>
      </c>
      <c r="J2631" s="2">
        <v>94.71</v>
      </c>
      <c r="K2631" s="2">
        <f t="shared" si="124"/>
        <v>94.71</v>
      </c>
      <c r="L2631" s="2">
        <f t="shared" si="125"/>
        <v>0</v>
      </c>
      <c r="M2631" t="s">
        <v>38</v>
      </c>
      <c r="N2631" t="s">
        <v>32</v>
      </c>
    </row>
    <row r="2632" spans="1:14" x14ac:dyDescent="0.3">
      <c r="A2632">
        <v>2024003630</v>
      </c>
      <c r="B2632" s="1">
        <v>45369</v>
      </c>
      <c r="C2632" s="11">
        <f t="shared" si="123"/>
        <v>2024</v>
      </c>
      <c r="D2632" t="s">
        <v>183</v>
      </c>
      <c r="E2632" t="s">
        <v>34</v>
      </c>
      <c r="F2632" t="s">
        <v>35</v>
      </c>
      <c r="G2632" t="s">
        <v>36</v>
      </c>
      <c r="H2632">
        <v>1</v>
      </c>
      <c r="I2632" s="2">
        <v>16.98</v>
      </c>
      <c r="J2632" s="2">
        <v>16.98</v>
      </c>
      <c r="K2632" s="2">
        <f t="shared" si="124"/>
        <v>16.98</v>
      </c>
      <c r="L2632" s="2">
        <f t="shared" si="125"/>
        <v>0</v>
      </c>
      <c r="M2632" t="s">
        <v>38</v>
      </c>
      <c r="N2632" t="s">
        <v>21</v>
      </c>
    </row>
    <row r="2633" spans="1:14" x14ac:dyDescent="0.3">
      <c r="A2633">
        <v>2024003631</v>
      </c>
      <c r="B2633" s="1">
        <v>45523</v>
      </c>
      <c r="C2633" s="11">
        <f t="shared" si="123"/>
        <v>2024</v>
      </c>
      <c r="D2633" t="s">
        <v>276</v>
      </c>
      <c r="E2633" t="s">
        <v>23</v>
      </c>
      <c r="F2633" t="s">
        <v>24</v>
      </c>
      <c r="G2633" t="s">
        <v>14</v>
      </c>
      <c r="H2633">
        <v>1</v>
      </c>
      <c r="I2633" s="2">
        <v>84.97</v>
      </c>
      <c r="J2633" s="2">
        <v>84.97</v>
      </c>
      <c r="K2633" s="2">
        <f t="shared" si="124"/>
        <v>84.97</v>
      </c>
      <c r="L2633" s="2">
        <f t="shared" si="125"/>
        <v>0</v>
      </c>
      <c r="M2633" t="s">
        <v>31</v>
      </c>
      <c r="N2633" t="s">
        <v>26</v>
      </c>
    </row>
    <row r="2634" spans="1:14" x14ac:dyDescent="0.3">
      <c r="A2634">
        <v>2024003632</v>
      </c>
      <c r="B2634" s="1">
        <v>45524</v>
      </c>
      <c r="C2634" s="11">
        <f t="shared" si="123"/>
        <v>2024</v>
      </c>
      <c r="D2634" t="s">
        <v>132</v>
      </c>
      <c r="E2634" t="s">
        <v>18</v>
      </c>
      <c r="F2634" t="s">
        <v>19</v>
      </c>
      <c r="G2634" t="s">
        <v>14</v>
      </c>
      <c r="H2634">
        <v>3</v>
      </c>
      <c r="I2634" s="2">
        <v>641.54</v>
      </c>
      <c r="J2634" s="2">
        <v>1924.62</v>
      </c>
      <c r="K2634" s="2">
        <f t="shared" si="124"/>
        <v>1924.62</v>
      </c>
      <c r="L2634" s="2">
        <f t="shared" si="125"/>
        <v>0</v>
      </c>
      <c r="M2634" t="s">
        <v>61</v>
      </c>
      <c r="N2634" t="s">
        <v>21</v>
      </c>
    </row>
    <row r="2635" spans="1:14" x14ac:dyDescent="0.3">
      <c r="A2635">
        <v>2024003633</v>
      </c>
      <c r="B2635" s="1">
        <v>45306</v>
      </c>
      <c r="C2635" s="11">
        <f t="shared" si="123"/>
        <v>2024</v>
      </c>
      <c r="D2635" t="s">
        <v>244</v>
      </c>
      <c r="E2635" t="s">
        <v>53</v>
      </c>
      <c r="F2635" t="s">
        <v>54</v>
      </c>
      <c r="G2635" t="s">
        <v>36</v>
      </c>
      <c r="H2635">
        <v>1</v>
      </c>
      <c r="I2635" s="2">
        <v>117.55</v>
      </c>
      <c r="J2635" s="2">
        <v>117.55</v>
      </c>
      <c r="K2635" s="2">
        <f t="shared" si="124"/>
        <v>117.55</v>
      </c>
      <c r="L2635" s="2">
        <f t="shared" si="125"/>
        <v>0</v>
      </c>
      <c r="M2635" t="s">
        <v>38</v>
      </c>
      <c r="N2635" t="s">
        <v>26</v>
      </c>
    </row>
    <row r="2636" spans="1:14" x14ac:dyDescent="0.3">
      <c r="A2636">
        <v>2024003634</v>
      </c>
      <c r="B2636" s="1">
        <v>45637</v>
      </c>
      <c r="C2636" s="11">
        <f t="shared" si="123"/>
        <v>2024</v>
      </c>
      <c r="D2636" t="s">
        <v>339</v>
      </c>
      <c r="E2636" t="s">
        <v>43</v>
      </c>
      <c r="F2636" t="s">
        <v>44</v>
      </c>
      <c r="G2636" t="s">
        <v>36</v>
      </c>
      <c r="H2636">
        <v>1</v>
      </c>
      <c r="I2636" s="2">
        <v>1173.17</v>
      </c>
      <c r="J2636" s="2">
        <v>1173.17</v>
      </c>
      <c r="K2636" s="2">
        <f t="shared" si="124"/>
        <v>1173.17</v>
      </c>
      <c r="L2636" s="2">
        <f t="shared" si="125"/>
        <v>0</v>
      </c>
      <c r="M2636" t="s">
        <v>25</v>
      </c>
      <c r="N2636" t="s">
        <v>21</v>
      </c>
    </row>
    <row r="2637" spans="1:14" x14ac:dyDescent="0.3">
      <c r="A2637">
        <v>2024003635</v>
      </c>
      <c r="B2637" s="1">
        <v>45368</v>
      </c>
      <c r="C2637" s="11">
        <f t="shared" si="123"/>
        <v>2024</v>
      </c>
      <c r="D2637" t="s">
        <v>321</v>
      </c>
      <c r="E2637" t="s">
        <v>18</v>
      </c>
      <c r="F2637" t="s">
        <v>19</v>
      </c>
      <c r="G2637" t="s">
        <v>14</v>
      </c>
      <c r="H2637">
        <v>4</v>
      </c>
      <c r="I2637" s="2">
        <v>573.09</v>
      </c>
      <c r="J2637" s="2">
        <v>2292.36</v>
      </c>
      <c r="K2637" s="2">
        <f t="shared" si="124"/>
        <v>2292.36</v>
      </c>
      <c r="L2637" s="2">
        <f t="shared" si="125"/>
        <v>0</v>
      </c>
      <c r="M2637" t="s">
        <v>55</v>
      </c>
      <c r="N2637" t="s">
        <v>21</v>
      </c>
    </row>
    <row r="2638" spans="1:14" x14ac:dyDescent="0.3">
      <c r="A2638">
        <v>2024003636</v>
      </c>
      <c r="B2638" s="1">
        <v>45434</v>
      </c>
      <c r="C2638" s="11">
        <f t="shared" si="123"/>
        <v>2024</v>
      </c>
      <c r="D2638" t="s">
        <v>193</v>
      </c>
      <c r="E2638" t="s">
        <v>34</v>
      </c>
      <c r="F2638" t="s">
        <v>35</v>
      </c>
      <c r="G2638" t="s">
        <v>36</v>
      </c>
      <c r="H2638">
        <v>1</v>
      </c>
      <c r="I2638" s="2">
        <v>16.63</v>
      </c>
      <c r="J2638" s="2">
        <v>16.63</v>
      </c>
      <c r="K2638" s="2">
        <f t="shared" si="124"/>
        <v>16.63</v>
      </c>
      <c r="L2638" s="2">
        <f t="shared" si="125"/>
        <v>0</v>
      </c>
      <c r="M2638" t="s">
        <v>25</v>
      </c>
      <c r="N2638" t="s">
        <v>16</v>
      </c>
    </row>
    <row r="2639" spans="1:14" x14ac:dyDescent="0.3">
      <c r="A2639">
        <v>2024003637</v>
      </c>
      <c r="B2639" s="1">
        <v>45627</v>
      </c>
      <c r="C2639" s="11">
        <f t="shared" si="123"/>
        <v>2024</v>
      </c>
      <c r="D2639" t="s">
        <v>51</v>
      </c>
      <c r="E2639" t="s">
        <v>28</v>
      </c>
      <c r="F2639" t="s">
        <v>29</v>
      </c>
      <c r="G2639" t="s">
        <v>30</v>
      </c>
      <c r="H2639">
        <v>1</v>
      </c>
      <c r="I2639" s="2">
        <v>24.98</v>
      </c>
      <c r="J2639" s="2">
        <v>24.98</v>
      </c>
      <c r="K2639" s="2">
        <f t="shared" si="124"/>
        <v>24.98</v>
      </c>
      <c r="L2639" s="2">
        <f t="shared" si="125"/>
        <v>0</v>
      </c>
      <c r="M2639" t="s">
        <v>64</v>
      </c>
      <c r="N2639" t="s">
        <v>21</v>
      </c>
    </row>
    <row r="2640" spans="1:14" x14ac:dyDescent="0.3">
      <c r="A2640">
        <v>2024003638</v>
      </c>
      <c r="B2640" s="1">
        <v>45447</v>
      </c>
      <c r="C2640" s="11">
        <f t="shared" si="123"/>
        <v>2024</v>
      </c>
      <c r="D2640" t="s">
        <v>85</v>
      </c>
      <c r="E2640" t="s">
        <v>67</v>
      </c>
      <c r="F2640" t="s">
        <v>68</v>
      </c>
      <c r="G2640" t="s">
        <v>36</v>
      </c>
      <c r="H2640">
        <v>1</v>
      </c>
      <c r="I2640" s="2">
        <v>367.8</v>
      </c>
      <c r="J2640" s="2">
        <v>367.8</v>
      </c>
      <c r="K2640" s="2">
        <f t="shared" si="124"/>
        <v>367.8</v>
      </c>
      <c r="L2640" s="2">
        <f t="shared" si="125"/>
        <v>0</v>
      </c>
      <c r="M2640" t="s">
        <v>64</v>
      </c>
      <c r="N2640" t="s">
        <v>16</v>
      </c>
    </row>
    <row r="2641" spans="1:14" x14ac:dyDescent="0.3">
      <c r="A2641">
        <v>2024003639</v>
      </c>
      <c r="B2641" s="1">
        <v>45443</v>
      </c>
      <c r="C2641" s="11">
        <f t="shared" si="123"/>
        <v>2024</v>
      </c>
      <c r="D2641" t="s">
        <v>343</v>
      </c>
      <c r="E2641" t="s">
        <v>43</v>
      </c>
      <c r="F2641" t="s">
        <v>44</v>
      </c>
      <c r="G2641" t="s">
        <v>36</v>
      </c>
      <c r="H2641">
        <v>1</v>
      </c>
      <c r="I2641" s="2">
        <v>1275.9000000000001</v>
      </c>
      <c r="J2641" s="2">
        <v>1275.9000000000001</v>
      </c>
      <c r="K2641" s="2">
        <f t="shared" si="124"/>
        <v>1275.9000000000001</v>
      </c>
      <c r="L2641" s="2">
        <f t="shared" si="125"/>
        <v>0</v>
      </c>
      <c r="M2641" t="s">
        <v>38</v>
      </c>
      <c r="N2641" t="s">
        <v>21</v>
      </c>
    </row>
    <row r="2642" spans="1:14" x14ac:dyDescent="0.3">
      <c r="A2642">
        <v>2024003640</v>
      </c>
      <c r="B2642" s="1">
        <v>45301</v>
      </c>
      <c r="C2642" s="11">
        <f t="shared" si="123"/>
        <v>2024</v>
      </c>
      <c r="D2642" t="s">
        <v>303</v>
      </c>
      <c r="E2642" t="s">
        <v>46</v>
      </c>
      <c r="F2642" t="s">
        <v>47</v>
      </c>
      <c r="G2642" t="s">
        <v>36</v>
      </c>
      <c r="H2642">
        <v>2</v>
      </c>
      <c r="I2642" s="2">
        <v>83.84</v>
      </c>
      <c r="J2642" s="2">
        <v>167.68</v>
      </c>
      <c r="K2642" s="2">
        <f t="shared" si="124"/>
        <v>167.68</v>
      </c>
      <c r="L2642" s="2">
        <f t="shared" si="125"/>
        <v>0</v>
      </c>
      <c r="M2642" t="s">
        <v>61</v>
      </c>
      <c r="N2642" t="s">
        <v>16</v>
      </c>
    </row>
    <row r="2643" spans="1:14" x14ac:dyDescent="0.3">
      <c r="A2643">
        <v>2024003641</v>
      </c>
      <c r="B2643" s="1">
        <v>45337</v>
      </c>
      <c r="C2643" s="11">
        <f t="shared" si="123"/>
        <v>2024</v>
      </c>
      <c r="D2643" t="s">
        <v>71</v>
      </c>
      <c r="E2643" t="s">
        <v>18</v>
      </c>
      <c r="F2643" t="s">
        <v>19</v>
      </c>
      <c r="G2643" t="s">
        <v>14</v>
      </c>
      <c r="H2643">
        <v>3</v>
      </c>
      <c r="I2643" s="2">
        <v>551.66999999999996</v>
      </c>
      <c r="J2643" s="2">
        <v>1655.01</v>
      </c>
      <c r="K2643" s="2">
        <f t="shared" si="124"/>
        <v>1655.0099999999998</v>
      </c>
      <c r="L2643" s="2">
        <f t="shared" si="125"/>
        <v>0</v>
      </c>
      <c r="M2643" t="s">
        <v>15</v>
      </c>
      <c r="N2643" t="s">
        <v>26</v>
      </c>
    </row>
    <row r="2644" spans="1:14" x14ac:dyDescent="0.3">
      <c r="A2644">
        <v>2024003642</v>
      </c>
      <c r="B2644" s="1">
        <v>45620</v>
      </c>
      <c r="C2644" s="11">
        <f t="shared" si="123"/>
        <v>2024</v>
      </c>
      <c r="D2644" t="s">
        <v>124</v>
      </c>
      <c r="E2644" t="s">
        <v>18</v>
      </c>
      <c r="F2644" t="s">
        <v>19</v>
      </c>
      <c r="G2644" t="s">
        <v>14</v>
      </c>
      <c r="H2644">
        <v>3</v>
      </c>
      <c r="I2644" s="2">
        <v>632.26</v>
      </c>
      <c r="J2644" s="2">
        <v>1896.78</v>
      </c>
      <c r="K2644" s="2">
        <f t="shared" si="124"/>
        <v>1896.78</v>
      </c>
      <c r="L2644" s="2">
        <f t="shared" si="125"/>
        <v>0</v>
      </c>
      <c r="M2644" t="s">
        <v>38</v>
      </c>
      <c r="N2644" t="s">
        <v>32</v>
      </c>
    </row>
    <row r="2645" spans="1:14" x14ac:dyDescent="0.3">
      <c r="A2645">
        <v>2024003643</v>
      </c>
      <c r="B2645" s="1">
        <v>45576</v>
      </c>
      <c r="C2645" s="11">
        <f t="shared" si="123"/>
        <v>2024</v>
      </c>
      <c r="D2645" t="s">
        <v>210</v>
      </c>
      <c r="E2645" t="s">
        <v>18</v>
      </c>
      <c r="F2645" t="s">
        <v>19</v>
      </c>
      <c r="G2645" t="s">
        <v>14</v>
      </c>
      <c r="H2645">
        <v>2</v>
      </c>
      <c r="I2645" s="2">
        <v>633.30999999999995</v>
      </c>
      <c r="J2645" s="2">
        <v>1266.6199999999999</v>
      </c>
      <c r="K2645" s="2">
        <f t="shared" si="124"/>
        <v>1266.6199999999999</v>
      </c>
      <c r="L2645" s="2">
        <f t="shared" si="125"/>
        <v>0</v>
      </c>
      <c r="M2645" t="s">
        <v>48</v>
      </c>
      <c r="N2645" t="s">
        <v>32</v>
      </c>
    </row>
    <row r="2646" spans="1:14" x14ac:dyDescent="0.3">
      <c r="A2646">
        <v>2024003644</v>
      </c>
      <c r="B2646" s="1">
        <v>45647</v>
      </c>
      <c r="C2646" s="11">
        <f t="shared" si="123"/>
        <v>2024</v>
      </c>
      <c r="D2646" t="s">
        <v>93</v>
      </c>
      <c r="E2646" t="s">
        <v>28</v>
      </c>
      <c r="F2646" t="s">
        <v>29</v>
      </c>
      <c r="G2646" t="s">
        <v>30</v>
      </c>
      <c r="H2646">
        <v>1</v>
      </c>
      <c r="I2646" s="2">
        <v>24.24</v>
      </c>
      <c r="J2646" s="2">
        <v>24.24</v>
      </c>
      <c r="K2646" s="2">
        <f t="shared" si="124"/>
        <v>24.24</v>
      </c>
      <c r="L2646" s="2">
        <f t="shared" si="125"/>
        <v>0</v>
      </c>
      <c r="M2646" t="s">
        <v>55</v>
      </c>
      <c r="N2646" t="s">
        <v>16</v>
      </c>
    </row>
    <row r="2647" spans="1:14" x14ac:dyDescent="0.3">
      <c r="A2647">
        <v>2024003645</v>
      </c>
      <c r="B2647" s="1">
        <v>45339</v>
      </c>
      <c r="C2647" s="11">
        <f t="shared" si="123"/>
        <v>2024</v>
      </c>
      <c r="D2647" t="s">
        <v>204</v>
      </c>
      <c r="E2647" t="s">
        <v>43</v>
      </c>
      <c r="F2647" t="s">
        <v>44</v>
      </c>
      <c r="G2647" t="s">
        <v>36</v>
      </c>
      <c r="H2647">
        <v>2</v>
      </c>
      <c r="I2647" s="2">
        <v>1213.1500000000001</v>
      </c>
      <c r="J2647" s="2">
        <v>2426.3000000000002</v>
      </c>
      <c r="K2647" s="2">
        <f t="shared" si="124"/>
        <v>2426.3000000000002</v>
      </c>
      <c r="L2647" s="2">
        <f t="shared" si="125"/>
        <v>0</v>
      </c>
      <c r="M2647" t="s">
        <v>31</v>
      </c>
      <c r="N2647" t="s">
        <v>26</v>
      </c>
    </row>
    <row r="2648" spans="1:14" x14ac:dyDescent="0.3">
      <c r="A2648">
        <v>2024003646</v>
      </c>
      <c r="B2648" s="1">
        <v>45423</v>
      </c>
      <c r="C2648" s="11">
        <f t="shared" si="123"/>
        <v>2024</v>
      </c>
      <c r="D2648" t="s">
        <v>219</v>
      </c>
      <c r="E2648" t="s">
        <v>12</v>
      </c>
      <c r="F2648" t="s">
        <v>13</v>
      </c>
      <c r="G2648" t="s">
        <v>14</v>
      </c>
      <c r="H2648">
        <v>1</v>
      </c>
      <c r="I2648" s="2">
        <v>363.29</v>
      </c>
      <c r="J2648" s="2">
        <v>363.29</v>
      </c>
      <c r="K2648" s="2">
        <f t="shared" si="124"/>
        <v>363.29</v>
      </c>
      <c r="L2648" s="2">
        <f t="shared" si="125"/>
        <v>0</v>
      </c>
      <c r="M2648" t="s">
        <v>48</v>
      </c>
      <c r="N2648" t="s">
        <v>32</v>
      </c>
    </row>
    <row r="2649" spans="1:14" x14ac:dyDescent="0.3">
      <c r="A2649">
        <v>2024003647</v>
      </c>
      <c r="B2649" s="1">
        <v>45298</v>
      </c>
      <c r="C2649" s="11">
        <f t="shared" si="123"/>
        <v>2024</v>
      </c>
      <c r="D2649" t="s">
        <v>219</v>
      </c>
      <c r="E2649" t="s">
        <v>12</v>
      </c>
      <c r="F2649" t="s">
        <v>13</v>
      </c>
      <c r="G2649" t="s">
        <v>14</v>
      </c>
      <c r="H2649">
        <v>1</v>
      </c>
      <c r="I2649" s="2">
        <v>336.22</v>
      </c>
      <c r="J2649" s="2">
        <v>336.22</v>
      </c>
      <c r="K2649" s="2">
        <f t="shared" si="124"/>
        <v>336.22</v>
      </c>
      <c r="L2649" s="2">
        <f t="shared" si="125"/>
        <v>0</v>
      </c>
      <c r="M2649" t="s">
        <v>38</v>
      </c>
      <c r="N2649" t="s">
        <v>21</v>
      </c>
    </row>
    <row r="2650" spans="1:14" x14ac:dyDescent="0.3">
      <c r="A2650">
        <v>2024003210</v>
      </c>
      <c r="B2650" s="1">
        <v>45502</v>
      </c>
      <c r="C2650" s="11">
        <f t="shared" si="123"/>
        <v>2024</v>
      </c>
      <c r="D2650" t="s">
        <v>313</v>
      </c>
      <c r="E2650" t="s">
        <v>43</v>
      </c>
      <c r="F2650" t="s">
        <v>44</v>
      </c>
      <c r="G2650" t="s">
        <v>36</v>
      </c>
      <c r="H2650">
        <v>2</v>
      </c>
      <c r="I2650" s="2">
        <v>1137.32</v>
      </c>
      <c r="J2650" s="2">
        <v>2274.64</v>
      </c>
      <c r="K2650" s="2">
        <f t="shared" si="124"/>
        <v>2274.64</v>
      </c>
      <c r="L2650" s="2">
        <f t="shared" si="125"/>
        <v>0</v>
      </c>
      <c r="M2650" t="s">
        <v>48</v>
      </c>
      <c r="N2650" t="s">
        <v>16</v>
      </c>
    </row>
    <row r="2651" spans="1:14" x14ac:dyDescent="0.3">
      <c r="A2651">
        <v>2024003649</v>
      </c>
      <c r="B2651" s="1">
        <v>45482</v>
      </c>
      <c r="C2651" s="11">
        <f t="shared" si="123"/>
        <v>2024</v>
      </c>
      <c r="D2651" t="s">
        <v>307</v>
      </c>
      <c r="E2651" t="s">
        <v>43</v>
      </c>
      <c r="F2651" t="s">
        <v>44</v>
      </c>
      <c r="G2651" t="s">
        <v>36</v>
      </c>
      <c r="H2651">
        <v>1</v>
      </c>
      <c r="I2651" s="2">
        <v>1227.29</v>
      </c>
      <c r="J2651" s="2">
        <v>1227.29</v>
      </c>
      <c r="K2651" s="2">
        <f t="shared" si="124"/>
        <v>1227.29</v>
      </c>
      <c r="L2651" s="2">
        <f t="shared" si="125"/>
        <v>0</v>
      </c>
      <c r="M2651" t="s">
        <v>15</v>
      </c>
      <c r="N2651" t="s">
        <v>26</v>
      </c>
    </row>
    <row r="2652" spans="1:14" x14ac:dyDescent="0.3">
      <c r="A2652">
        <v>2024003650</v>
      </c>
      <c r="B2652" s="1">
        <v>45297</v>
      </c>
      <c r="C2652" s="11">
        <f t="shared" si="123"/>
        <v>2024</v>
      </c>
      <c r="D2652" t="s">
        <v>74</v>
      </c>
      <c r="E2652" t="s">
        <v>67</v>
      </c>
      <c r="F2652" t="s">
        <v>68</v>
      </c>
      <c r="G2652" t="s">
        <v>36</v>
      </c>
      <c r="H2652">
        <v>3</v>
      </c>
      <c r="I2652" s="2">
        <v>399.15</v>
      </c>
      <c r="J2652" s="2">
        <v>1197.45</v>
      </c>
      <c r="K2652" s="2">
        <f t="shared" si="124"/>
        <v>1197.4499999999998</v>
      </c>
      <c r="L2652" s="2">
        <f t="shared" si="125"/>
        <v>0</v>
      </c>
      <c r="M2652" t="s">
        <v>15</v>
      </c>
      <c r="N2652" t="s">
        <v>32</v>
      </c>
    </row>
    <row r="2653" spans="1:14" x14ac:dyDescent="0.3">
      <c r="A2653">
        <v>2024003651</v>
      </c>
      <c r="B2653" s="1">
        <v>45573</v>
      </c>
      <c r="C2653" s="11">
        <f t="shared" si="123"/>
        <v>2024</v>
      </c>
      <c r="D2653" t="s">
        <v>139</v>
      </c>
      <c r="E2653" t="s">
        <v>34</v>
      </c>
      <c r="F2653" t="s">
        <v>35</v>
      </c>
      <c r="G2653" t="s">
        <v>36</v>
      </c>
      <c r="H2653">
        <v>1</v>
      </c>
      <c r="I2653" s="2">
        <v>14.77</v>
      </c>
      <c r="J2653" s="2">
        <v>14.77</v>
      </c>
      <c r="K2653" s="2">
        <f t="shared" si="124"/>
        <v>14.77</v>
      </c>
      <c r="L2653" s="2">
        <f t="shared" si="125"/>
        <v>0</v>
      </c>
      <c r="M2653" t="s">
        <v>31</v>
      </c>
      <c r="N2653" t="s">
        <v>16</v>
      </c>
    </row>
    <row r="2654" spans="1:14" x14ac:dyDescent="0.3">
      <c r="A2654">
        <v>2024003652</v>
      </c>
      <c r="B2654" s="1">
        <v>45539</v>
      </c>
      <c r="C2654" s="11">
        <f t="shared" si="123"/>
        <v>2024</v>
      </c>
      <c r="D2654" t="s">
        <v>249</v>
      </c>
      <c r="E2654" t="s">
        <v>53</v>
      </c>
      <c r="F2654" t="s">
        <v>54</v>
      </c>
      <c r="G2654" t="s">
        <v>36</v>
      </c>
      <c r="H2654">
        <v>2</v>
      </c>
      <c r="I2654" s="2">
        <v>123.53</v>
      </c>
      <c r="J2654" s="2">
        <v>247.06</v>
      </c>
      <c r="K2654" s="2">
        <f t="shared" si="124"/>
        <v>247.06</v>
      </c>
      <c r="L2654" s="2">
        <f t="shared" si="125"/>
        <v>0</v>
      </c>
      <c r="M2654" t="s">
        <v>61</v>
      </c>
      <c r="N2654" t="s">
        <v>16</v>
      </c>
    </row>
    <row r="2655" spans="1:14" x14ac:dyDescent="0.3">
      <c r="A2655">
        <v>2024003653</v>
      </c>
      <c r="B2655" s="1">
        <v>45329</v>
      </c>
      <c r="C2655" s="11">
        <f t="shared" si="123"/>
        <v>2024</v>
      </c>
      <c r="D2655" t="s">
        <v>213</v>
      </c>
      <c r="E2655" t="s">
        <v>46</v>
      </c>
      <c r="F2655" t="s">
        <v>47</v>
      </c>
      <c r="G2655" t="s">
        <v>36</v>
      </c>
      <c r="H2655">
        <v>4</v>
      </c>
      <c r="I2655" s="2">
        <v>84.1</v>
      </c>
      <c r="J2655" s="2">
        <v>336.4</v>
      </c>
      <c r="K2655" s="2">
        <f t="shared" si="124"/>
        <v>336.4</v>
      </c>
      <c r="L2655" s="2">
        <f t="shared" si="125"/>
        <v>0</v>
      </c>
      <c r="M2655" t="s">
        <v>64</v>
      </c>
      <c r="N2655" t="s">
        <v>16</v>
      </c>
    </row>
    <row r="2656" spans="1:14" x14ac:dyDescent="0.3">
      <c r="A2656">
        <v>2024003654</v>
      </c>
      <c r="B2656" s="1">
        <v>45388</v>
      </c>
      <c r="C2656" s="11">
        <f t="shared" si="123"/>
        <v>2024</v>
      </c>
      <c r="D2656" t="s">
        <v>243</v>
      </c>
      <c r="E2656" t="s">
        <v>53</v>
      </c>
      <c r="F2656" t="s">
        <v>54</v>
      </c>
      <c r="G2656" t="s">
        <v>36</v>
      </c>
      <c r="H2656">
        <v>2</v>
      </c>
      <c r="I2656" s="2">
        <v>138.16999999999999</v>
      </c>
      <c r="J2656" s="2">
        <v>276.33999999999997</v>
      </c>
      <c r="K2656" s="2">
        <f t="shared" si="124"/>
        <v>276.33999999999997</v>
      </c>
      <c r="L2656" s="2">
        <f t="shared" si="125"/>
        <v>0</v>
      </c>
      <c r="M2656" t="s">
        <v>15</v>
      </c>
      <c r="N2656" t="s">
        <v>32</v>
      </c>
    </row>
    <row r="2657" spans="1:14" x14ac:dyDescent="0.3">
      <c r="A2657">
        <v>2024003655</v>
      </c>
      <c r="B2657" s="1">
        <v>45583</v>
      </c>
      <c r="C2657" s="11">
        <f t="shared" si="123"/>
        <v>2024</v>
      </c>
      <c r="D2657" t="s">
        <v>223</v>
      </c>
      <c r="E2657" t="s">
        <v>43</v>
      </c>
      <c r="F2657" t="s">
        <v>44</v>
      </c>
      <c r="G2657" t="s">
        <v>36</v>
      </c>
      <c r="H2657">
        <v>3</v>
      </c>
      <c r="I2657" s="2">
        <v>1270.9100000000001</v>
      </c>
      <c r="J2657" s="2">
        <v>3812.73</v>
      </c>
      <c r="K2657" s="2">
        <f t="shared" si="124"/>
        <v>3812.7300000000005</v>
      </c>
      <c r="L2657" s="2">
        <f t="shared" si="125"/>
        <v>0</v>
      </c>
      <c r="M2657" t="s">
        <v>61</v>
      </c>
      <c r="N2657" t="s">
        <v>16</v>
      </c>
    </row>
    <row r="2658" spans="1:14" x14ac:dyDescent="0.3">
      <c r="A2658">
        <v>2024003656</v>
      </c>
      <c r="B2658" s="1">
        <v>45617</v>
      </c>
      <c r="C2658" s="11">
        <f t="shared" si="123"/>
        <v>2024</v>
      </c>
      <c r="D2658" t="s">
        <v>11</v>
      </c>
      <c r="E2658" t="s">
        <v>18</v>
      </c>
      <c r="F2658" t="s">
        <v>19</v>
      </c>
      <c r="G2658" t="s">
        <v>14</v>
      </c>
      <c r="H2658">
        <v>1</v>
      </c>
      <c r="I2658" s="2">
        <v>562.87</v>
      </c>
      <c r="J2658" s="2">
        <v>562.87</v>
      </c>
      <c r="K2658" s="2">
        <f t="shared" si="124"/>
        <v>562.87</v>
      </c>
      <c r="L2658" s="2">
        <f t="shared" si="125"/>
        <v>0</v>
      </c>
      <c r="M2658" t="s">
        <v>55</v>
      </c>
      <c r="N2658" t="s">
        <v>32</v>
      </c>
    </row>
    <row r="2659" spans="1:14" x14ac:dyDescent="0.3">
      <c r="A2659">
        <v>2024003657</v>
      </c>
      <c r="B2659" s="1">
        <v>45595</v>
      </c>
      <c r="C2659" s="11">
        <f t="shared" si="123"/>
        <v>2024</v>
      </c>
      <c r="D2659" t="s">
        <v>11</v>
      </c>
      <c r="E2659" t="s">
        <v>18</v>
      </c>
      <c r="F2659" t="s">
        <v>19</v>
      </c>
      <c r="G2659" t="s">
        <v>14</v>
      </c>
      <c r="H2659">
        <v>1</v>
      </c>
      <c r="I2659" s="2">
        <v>588.34</v>
      </c>
      <c r="J2659" s="2">
        <v>588.34</v>
      </c>
      <c r="K2659" s="2">
        <f t="shared" si="124"/>
        <v>588.34</v>
      </c>
      <c r="L2659" s="2">
        <f t="shared" si="125"/>
        <v>0</v>
      </c>
      <c r="M2659" t="s">
        <v>48</v>
      </c>
      <c r="N2659" t="s">
        <v>26</v>
      </c>
    </row>
    <row r="2660" spans="1:14" x14ac:dyDescent="0.3">
      <c r="A2660">
        <v>2024003658</v>
      </c>
      <c r="B2660" s="1">
        <v>45429</v>
      </c>
      <c r="C2660" s="11">
        <f t="shared" si="123"/>
        <v>2024</v>
      </c>
      <c r="D2660" t="s">
        <v>217</v>
      </c>
      <c r="E2660" t="s">
        <v>12</v>
      </c>
      <c r="F2660" t="s">
        <v>13</v>
      </c>
      <c r="G2660" t="s">
        <v>14</v>
      </c>
      <c r="H2660">
        <v>2</v>
      </c>
      <c r="I2660" s="2">
        <v>357.74</v>
      </c>
      <c r="J2660" s="2">
        <v>715.48</v>
      </c>
      <c r="K2660" s="2">
        <f t="shared" si="124"/>
        <v>715.48</v>
      </c>
      <c r="L2660" s="2">
        <f t="shared" si="125"/>
        <v>0</v>
      </c>
      <c r="M2660" t="s">
        <v>48</v>
      </c>
      <c r="N2660" t="s">
        <v>21</v>
      </c>
    </row>
    <row r="2661" spans="1:14" x14ac:dyDescent="0.3">
      <c r="A2661">
        <v>2024003659</v>
      </c>
      <c r="B2661" s="1">
        <v>45596</v>
      </c>
      <c r="C2661" s="11">
        <f t="shared" si="123"/>
        <v>2024</v>
      </c>
      <c r="D2661" t="s">
        <v>257</v>
      </c>
      <c r="E2661" t="s">
        <v>67</v>
      </c>
      <c r="F2661" t="s">
        <v>68</v>
      </c>
      <c r="G2661" t="s">
        <v>36</v>
      </c>
      <c r="H2661">
        <v>1</v>
      </c>
      <c r="I2661" s="2">
        <v>404.34</v>
      </c>
      <c r="J2661" s="2">
        <v>404.34</v>
      </c>
      <c r="K2661" s="2">
        <f t="shared" si="124"/>
        <v>404.34</v>
      </c>
      <c r="L2661" s="2">
        <f t="shared" si="125"/>
        <v>0</v>
      </c>
      <c r="M2661" t="s">
        <v>25</v>
      </c>
      <c r="N2661" t="s">
        <v>26</v>
      </c>
    </row>
    <row r="2662" spans="1:14" x14ac:dyDescent="0.3">
      <c r="A2662">
        <v>2024003660</v>
      </c>
      <c r="B2662" s="1">
        <v>45324</v>
      </c>
      <c r="C2662" s="11">
        <f t="shared" si="123"/>
        <v>2024</v>
      </c>
      <c r="D2662" t="s">
        <v>305</v>
      </c>
      <c r="E2662" t="s">
        <v>18</v>
      </c>
      <c r="F2662" t="s">
        <v>19</v>
      </c>
      <c r="G2662" t="s">
        <v>14</v>
      </c>
      <c r="H2662">
        <v>1</v>
      </c>
      <c r="I2662" s="2">
        <v>547.30999999999995</v>
      </c>
      <c r="J2662" s="2">
        <v>547.30999999999995</v>
      </c>
      <c r="K2662" s="2">
        <f t="shared" si="124"/>
        <v>547.30999999999995</v>
      </c>
      <c r="L2662" s="2">
        <f t="shared" si="125"/>
        <v>0</v>
      </c>
      <c r="M2662" t="s">
        <v>31</v>
      </c>
      <c r="N2662" t="s">
        <v>32</v>
      </c>
    </row>
    <row r="2663" spans="1:14" x14ac:dyDescent="0.3">
      <c r="A2663">
        <v>2024003661</v>
      </c>
      <c r="B2663" s="1">
        <v>45652</v>
      </c>
      <c r="C2663" s="11">
        <f t="shared" si="123"/>
        <v>2024</v>
      </c>
      <c r="D2663" t="s">
        <v>11</v>
      </c>
      <c r="E2663" t="s">
        <v>34</v>
      </c>
      <c r="F2663" t="s">
        <v>35</v>
      </c>
      <c r="G2663" t="s">
        <v>36</v>
      </c>
      <c r="H2663">
        <v>2</v>
      </c>
      <c r="I2663" s="2">
        <v>15.33</v>
      </c>
      <c r="J2663" s="2">
        <v>30.66</v>
      </c>
      <c r="K2663" s="2">
        <f t="shared" si="124"/>
        <v>30.66</v>
      </c>
      <c r="L2663" s="2">
        <f t="shared" si="125"/>
        <v>0</v>
      </c>
      <c r="M2663" t="s">
        <v>15</v>
      </c>
      <c r="N2663" t="s">
        <v>21</v>
      </c>
    </row>
    <row r="2664" spans="1:14" x14ac:dyDescent="0.3">
      <c r="A2664">
        <v>2024003662</v>
      </c>
      <c r="B2664" s="1">
        <v>45580</v>
      </c>
      <c r="C2664" s="11">
        <f t="shared" si="123"/>
        <v>2024</v>
      </c>
      <c r="D2664" t="s">
        <v>22</v>
      </c>
      <c r="E2664" t="s">
        <v>46</v>
      </c>
      <c r="F2664" t="s">
        <v>47</v>
      </c>
      <c r="G2664" t="s">
        <v>36</v>
      </c>
      <c r="H2664">
        <v>2</v>
      </c>
      <c r="I2664" s="2">
        <v>88.4</v>
      </c>
      <c r="J2664" s="2">
        <v>176.8</v>
      </c>
      <c r="K2664" s="2">
        <f t="shared" si="124"/>
        <v>176.8</v>
      </c>
      <c r="L2664" s="2">
        <f t="shared" si="125"/>
        <v>0</v>
      </c>
      <c r="M2664" t="s">
        <v>31</v>
      </c>
      <c r="N2664" t="s">
        <v>21</v>
      </c>
    </row>
    <row r="2665" spans="1:14" x14ac:dyDescent="0.3">
      <c r="A2665">
        <v>2024003663</v>
      </c>
      <c r="B2665" s="1">
        <v>45419</v>
      </c>
      <c r="C2665" s="11">
        <f t="shared" si="123"/>
        <v>2024</v>
      </c>
      <c r="D2665" t="s">
        <v>11</v>
      </c>
      <c r="E2665" t="s">
        <v>67</v>
      </c>
      <c r="F2665" t="s">
        <v>68</v>
      </c>
      <c r="G2665" t="s">
        <v>36</v>
      </c>
      <c r="H2665">
        <v>1</v>
      </c>
      <c r="I2665" s="2">
        <v>369.92</v>
      </c>
      <c r="J2665" s="2">
        <v>369.92</v>
      </c>
      <c r="K2665" s="2">
        <f t="shared" si="124"/>
        <v>369.92</v>
      </c>
      <c r="L2665" s="2">
        <f t="shared" si="125"/>
        <v>0</v>
      </c>
      <c r="M2665" t="s">
        <v>15</v>
      </c>
      <c r="N2665" t="s">
        <v>21</v>
      </c>
    </row>
    <row r="2666" spans="1:14" x14ac:dyDescent="0.3">
      <c r="A2666">
        <v>2024003664</v>
      </c>
      <c r="B2666" s="1">
        <v>45493</v>
      </c>
      <c r="C2666" s="11">
        <f t="shared" si="123"/>
        <v>2024</v>
      </c>
      <c r="D2666" t="s">
        <v>37</v>
      </c>
      <c r="E2666" t="s">
        <v>23</v>
      </c>
      <c r="F2666" t="s">
        <v>24</v>
      </c>
      <c r="G2666" t="s">
        <v>14</v>
      </c>
      <c r="H2666">
        <v>1</v>
      </c>
      <c r="I2666" s="2">
        <v>78.52</v>
      </c>
      <c r="J2666" s="2">
        <v>78.52</v>
      </c>
      <c r="K2666" s="2">
        <f t="shared" si="124"/>
        <v>78.52</v>
      </c>
      <c r="L2666" s="2">
        <f t="shared" si="125"/>
        <v>0</v>
      </c>
      <c r="M2666" t="s">
        <v>64</v>
      </c>
      <c r="N2666" t="s">
        <v>26</v>
      </c>
    </row>
    <row r="2667" spans="1:14" x14ac:dyDescent="0.3">
      <c r="A2667">
        <v>2024003665</v>
      </c>
      <c r="B2667" s="1">
        <v>45333</v>
      </c>
      <c r="C2667" s="11">
        <f t="shared" si="123"/>
        <v>2024</v>
      </c>
      <c r="D2667" t="s">
        <v>191</v>
      </c>
      <c r="E2667" t="s">
        <v>40</v>
      </c>
      <c r="F2667" t="s">
        <v>41</v>
      </c>
      <c r="G2667" t="s">
        <v>36</v>
      </c>
      <c r="H2667">
        <v>3</v>
      </c>
      <c r="I2667" s="2">
        <v>44.72</v>
      </c>
      <c r="J2667" s="2">
        <v>134.16</v>
      </c>
      <c r="K2667" s="2">
        <f t="shared" si="124"/>
        <v>134.16</v>
      </c>
      <c r="L2667" s="2">
        <f t="shared" si="125"/>
        <v>0</v>
      </c>
      <c r="M2667" t="s">
        <v>61</v>
      </c>
      <c r="N2667" t="s">
        <v>16</v>
      </c>
    </row>
    <row r="2668" spans="1:14" x14ac:dyDescent="0.3">
      <c r="A2668">
        <v>2024003666</v>
      </c>
      <c r="B2668" s="1">
        <v>45321</v>
      </c>
      <c r="C2668" s="11">
        <f t="shared" si="123"/>
        <v>2024</v>
      </c>
      <c r="D2668" t="s">
        <v>261</v>
      </c>
      <c r="E2668" t="s">
        <v>12</v>
      </c>
      <c r="F2668" t="s">
        <v>13</v>
      </c>
      <c r="G2668" t="s">
        <v>14</v>
      </c>
      <c r="H2668">
        <v>2</v>
      </c>
      <c r="I2668" s="2">
        <v>361.26</v>
      </c>
      <c r="J2668" s="2">
        <v>722.52</v>
      </c>
      <c r="K2668" s="2">
        <f t="shared" si="124"/>
        <v>722.52</v>
      </c>
      <c r="L2668" s="2">
        <f t="shared" si="125"/>
        <v>0</v>
      </c>
      <c r="M2668" t="s">
        <v>61</v>
      </c>
      <c r="N2668" t="s">
        <v>26</v>
      </c>
    </row>
    <row r="2669" spans="1:14" x14ac:dyDescent="0.3">
      <c r="A2669">
        <v>2024003667</v>
      </c>
      <c r="B2669" s="1">
        <v>45358</v>
      </c>
      <c r="C2669" s="11">
        <f t="shared" si="123"/>
        <v>2024</v>
      </c>
      <c r="D2669" t="s">
        <v>311</v>
      </c>
      <c r="E2669" t="s">
        <v>53</v>
      </c>
      <c r="F2669" t="s">
        <v>54</v>
      </c>
      <c r="G2669" t="s">
        <v>36</v>
      </c>
      <c r="H2669">
        <v>1</v>
      </c>
      <c r="I2669" s="2">
        <v>121.54</v>
      </c>
      <c r="J2669" s="2">
        <v>121.54</v>
      </c>
      <c r="K2669" s="2">
        <f t="shared" si="124"/>
        <v>121.54</v>
      </c>
      <c r="L2669" s="2">
        <f t="shared" si="125"/>
        <v>0</v>
      </c>
      <c r="M2669" t="s">
        <v>25</v>
      </c>
      <c r="N2669" t="s">
        <v>26</v>
      </c>
    </row>
    <row r="2670" spans="1:14" x14ac:dyDescent="0.3">
      <c r="A2670">
        <v>2024003668</v>
      </c>
      <c r="B2670" s="1">
        <v>45363</v>
      </c>
      <c r="C2670" s="11">
        <f t="shared" si="123"/>
        <v>2024</v>
      </c>
      <c r="D2670" t="s">
        <v>291</v>
      </c>
      <c r="E2670" t="s">
        <v>34</v>
      </c>
      <c r="F2670" t="s">
        <v>35</v>
      </c>
      <c r="G2670" t="s">
        <v>36</v>
      </c>
      <c r="H2670">
        <v>2</v>
      </c>
      <c r="I2670" s="2">
        <v>15.04</v>
      </c>
      <c r="J2670" s="2">
        <v>30.08</v>
      </c>
      <c r="K2670" s="2">
        <f t="shared" si="124"/>
        <v>30.08</v>
      </c>
      <c r="L2670" s="2">
        <f t="shared" si="125"/>
        <v>0</v>
      </c>
      <c r="M2670" t="s">
        <v>38</v>
      </c>
      <c r="N2670" t="s">
        <v>26</v>
      </c>
    </row>
    <row r="2671" spans="1:14" x14ac:dyDescent="0.3">
      <c r="A2671">
        <v>2024003669</v>
      </c>
      <c r="B2671" s="1">
        <v>45339</v>
      </c>
      <c r="C2671" s="11">
        <f t="shared" si="123"/>
        <v>2024</v>
      </c>
      <c r="D2671" t="s">
        <v>11</v>
      </c>
      <c r="E2671" t="s">
        <v>28</v>
      </c>
      <c r="F2671" t="s">
        <v>29</v>
      </c>
      <c r="G2671" t="s">
        <v>30</v>
      </c>
      <c r="H2671">
        <v>1</v>
      </c>
      <c r="I2671" s="2">
        <v>23.46</v>
      </c>
      <c r="J2671" s="2">
        <v>23.46</v>
      </c>
      <c r="K2671" s="2">
        <f t="shared" si="124"/>
        <v>23.46</v>
      </c>
      <c r="L2671" s="2">
        <f t="shared" si="125"/>
        <v>0</v>
      </c>
      <c r="M2671" t="s">
        <v>57</v>
      </c>
      <c r="N2671" t="s">
        <v>16</v>
      </c>
    </row>
    <row r="2672" spans="1:14" x14ac:dyDescent="0.3">
      <c r="A2672">
        <v>2024003670</v>
      </c>
      <c r="B2672" s="1">
        <v>45631</v>
      </c>
      <c r="C2672" s="11">
        <f t="shared" si="123"/>
        <v>2024</v>
      </c>
      <c r="D2672" t="s">
        <v>11</v>
      </c>
      <c r="E2672" t="s">
        <v>40</v>
      </c>
      <c r="F2672" t="s">
        <v>41</v>
      </c>
      <c r="G2672" t="s">
        <v>36</v>
      </c>
      <c r="H2672">
        <v>1</v>
      </c>
      <c r="I2672" s="2">
        <v>44.99</v>
      </c>
      <c r="J2672" s="2">
        <v>44.99</v>
      </c>
      <c r="K2672" s="2">
        <f t="shared" si="124"/>
        <v>44.99</v>
      </c>
      <c r="L2672" s="2">
        <f t="shared" si="125"/>
        <v>0</v>
      </c>
      <c r="M2672" t="s">
        <v>31</v>
      </c>
      <c r="N2672" t="s">
        <v>16</v>
      </c>
    </row>
    <row r="2673" spans="1:14" x14ac:dyDescent="0.3">
      <c r="A2673">
        <v>2024003671</v>
      </c>
      <c r="B2673" s="1">
        <v>45644</v>
      </c>
      <c r="C2673" s="11">
        <f t="shared" si="123"/>
        <v>2024</v>
      </c>
      <c r="D2673" t="s">
        <v>11</v>
      </c>
      <c r="E2673" t="s">
        <v>67</v>
      </c>
      <c r="F2673" t="s">
        <v>68</v>
      </c>
      <c r="G2673" t="s">
        <v>36</v>
      </c>
      <c r="H2673">
        <v>3</v>
      </c>
      <c r="I2673" s="2">
        <v>404.46</v>
      </c>
      <c r="J2673" s="2">
        <v>1213.3800000000001</v>
      </c>
      <c r="K2673" s="2">
        <f t="shared" si="124"/>
        <v>1213.3799999999999</v>
      </c>
      <c r="L2673" s="2">
        <f t="shared" si="125"/>
        <v>0</v>
      </c>
      <c r="M2673" t="s">
        <v>55</v>
      </c>
      <c r="N2673" t="s">
        <v>26</v>
      </c>
    </row>
    <row r="2674" spans="1:14" x14ac:dyDescent="0.3">
      <c r="A2674">
        <v>2024003672</v>
      </c>
      <c r="B2674" s="1">
        <v>45619</v>
      </c>
      <c r="C2674" s="11">
        <f t="shared" si="123"/>
        <v>2024</v>
      </c>
      <c r="D2674" t="s">
        <v>163</v>
      </c>
      <c r="E2674" t="s">
        <v>46</v>
      </c>
      <c r="F2674" t="s">
        <v>47</v>
      </c>
      <c r="G2674" t="s">
        <v>36</v>
      </c>
      <c r="H2674">
        <v>4</v>
      </c>
      <c r="I2674" s="2">
        <v>94.52</v>
      </c>
      <c r="J2674" s="2">
        <v>378.08</v>
      </c>
      <c r="K2674" s="2">
        <f t="shared" si="124"/>
        <v>378.08</v>
      </c>
      <c r="L2674" s="2">
        <f t="shared" si="125"/>
        <v>0</v>
      </c>
      <c r="M2674" t="s">
        <v>20</v>
      </c>
      <c r="N2674" t="s">
        <v>21</v>
      </c>
    </row>
    <row r="2675" spans="1:14" x14ac:dyDescent="0.3">
      <c r="A2675">
        <v>2024003673</v>
      </c>
      <c r="B2675" s="1">
        <v>45591</v>
      </c>
      <c r="C2675" s="11">
        <f t="shared" si="123"/>
        <v>2024</v>
      </c>
      <c r="D2675" t="s">
        <v>113</v>
      </c>
      <c r="E2675" t="s">
        <v>28</v>
      </c>
      <c r="F2675" t="s">
        <v>29</v>
      </c>
      <c r="G2675" t="s">
        <v>30</v>
      </c>
      <c r="H2675">
        <v>3</v>
      </c>
      <c r="I2675" s="2">
        <v>25.95</v>
      </c>
      <c r="J2675" s="2">
        <v>77.849999999999994</v>
      </c>
      <c r="K2675" s="2">
        <f t="shared" si="124"/>
        <v>77.849999999999994</v>
      </c>
      <c r="L2675" s="2">
        <f t="shared" si="125"/>
        <v>0</v>
      </c>
      <c r="M2675" t="s">
        <v>31</v>
      </c>
      <c r="N2675" t="s">
        <v>21</v>
      </c>
    </row>
    <row r="2676" spans="1:14" x14ac:dyDescent="0.3">
      <c r="A2676">
        <v>2024003674</v>
      </c>
      <c r="B2676" s="1">
        <v>45642</v>
      </c>
      <c r="C2676" s="11">
        <f t="shared" si="123"/>
        <v>2024</v>
      </c>
      <c r="D2676" t="s">
        <v>103</v>
      </c>
      <c r="E2676" t="s">
        <v>43</v>
      </c>
      <c r="F2676" t="s">
        <v>44</v>
      </c>
      <c r="G2676" t="s">
        <v>36</v>
      </c>
      <c r="H2676">
        <v>2</v>
      </c>
      <c r="I2676" s="2">
        <v>1232.82</v>
      </c>
      <c r="J2676" s="2">
        <v>2465.64</v>
      </c>
      <c r="K2676" s="2">
        <f t="shared" si="124"/>
        <v>2465.64</v>
      </c>
      <c r="L2676" s="2">
        <f t="shared" si="125"/>
        <v>0</v>
      </c>
      <c r="M2676" t="s">
        <v>31</v>
      </c>
      <c r="N2676" t="s">
        <v>16</v>
      </c>
    </row>
    <row r="2677" spans="1:14" x14ac:dyDescent="0.3">
      <c r="A2677">
        <v>2024003675</v>
      </c>
      <c r="B2677" s="1">
        <v>45517</v>
      </c>
      <c r="C2677" s="11">
        <f t="shared" si="123"/>
        <v>2024</v>
      </c>
      <c r="D2677" t="s">
        <v>174</v>
      </c>
      <c r="E2677" t="s">
        <v>28</v>
      </c>
      <c r="F2677" t="s">
        <v>29</v>
      </c>
      <c r="G2677" t="s">
        <v>30</v>
      </c>
      <c r="H2677">
        <v>1</v>
      </c>
      <c r="I2677" s="2">
        <v>26.66</v>
      </c>
      <c r="J2677" s="2">
        <v>26.66</v>
      </c>
      <c r="K2677" s="2">
        <f t="shared" si="124"/>
        <v>26.66</v>
      </c>
      <c r="L2677" s="2">
        <f t="shared" si="125"/>
        <v>0</v>
      </c>
      <c r="M2677" t="s">
        <v>20</v>
      </c>
      <c r="N2677" t="s">
        <v>26</v>
      </c>
    </row>
    <row r="2678" spans="1:14" x14ac:dyDescent="0.3">
      <c r="A2678">
        <v>2024003676</v>
      </c>
      <c r="B2678" s="1">
        <v>45540</v>
      </c>
      <c r="C2678" s="11">
        <f t="shared" si="123"/>
        <v>2024</v>
      </c>
      <c r="D2678" t="s">
        <v>11</v>
      </c>
      <c r="E2678" t="s">
        <v>53</v>
      </c>
      <c r="F2678" t="s">
        <v>54</v>
      </c>
      <c r="G2678" t="s">
        <v>36</v>
      </c>
      <c r="H2678">
        <v>2</v>
      </c>
      <c r="I2678" s="2">
        <v>125</v>
      </c>
      <c r="J2678" s="2">
        <v>250</v>
      </c>
      <c r="K2678" s="2">
        <f t="shared" si="124"/>
        <v>250</v>
      </c>
      <c r="L2678" s="2">
        <f t="shared" si="125"/>
        <v>0</v>
      </c>
      <c r="M2678" t="s">
        <v>48</v>
      </c>
      <c r="N2678" t="s">
        <v>32</v>
      </c>
    </row>
    <row r="2679" spans="1:14" x14ac:dyDescent="0.3">
      <c r="A2679">
        <v>2024003677</v>
      </c>
      <c r="B2679" s="1">
        <v>45411</v>
      </c>
      <c r="C2679" s="11">
        <f t="shared" si="123"/>
        <v>2024</v>
      </c>
      <c r="D2679" t="s">
        <v>103</v>
      </c>
      <c r="E2679" t="s">
        <v>23</v>
      </c>
      <c r="F2679" t="s">
        <v>24</v>
      </c>
      <c r="G2679" t="s">
        <v>14</v>
      </c>
      <c r="H2679">
        <v>2</v>
      </c>
      <c r="I2679" s="2">
        <v>82.35</v>
      </c>
      <c r="J2679" s="2">
        <v>164.7</v>
      </c>
      <c r="K2679" s="2">
        <f t="shared" si="124"/>
        <v>164.7</v>
      </c>
      <c r="L2679" s="2">
        <f t="shared" si="125"/>
        <v>0</v>
      </c>
      <c r="M2679" t="s">
        <v>48</v>
      </c>
      <c r="N2679" t="s">
        <v>26</v>
      </c>
    </row>
    <row r="2680" spans="1:14" x14ac:dyDescent="0.3">
      <c r="A2680">
        <v>2024003678</v>
      </c>
      <c r="B2680" s="1">
        <v>45343</v>
      </c>
      <c r="C2680" s="11">
        <f t="shared" si="123"/>
        <v>2024</v>
      </c>
      <c r="D2680" t="s">
        <v>56</v>
      </c>
      <c r="E2680" t="s">
        <v>53</v>
      </c>
      <c r="F2680" t="s">
        <v>54</v>
      </c>
      <c r="G2680" t="s">
        <v>36</v>
      </c>
      <c r="H2680">
        <v>1</v>
      </c>
      <c r="I2680" s="2">
        <v>116.35</v>
      </c>
      <c r="J2680" s="2">
        <v>116.35</v>
      </c>
      <c r="K2680" s="2">
        <f t="shared" si="124"/>
        <v>116.35</v>
      </c>
      <c r="L2680" s="2">
        <f t="shared" si="125"/>
        <v>0</v>
      </c>
      <c r="M2680" t="s">
        <v>25</v>
      </c>
      <c r="N2680" t="s">
        <v>26</v>
      </c>
    </row>
    <row r="2681" spans="1:14" x14ac:dyDescent="0.3">
      <c r="A2681">
        <v>2024003679</v>
      </c>
      <c r="B2681" s="1">
        <v>45610</v>
      </c>
      <c r="C2681" s="11">
        <f t="shared" si="123"/>
        <v>2024</v>
      </c>
      <c r="D2681" t="s">
        <v>11</v>
      </c>
      <c r="E2681" t="s">
        <v>43</v>
      </c>
      <c r="F2681" t="s">
        <v>44</v>
      </c>
      <c r="G2681" t="s">
        <v>36</v>
      </c>
      <c r="H2681">
        <v>1</v>
      </c>
      <c r="I2681" s="2">
        <v>1143.05</v>
      </c>
      <c r="J2681" s="2">
        <v>1143.05</v>
      </c>
      <c r="K2681" s="2">
        <f t="shared" si="124"/>
        <v>1143.05</v>
      </c>
      <c r="L2681" s="2">
        <f t="shared" si="125"/>
        <v>0</v>
      </c>
      <c r="M2681" t="s">
        <v>64</v>
      </c>
      <c r="N2681" t="s">
        <v>21</v>
      </c>
    </row>
    <row r="2682" spans="1:14" x14ac:dyDescent="0.3">
      <c r="A2682">
        <v>2024003680</v>
      </c>
      <c r="B2682" s="1">
        <v>45358</v>
      </c>
      <c r="C2682" s="11">
        <f t="shared" si="123"/>
        <v>2024</v>
      </c>
      <c r="D2682" t="s">
        <v>273</v>
      </c>
      <c r="E2682" t="s">
        <v>46</v>
      </c>
      <c r="F2682" t="s">
        <v>47</v>
      </c>
      <c r="G2682" t="s">
        <v>36</v>
      </c>
      <c r="H2682">
        <v>1</v>
      </c>
      <c r="I2682" s="2">
        <v>84.48</v>
      </c>
      <c r="J2682" s="2">
        <v>84.48</v>
      </c>
      <c r="K2682" s="2">
        <f t="shared" si="124"/>
        <v>84.48</v>
      </c>
      <c r="L2682" s="2">
        <f t="shared" si="125"/>
        <v>0</v>
      </c>
      <c r="M2682" t="s">
        <v>15</v>
      </c>
      <c r="N2682" t="s">
        <v>16</v>
      </c>
    </row>
    <row r="2683" spans="1:14" x14ac:dyDescent="0.3">
      <c r="A2683">
        <v>2024003681</v>
      </c>
      <c r="B2683" s="1">
        <v>45558</v>
      </c>
      <c r="C2683" s="11">
        <f t="shared" si="123"/>
        <v>2024</v>
      </c>
      <c r="D2683" t="s">
        <v>292</v>
      </c>
      <c r="E2683" t="s">
        <v>23</v>
      </c>
      <c r="F2683" t="s">
        <v>24</v>
      </c>
      <c r="G2683" t="s">
        <v>14</v>
      </c>
      <c r="H2683">
        <v>1</v>
      </c>
      <c r="I2683" s="2">
        <v>82.7</v>
      </c>
      <c r="J2683" s="2">
        <v>82.7</v>
      </c>
      <c r="K2683" s="2">
        <f t="shared" si="124"/>
        <v>82.7</v>
      </c>
      <c r="L2683" s="2">
        <f t="shared" si="125"/>
        <v>0</v>
      </c>
      <c r="M2683" t="s">
        <v>15</v>
      </c>
      <c r="N2683" t="s">
        <v>26</v>
      </c>
    </row>
    <row r="2684" spans="1:14" x14ac:dyDescent="0.3">
      <c r="A2684">
        <v>2024003682</v>
      </c>
      <c r="B2684" s="1">
        <v>45530</v>
      </c>
      <c r="C2684" s="11">
        <f t="shared" si="123"/>
        <v>2024</v>
      </c>
      <c r="D2684" t="s">
        <v>135</v>
      </c>
      <c r="E2684" t="s">
        <v>43</v>
      </c>
      <c r="F2684" t="s">
        <v>44</v>
      </c>
      <c r="G2684" t="s">
        <v>36</v>
      </c>
      <c r="H2684">
        <v>1</v>
      </c>
      <c r="I2684" s="2">
        <v>1190.6099999999999</v>
      </c>
      <c r="J2684" s="2">
        <v>1190.6099999999999</v>
      </c>
      <c r="K2684" s="2">
        <f t="shared" si="124"/>
        <v>1190.6099999999999</v>
      </c>
      <c r="L2684" s="2">
        <f t="shared" si="125"/>
        <v>0</v>
      </c>
      <c r="M2684" t="s">
        <v>38</v>
      </c>
      <c r="N2684" t="s">
        <v>26</v>
      </c>
    </row>
    <row r="2685" spans="1:14" x14ac:dyDescent="0.3">
      <c r="A2685">
        <v>2024003683</v>
      </c>
      <c r="B2685" s="1">
        <v>45341</v>
      </c>
      <c r="C2685" s="11">
        <f t="shared" si="123"/>
        <v>2024</v>
      </c>
      <c r="D2685" t="s">
        <v>232</v>
      </c>
      <c r="E2685" t="s">
        <v>28</v>
      </c>
      <c r="F2685" t="s">
        <v>29</v>
      </c>
      <c r="G2685" t="s">
        <v>30</v>
      </c>
      <c r="H2685">
        <v>3</v>
      </c>
      <c r="I2685" s="2">
        <v>24.31</v>
      </c>
      <c r="J2685" s="2">
        <v>72.930000000000007</v>
      </c>
      <c r="K2685" s="2">
        <f t="shared" si="124"/>
        <v>72.929999999999993</v>
      </c>
      <c r="L2685" s="2">
        <f t="shared" si="125"/>
        <v>0</v>
      </c>
      <c r="M2685" t="s">
        <v>20</v>
      </c>
      <c r="N2685" t="s">
        <v>21</v>
      </c>
    </row>
    <row r="2686" spans="1:14" x14ac:dyDescent="0.3">
      <c r="A2686">
        <v>2024003684</v>
      </c>
      <c r="B2686" s="1">
        <v>45600</v>
      </c>
      <c r="C2686" s="11">
        <f t="shared" si="123"/>
        <v>2024</v>
      </c>
      <c r="D2686" t="s">
        <v>200</v>
      </c>
      <c r="E2686" t="s">
        <v>34</v>
      </c>
      <c r="F2686" t="s">
        <v>35</v>
      </c>
      <c r="G2686" t="s">
        <v>36</v>
      </c>
      <c r="H2686">
        <v>3</v>
      </c>
      <c r="I2686" s="2">
        <v>14.59</v>
      </c>
      <c r="J2686" s="2">
        <v>43.77</v>
      </c>
      <c r="K2686" s="2">
        <f t="shared" si="124"/>
        <v>43.769999999999996</v>
      </c>
      <c r="L2686" s="2">
        <f t="shared" si="125"/>
        <v>0</v>
      </c>
      <c r="M2686" t="s">
        <v>57</v>
      </c>
      <c r="N2686" t="s">
        <v>32</v>
      </c>
    </row>
    <row r="2687" spans="1:14" x14ac:dyDescent="0.3">
      <c r="A2687">
        <v>2024003685</v>
      </c>
      <c r="B2687" s="1">
        <v>45377</v>
      </c>
      <c r="C2687" s="11">
        <f t="shared" si="123"/>
        <v>2024</v>
      </c>
      <c r="D2687" t="s">
        <v>132</v>
      </c>
      <c r="E2687" t="s">
        <v>53</v>
      </c>
      <c r="F2687" t="s">
        <v>54</v>
      </c>
      <c r="G2687" t="s">
        <v>36</v>
      </c>
      <c r="H2687">
        <v>2</v>
      </c>
      <c r="I2687" s="2">
        <v>111.81</v>
      </c>
      <c r="J2687" s="2">
        <v>223.62</v>
      </c>
      <c r="K2687" s="2">
        <f t="shared" si="124"/>
        <v>223.62</v>
      </c>
      <c r="L2687" s="2">
        <f t="shared" si="125"/>
        <v>0</v>
      </c>
      <c r="M2687" t="s">
        <v>48</v>
      </c>
      <c r="N2687" t="s">
        <v>32</v>
      </c>
    </row>
    <row r="2688" spans="1:14" x14ac:dyDescent="0.3">
      <c r="A2688">
        <v>2024003686</v>
      </c>
      <c r="B2688" s="1">
        <v>45328</v>
      </c>
      <c r="C2688" s="11">
        <f t="shared" si="123"/>
        <v>2024</v>
      </c>
      <c r="D2688" t="s">
        <v>105</v>
      </c>
      <c r="E2688" t="s">
        <v>40</v>
      </c>
      <c r="F2688" t="s">
        <v>41</v>
      </c>
      <c r="G2688" t="s">
        <v>36</v>
      </c>
      <c r="H2688">
        <v>1</v>
      </c>
      <c r="I2688" s="2">
        <v>45.35</v>
      </c>
      <c r="J2688" s="2">
        <v>45.35</v>
      </c>
      <c r="K2688" s="2">
        <f t="shared" si="124"/>
        <v>45.35</v>
      </c>
      <c r="L2688" s="2">
        <f t="shared" si="125"/>
        <v>0</v>
      </c>
      <c r="M2688" t="s">
        <v>15</v>
      </c>
      <c r="N2688" t="s">
        <v>16</v>
      </c>
    </row>
    <row r="2689" spans="1:14" x14ac:dyDescent="0.3">
      <c r="A2689">
        <v>2024003687</v>
      </c>
      <c r="B2689" s="1">
        <v>45411</v>
      </c>
      <c r="C2689" s="11">
        <f t="shared" si="123"/>
        <v>2024</v>
      </c>
      <c r="D2689" t="s">
        <v>301</v>
      </c>
      <c r="E2689" t="s">
        <v>46</v>
      </c>
      <c r="F2689" t="s">
        <v>47</v>
      </c>
      <c r="G2689" t="s">
        <v>36</v>
      </c>
      <c r="H2689">
        <v>1</v>
      </c>
      <c r="I2689" s="2">
        <v>84.7</v>
      </c>
      <c r="J2689" s="2">
        <v>84.7</v>
      </c>
      <c r="K2689" s="2">
        <f t="shared" si="124"/>
        <v>84.7</v>
      </c>
      <c r="L2689" s="2">
        <f t="shared" si="125"/>
        <v>0</v>
      </c>
      <c r="M2689" t="s">
        <v>38</v>
      </c>
      <c r="N2689" t="s">
        <v>32</v>
      </c>
    </row>
    <row r="2690" spans="1:14" x14ac:dyDescent="0.3">
      <c r="A2690">
        <v>2024003688</v>
      </c>
      <c r="B2690" s="1">
        <v>45378</v>
      </c>
      <c r="C2690" s="11">
        <f t="shared" si="123"/>
        <v>2024</v>
      </c>
      <c r="D2690" t="s">
        <v>286</v>
      </c>
      <c r="E2690" t="s">
        <v>43</v>
      </c>
      <c r="F2690" t="s">
        <v>44</v>
      </c>
      <c r="G2690" t="s">
        <v>36</v>
      </c>
      <c r="H2690">
        <v>2</v>
      </c>
      <c r="I2690" s="2">
        <v>1123.67</v>
      </c>
      <c r="J2690" s="2">
        <v>2247.34</v>
      </c>
      <c r="K2690" s="2">
        <f t="shared" si="124"/>
        <v>2247.34</v>
      </c>
      <c r="L2690" s="2">
        <f t="shared" si="125"/>
        <v>0</v>
      </c>
      <c r="M2690" t="s">
        <v>55</v>
      </c>
      <c r="N2690" t="s">
        <v>32</v>
      </c>
    </row>
    <row r="2691" spans="1:14" x14ac:dyDescent="0.3">
      <c r="A2691">
        <v>2024003689</v>
      </c>
      <c r="B2691" s="1">
        <v>45523</v>
      </c>
      <c r="C2691" s="11">
        <f t="shared" ref="C2691:C2754" si="126">YEAR(B2691)</f>
        <v>2024</v>
      </c>
      <c r="D2691" t="s">
        <v>230</v>
      </c>
      <c r="E2691" t="s">
        <v>67</v>
      </c>
      <c r="F2691" t="s">
        <v>68</v>
      </c>
      <c r="G2691" t="s">
        <v>36</v>
      </c>
      <c r="H2691">
        <v>1</v>
      </c>
      <c r="I2691" s="2">
        <v>414.26</v>
      </c>
      <c r="J2691" s="2">
        <v>414.26</v>
      </c>
      <c r="K2691" s="2">
        <f t="shared" ref="K2691:K2754" si="127">I2691*H2691</f>
        <v>414.26</v>
      </c>
      <c r="L2691" s="2">
        <f t="shared" ref="L2691:L2754" si="128">J2691-K2691</f>
        <v>0</v>
      </c>
      <c r="M2691" t="s">
        <v>61</v>
      </c>
      <c r="N2691" t="s">
        <v>21</v>
      </c>
    </row>
    <row r="2692" spans="1:14" x14ac:dyDescent="0.3">
      <c r="A2692">
        <v>2024003690</v>
      </c>
      <c r="B2692" s="1">
        <v>45493</v>
      </c>
      <c r="C2692" s="11">
        <f t="shared" si="126"/>
        <v>2024</v>
      </c>
      <c r="D2692" t="s">
        <v>50</v>
      </c>
      <c r="E2692" t="s">
        <v>43</v>
      </c>
      <c r="F2692" t="s">
        <v>44</v>
      </c>
      <c r="G2692" t="s">
        <v>36</v>
      </c>
      <c r="H2692">
        <v>3</v>
      </c>
      <c r="I2692" s="2">
        <v>1109.58</v>
      </c>
      <c r="J2692" s="2">
        <v>3328.74</v>
      </c>
      <c r="K2692" s="2">
        <f t="shared" si="127"/>
        <v>3328.74</v>
      </c>
      <c r="L2692" s="2">
        <f t="shared" si="128"/>
        <v>0</v>
      </c>
      <c r="M2692" t="s">
        <v>25</v>
      </c>
      <c r="N2692" t="s">
        <v>21</v>
      </c>
    </row>
    <row r="2693" spans="1:14" x14ac:dyDescent="0.3">
      <c r="A2693">
        <v>2024003691</v>
      </c>
      <c r="B2693" s="1">
        <v>45465</v>
      </c>
      <c r="C2693" s="11">
        <f t="shared" si="126"/>
        <v>2024</v>
      </c>
      <c r="D2693" t="s">
        <v>45</v>
      </c>
      <c r="E2693" t="s">
        <v>46</v>
      </c>
      <c r="F2693" t="s">
        <v>47</v>
      </c>
      <c r="G2693" t="s">
        <v>36</v>
      </c>
      <c r="H2693">
        <v>2</v>
      </c>
      <c r="I2693" s="2">
        <v>90.66</v>
      </c>
      <c r="J2693" s="2">
        <v>181.32</v>
      </c>
      <c r="K2693" s="2">
        <f t="shared" si="127"/>
        <v>181.32</v>
      </c>
      <c r="L2693" s="2">
        <f t="shared" si="128"/>
        <v>0</v>
      </c>
      <c r="M2693" t="s">
        <v>48</v>
      </c>
      <c r="N2693" t="s">
        <v>21</v>
      </c>
    </row>
    <row r="2694" spans="1:14" x14ac:dyDescent="0.3">
      <c r="A2694">
        <v>2024003692</v>
      </c>
      <c r="B2694" s="1">
        <v>45638</v>
      </c>
      <c r="C2694" s="11">
        <f t="shared" si="126"/>
        <v>2024</v>
      </c>
      <c r="D2694" t="s">
        <v>308</v>
      </c>
      <c r="E2694" t="s">
        <v>67</v>
      </c>
      <c r="F2694" t="s">
        <v>68</v>
      </c>
      <c r="G2694" t="s">
        <v>36</v>
      </c>
      <c r="H2694">
        <v>3</v>
      </c>
      <c r="I2694" s="2">
        <v>420.12</v>
      </c>
      <c r="J2694" s="2">
        <v>1260.3599999999999</v>
      </c>
      <c r="K2694" s="2">
        <f t="shared" si="127"/>
        <v>1260.3600000000001</v>
      </c>
      <c r="L2694" s="2">
        <f t="shared" si="128"/>
        <v>0</v>
      </c>
      <c r="M2694" t="s">
        <v>57</v>
      </c>
      <c r="N2694" t="s">
        <v>26</v>
      </c>
    </row>
    <row r="2695" spans="1:14" x14ac:dyDescent="0.3">
      <c r="A2695">
        <v>2024003693</v>
      </c>
      <c r="B2695" s="1">
        <v>45453</v>
      </c>
      <c r="C2695" s="11">
        <f t="shared" si="126"/>
        <v>2024</v>
      </c>
      <c r="D2695" t="s">
        <v>186</v>
      </c>
      <c r="E2695" t="s">
        <v>34</v>
      </c>
      <c r="F2695" t="s">
        <v>35</v>
      </c>
      <c r="G2695" t="s">
        <v>36</v>
      </c>
      <c r="H2695">
        <v>2</v>
      </c>
      <c r="I2695" s="2">
        <v>15.14</v>
      </c>
      <c r="J2695" s="2">
        <v>30.28</v>
      </c>
      <c r="K2695" s="2">
        <f t="shared" si="127"/>
        <v>30.28</v>
      </c>
      <c r="L2695" s="2">
        <f t="shared" si="128"/>
        <v>0</v>
      </c>
      <c r="M2695" t="s">
        <v>55</v>
      </c>
      <c r="N2695" t="s">
        <v>16</v>
      </c>
    </row>
    <row r="2696" spans="1:14" x14ac:dyDescent="0.3">
      <c r="A2696">
        <v>2024003694</v>
      </c>
      <c r="B2696" s="1">
        <v>45588</v>
      </c>
      <c r="C2696" s="11">
        <f t="shared" si="126"/>
        <v>2024</v>
      </c>
      <c r="D2696" t="s">
        <v>184</v>
      </c>
      <c r="E2696" t="s">
        <v>18</v>
      </c>
      <c r="F2696" t="s">
        <v>19</v>
      </c>
      <c r="G2696" t="s">
        <v>14</v>
      </c>
      <c r="H2696">
        <v>2</v>
      </c>
      <c r="I2696" s="2">
        <v>506.98</v>
      </c>
      <c r="J2696" s="2">
        <v>1013.96</v>
      </c>
      <c r="K2696" s="2">
        <f t="shared" si="127"/>
        <v>1013.96</v>
      </c>
      <c r="L2696" s="2">
        <f t="shared" si="128"/>
        <v>0</v>
      </c>
      <c r="M2696" t="s">
        <v>38</v>
      </c>
      <c r="N2696" t="s">
        <v>26</v>
      </c>
    </row>
    <row r="2697" spans="1:14" x14ac:dyDescent="0.3">
      <c r="A2697">
        <v>2024003695</v>
      </c>
      <c r="B2697" s="1">
        <v>45301</v>
      </c>
      <c r="C2697" s="11">
        <f t="shared" si="126"/>
        <v>2024</v>
      </c>
      <c r="D2697" t="s">
        <v>227</v>
      </c>
      <c r="E2697" t="s">
        <v>40</v>
      </c>
      <c r="F2697" t="s">
        <v>41</v>
      </c>
      <c r="G2697" t="s">
        <v>36</v>
      </c>
      <c r="H2697">
        <v>2</v>
      </c>
      <c r="I2697" s="2">
        <v>45.6</v>
      </c>
      <c r="J2697" s="2">
        <v>91.2</v>
      </c>
      <c r="K2697" s="2">
        <f t="shared" si="127"/>
        <v>91.2</v>
      </c>
      <c r="L2697" s="2">
        <f t="shared" si="128"/>
        <v>0</v>
      </c>
      <c r="M2697" t="s">
        <v>48</v>
      </c>
      <c r="N2697" t="s">
        <v>21</v>
      </c>
    </row>
    <row r="2698" spans="1:14" x14ac:dyDescent="0.3">
      <c r="A2698">
        <v>2024003696</v>
      </c>
      <c r="B2698" s="1">
        <v>45460</v>
      </c>
      <c r="C2698" s="11">
        <f t="shared" si="126"/>
        <v>2024</v>
      </c>
      <c r="D2698" t="s">
        <v>194</v>
      </c>
      <c r="E2698" t="s">
        <v>34</v>
      </c>
      <c r="F2698" t="s">
        <v>35</v>
      </c>
      <c r="G2698" t="s">
        <v>36</v>
      </c>
      <c r="H2698">
        <v>1</v>
      </c>
      <c r="I2698" s="2">
        <v>14.42</v>
      </c>
      <c r="J2698" s="2">
        <v>14.42</v>
      </c>
      <c r="K2698" s="2">
        <f t="shared" si="127"/>
        <v>14.42</v>
      </c>
      <c r="L2698" s="2">
        <f t="shared" si="128"/>
        <v>0</v>
      </c>
      <c r="M2698" t="s">
        <v>57</v>
      </c>
      <c r="N2698" t="s">
        <v>16</v>
      </c>
    </row>
    <row r="2699" spans="1:14" x14ac:dyDescent="0.3">
      <c r="A2699">
        <v>2024003697</v>
      </c>
      <c r="B2699" s="1">
        <v>45566</v>
      </c>
      <c r="C2699" s="11">
        <f t="shared" si="126"/>
        <v>2024</v>
      </c>
      <c r="D2699" t="s">
        <v>213</v>
      </c>
      <c r="E2699" t="s">
        <v>40</v>
      </c>
      <c r="F2699" t="s">
        <v>41</v>
      </c>
      <c r="G2699" t="s">
        <v>36</v>
      </c>
      <c r="H2699">
        <v>1</v>
      </c>
      <c r="I2699" s="2">
        <v>46.45</v>
      </c>
      <c r="J2699" s="2">
        <v>46.45</v>
      </c>
      <c r="K2699" s="2">
        <f t="shared" si="127"/>
        <v>46.45</v>
      </c>
      <c r="L2699" s="2">
        <f t="shared" si="128"/>
        <v>0</v>
      </c>
      <c r="M2699" t="s">
        <v>20</v>
      </c>
      <c r="N2699" t="s">
        <v>16</v>
      </c>
    </row>
    <row r="2700" spans="1:14" x14ac:dyDescent="0.3">
      <c r="A2700">
        <v>2024003698</v>
      </c>
      <c r="B2700" s="1">
        <v>45386</v>
      </c>
      <c r="C2700" s="11">
        <f t="shared" si="126"/>
        <v>2024</v>
      </c>
      <c r="D2700" t="s">
        <v>203</v>
      </c>
      <c r="E2700" t="s">
        <v>28</v>
      </c>
      <c r="F2700" t="s">
        <v>29</v>
      </c>
      <c r="G2700" t="s">
        <v>30</v>
      </c>
      <c r="H2700">
        <v>1</v>
      </c>
      <c r="I2700" s="2">
        <v>26.05</v>
      </c>
      <c r="J2700" s="2">
        <v>26.05</v>
      </c>
      <c r="K2700" s="2">
        <f t="shared" si="127"/>
        <v>26.05</v>
      </c>
      <c r="L2700" s="2">
        <f t="shared" si="128"/>
        <v>0</v>
      </c>
      <c r="M2700" t="s">
        <v>64</v>
      </c>
      <c r="N2700" t="s">
        <v>16</v>
      </c>
    </row>
    <row r="2701" spans="1:14" x14ac:dyDescent="0.3">
      <c r="A2701">
        <v>2024003699</v>
      </c>
      <c r="B2701" s="1">
        <v>45340</v>
      </c>
      <c r="C2701" s="11">
        <f t="shared" si="126"/>
        <v>2024</v>
      </c>
      <c r="D2701" t="s">
        <v>122</v>
      </c>
      <c r="E2701" t="s">
        <v>53</v>
      </c>
      <c r="F2701" t="s">
        <v>54</v>
      </c>
      <c r="G2701" t="s">
        <v>36</v>
      </c>
      <c r="H2701">
        <v>5</v>
      </c>
      <c r="I2701" s="2">
        <v>131.30000000000001</v>
      </c>
      <c r="J2701" s="2">
        <v>656.5</v>
      </c>
      <c r="K2701" s="2">
        <f t="shared" si="127"/>
        <v>656.5</v>
      </c>
      <c r="L2701" s="2">
        <f t="shared" si="128"/>
        <v>0</v>
      </c>
      <c r="M2701" t="s">
        <v>57</v>
      </c>
      <c r="N2701" t="s">
        <v>26</v>
      </c>
    </row>
    <row r="2702" spans="1:14" x14ac:dyDescent="0.3">
      <c r="A2702">
        <v>2024003700</v>
      </c>
      <c r="B2702" s="1">
        <v>45477</v>
      </c>
      <c r="C2702" s="11">
        <f t="shared" si="126"/>
        <v>2024</v>
      </c>
      <c r="D2702" t="s">
        <v>11</v>
      </c>
      <c r="E2702" t="s">
        <v>12</v>
      </c>
      <c r="F2702" t="s">
        <v>13</v>
      </c>
      <c r="G2702" t="s">
        <v>14</v>
      </c>
      <c r="H2702">
        <v>4</v>
      </c>
      <c r="I2702" s="2">
        <v>371.55</v>
      </c>
      <c r="J2702" s="2">
        <v>1486.2</v>
      </c>
      <c r="K2702" s="2">
        <f t="shared" si="127"/>
        <v>1486.2</v>
      </c>
      <c r="L2702" s="2">
        <f t="shared" si="128"/>
        <v>0</v>
      </c>
      <c r="M2702" t="s">
        <v>38</v>
      </c>
      <c r="N2702" t="s">
        <v>26</v>
      </c>
    </row>
    <row r="2703" spans="1:14" x14ac:dyDescent="0.3">
      <c r="A2703">
        <v>2024003701</v>
      </c>
      <c r="B2703" s="1">
        <v>45494</v>
      </c>
      <c r="C2703" s="11">
        <f t="shared" si="126"/>
        <v>2024</v>
      </c>
      <c r="D2703" t="s">
        <v>252</v>
      </c>
      <c r="E2703" t="s">
        <v>12</v>
      </c>
      <c r="F2703" t="s">
        <v>13</v>
      </c>
      <c r="G2703" t="s">
        <v>14</v>
      </c>
      <c r="H2703">
        <v>1</v>
      </c>
      <c r="I2703" s="2">
        <v>349.38</v>
      </c>
      <c r="J2703" s="2">
        <v>349.38</v>
      </c>
      <c r="K2703" s="2">
        <f t="shared" si="127"/>
        <v>349.38</v>
      </c>
      <c r="L2703" s="2">
        <f t="shared" si="128"/>
        <v>0</v>
      </c>
      <c r="M2703" t="s">
        <v>25</v>
      </c>
      <c r="N2703" t="s">
        <v>21</v>
      </c>
    </row>
    <row r="2704" spans="1:14" x14ac:dyDescent="0.3">
      <c r="A2704">
        <v>2024003702</v>
      </c>
      <c r="B2704" s="1">
        <v>45584</v>
      </c>
      <c r="C2704" s="11">
        <f t="shared" si="126"/>
        <v>2024</v>
      </c>
      <c r="D2704" t="s">
        <v>244</v>
      </c>
      <c r="E2704" t="s">
        <v>12</v>
      </c>
      <c r="F2704" t="s">
        <v>13</v>
      </c>
      <c r="G2704" t="s">
        <v>14</v>
      </c>
      <c r="H2704">
        <v>2</v>
      </c>
      <c r="I2704" s="2">
        <v>344.23</v>
      </c>
      <c r="J2704" s="2">
        <v>688.46</v>
      </c>
      <c r="K2704" s="2">
        <f t="shared" si="127"/>
        <v>688.46</v>
      </c>
      <c r="L2704" s="2">
        <f t="shared" si="128"/>
        <v>0</v>
      </c>
      <c r="M2704" t="s">
        <v>15</v>
      </c>
      <c r="N2704" t="s">
        <v>32</v>
      </c>
    </row>
    <row r="2705" spans="1:14" x14ac:dyDescent="0.3">
      <c r="A2705">
        <v>2024003703</v>
      </c>
      <c r="B2705" s="1">
        <v>45575</v>
      </c>
      <c r="C2705" s="11">
        <f t="shared" si="126"/>
        <v>2024</v>
      </c>
      <c r="D2705" t="s">
        <v>175</v>
      </c>
      <c r="E2705" t="s">
        <v>40</v>
      </c>
      <c r="F2705" t="s">
        <v>41</v>
      </c>
      <c r="G2705" t="s">
        <v>36</v>
      </c>
      <c r="H2705">
        <v>1</v>
      </c>
      <c r="I2705" s="2">
        <v>42.39</v>
      </c>
      <c r="J2705" s="2">
        <v>42.39</v>
      </c>
      <c r="K2705" s="2">
        <f t="shared" si="127"/>
        <v>42.39</v>
      </c>
      <c r="L2705" s="2">
        <f t="shared" si="128"/>
        <v>0</v>
      </c>
      <c r="M2705" t="s">
        <v>61</v>
      </c>
      <c r="N2705" t="s">
        <v>21</v>
      </c>
    </row>
    <row r="2706" spans="1:14" x14ac:dyDescent="0.3">
      <c r="A2706">
        <v>2024003704</v>
      </c>
      <c r="B2706" s="1">
        <v>45406</v>
      </c>
      <c r="C2706" s="11">
        <f t="shared" si="126"/>
        <v>2024</v>
      </c>
      <c r="D2706" t="s">
        <v>158</v>
      </c>
      <c r="E2706" t="s">
        <v>28</v>
      </c>
      <c r="F2706" t="s">
        <v>29</v>
      </c>
      <c r="G2706" t="s">
        <v>30</v>
      </c>
      <c r="H2706">
        <v>3</v>
      </c>
      <c r="I2706" s="2">
        <v>24.52</v>
      </c>
      <c r="J2706" s="2">
        <v>73.56</v>
      </c>
      <c r="K2706" s="2">
        <f t="shared" si="127"/>
        <v>73.56</v>
      </c>
      <c r="L2706" s="2">
        <f t="shared" si="128"/>
        <v>0</v>
      </c>
      <c r="M2706" t="s">
        <v>57</v>
      </c>
      <c r="N2706" t="s">
        <v>26</v>
      </c>
    </row>
    <row r="2707" spans="1:14" x14ac:dyDescent="0.3">
      <c r="A2707">
        <v>2024003705</v>
      </c>
      <c r="B2707" s="1">
        <v>45424</v>
      </c>
      <c r="C2707" s="11">
        <f t="shared" si="126"/>
        <v>2024</v>
      </c>
      <c r="D2707" t="s">
        <v>186</v>
      </c>
      <c r="E2707" t="s">
        <v>53</v>
      </c>
      <c r="F2707" t="s">
        <v>54</v>
      </c>
      <c r="G2707" t="s">
        <v>36</v>
      </c>
      <c r="H2707">
        <v>1</v>
      </c>
      <c r="I2707" s="2">
        <v>118.03</v>
      </c>
      <c r="J2707" s="2">
        <v>118.03</v>
      </c>
      <c r="K2707" s="2">
        <f t="shared" si="127"/>
        <v>118.03</v>
      </c>
      <c r="L2707" s="2">
        <f t="shared" si="128"/>
        <v>0</v>
      </c>
      <c r="M2707" t="s">
        <v>55</v>
      </c>
      <c r="N2707" t="s">
        <v>16</v>
      </c>
    </row>
    <row r="2708" spans="1:14" x14ac:dyDescent="0.3">
      <c r="A2708">
        <v>2024003706</v>
      </c>
      <c r="B2708" s="1">
        <v>45538</v>
      </c>
      <c r="C2708" s="11">
        <f t="shared" si="126"/>
        <v>2024</v>
      </c>
      <c r="D2708" t="s">
        <v>326</v>
      </c>
      <c r="E2708" t="s">
        <v>43</v>
      </c>
      <c r="F2708" t="s">
        <v>44</v>
      </c>
      <c r="G2708" t="s">
        <v>36</v>
      </c>
      <c r="H2708">
        <v>1</v>
      </c>
      <c r="I2708" s="2">
        <v>1161.1400000000001</v>
      </c>
      <c r="J2708" s="2">
        <v>1161.1400000000001</v>
      </c>
      <c r="K2708" s="2">
        <f t="shared" si="127"/>
        <v>1161.1400000000001</v>
      </c>
      <c r="L2708" s="2">
        <f t="shared" si="128"/>
        <v>0</v>
      </c>
      <c r="M2708" t="s">
        <v>20</v>
      </c>
      <c r="N2708" t="s">
        <v>32</v>
      </c>
    </row>
    <row r="2709" spans="1:14" x14ac:dyDescent="0.3">
      <c r="A2709">
        <v>2024003707</v>
      </c>
      <c r="B2709" s="1">
        <v>45565</v>
      </c>
      <c r="C2709" s="11">
        <f t="shared" si="126"/>
        <v>2024</v>
      </c>
      <c r="D2709" t="s">
        <v>162</v>
      </c>
      <c r="E2709" t="s">
        <v>12</v>
      </c>
      <c r="F2709" t="s">
        <v>13</v>
      </c>
      <c r="G2709" t="s">
        <v>14</v>
      </c>
      <c r="H2709">
        <v>3</v>
      </c>
      <c r="I2709" s="2">
        <v>344.22</v>
      </c>
      <c r="J2709" s="2">
        <v>1032.6600000000001</v>
      </c>
      <c r="K2709" s="2">
        <f t="shared" si="127"/>
        <v>1032.6600000000001</v>
      </c>
      <c r="L2709" s="2">
        <f t="shared" si="128"/>
        <v>0</v>
      </c>
      <c r="M2709" t="s">
        <v>55</v>
      </c>
      <c r="N2709" t="s">
        <v>26</v>
      </c>
    </row>
    <row r="2710" spans="1:14" x14ac:dyDescent="0.3">
      <c r="A2710">
        <v>2024003708</v>
      </c>
      <c r="B2710" s="1">
        <v>45301</v>
      </c>
      <c r="C2710" s="11">
        <f t="shared" si="126"/>
        <v>2024</v>
      </c>
      <c r="D2710" t="s">
        <v>323</v>
      </c>
      <c r="E2710" t="s">
        <v>46</v>
      </c>
      <c r="F2710" t="s">
        <v>47</v>
      </c>
      <c r="G2710" t="s">
        <v>36</v>
      </c>
      <c r="H2710">
        <v>2</v>
      </c>
      <c r="I2710" s="2">
        <v>85.5</v>
      </c>
      <c r="J2710" s="2">
        <v>171</v>
      </c>
      <c r="K2710" s="2">
        <f t="shared" si="127"/>
        <v>171</v>
      </c>
      <c r="L2710" s="2">
        <f t="shared" si="128"/>
        <v>0</v>
      </c>
      <c r="M2710" t="s">
        <v>61</v>
      </c>
      <c r="N2710" t="s">
        <v>26</v>
      </c>
    </row>
    <row r="2711" spans="1:14" x14ac:dyDescent="0.3">
      <c r="A2711">
        <v>2024003709</v>
      </c>
      <c r="B2711" s="1">
        <v>45300</v>
      </c>
      <c r="C2711" s="11">
        <f t="shared" si="126"/>
        <v>2024</v>
      </c>
      <c r="D2711" t="s">
        <v>11</v>
      </c>
      <c r="E2711" t="s">
        <v>18</v>
      </c>
      <c r="F2711" t="s">
        <v>19</v>
      </c>
      <c r="G2711" t="s">
        <v>14</v>
      </c>
      <c r="H2711">
        <v>3</v>
      </c>
      <c r="I2711" s="2">
        <v>618.38</v>
      </c>
      <c r="J2711" s="2">
        <v>1855.14</v>
      </c>
      <c r="K2711" s="2">
        <f t="shared" si="127"/>
        <v>1855.1399999999999</v>
      </c>
      <c r="L2711" s="2">
        <f t="shared" si="128"/>
        <v>0</v>
      </c>
      <c r="M2711" t="s">
        <v>20</v>
      </c>
      <c r="N2711" t="s">
        <v>26</v>
      </c>
    </row>
    <row r="2712" spans="1:14" x14ac:dyDescent="0.3">
      <c r="A2712">
        <v>2024003710</v>
      </c>
      <c r="B2712" s="1">
        <v>45401</v>
      </c>
      <c r="C2712" s="11">
        <f t="shared" si="126"/>
        <v>2024</v>
      </c>
      <c r="D2712" t="s">
        <v>148</v>
      </c>
      <c r="E2712" t="s">
        <v>18</v>
      </c>
      <c r="F2712" t="s">
        <v>19</v>
      </c>
      <c r="G2712" t="s">
        <v>14</v>
      </c>
      <c r="H2712">
        <v>1</v>
      </c>
      <c r="I2712" s="2">
        <v>611.92999999999995</v>
      </c>
      <c r="J2712" s="2">
        <v>611.92999999999995</v>
      </c>
      <c r="K2712" s="2">
        <f t="shared" si="127"/>
        <v>611.92999999999995</v>
      </c>
      <c r="L2712" s="2">
        <f t="shared" si="128"/>
        <v>0</v>
      </c>
      <c r="M2712" t="s">
        <v>64</v>
      </c>
      <c r="N2712" t="s">
        <v>16</v>
      </c>
    </row>
    <row r="2713" spans="1:14" x14ac:dyDescent="0.3">
      <c r="A2713">
        <v>2024003711</v>
      </c>
      <c r="B2713" s="1">
        <v>45451</v>
      </c>
      <c r="C2713" s="11">
        <f t="shared" si="126"/>
        <v>2024</v>
      </c>
      <c r="D2713" t="s">
        <v>158</v>
      </c>
      <c r="E2713" t="s">
        <v>34</v>
      </c>
      <c r="F2713" t="s">
        <v>35</v>
      </c>
      <c r="G2713" t="s">
        <v>36</v>
      </c>
      <c r="H2713">
        <v>1</v>
      </c>
      <c r="I2713" s="2">
        <v>14.01</v>
      </c>
      <c r="J2713" s="2">
        <v>14.01</v>
      </c>
      <c r="K2713" s="2">
        <f t="shared" si="127"/>
        <v>14.01</v>
      </c>
      <c r="L2713" s="2">
        <f t="shared" si="128"/>
        <v>0</v>
      </c>
      <c r="M2713" t="s">
        <v>48</v>
      </c>
      <c r="N2713" t="s">
        <v>32</v>
      </c>
    </row>
    <row r="2714" spans="1:14" x14ac:dyDescent="0.3">
      <c r="A2714">
        <v>2024003712</v>
      </c>
      <c r="B2714" s="1">
        <v>45326</v>
      </c>
      <c r="C2714" s="11">
        <f t="shared" si="126"/>
        <v>2024</v>
      </c>
      <c r="D2714" t="s">
        <v>338</v>
      </c>
      <c r="E2714" t="s">
        <v>23</v>
      </c>
      <c r="F2714" t="s">
        <v>24</v>
      </c>
      <c r="G2714" t="s">
        <v>14</v>
      </c>
      <c r="H2714">
        <v>1</v>
      </c>
      <c r="I2714" s="2">
        <v>80.69</v>
      </c>
      <c r="J2714" s="2">
        <v>80.69</v>
      </c>
      <c r="K2714" s="2">
        <f t="shared" si="127"/>
        <v>80.69</v>
      </c>
      <c r="L2714" s="2">
        <f t="shared" si="128"/>
        <v>0</v>
      </c>
      <c r="M2714" t="s">
        <v>20</v>
      </c>
      <c r="N2714" t="s">
        <v>16</v>
      </c>
    </row>
    <row r="2715" spans="1:14" x14ac:dyDescent="0.3">
      <c r="A2715">
        <v>2024003713</v>
      </c>
      <c r="B2715" s="1">
        <v>45318</v>
      </c>
      <c r="C2715" s="11">
        <f t="shared" si="126"/>
        <v>2024</v>
      </c>
      <c r="D2715" t="s">
        <v>45</v>
      </c>
      <c r="E2715" t="s">
        <v>53</v>
      </c>
      <c r="F2715" t="s">
        <v>54</v>
      </c>
      <c r="G2715" t="s">
        <v>36</v>
      </c>
      <c r="H2715">
        <v>1</v>
      </c>
      <c r="I2715" s="2">
        <v>109.05</v>
      </c>
      <c r="J2715" s="2">
        <v>109.05</v>
      </c>
      <c r="K2715" s="2">
        <f t="shared" si="127"/>
        <v>109.05</v>
      </c>
      <c r="L2715" s="2">
        <f t="shared" si="128"/>
        <v>0</v>
      </c>
      <c r="M2715" t="s">
        <v>25</v>
      </c>
      <c r="N2715" t="s">
        <v>21</v>
      </c>
    </row>
    <row r="2716" spans="1:14" x14ac:dyDescent="0.3">
      <c r="A2716">
        <v>2024003714</v>
      </c>
      <c r="B2716" s="1">
        <v>45411</v>
      </c>
      <c r="C2716" s="11">
        <f t="shared" si="126"/>
        <v>2024</v>
      </c>
      <c r="D2716" t="s">
        <v>321</v>
      </c>
      <c r="E2716" t="s">
        <v>46</v>
      </c>
      <c r="F2716" t="s">
        <v>47</v>
      </c>
      <c r="G2716" t="s">
        <v>36</v>
      </c>
      <c r="H2716">
        <v>1</v>
      </c>
      <c r="I2716" s="2">
        <v>88.52</v>
      </c>
      <c r="J2716" s="2">
        <v>88.52</v>
      </c>
      <c r="K2716" s="2">
        <f t="shared" si="127"/>
        <v>88.52</v>
      </c>
      <c r="L2716" s="2">
        <f t="shared" si="128"/>
        <v>0</v>
      </c>
      <c r="M2716" t="s">
        <v>61</v>
      </c>
      <c r="N2716" t="s">
        <v>16</v>
      </c>
    </row>
    <row r="2717" spans="1:14" x14ac:dyDescent="0.3">
      <c r="A2717">
        <v>2024003715</v>
      </c>
      <c r="B2717" s="1">
        <v>45310</v>
      </c>
      <c r="C2717" s="11">
        <f t="shared" si="126"/>
        <v>2024</v>
      </c>
      <c r="D2717" t="s">
        <v>259</v>
      </c>
      <c r="E2717" t="s">
        <v>23</v>
      </c>
      <c r="F2717" t="s">
        <v>24</v>
      </c>
      <c r="G2717" t="s">
        <v>14</v>
      </c>
      <c r="H2717">
        <v>1</v>
      </c>
      <c r="I2717" s="2">
        <v>74.37</v>
      </c>
      <c r="J2717" s="2">
        <v>74.37</v>
      </c>
      <c r="K2717" s="2">
        <f t="shared" si="127"/>
        <v>74.37</v>
      </c>
      <c r="L2717" s="2">
        <f t="shared" si="128"/>
        <v>0</v>
      </c>
      <c r="M2717" t="s">
        <v>48</v>
      </c>
      <c r="N2717" t="s">
        <v>21</v>
      </c>
    </row>
    <row r="2718" spans="1:14" x14ac:dyDescent="0.3">
      <c r="A2718">
        <v>2024003716</v>
      </c>
      <c r="B2718" s="1">
        <v>45376</v>
      </c>
      <c r="C2718" s="11">
        <f t="shared" si="126"/>
        <v>2024</v>
      </c>
      <c r="D2718" t="s">
        <v>251</v>
      </c>
      <c r="E2718" t="s">
        <v>12</v>
      </c>
      <c r="F2718" t="s">
        <v>13</v>
      </c>
      <c r="G2718" t="s">
        <v>14</v>
      </c>
      <c r="H2718">
        <v>1</v>
      </c>
      <c r="I2718" s="2">
        <v>337.89</v>
      </c>
      <c r="J2718" s="2">
        <v>337.89</v>
      </c>
      <c r="K2718" s="2">
        <f t="shared" si="127"/>
        <v>337.89</v>
      </c>
      <c r="L2718" s="2">
        <f t="shared" si="128"/>
        <v>0</v>
      </c>
      <c r="M2718" t="s">
        <v>55</v>
      </c>
      <c r="N2718" t="s">
        <v>21</v>
      </c>
    </row>
    <row r="2719" spans="1:14" x14ac:dyDescent="0.3">
      <c r="A2719">
        <v>2024003717</v>
      </c>
      <c r="B2719" s="1">
        <v>45301</v>
      </c>
      <c r="C2719" s="11">
        <f t="shared" si="126"/>
        <v>2024</v>
      </c>
      <c r="D2719" t="s">
        <v>270</v>
      </c>
      <c r="E2719" t="s">
        <v>34</v>
      </c>
      <c r="F2719" t="s">
        <v>35</v>
      </c>
      <c r="G2719" t="s">
        <v>36</v>
      </c>
      <c r="H2719">
        <v>3</v>
      </c>
      <c r="I2719" s="2">
        <v>15.97</v>
      </c>
      <c r="J2719" s="2">
        <v>47.91</v>
      </c>
      <c r="K2719" s="2">
        <f t="shared" si="127"/>
        <v>47.910000000000004</v>
      </c>
      <c r="L2719" s="2">
        <f t="shared" si="128"/>
        <v>0</v>
      </c>
      <c r="M2719" t="s">
        <v>48</v>
      </c>
      <c r="N2719" t="s">
        <v>16</v>
      </c>
    </row>
    <row r="2720" spans="1:14" x14ac:dyDescent="0.3">
      <c r="A2720">
        <v>2024003718</v>
      </c>
      <c r="B2720" s="1">
        <v>45398</v>
      </c>
      <c r="C2720" s="11">
        <f t="shared" si="126"/>
        <v>2024</v>
      </c>
      <c r="D2720" t="s">
        <v>11</v>
      </c>
      <c r="E2720" t="s">
        <v>28</v>
      </c>
      <c r="F2720" t="s">
        <v>29</v>
      </c>
      <c r="G2720" t="s">
        <v>30</v>
      </c>
      <c r="H2720">
        <v>1</v>
      </c>
      <c r="I2720" s="2">
        <v>25.56</v>
      </c>
      <c r="J2720" s="2">
        <v>25.56</v>
      </c>
      <c r="K2720" s="2">
        <f t="shared" si="127"/>
        <v>25.56</v>
      </c>
      <c r="L2720" s="2">
        <f t="shared" si="128"/>
        <v>0</v>
      </c>
      <c r="M2720" t="s">
        <v>20</v>
      </c>
      <c r="N2720" t="s">
        <v>32</v>
      </c>
    </row>
    <row r="2721" spans="1:14" x14ac:dyDescent="0.3">
      <c r="A2721">
        <v>2024003719</v>
      </c>
      <c r="B2721" s="1">
        <v>45573</v>
      </c>
      <c r="C2721" s="11">
        <f t="shared" si="126"/>
        <v>2024</v>
      </c>
      <c r="D2721" t="s">
        <v>42</v>
      </c>
      <c r="E2721" t="s">
        <v>23</v>
      </c>
      <c r="F2721" t="s">
        <v>24</v>
      </c>
      <c r="G2721" t="s">
        <v>14</v>
      </c>
      <c r="H2721">
        <v>1</v>
      </c>
      <c r="I2721" s="2">
        <v>86.1</v>
      </c>
      <c r="J2721" s="2">
        <v>86.1</v>
      </c>
      <c r="K2721" s="2">
        <f t="shared" si="127"/>
        <v>86.1</v>
      </c>
      <c r="L2721" s="2">
        <f t="shared" si="128"/>
        <v>0</v>
      </c>
      <c r="M2721" t="s">
        <v>31</v>
      </c>
      <c r="N2721" t="s">
        <v>26</v>
      </c>
    </row>
    <row r="2722" spans="1:14" x14ac:dyDescent="0.3">
      <c r="A2722">
        <v>2024003720</v>
      </c>
      <c r="B2722" s="1">
        <v>45405</v>
      </c>
      <c r="C2722" s="11">
        <f t="shared" si="126"/>
        <v>2024</v>
      </c>
      <c r="D2722" t="s">
        <v>214</v>
      </c>
      <c r="E2722" t="s">
        <v>18</v>
      </c>
      <c r="F2722" t="s">
        <v>19</v>
      </c>
      <c r="G2722" t="s">
        <v>14</v>
      </c>
      <c r="H2722">
        <v>1</v>
      </c>
      <c r="I2722" s="2">
        <v>576.76</v>
      </c>
      <c r="J2722" s="2">
        <v>576.76</v>
      </c>
      <c r="K2722" s="2">
        <f t="shared" si="127"/>
        <v>576.76</v>
      </c>
      <c r="L2722" s="2">
        <f t="shared" si="128"/>
        <v>0</v>
      </c>
      <c r="M2722" t="s">
        <v>31</v>
      </c>
      <c r="N2722" t="s">
        <v>16</v>
      </c>
    </row>
    <row r="2723" spans="1:14" x14ac:dyDescent="0.3">
      <c r="A2723">
        <v>2024003721</v>
      </c>
      <c r="B2723" s="1">
        <v>45647</v>
      </c>
      <c r="C2723" s="11">
        <f t="shared" si="126"/>
        <v>2024</v>
      </c>
      <c r="D2723" t="s">
        <v>157</v>
      </c>
      <c r="E2723" t="s">
        <v>23</v>
      </c>
      <c r="F2723" t="s">
        <v>24</v>
      </c>
      <c r="G2723" t="s">
        <v>14</v>
      </c>
      <c r="H2723">
        <v>2</v>
      </c>
      <c r="I2723" s="2">
        <v>84.85</v>
      </c>
      <c r="J2723" s="2">
        <v>169.7</v>
      </c>
      <c r="K2723" s="2">
        <f t="shared" si="127"/>
        <v>169.7</v>
      </c>
      <c r="L2723" s="2">
        <f t="shared" si="128"/>
        <v>0</v>
      </c>
      <c r="M2723" t="s">
        <v>25</v>
      </c>
      <c r="N2723" t="s">
        <v>26</v>
      </c>
    </row>
    <row r="2724" spans="1:14" x14ac:dyDescent="0.3">
      <c r="A2724">
        <v>2024003722</v>
      </c>
      <c r="B2724" s="1">
        <v>45567</v>
      </c>
      <c r="C2724" s="11">
        <f t="shared" si="126"/>
        <v>2024</v>
      </c>
      <c r="D2724" t="s">
        <v>165</v>
      </c>
      <c r="E2724" t="s">
        <v>46</v>
      </c>
      <c r="F2724" t="s">
        <v>47</v>
      </c>
      <c r="G2724" t="s">
        <v>36</v>
      </c>
      <c r="H2724">
        <v>1</v>
      </c>
      <c r="I2724" s="2">
        <v>89.27</v>
      </c>
      <c r="J2724" s="2">
        <v>89.27</v>
      </c>
      <c r="K2724" s="2">
        <f t="shared" si="127"/>
        <v>89.27</v>
      </c>
      <c r="L2724" s="2">
        <f t="shared" si="128"/>
        <v>0</v>
      </c>
      <c r="M2724" t="s">
        <v>48</v>
      </c>
      <c r="N2724" t="s">
        <v>32</v>
      </c>
    </row>
    <row r="2725" spans="1:14" x14ac:dyDescent="0.3">
      <c r="A2725">
        <v>2024003723</v>
      </c>
      <c r="B2725" s="1">
        <v>45358</v>
      </c>
      <c r="C2725" s="11">
        <f t="shared" si="126"/>
        <v>2024</v>
      </c>
      <c r="D2725" t="s">
        <v>85</v>
      </c>
      <c r="E2725" t="s">
        <v>28</v>
      </c>
      <c r="F2725" t="s">
        <v>29</v>
      </c>
      <c r="G2725" t="s">
        <v>30</v>
      </c>
      <c r="H2725">
        <v>3</v>
      </c>
      <c r="I2725" s="2">
        <v>23.99</v>
      </c>
      <c r="J2725" s="2">
        <v>71.97</v>
      </c>
      <c r="K2725" s="2">
        <f t="shared" si="127"/>
        <v>71.97</v>
      </c>
      <c r="L2725" s="2">
        <f t="shared" si="128"/>
        <v>0</v>
      </c>
      <c r="M2725" t="s">
        <v>48</v>
      </c>
      <c r="N2725" t="s">
        <v>32</v>
      </c>
    </row>
    <row r="2726" spans="1:14" x14ac:dyDescent="0.3">
      <c r="A2726">
        <v>2024003724</v>
      </c>
      <c r="B2726" s="1">
        <v>45455</v>
      </c>
      <c r="C2726" s="11">
        <f t="shared" si="126"/>
        <v>2024</v>
      </c>
      <c r="D2726" t="s">
        <v>239</v>
      </c>
      <c r="E2726" t="s">
        <v>34</v>
      </c>
      <c r="F2726" t="s">
        <v>35</v>
      </c>
      <c r="G2726" t="s">
        <v>36</v>
      </c>
      <c r="H2726">
        <v>3</v>
      </c>
      <c r="I2726" s="2">
        <v>14.23</v>
      </c>
      <c r="J2726" s="2">
        <v>42.69</v>
      </c>
      <c r="K2726" s="2">
        <f t="shared" si="127"/>
        <v>42.69</v>
      </c>
      <c r="L2726" s="2">
        <f t="shared" si="128"/>
        <v>0</v>
      </c>
      <c r="M2726" t="s">
        <v>31</v>
      </c>
      <c r="N2726" t="s">
        <v>32</v>
      </c>
    </row>
    <row r="2727" spans="1:14" x14ac:dyDescent="0.3">
      <c r="A2727">
        <v>2024003725</v>
      </c>
      <c r="B2727" s="1">
        <v>45595</v>
      </c>
      <c r="C2727" s="11">
        <f t="shared" si="126"/>
        <v>2024</v>
      </c>
      <c r="D2727" t="s">
        <v>183</v>
      </c>
      <c r="E2727" t="s">
        <v>67</v>
      </c>
      <c r="F2727" t="s">
        <v>68</v>
      </c>
      <c r="G2727" t="s">
        <v>36</v>
      </c>
      <c r="H2727">
        <v>1</v>
      </c>
      <c r="I2727" s="2">
        <v>426.56</v>
      </c>
      <c r="J2727" s="2">
        <v>426.56</v>
      </c>
      <c r="K2727" s="2">
        <f t="shared" si="127"/>
        <v>426.56</v>
      </c>
      <c r="L2727" s="2">
        <f t="shared" si="128"/>
        <v>0</v>
      </c>
      <c r="M2727" t="s">
        <v>25</v>
      </c>
      <c r="N2727" t="s">
        <v>26</v>
      </c>
    </row>
    <row r="2728" spans="1:14" x14ac:dyDescent="0.3">
      <c r="A2728">
        <v>2024003726</v>
      </c>
      <c r="B2728" s="1">
        <v>45419</v>
      </c>
      <c r="C2728" s="11">
        <f t="shared" si="126"/>
        <v>2024</v>
      </c>
      <c r="D2728" t="s">
        <v>263</v>
      </c>
      <c r="E2728" t="s">
        <v>67</v>
      </c>
      <c r="F2728" t="s">
        <v>68</v>
      </c>
      <c r="G2728" t="s">
        <v>36</v>
      </c>
      <c r="H2728">
        <v>1</v>
      </c>
      <c r="I2728" s="2">
        <v>396.4</v>
      </c>
      <c r="J2728" s="2">
        <v>396.4</v>
      </c>
      <c r="K2728" s="2">
        <f t="shared" si="127"/>
        <v>396.4</v>
      </c>
      <c r="L2728" s="2">
        <f t="shared" si="128"/>
        <v>0</v>
      </c>
      <c r="M2728" t="s">
        <v>20</v>
      </c>
      <c r="N2728" t="s">
        <v>21</v>
      </c>
    </row>
    <row r="2729" spans="1:14" x14ac:dyDescent="0.3">
      <c r="A2729">
        <v>2024003727</v>
      </c>
      <c r="B2729" s="1">
        <v>45492</v>
      </c>
      <c r="C2729" s="11">
        <f t="shared" si="126"/>
        <v>2024</v>
      </c>
      <c r="D2729" t="s">
        <v>11</v>
      </c>
      <c r="E2729" t="s">
        <v>34</v>
      </c>
      <c r="F2729" t="s">
        <v>35</v>
      </c>
      <c r="G2729" t="s">
        <v>36</v>
      </c>
      <c r="H2729">
        <v>4</v>
      </c>
      <c r="I2729" s="2">
        <v>14.8</v>
      </c>
      <c r="J2729" s="2">
        <v>59.2</v>
      </c>
      <c r="K2729" s="2">
        <f t="shared" si="127"/>
        <v>59.2</v>
      </c>
      <c r="L2729" s="2">
        <f t="shared" si="128"/>
        <v>0</v>
      </c>
      <c r="M2729" t="s">
        <v>15</v>
      </c>
      <c r="N2729" t="s">
        <v>16</v>
      </c>
    </row>
    <row r="2730" spans="1:14" x14ac:dyDescent="0.3">
      <c r="A2730">
        <v>2024003728</v>
      </c>
      <c r="B2730" s="1">
        <v>45305</v>
      </c>
      <c r="C2730" s="11">
        <f t="shared" si="126"/>
        <v>2024</v>
      </c>
      <c r="D2730" t="s">
        <v>220</v>
      </c>
      <c r="E2730" t="s">
        <v>40</v>
      </c>
      <c r="F2730" t="s">
        <v>41</v>
      </c>
      <c r="G2730" t="s">
        <v>36</v>
      </c>
      <c r="H2730">
        <v>1</v>
      </c>
      <c r="I2730" s="2">
        <v>48.14</v>
      </c>
      <c r="J2730" s="2">
        <v>48.14</v>
      </c>
      <c r="K2730" s="2">
        <f t="shared" si="127"/>
        <v>48.14</v>
      </c>
      <c r="L2730" s="2">
        <f t="shared" si="128"/>
        <v>0</v>
      </c>
      <c r="M2730" t="s">
        <v>48</v>
      </c>
      <c r="N2730" t="s">
        <v>21</v>
      </c>
    </row>
    <row r="2731" spans="1:14" x14ac:dyDescent="0.3">
      <c r="A2731">
        <v>2024003729</v>
      </c>
      <c r="B2731" s="1">
        <v>45627</v>
      </c>
      <c r="C2731" s="11">
        <f t="shared" si="126"/>
        <v>2024</v>
      </c>
      <c r="D2731" t="s">
        <v>126</v>
      </c>
      <c r="E2731" t="s">
        <v>34</v>
      </c>
      <c r="F2731" t="s">
        <v>35</v>
      </c>
      <c r="G2731" t="s">
        <v>36</v>
      </c>
      <c r="H2731">
        <v>4</v>
      </c>
      <c r="I2731" s="2">
        <v>15.57</v>
      </c>
      <c r="J2731" s="2">
        <v>62.28</v>
      </c>
      <c r="K2731" s="2">
        <f t="shared" si="127"/>
        <v>62.28</v>
      </c>
      <c r="L2731" s="2">
        <f t="shared" si="128"/>
        <v>0</v>
      </c>
      <c r="M2731" t="s">
        <v>20</v>
      </c>
      <c r="N2731" t="s">
        <v>16</v>
      </c>
    </row>
    <row r="2732" spans="1:14" x14ac:dyDescent="0.3">
      <c r="A2732">
        <v>2024003730</v>
      </c>
      <c r="B2732" s="1">
        <v>45476</v>
      </c>
      <c r="C2732" s="11">
        <f t="shared" si="126"/>
        <v>2024</v>
      </c>
      <c r="D2732" t="s">
        <v>210</v>
      </c>
      <c r="E2732" t="s">
        <v>46</v>
      </c>
      <c r="F2732" t="s">
        <v>47</v>
      </c>
      <c r="G2732" t="s">
        <v>36</v>
      </c>
      <c r="H2732">
        <v>3</v>
      </c>
      <c r="I2732" s="2">
        <v>88.09</v>
      </c>
      <c r="J2732" s="2">
        <v>264.27</v>
      </c>
      <c r="K2732" s="2">
        <f t="shared" si="127"/>
        <v>264.27</v>
      </c>
      <c r="L2732" s="2">
        <f t="shared" si="128"/>
        <v>0</v>
      </c>
      <c r="M2732" t="s">
        <v>55</v>
      </c>
      <c r="N2732" t="s">
        <v>21</v>
      </c>
    </row>
    <row r="2733" spans="1:14" x14ac:dyDescent="0.3">
      <c r="A2733">
        <v>2024003731</v>
      </c>
      <c r="B2733" s="1">
        <v>45596</v>
      </c>
      <c r="C2733" s="11">
        <f t="shared" si="126"/>
        <v>2024</v>
      </c>
      <c r="D2733" t="s">
        <v>263</v>
      </c>
      <c r="E2733" t="s">
        <v>43</v>
      </c>
      <c r="F2733" t="s">
        <v>44</v>
      </c>
      <c r="G2733" t="s">
        <v>36</v>
      </c>
      <c r="H2733">
        <v>1</v>
      </c>
      <c r="I2733" s="2">
        <v>1169.8399999999999</v>
      </c>
      <c r="J2733" s="2">
        <v>1169.8399999999999</v>
      </c>
      <c r="K2733" s="2">
        <f t="shared" si="127"/>
        <v>1169.8399999999999</v>
      </c>
      <c r="L2733" s="2">
        <f t="shared" si="128"/>
        <v>0</v>
      </c>
      <c r="M2733" t="s">
        <v>64</v>
      </c>
      <c r="N2733" t="s">
        <v>16</v>
      </c>
    </row>
    <row r="2734" spans="1:14" x14ac:dyDescent="0.3">
      <c r="A2734">
        <v>2024003732</v>
      </c>
      <c r="B2734" s="1">
        <v>45353</v>
      </c>
      <c r="C2734" s="11">
        <f t="shared" si="126"/>
        <v>2024</v>
      </c>
      <c r="D2734" t="s">
        <v>329</v>
      </c>
      <c r="E2734" t="s">
        <v>53</v>
      </c>
      <c r="F2734" t="s">
        <v>54</v>
      </c>
      <c r="G2734" t="s">
        <v>36</v>
      </c>
      <c r="H2734">
        <v>1</v>
      </c>
      <c r="I2734" s="2">
        <v>117.49</v>
      </c>
      <c r="J2734" s="2">
        <v>117.49</v>
      </c>
      <c r="K2734" s="2">
        <f t="shared" si="127"/>
        <v>117.49</v>
      </c>
      <c r="L2734" s="2">
        <f t="shared" si="128"/>
        <v>0</v>
      </c>
      <c r="M2734" t="s">
        <v>55</v>
      </c>
      <c r="N2734" t="s">
        <v>26</v>
      </c>
    </row>
    <row r="2735" spans="1:14" x14ac:dyDescent="0.3">
      <c r="A2735">
        <v>2024003733</v>
      </c>
      <c r="B2735" s="1">
        <v>45402</v>
      </c>
      <c r="C2735" s="11">
        <f t="shared" si="126"/>
        <v>2024</v>
      </c>
      <c r="D2735" t="s">
        <v>11</v>
      </c>
      <c r="E2735" t="s">
        <v>12</v>
      </c>
      <c r="F2735" t="s">
        <v>13</v>
      </c>
      <c r="G2735" t="s">
        <v>14</v>
      </c>
      <c r="H2735">
        <v>3</v>
      </c>
      <c r="I2735" s="2">
        <v>344.98</v>
      </c>
      <c r="J2735" s="2">
        <v>1034.94</v>
      </c>
      <c r="K2735" s="2">
        <f t="shared" si="127"/>
        <v>1034.94</v>
      </c>
      <c r="L2735" s="2">
        <f t="shared" si="128"/>
        <v>0</v>
      </c>
      <c r="M2735" t="s">
        <v>61</v>
      </c>
      <c r="N2735" t="s">
        <v>16</v>
      </c>
    </row>
    <row r="2736" spans="1:14" x14ac:dyDescent="0.3">
      <c r="A2736">
        <v>2024003734</v>
      </c>
      <c r="B2736" s="1">
        <v>45309</v>
      </c>
      <c r="C2736" s="11">
        <f t="shared" si="126"/>
        <v>2024</v>
      </c>
      <c r="D2736" t="s">
        <v>45</v>
      </c>
      <c r="E2736" t="s">
        <v>43</v>
      </c>
      <c r="F2736" t="s">
        <v>44</v>
      </c>
      <c r="G2736" t="s">
        <v>36</v>
      </c>
      <c r="H2736">
        <v>1</v>
      </c>
      <c r="I2736" s="2">
        <v>1218.53</v>
      </c>
      <c r="J2736" s="2">
        <v>1218.53</v>
      </c>
      <c r="K2736" s="2">
        <f t="shared" si="127"/>
        <v>1218.53</v>
      </c>
      <c r="L2736" s="2">
        <f t="shared" si="128"/>
        <v>0</v>
      </c>
      <c r="M2736" t="s">
        <v>64</v>
      </c>
      <c r="N2736" t="s">
        <v>21</v>
      </c>
    </row>
    <row r="2737" spans="1:14" x14ac:dyDescent="0.3">
      <c r="A2737">
        <v>2024003735</v>
      </c>
      <c r="B2737" s="1">
        <v>45552</v>
      </c>
      <c r="C2737" s="11">
        <f t="shared" si="126"/>
        <v>2024</v>
      </c>
      <c r="D2737" t="s">
        <v>130</v>
      </c>
      <c r="E2737" t="s">
        <v>12</v>
      </c>
      <c r="F2737" t="s">
        <v>13</v>
      </c>
      <c r="G2737" t="s">
        <v>14</v>
      </c>
      <c r="H2737">
        <v>1</v>
      </c>
      <c r="I2737" s="2">
        <v>356.8</v>
      </c>
      <c r="J2737" s="2">
        <v>356.8</v>
      </c>
      <c r="K2737" s="2">
        <f t="shared" si="127"/>
        <v>356.8</v>
      </c>
      <c r="L2737" s="2">
        <f t="shared" si="128"/>
        <v>0</v>
      </c>
      <c r="M2737" t="s">
        <v>38</v>
      </c>
      <c r="N2737" t="s">
        <v>26</v>
      </c>
    </row>
    <row r="2738" spans="1:14" x14ac:dyDescent="0.3">
      <c r="A2738">
        <v>2024003736</v>
      </c>
      <c r="B2738" s="1">
        <v>45330</v>
      </c>
      <c r="C2738" s="11">
        <f t="shared" si="126"/>
        <v>2024</v>
      </c>
      <c r="D2738" t="s">
        <v>222</v>
      </c>
      <c r="E2738" t="s">
        <v>12</v>
      </c>
      <c r="F2738" t="s">
        <v>13</v>
      </c>
      <c r="G2738" t="s">
        <v>14</v>
      </c>
      <c r="H2738">
        <v>1</v>
      </c>
      <c r="I2738" s="2">
        <v>331.41</v>
      </c>
      <c r="J2738" s="2">
        <v>331.41</v>
      </c>
      <c r="K2738" s="2">
        <f t="shared" si="127"/>
        <v>331.41</v>
      </c>
      <c r="L2738" s="2">
        <f t="shared" si="128"/>
        <v>0</v>
      </c>
      <c r="M2738" t="s">
        <v>25</v>
      </c>
      <c r="N2738" t="s">
        <v>21</v>
      </c>
    </row>
    <row r="2739" spans="1:14" x14ac:dyDescent="0.3">
      <c r="A2739">
        <v>2024003737</v>
      </c>
      <c r="B2739" s="1">
        <v>45402</v>
      </c>
      <c r="C2739" s="11">
        <f t="shared" si="126"/>
        <v>2024</v>
      </c>
      <c r="D2739" t="s">
        <v>216</v>
      </c>
      <c r="E2739" t="s">
        <v>43</v>
      </c>
      <c r="F2739" t="s">
        <v>44</v>
      </c>
      <c r="G2739" t="s">
        <v>36</v>
      </c>
      <c r="H2739">
        <v>1</v>
      </c>
      <c r="I2739" s="2">
        <v>1191.8499999999999</v>
      </c>
      <c r="J2739" s="2">
        <v>1191.8499999999999</v>
      </c>
      <c r="K2739" s="2">
        <f t="shared" si="127"/>
        <v>1191.8499999999999</v>
      </c>
      <c r="L2739" s="2">
        <f t="shared" si="128"/>
        <v>0</v>
      </c>
      <c r="M2739" t="s">
        <v>57</v>
      </c>
      <c r="N2739" t="s">
        <v>32</v>
      </c>
    </row>
    <row r="2740" spans="1:14" x14ac:dyDescent="0.3">
      <c r="A2740">
        <v>2024003738</v>
      </c>
      <c r="B2740" s="1">
        <v>45304</v>
      </c>
      <c r="C2740" s="11">
        <f t="shared" si="126"/>
        <v>2024</v>
      </c>
      <c r="D2740" t="s">
        <v>128</v>
      </c>
      <c r="E2740" t="s">
        <v>23</v>
      </c>
      <c r="F2740" t="s">
        <v>24</v>
      </c>
      <c r="G2740" t="s">
        <v>14</v>
      </c>
      <c r="H2740">
        <v>1</v>
      </c>
      <c r="I2740" s="2">
        <v>90.08</v>
      </c>
      <c r="J2740" s="2">
        <v>90.08</v>
      </c>
      <c r="K2740" s="2">
        <f t="shared" si="127"/>
        <v>90.08</v>
      </c>
      <c r="L2740" s="2">
        <f t="shared" si="128"/>
        <v>0</v>
      </c>
      <c r="M2740" t="s">
        <v>61</v>
      </c>
      <c r="N2740" t="s">
        <v>16</v>
      </c>
    </row>
    <row r="2741" spans="1:14" x14ac:dyDescent="0.3">
      <c r="A2741">
        <v>2024003739</v>
      </c>
      <c r="B2741" s="1">
        <v>45485</v>
      </c>
      <c r="C2741" s="11">
        <f t="shared" si="126"/>
        <v>2024</v>
      </c>
      <c r="D2741" t="s">
        <v>249</v>
      </c>
      <c r="E2741" t="s">
        <v>28</v>
      </c>
      <c r="F2741" t="s">
        <v>29</v>
      </c>
      <c r="G2741" t="s">
        <v>30</v>
      </c>
      <c r="H2741">
        <v>4</v>
      </c>
      <c r="I2741" s="2">
        <v>26.71</v>
      </c>
      <c r="J2741" s="2">
        <v>106.84</v>
      </c>
      <c r="K2741" s="2">
        <f t="shared" si="127"/>
        <v>106.84</v>
      </c>
      <c r="L2741" s="2">
        <f t="shared" si="128"/>
        <v>0</v>
      </c>
      <c r="M2741" t="s">
        <v>38</v>
      </c>
      <c r="N2741" t="s">
        <v>16</v>
      </c>
    </row>
    <row r="2742" spans="1:14" x14ac:dyDescent="0.3">
      <c r="A2742">
        <v>2024003740</v>
      </c>
      <c r="B2742" s="1">
        <v>45502</v>
      </c>
      <c r="C2742" s="11">
        <f t="shared" si="126"/>
        <v>2024</v>
      </c>
      <c r="D2742" t="s">
        <v>90</v>
      </c>
      <c r="E2742" t="s">
        <v>18</v>
      </c>
      <c r="F2742" t="s">
        <v>19</v>
      </c>
      <c r="G2742" t="s">
        <v>14</v>
      </c>
      <c r="H2742">
        <v>1</v>
      </c>
      <c r="I2742" s="2">
        <v>595.30999999999995</v>
      </c>
      <c r="J2742" s="2">
        <v>595.30999999999995</v>
      </c>
      <c r="K2742" s="2">
        <f t="shared" si="127"/>
        <v>595.30999999999995</v>
      </c>
      <c r="L2742" s="2">
        <f t="shared" si="128"/>
        <v>0</v>
      </c>
      <c r="M2742" t="s">
        <v>20</v>
      </c>
      <c r="N2742" t="s">
        <v>32</v>
      </c>
    </row>
    <row r="2743" spans="1:14" x14ac:dyDescent="0.3">
      <c r="A2743">
        <v>2024003741</v>
      </c>
      <c r="B2743" s="1">
        <v>45404</v>
      </c>
      <c r="C2743" s="11">
        <f t="shared" si="126"/>
        <v>2024</v>
      </c>
      <c r="D2743" t="s">
        <v>11</v>
      </c>
      <c r="E2743" t="s">
        <v>12</v>
      </c>
      <c r="F2743" t="s">
        <v>13</v>
      </c>
      <c r="G2743" t="s">
        <v>14</v>
      </c>
      <c r="H2743">
        <v>1</v>
      </c>
      <c r="I2743" s="2">
        <v>361.08</v>
      </c>
      <c r="J2743" s="2">
        <v>361.08</v>
      </c>
      <c r="K2743" s="2">
        <f t="shared" si="127"/>
        <v>361.08</v>
      </c>
      <c r="L2743" s="2">
        <f t="shared" si="128"/>
        <v>0</v>
      </c>
      <c r="M2743" t="s">
        <v>55</v>
      </c>
      <c r="N2743" t="s">
        <v>21</v>
      </c>
    </row>
    <row r="2744" spans="1:14" x14ac:dyDescent="0.3">
      <c r="A2744">
        <v>2024003742</v>
      </c>
      <c r="B2744" s="1">
        <v>45552</v>
      </c>
      <c r="C2744" s="11">
        <f t="shared" si="126"/>
        <v>2024</v>
      </c>
      <c r="D2744" t="s">
        <v>209</v>
      </c>
      <c r="E2744" t="s">
        <v>67</v>
      </c>
      <c r="F2744" t="s">
        <v>68</v>
      </c>
      <c r="G2744" t="s">
        <v>36</v>
      </c>
      <c r="H2744">
        <v>4</v>
      </c>
      <c r="I2744" s="2">
        <v>397.63</v>
      </c>
      <c r="J2744" s="2">
        <v>1590.52</v>
      </c>
      <c r="K2744" s="2">
        <f t="shared" si="127"/>
        <v>1590.52</v>
      </c>
      <c r="L2744" s="2">
        <f t="shared" si="128"/>
        <v>0</v>
      </c>
      <c r="M2744" t="s">
        <v>64</v>
      </c>
      <c r="N2744" t="s">
        <v>16</v>
      </c>
    </row>
    <row r="2745" spans="1:14" x14ac:dyDescent="0.3">
      <c r="A2745">
        <v>2024003743</v>
      </c>
      <c r="B2745" s="1">
        <v>45303</v>
      </c>
      <c r="C2745" s="11">
        <f t="shared" si="126"/>
        <v>2024</v>
      </c>
      <c r="D2745" t="s">
        <v>11</v>
      </c>
      <c r="E2745" t="s">
        <v>23</v>
      </c>
      <c r="F2745" t="s">
        <v>24</v>
      </c>
      <c r="G2745" t="s">
        <v>14</v>
      </c>
      <c r="H2745">
        <v>1</v>
      </c>
      <c r="I2745" s="2">
        <v>84.25</v>
      </c>
      <c r="J2745" s="2">
        <v>84.25</v>
      </c>
      <c r="K2745" s="2">
        <f t="shared" si="127"/>
        <v>84.25</v>
      </c>
      <c r="L2745" s="2">
        <f t="shared" si="128"/>
        <v>0</v>
      </c>
      <c r="M2745" t="s">
        <v>38</v>
      </c>
      <c r="N2745" t="s">
        <v>16</v>
      </c>
    </row>
    <row r="2746" spans="1:14" x14ac:dyDescent="0.3">
      <c r="A2746">
        <v>2024003744</v>
      </c>
      <c r="B2746" s="1">
        <v>45427</v>
      </c>
      <c r="C2746" s="11">
        <f t="shared" si="126"/>
        <v>2024</v>
      </c>
      <c r="D2746" t="s">
        <v>322</v>
      </c>
      <c r="E2746" t="s">
        <v>12</v>
      </c>
      <c r="F2746" t="s">
        <v>13</v>
      </c>
      <c r="G2746" t="s">
        <v>14</v>
      </c>
      <c r="H2746">
        <v>1</v>
      </c>
      <c r="I2746" s="2">
        <v>315.19</v>
      </c>
      <c r="J2746" s="2">
        <v>315.19</v>
      </c>
      <c r="K2746" s="2">
        <f t="shared" si="127"/>
        <v>315.19</v>
      </c>
      <c r="L2746" s="2">
        <f t="shared" si="128"/>
        <v>0</v>
      </c>
      <c r="M2746" t="s">
        <v>38</v>
      </c>
      <c r="N2746" t="s">
        <v>26</v>
      </c>
    </row>
    <row r="2747" spans="1:14" x14ac:dyDescent="0.3">
      <c r="A2747">
        <v>2024003745</v>
      </c>
      <c r="B2747" s="1">
        <v>45561</v>
      </c>
      <c r="C2747" s="11">
        <f t="shared" si="126"/>
        <v>2024</v>
      </c>
      <c r="D2747" t="s">
        <v>144</v>
      </c>
      <c r="E2747" t="s">
        <v>40</v>
      </c>
      <c r="F2747" t="s">
        <v>41</v>
      </c>
      <c r="G2747" t="s">
        <v>36</v>
      </c>
      <c r="H2747">
        <v>1</v>
      </c>
      <c r="I2747" s="2">
        <v>45.07</v>
      </c>
      <c r="J2747" s="2">
        <v>45.07</v>
      </c>
      <c r="K2747" s="2">
        <f t="shared" si="127"/>
        <v>45.07</v>
      </c>
      <c r="L2747" s="2">
        <f t="shared" si="128"/>
        <v>0</v>
      </c>
      <c r="M2747" t="s">
        <v>61</v>
      </c>
      <c r="N2747" t="s">
        <v>26</v>
      </c>
    </row>
    <row r="2748" spans="1:14" x14ac:dyDescent="0.3">
      <c r="A2748">
        <v>2024003746</v>
      </c>
      <c r="B2748" s="1">
        <v>45328</v>
      </c>
      <c r="C2748" s="11">
        <f t="shared" si="126"/>
        <v>2024</v>
      </c>
      <c r="D2748" t="s">
        <v>249</v>
      </c>
      <c r="E2748" t="s">
        <v>34</v>
      </c>
      <c r="F2748" t="s">
        <v>35</v>
      </c>
      <c r="G2748" t="s">
        <v>36</v>
      </c>
      <c r="H2748">
        <v>2</v>
      </c>
      <c r="I2748" s="2">
        <v>15.2</v>
      </c>
      <c r="J2748" s="2">
        <v>30.4</v>
      </c>
      <c r="K2748" s="2">
        <f t="shared" si="127"/>
        <v>30.4</v>
      </c>
      <c r="L2748" s="2">
        <f t="shared" si="128"/>
        <v>0</v>
      </c>
      <c r="M2748" t="s">
        <v>25</v>
      </c>
      <c r="N2748" t="s">
        <v>32</v>
      </c>
    </row>
    <row r="2749" spans="1:14" x14ac:dyDescent="0.3">
      <c r="A2749">
        <v>2024003747</v>
      </c>
      <c r="B2749" s="1">
        <v>45389</v>
      </c>
      <c r="C2749" s="11">
        <f t="shared" si="126"/>
        <v>2024</v>
      </c>
      <c r="D2749" t="s">
        <v>77</v>
      </c>
      <c r="E2749" t="s">
        <v>23</v>
      </c>
      <c r="F2749" t="s">
        <v>24</v>
      </c>
      <c r="G2749" t="s">
        <v>14</v>
      </c>
      <c r="H2749">
        <v>1</v>
      </c>
      <c r="I2749" s="2">
        <v>84.35</v>
      </c>
      <c r="J2749" s="2">
        <v>84.35</v>
      </c>
      <c r="K2749" s="2">
        <f t="shared" si="127"/>
        <v>84.35</v>
      </c>
      <c r="L2749" s="2">
        <f t="shared" si="128"/>
        <v>0</v>
      </c>
      <c r="M2749" t="s">
        <v>31</v>
      </c>
      <c r="N2749" t="s">
        <v>16</v>
      </c>
    </row>
    <row r="2750" spans="1:14" x14ac:dyDescent="0.3">
      <c r="A2750">
        <v>2024003748</v>
      </c>
      <c r="B2750" s="1">
        <v>45309</v>
      </c>
      <c r="C2750" s="11">
        <f t="shared" si="126"/>
        <v>2024</v>
      </c>
      <c r="D2750" t="s">
        <v>217</v>
      </c>
      <c r="E2750" t="s">
        <v>23</v>
      </c>
      <c r="F2750" t="s">
        <v>24</v>
      </c>
      <c r="G2750" t="s">
        <v>14</v>
      </c>
      <c r="H2750">
        <v>1</v>
      </c>
      <c r="I2750" s="2">
        <v>78.709999999999994</v>
      </c>
      <c r="J2750" s="2">
        <v>78.709999999999994</v>
      </c>
      <c r="K2750" s="2">
        <f t="shared" si="127"/>
        <v>78.709999999999994</v>
      </c>
      <c r="L2750" s="2">
        <f t="shared" si="128"/>
        <v>0</v>
      </c>
      <c r="M2750" t="s">
        <v>61</v>
      </c>
      <c r="N2750" t="s">
        <v>32</v>
      </c>
    </row>
    <row r="2751" spans="1:14" x14ac:dyDescent="0.3">
      <c r="A2751">
        <v>2024003749</v>
      </c>
      <c r="B2751" s="1">
        <v>45618</v>
      </c>
      <c r="C2751" s="11">
        <f t="shared" si="126"/>
        <v>2024</v>
      </c>
      <c r="D2751" t="s">
        <v>50</v>
      </c>
      <c r="E2751" t="s">
        <v>43</v>
      </c>
      <c r="F2751" t="s">
        <v>44</v>
      </c>
      <c r="G2751" t="s">
        <v>36</v>
      </c>
      <c r="H2751">
        <v>4</v>
      </c>
      <c r="I2751" s="2">
        <v>1184.01</v>
      </c>
      <c r="J2751" s="2">
        <v>4736.04</v>
      </c>
      <c r="K2751" s="2">
        <f t="shared" si="127"/>
        <v>4736.04</v>
      </c>
      <c r="L2751" s="2">
        <f t="shared" si="128"/>
        <v>0</v>
      </c>
      <c r="M2751" t="s">
        <v>15</v>
      </c>
      <c r="N2751" t="s">
        <v>32</v>
      </c>
    </row>
    <row r="2752" spans="1:14" x14ac:dyDescent="0.3">
      <c r="A2752">
        <v>2024003750</v>
      </c>
      <c r="B2752" s="1">
        <v>45455</v>
      </c>
      <c r="C2752" s="11">
        <f t="shared" si="126"/>
        <v>2024</v>
      </c>
      <c r="D2752" t="s">
        <v>163</v>
      </c>
      <c r="E2752" t="s">
        <v>67</v>
      </c>
      <c r="F2752" t="s">
        <v>68</v>
      </c>
      <c r="G2752" t="s">
        <v>36</v>
      </c>
      <c r="H2752">
        <v>1</v>
      </c>
      <c r="I2752" s="2">
        <v>398.97</v>
      </c>
      <c r="J2752" s="2">
        <v>398.97</v>
      </c>
      <c r="K2752" s="2">
        <f t="shared" si="127"/>
        <v>398.97</v>
      </c>
      <c r="L2752" s="2">
        <f t="shared" si="128"/>
        <v>0</v>
      </c>
      <c r="M2752" t="s">
        <v>20</v>
      </c>
      <c r="N2752" t="s">
        <v>26</v>
      </c>
    </row>
    <row r="2753" spans="1:14" x14ac:dyDescent="0.3">
      <c r="A2753">
        <v>2024003751</v>
      </c>
      <c r="B2753" s="1">
        <v>45647</v>
      </c>
      <c r="C2753" s="11">
        <f t="shared" si="126"/>
        <v>2024</v>
      </c>
      <c r="D2753" t="s">
        <v>11</v>
      </c>
      <c r="E2753" t="s">
        <v>43</v>
      </c>
      <c r="F2753" t="s">
        <v>44</v>
      </c>
      <c r="G2753" t="s">
        <v>36</v>
      </c>
      <c r="H2753">
        <v>2</v>
      </c>
      <c r="I2753" s="2">
        <v>1173.8</v>
      </c>
      <c r="J2753" s="2">
        <v>2347.6</v>
      </c>
      <c r="K2753" s="2">
        <f t="shared" si="127"/>
        <v>2347.6</v>
      </c>
      <c r="L2753" s="2">
        <f t="shared" si="128"/>
        <v>0</v>
      </c>
      <c r="M2753" t="s">
        <v>25</v>
      </c>
      <c r="N2753" t="s">
        <v>26</v>
      </c>
    </row>
    <row r="2754" spans="1:14" x14ac:dyDescent="0.3">
      <c r="A2754">
        <v>2024003752</v>
      </c>
      <c r="B2754" s="1">
        <v>45470</v>
      </c>
      <c r="C2754" s="11">
        <f t="shared" si="126"/>
        <v>2024</v>
      </c>
      <c r="D2754" t="s">
        <v>51</v>
      </c>
      <c r="E2754" t="s">
        <v>18</v>
      </c>
      <c r="F2754" t="s">
        <v>19</v>
      </c>
      <c r="G2754" t="s">
        <v>14</v>
      </c>
      <c r="H2754">
        <v>1</v>
      </c>
      <c r="I2754" s="2">
        <v>598.34</v>
      </c>
      <c r="J2754" s="2">
        <v>598.34</v>
      </c>
      <c r="K2754" s="2">
        <f t="shared" si="127"/>
        <v>598.34</v>
      </c>
      <c r="L2754" s="2">
        <f t="shared" si="128"/>
        <v>0</v>
      </c>
      <c r="M2754" t="s">
        <v>31</v>
      </c>
      <c r="N2754" t="s">
        <v>21</v>
      </c>
    </row>
    <row r="2755" spans="1:14" x14ac:dyDescent="0.3">
      <c r="A2755">
        <v>2024003753</v>
      </c>
      <c r="B2755" s="1">
        <v>45436</v>
      </c>
      <c r="C2755" s="11">
        <f t="shared" ref="C2755:C2818" si="129">YEAR(B2755)</f>
        <v>2024</v>
      </c>
      <c r="D2755" t="s">
        <v>50</v>
      </c>
      <c r="E2755" t="s">
        <v>40</v>
      </c>
      <c r="F2755" t="s">
        <v>41</v>
      </c>
      <c r="G2755" t="s">
        <v>36</v>
      </c>
      <c r="H2755">
        <v>1</v>
      </c>
      <c r="I2755" s="2">
        <v>40.83</v>
      </c>
      <c r="J2755" s="2">
        <v>40.83</v>
      </c>
      <c r="K2755" s="2">
        <f t="shared" ref="K2755:K2818" si="130">I2755*H2755</f>
        <v>40.83</v>
      </c>
      <c r="L2755" s="2">
        <f t="shared" ref="L2755:L2818" si="131">J2755-K2755</f>
        <v>0</v>
      </c>
      <c r="M2755" t="s">
        <v>38</v>
      </c>
      <c r="N2755" t="s">
        <v>26</v>
      </c>
    </row>
    <row r="2756" spans="1:14" x14ac:dyDescent="0.3">
      <c r="A2756">
        <v>2024003754</v>
      </c>
      <c r="B2756" s="1">
        <v>45396</v>
      </c>
      <c r="C2756" s="11">
        <f t="shared" si="129"/>
        <v>2024</v>
      </c>
      <c r="D2756" t="s">
        <v>329</v>
      </c>
      <c r="E2756" t="s">
        <v>34</v>
      </c>
      <c r="F2756" t="s">
        <v>35</v>
      </c>
      <c r="G2756" t="s">
        <v>36</v>
      </c>
      <c r="H2756">
        <v>2</v>
      </c>
      <c r="I2756" s="2">
        <v>14.18</v>
      </c>
      <c r="J2756" s="2">
        <v>28.36</v>
      </c>
      <c r="K2756" s="2">
        <f t="shared" si="130"/>
        <v>28.36</v>
      </c>
      <c r="L2756" s="2">
        <f t="shared" si="131"/>
        <v>0</v>
      </c>
      <c r="M2756" t="s">
        <v>57</v>
      </c>
      <c r="N2756" t="s">
        <v>16</v>
      </c>
    </row>
    <row r="2757" spans="1:14" x14ac:dyDescent="0.3">
      <c r="A2757">
        <v>2024003755</v>
      </c>
      <c r="B2757" s="1">
        <v>45345</v>
      </c>
      <c r="C2757" s="11">
        <f t="shared" si="129"/>
        <v>2024</v>
      </c>
      <c r="D2757" t="s">
        <v>188</v>
      </c>
      <c r="E2757" t="s">
        <v>40</v>
      </c>
      <c r="F2757" t="s">
        <v>41</v>
      </c>
      <c r="G2757" t="s">
        <v>36</v>
      </c>
      <c r="H2757">
        <v>2</v>
      </c>
      <c r="I2757" s="2">
        <v>47.84</v>
      </c>
      <c r="J2757" s="2">
        <v>95.68</v>
      </c>
      <c r="K2757" s="2">
        <f t="shared" si="130"/>
        <v>95.68</v>
      </c>
      <c r="L2757" s="2">
        <f t="shared" si="131"/>
        <v>0</v>
      </c>
      <c r="M2757" t="s">
        <v>55</v>
      </c>
      <c r="N2757" t="s">
        <v>16</v>
      </c>
    </row>
    <row r="2758" spans="1:14" x14ac:dyDescent="0.3">
      <c r="A2758">
        <v>2024003756</v>
      </c>
      <c r="B2758" s="1">
        <v>45457</v>
      </c>
      <c r="C2758" s="11">
        <f t="shared" si="129"/>
        <v>2024</v>
      </c>
      <c r="D2758" t="s">
        <v>11</v>
      </c>
      <c r="E2758" t="s">
        <v>67</v>
      </c>
      <c r="F2758" t="s">
        <v>68</v>
      </c>
      <c r="G2758" t="s">
        <v>36</v>
      </c>
      <c r="H2758">
        <v>1</v>
      </c>
      <c r="I2758" s="2">
        <v>393.32</v>
      </c>
      <c r="J2758" s="2">
        <v>393.32</v>
      </c>
      <c r="K2758" s="2">
        <f t="shared" si="130"/>
        <v>393.32</v>
      </c>
      <c r="L2758" s="2">
        <f t="shared" si="131"/>
        <v>0</v>
      </c>
      <c r="M2758" t="s">
        <v>61</v>
      </c>
      <c r="N2758" t="s">
        <v>32</v>
      </c>
    </row>
    <row r="2759" spans="1:14" x14ac:dyDescent="0.3">
      <c r="A2759">
        <v>2024003757</v>
      </c>
      <c r="B2759" s="1">
        <v>45412</v>
      </c>
      <c r="C2759" s="11">
        <f t="shared" si="129"/>
        <v>2024</v>
      </c>
      <c r="D2759" t="s">
        <v>115</v>
      </c>
      <c r="E2759" t="s">
        <v>40</v>
      </c>
      <c r="F2759" t="s">
        <v>41</v>
      </c>
      <c r="G2759" t="s">
        <v>36</v>
      </c>
      <c r="H2759">
        <v>1</v>
      </c>
      <c r="I2759" s="2">
        <v>43.25</v>
      </c>
      <c r="J2759" s="2">
        <v>43.25</v>
      </c>
      <c r="K2759" s="2">
        <f t="shared" si="130"/>
        <v>43.25</v>
      </c>
      <c r="L2759" s="2">
        <f t="shared" si="131"/>
        <v>0</v>
      </c>
      <c r="M2759" t="s">
        <v>20</v>
      </c>
      <c r="N2759" t="s">
        <v>16</v>
      </c>
    </row>
    <row r="2760" spans="1:14" x14ac:dyDescent="0.3">
      <c r="A2760">
        <v>2024003758</v>
      </c>
      <c r="B2760" s="1">
        <v>45359</v>
      </c>
      <c r="C2760" s="11">
        <f t="shared" si="129"/>
        <v>2024</v>
      </c>
      <c r="D2760" t="s">
        <v>172</v>
      </c>
      <c r="E2760" t="s">
        <v>28</v>
      </c>
      <c r="F2760" t="s">
        <v>29</v>
      </c>
      <c r="G2760" t="s">
        <v>30</v>
      </c>
      <c r="H2760">
        <v>2</v>
      </c>
      <c r="I2760" s="2">
        <v>25.44</v>
      </c>
      <c r="J2760" s="2">
        <v>50.88</v>
      </c>
      <c r="K2760" s="2">
        <f t="shared" si="130"/>
        <v>50.88</v>
      </c>
      <c r="L2760" s="2">
        <f t="shared" si="131"/>
        <v>0</v>
      </c>
      <c r="M2760" t="s">
        <v>25</v>
      </c>
      <c r="N2760" t="s">
        <v>32</v>
      </c>
    </row>
    <row r="2761" spans="1:14" x14ac:dyDescent="0.3">
      <c r="A2761">
        <v>2024003759</v>
      </c>
      <c r="B2761" s="1">
        <v>45648</v>
      </c>
      <c r="C2761" s="11">
        <f t="shared" si="129"/>
        <v>2024</v>
      </c>
      <c r="D2761" t="s">
        <v>285</v>
      </c>
      <c r="E2761" t="s">
        <v>43</v>
      </c>
      <c r="F2761" t="s">
        <v>44</v>
      </c>
      <c r="G2761" t="s">
        <v>36</v>
      </c>
      <c r="H2761">
        <v>1</v>
      </c>
      <c r="I2761" s="2">
        <v>1282.99</v>
      </c>
      <c r="J2761" s="2">
        <v>1282.99</v>
      </c>
      <c r="K2761" s="2">
        <f t="shared" si="130"/>
        <v>1282.99</v>
      </c>
      <c r="L2761" s="2">
        <f t="shared" si="131"/>
        <v>0</v>
      </c>
      <c r="M2761" t="s">
        <v>64</v>
      </c>
      <c r="N2761" t="s">
        <v>16</v>
      </c>
    </row>
    <row r="2762" spans="1:14" x14ac:dyDescent="0.3">
      <c r="A2762">
        <v>2024003760</v>
      </c>
      <c r="B2762" s="1">
        <v>45307</v>
      </c>
      <c r="C2762" s="11">
        <f t="shared" si="129"/>
        <v>2024</v>
      </c>
      <c r="D2762" t="s">
        <v>11</v>
      </c>
      <c r="E2762" t="s">
        <v>12</v>
      </c>
      <c r="F2762" t="s">
        <v>13</v>
      </c>
      <c r="G2762" t="s">
        <v>14</v>
      </c>
      <c r="H2762">
        <v>1</v>
      </c>
      <c r="I2762" s="2">
        <v>348.4</v>
      </c>
      <c r="J2762" s="2">
        <v>348.4</v>
      </c>
      <c r="K2762" s="2">
        <f t="shared" si="130"/>
        <v>348.4</v>
      </c>
      <c r="L2762" s="2">
        <f t="shared" si="131"/>
        <v>0</v>
      </c>
      <c r="M2762" t="s">
        <v>31</v>
      </c>
      <c r="N2762" t="s">
        <v>26</v>
      </c>
    </row>
    <row r="2763" spans="1:14" x14ac:dyDescent="0.3">
      <c r="A2763">
        <v>2024003761</v>
      </c>
      <c r="B2763" s="1">
        <v>45619</v>
      </c>
      <c r="C2763" s="11">
        <f t="shared" si="129"/>
        <v>2024</v>
      </c>
      <c r="D2763" t="s">
        <v>11</v>
      </c>
      <c r="E2763" t="s">
        <v>67</v>
      </c>
      <c r="F2763" t="s">
        <v>68</v>
      </c>
      <c r="G2763" t="s">
        <v>36</v>
      </c>
      <c r="H2763">
        <v>1</v>
      </c>
      <c r="I2763" s="2">
        <v>391.26</v>
      </c>
      <c r="J2763" s="2">
        <v>391.26</v>
      </c>
      <c r="K2763" s="2">
        <f t="shared" si="130"/>
        <v>391.26</v>
      </c>
      <c r="L2763" s="2">
        <f t="shared" si="131"/>
        <v>0</v>
      </c>
      <c r="M2763" t="s">
        <v>64</v>
      </c>
      <c r="N2763" t="s">
        <v>16</v>
      </c>
    </row>
    <row r="2764" spans="1:14" x14ac:dyDescent="0.3">
      <c r="A2764">
        <v>2024003762</v>
      </c>
      <c r="B2764" s="1">
        <v>45323</v>
      </c>
      <c r="C2764" s="11">
        <f t="shared" si="129"/>
        <v>2024</v>
      </c>
      <c r="D2764" t="s">
        <v>169</v>
      </c>
      <c r="E2764" t="s">
        <v>67</v>
      </c>
      <c r="F2764" t="s">
        <v>68</v>
      </c>
      <c r="G2764" t="s">
        <v>36</v>
      </c>
      <c r="H2764">
        <v>1</v>
      </c>
      <c r="I2764" s="2">
        <v>408.7</v>
      </c>
      <c r="J2764" s="2">
        <v>408.7</v>
      </c>
      <c r="K2764" s="2">
        <f t="shared" si="130"/>
        <v>408.7</v>
      </c>
      <c r="L2764" s="2">
        <f t="shared" si="131"/>
        <v>0</v>
      </c>
      <c r="M2764" t="s">
        <v>64</v>
      </c>
      <c r="N2764" t="s">
        <v>21</v>
      </c>
    </row>
    <row r="2765" spans="1:14" x14ac:dyDescent="0.3">
      <c r="A2765">
        <v>2024003763</v>
      </c>
      <c r="B2765" s="1">
        <v>45298</v>
      </c>
      <c r="C2765" s="11">
        <f t="shared" si="129"/>
        <v>2024</v>
      </c>
      <c r="D2765" t="s">
        <v>11</v>
      </c>
      <c r="E2765" t="s">
        <v>67</v>
      </c>
      <c r="F2765" t="s">
        <v>68</v>
      </c>
      <c r="G2765" t="s">
        <v>36</v>
      </c>
      <c r="H2765">
        <v>2</v>
      </c>
      <c r="I2765" s="2">
        <v>431.74</v>
      </c>
      <c r="J2765" s="2">
        <v>863.48</v>
      </c>
      <c r="K2765" s="2">
        <f t="shared" si="130"/>
        <v>863.48</v>
      </c>
      <c r="L2765" s="2">
        <f t="shared" si="131"/>
        <v>0</v>
      </c>
      <c r="M2765" t="s">
        <v>57</v>
      </c>
      <c r="N2765" t="s">
        <v>26</v>
      </c>
    </row>
    <row r="2766" spans="1:14" x14ac:dyDescent="0.3">
      <c r="A2766">
        <v>2024003764</v>
      </c>
      <c r="B2766" s="1">
        <v>45338</v>
      </c>
      <c r="C2766" s="11">
        <f t="shared" si="129"/>
        <v>2024</v>
      </c>
      <c r="D2766" t="s">
        <v>270</v>
      </c>
      <c r="E2766" t="s">
        <v>46</v>
      </c>
      <c r="F2766" t="s">
        <v>47</v>
      </c>
      <c r="G2766" t="s">
        <v>36</v>
      </c>
      <c r="H2766">
        <v>1</v>
      </c>
      <c r="I2766" s="2">
        <v>94.59</v>
      </c>
      <c r="J2766" s="2">
        <v>94.59</v>
      </c>
      <c r="K2766" s="2">
        <f t="shared" si="130"/>
        <v>94.59</v>
      </c>
      <c r="L2766" s="2">
        <f t="shared" si="131"/>
        <v>0</v>
      </c>
      <c r="M2766" t="s">
        <v>48</v>
      </c>
      <c r="N2766" t="s">
        <v>26</v>
      </c>
    </row>
    <row r="2767" spans="1:14" x14ac:dyDescent="0.3">
      <c r="A2767">
        <v>2024003765</v>
      </c>
      <c r="B2767" s="1">
        <v>45618</v>
      </c>
      <c r="C2767" s="11">
        <f t="shared" si="129"/>
        <v>2024</v>
      </c>
      <c r="D2767" t="s">
        <v>325</v>
      </c>
      <c r="E2767" t="s">
        <v>12</v>
      </c>
      <c r="F2767" t="s">
        <v>13</v>
      </c>
      <c r="G2767" t="s">
        <v>14</v>
      </c>
      <c r="H2767">
        <v>1</v>
      </c>
      <c r="I2767" s="2">
        <v>384.26</v>
      </c>
      <c r="J2767" s="2">
        <v>384.26</v>
      </c>
      <c r="K2767" s="2">
        <f t="shared" si="130"/>
        <v>384.26</v>
      </c>
      <c r="L2767" s="2">
        <f t="shared" si="131"/>
        <v>0</v>
      </c>
      <c r="M2767" t="s">
        <v>15</v>
      </c>
      <c r="N2767" t="s">
        <v>32</v>
      </c>
    </row>
    <row r="2768" spans="1:14" x14ac:dyDescent="0.3">
      <c r="A2768">
        <v>2024003766</v>
      </c>
      <c r="B2768" s="1">
        <v>45322</v>
      </c>
      <c r="C2768" s="11">
        <f t="shared" si="129"/>
        <v>2024</v>
      </c>
      <c r="D2768" t="s">
        <v>306</v>
      </c>
      <c r="E2768" t="s">
        <v>18</v>
      </c>
      <c r="F2768" t="s">
        <v>19</v>
      </c>
      <c r="G2768" t="s">
        <v>14</v>
      </c>
      <c r="H2768">
        <v>5</v>
      </c>
      <c r="I2768" s="2">
        <v>595.52</v>
      </c>
      <c r="J2768" s="2">
        <v>2977.6</v>
      </c>
      <c r="K2768" s="2">
        <f t="shared" si="130"/>
        <v>2977.6</v>
      </c>
      <c r="L2768" s="2">
        <f t="shared" si="131"/>
        <v>0</v>
      </c>
      <c r="M2768" t="s">
        <v>64</v>
      </c>
      <c r="N2768" t="s">
        <v>16</v>
      </c>
    </row>
    <row r="2769" spans="1:14" x14ac:dyDescent="0.3">
      <c r="A2769">
        <v>2024003767</v>
      </c>
      <c r="B2769" s="1">
        <v>45641</v>
      </c>
      <c r="C2769" s="11">
        <f t="shared" si="129"/>
        <v>2024</v>
      </c>
      <c r="D2769" t="s">
        <v>321</v>
      </c>
      <c r="E2769" t="s">
        <v>34</v>
      </c>
      <c r="F2769" t="s">
        <v>35</v>
      </c>
      <c r="G2769" t="s">
        <v>36</v>
      </c>
      <c r="H2769">
        <v>1</v>
      </c>
      <c r="I2769" s="2">
        <v>13.86</v>
      </c>
      <c r="J2769" s="2">
        <v>13.86</v>
      </c>
      <c r="K2769" s="2">
        <f t="shared" si="130"/>
        <v>13.86</v>
      </c>
      <c r="L2769" s="2">
        <f t="shared" si="131"/>
        <v>0</v>
      </c>
      <c r="M2769" t="s">
        <v>31</v>
      </c>
      <c r="N2769" t="s">
        <v>21</v>
      </c>
    </row>
    <row r="2770" spans="1:14" x14ac:dyDescent="0.3">
      <c r="A2770">
        <v>2024003768</v>
      </c>
      <c r="B2770" s="1">
        <v>45480</v>
      </c>
      <c r="C2770" s="11">
        <f t="shared" si="129"/>
        <v>2024</v>
      </c>
      <c r="D2770" t="s">
        <v>153</v>
      </c>
      <c r="E2770" t="s">
        <v>43</v>
      </c>
      <c r="F2770" t="s">
        <v>44</v>
      </c>
      <c r="G2770" t="s">
        <v>36</v>
      </c>
      <c r="H2770">
        <v>2</v>
      </c>
      <c r="I2770" s="2">
        <v>1315.76</v>
      </c>
      <c r="J2770" s="2">
        <v>2631.52</v>
      </c>
      <c r="K2770" s="2">
        <f t="shared" si="130"/>
        <v>2631.52</v>
      </c>
      <c r="L2770" s="2">
        <f t="shared" si="131"/>
        <v>0</v>
      </c>
      <c r="M2770" t="s">
        <v>31</v>
      </c>
      <c r="N2770" t="s">
        <v>32</v>
      </c>
    </row>
    <row r="2771" spans="1:14" x14ac:dyDescent="0.3">
      <c r="A2771">
        <v>2024003769</v>
      </c>
      <c r="B2771" s="1">
        <v>45603</v>
      </c>
      <c r="C2771" s="11">
        <f t="shared" si="129"/>
        <v>2024</v>
      </c>
      <c r="D2771" t="s">
        <v>287</v>
      </c>
      <c r="E2771" t="s">
        <v>28</v>
      </c>
      <c r="F2771" t="s">
        <v>29</v>
      </c>
      <c r="G2771" t="s">
        <v>30</v>
      </c>
      <c r="H2771">
        <v>2</v>
      </c>
      <c r="I2771" s="2">
        <v>24.87</v>
      </c>
      <c r="J2771" s="2">
        <v>49.74</v>
      </c>
      <c r="K2771" s="2">
        <f t="shared" si="130"/>
        <v>49.74</v>
      </c>
      <c r="L2771" s="2">
        <f t="shared" si="131"/>
        <v>0</v>
      </c>
      <c r="M2771" t="s">
        <v>55</v>
      </c>
      <c r="N2771" t="s">
        <v>16</v>
      </c>
    </row>
    <row r="2772" spans="1:14" x14ac:dyDescent="0.3">
      <c r="A2772">
        <v>2024003770</v>
      </c>
      <c r="B2772" s="1">
        <v>45538</v>
      </c>
      <c r="C2772" s="11">
        <f t="shared" si="129"/>
        <v>2024</v>
      </c>
      <c r="D2772" t="s">
        <v>11</v>
      </c>
      <c r="E2772" t="s">
        <v>67</v>
      </c>
      <c r="F2772" t="s">
        <v>68</v>
      </c>
      <c r="G2772" t="s">
        <v>36</v>
      </c>
      <c r="H2772">
        <v>1</v>
      </c>
      <c r="I2772" s="2">
        <v>382.92</v>
      </c>
      <c r="J2772" s="2">
        <v>382.92</v>
      </c>
      <c r="K2772" s="2">
        <f t="shared" si="130"/>
        <v>382.92</v>
      </c>
      <c r="L2772" s="2">
        <f t="shared" si="131"/>
        <v>0</v>
      </c>
      <c r="M2772" t="s">
        <v>55</v>
      </c>
      <c r="N2772" t="s">
        <v>21</v>
      </c>
    </row>
    <row r="2773" spans="1:14" x14ac:dyDescent="0.3">
      <c r="A2773">
        <v>2024003771</v>
      </c>
      <c r="B2773" s="1">
        <v>45531</v>
      </c>
      <c r="C2773" s="11">
        <f t="shared" si="129"/>
        <v>2024</v>
      </c>
      <c r="D2773" t="s">
        <v>261</v>
      </c>
      <c r="E2773" t="s">
        <v>23</v>
      </c>
      <c r="F2773" t="s">
        <v>24</v>
      </c>
      <c r="G2773" t="s">
        <v>14</v>
      </c>
      <c r="H2773">
        <v>3</v>
      </c>
      <c r="I2773" s="2">
        <v>76.7</v>
      </c>
      <c r="J2773" s="2">
        <v>230.1</v>
      </c>
      <c r="K2773" s="2">
        <f t="shared" si="130"/>
        <v>230.10000000000002</v>
      </c>
      <c r="L2773" s="2">
        <f t="shared" si="131"/>
        <v>0</v>
      </c>
      <c r="M2773" t="s">
        <v>61</v>
      </c>
      <c r="N2773" t="s">
        <v>16</v>
      </c>
    </row>
    <row r="2774" spans="1:14" x14ac:dyDescent="0.3">
      <c r="A2774">
        <v>2024003772</v>
      </c>
      <c r="B2774" s="1">
        <v>45499</v>
      </c>
      <c r="C2774" s="11">
        <f t="shared" si="129"/>
        <v>2024</v>
      </c>
      <c r="D2774" t="s">
        <v>179</v>
      </c>
      <c r="E2774" t="s">
        <v>67</v>
      </c>
      <c r="F2774" t="s">
        <v>68</v>
      </c>
      <c r="G2774" t="s">
        <v>36</v>
      </c>
      <c r="H2774">
        <v>1</v>
      </c>
      <c r="I2774" s="2">
        <v>376.3</v>
      </c>
      <c r="J2774" s="2">
        <v>376.3</v>
      </c>
      <c r="K2774" s="2">
        <f t="shared" si="130"/>
        <v>376.3</v>
      </c>
      <c r="L2774" s="2">
        <f t="shared" si="131"/>
        <v>0</v>
      </c>
      <c r="M2774" t="s">
        <v>25</v>
      </c>
      <c r="N2774" t="s">
        <v>26</v>
      </c>
    </row>
    <row r="2775" spans="1:14" x14ac:dyDescent="0.3">
      <c r="A2775">
        <v>2024003773</v>
      </c>
      <c r="B2775" s="1">
        <v>45650</v>
      </c>
      <c r="C2775" s="11">
        <f t="shared" si="129"/>
        <v>2024</v>
      </c>
      <c r="D2775" t="s">
        <v>101</v>
      </c>
      <c r="E2775" t="s">
        <v>34</v>
      </c>
      <c r="F2775" t="s">
        <v>35</v>
      </c>
      <c r="G2775" t="s">
        <v>36</v>
      </c>
      <c r="H2775">
        <v>1</v>
      </c>
      <c r="I2775" s="2">
        <v>15.16</v>
      </c>
      <c r="J2775" s="2">
        <v>15.16</v>
      </c>
      <c r="K2775" s="2">
        <f t="shared" si="130"/>
        <v>15.16</v>
      </c>
      <c r="L2775" s="2">
        <f t="shared" si="131"/>
        <v>0</v>
      </c>
      <c r="M2775" t="s">
        <v>38</v>
      </c>
      <c r="N2775" t="s">
        <v>21</v>
      </c>
    </row>
    <row r="2776" spans="1:14" x14ac:dyDescent="0.3">
      <c r="A2776">
        <v>2024003774</v>
      </c>
      <c r="B2776" s="1">
        <v>45583</v>
      </c>
      <c r="C2776" s="11">
        <f t="shared" si="129"/>
        <v>2024</v>
      </c>
      <c r="D2776" t="s">
        <v>139</v>
      </c>
      <c r="E2776" t="s">
        <v>28</v>
      </c>
      <c r="F2776" t="s">
        <v>29</v>
      </c>
      <c r="G2776" t="s">
        <v>30</v>
      </c>
      <c r="H2776">
        <v>2</v>
      </c>
      <c r="I2776" s="2">
        <v>25.79</v>
      </c>
      <c r="J2776" s="2">
        <v>51.58</v>
      </c>
      <c r="K2776" s="2">
        <f t="shared" si="130"/>
        <v>51.58</v>
      </c>
      <c r="L2776" s="2">
        <f t="shared" si="131"/>
        <v>0</v>
      </c>
      <c r="M2776" t="s">
        <v>57</v>
      </c>
      <c r="N2776" t="s">
        <v>26</v>
      </c>
    </row>
    <row r="2777" spans="1:14" x14ac:dyDescent="0.3">
      <c r="A2777">
        <v>2024003775</v>
      </c>
      <c r="B2777" s="1">
        <v>45607</v>
      </c>
      <c r="C2777" s="11">
        <f t="shared" si="129"/>
        <v>2024</v>
      </c>
      <c r="D2777" t="s">
        <v>307</v>
      </c>
      <c r="E2777" t="s">
        <v>46</v>
      </c>
      <c r="F2777" t="s">
        <v>47</v>
      </c>
      <c r="G2777" t="s">
        <v>36</v>
      </c>
      <c r="H2777">
        <v>1</v>
      </c>
      <c r="I2777" s="2">
        <v>92.15</v>
      </c>
      <c r="J2777" s="2">
        <v>92.15</v>
      </c>
      <c r="K2777" s="2">
        <f t="shared" si="130"/>
        <v>92.15</v>
      </c>
      <c r="L2777" s="2">
        <f t="shared" si="131"/>
        <v>0</v>
      </c>
      <c r="M2777" t="s">
        <v>61</v>
      </c>
      <c r="N2777" t="s">
        <v>32</v>
      </c>
    </row>
    <row r="2778" spans="1:14" x14ac:dyDescent="0.3">
      <c r="A2778">
        <v>2024003776</v>
      </c>
      <c r="B2778" s="1">
        <v>45324</v>
      </c>
      <c r="C2778" s="11">
        <f t="shared" si="129"/>
        <v>2024</v>
      </c>
      <c r="D2778" t="s">
        <v>160</v>
      </c>
      <c r="E2778" t="s">
        <v>46</v>
      </c>
      <c r="F2778" t="s">
        <v>47</v>
      </c>
      <c r="G2778" t="s">
        <v>36</v>
      </c>
      <c r="H2778">
        <v>4</v>
      </c>
      <c r="I2778" s="2">
        <v>98.04</v>
      </c>
      <c r="J2778" s="2">
        <v>392.16</v>
      </c>
      <c r="K2778" s="2">
        <f t="shared" si="130"/>
        <v>392.16</v>
      </c>
      <c r="L2778" s="2">
        <f t="shared" si="131"/>
        <v>0</v>
      </c>
      <c r="M2778" t="s">
        <v>55</v>
      </c>
      <c r="N2778" t="s">
        <v>21</v>
      </c>
    </row>
    <row r="2779" spans="1:14" x14ac:dyDescent="0.3">
      <c r="A2779">
        <v>2024003777</v>
      </c>
      <c r="B2779" s="1">
        <v>45645</v>
      </c>
      <c r="C2779" s="11">
        <f t="shared" si="129"/>
        <v>2024</v>
      </c>
      <c r="D2779" t="s">
        <v>343</v>
      </c>
      <c r="E2779" t="s">
        <v>53</v>
      </c>
      <c r="F2779" t="s">
        <v>54</v>
      </c>
      <c r="G2779" t="s">
        <v>36</v>
      </c>
      <c r="H2779">
        <v>2</v>
      </c>
      <c r="I2779" s="2">
        <v>108.35</v>
      </c>
      <c r="J2779" s="2">
        <v>216.7</v>
      </c>
      <c r="K2779" s="2">
        <f t="shared" si="130"/>
        <v>216.7</v>
      </c>
      <c r="L2779" s="2">
        <f t="shared" si="131"/>
        <v>0</v>
      </c>
      <c r="M2779" t="s">
        <v>57</v>
      </c>
      <c r="N2779" t="s">
        <v>32</v>
      </c>
    </row>
    <row r="2780" spans="1:14" x14ac:dyDescent="0.3">
      <c r="A2780">
        <v>2024003778</v>
      </c>
      <c r="B2780" s="1">
        <v>45498</v>
      </c>
      <c r="C2780" s="11">
        <f t="shared" si="129"/>
        <v>2024</v>
      </c>
      <c r="D2780" t="s">
        <v>70</v>
      </c>
      <c r="E2780" t="s">
        <v>40</v>
      </c>
      <c r="F2780" t="s">
        <v>41</v>
      </c>
      <c r="G2780" t="s">
        <v>36</v>
      </c>
      <c r="H2780">
        <v>2</v>
      </c>
      <c r="I2780" s="2">
        <v>44.27</v>
      </c>
      <c r="J2780" s="2">
        <v>88.54</v>
      </c>
      <c r="K2780" s="2">
        <f t="shared" si="130"/>
        <v>88.54</v>
      </c>
      <c r="L2780" s="2">
        <f t="shared" si="131"/>
        <v>0</v>
      </c>
      <c r="M2780" t="s">
        <v>20</v>
      </c>
      <c r="N2780" t="s">
        <v>16</v>
      </c>
    </row>
    <row r="2781" spans="1:14" x14ac:dyDescent="0.3">
      <c r="A2781">
        <v>2024003779</v>
      </c>
      <c r="B2781" s="1">
        <v>45654</v>
      </c>
      <c r="C2781" s="11">
        <f t="shared" si="129"/>
        <v>2024</v>
      </c>
      <c r="D2781" t="s">
        <v>11</v>
      </c>
      <c r="E2781" t="s">
        <v>18</v>
      </c>
      <c r="F2781" t="s">
        <v>19</v>
      </c>
      <c r="G2781" t="s">
        <v>14</v>
      </c>
      <c r="H2781">
        <v>1</v>
      </c>
      <c r="I2781" s="2">
        <v>624.91999999999996</v>
      </c>
      <c r="J2781" s="2">
        <v>624.91999999999996</v>
      </c>
      <c r="K2781" s="2">
        <f t="shared" si="130"/>
        <v>624.91999999999996</v>
      </c>
      <c r="L2781" s="2">
        <f t="shared" si="131"/>
        <v>0</v>
      </c>
      <c r="M2781" t="s">
        <v>48</v>
      </c>
      <c r="N2781" t="s">
        <v>32</v>
      </c>
    </row>
    <row r="2782" spans="1:14" x14ac:dyDescent="0.3">
      <c r="A2782">
        <v>2024003780</v>
      </c>
      <c r="B2782" s="1">
        <v>45301</v>
      </c>
      <c r="C2782" s="11">
        <f t="shared" si="129"/>
        <v>2024</v>
      </c>
      <c r="D2782" t="s">
        <v>69</v>
      </c>
      <c r="E2782" t="s">
        <v>18</v>
      </c>
      <c r="F2782" t="s">
        <v>19</v>
      </c>
      <c r="G2782" t="s">
        <v>14</v>
      </c>
      <c r="H2782">
        <v>5</v>
      </c>
      <c r="I2782" s="2">
        <v>619.42999999999995</v>
      </c>
      <c r="J2782" s="2">
        <v>3097.15</v>
      </c>
      <c r="K2782" s="2">
        <f t="shared" si="130"/>
        <v>3097.1499999999996</v>
      </c>
      <c r="L2782" s="2">
        <f t="shared" si="131"/>
        <v>0</v>
      </c>
      <c r="M2782" t="s">
        <v>55</v>
      </c>
      <c r="N2782" t="s">
        <v>26</v>
      </c>
    </row>
    <row r="2783" spans="1:14" x14ac:dyDescent="0.3">
      <c r="A2783">
        <v>2024003781</v>
      </c>
      <c r="B2783" s="1">
        <v>45344</v>
      </c>
      <c r="C2783" s="11">
        <f t="shared" si="129"/>
        <v>2024</v>
      </c>
      <c r="D2783" t="s">
        <v>215</v>
      </c>
      <c r="E2783" t="s">
        <v>46</v>
      </c>
      <c r="F2783" t="s">
        <v>47</v>
      </c>
      <c r="G2783" t="s">
        <v>36</v>
      </c>
      <c r="H2783">
        <v>3</v>
      </c>
      <c r="I2783" s="2">
        <v>92.22</v>
      </c>
      <c r="J2783" s="2">
        <v>276.66000000000003</v>
      </c>
      <c r="K2783" s="2">
        <f t="shared" si="130"/>
        <v>276.65999999999997</v>
      </c>
      <c r="L2783" s="2">
        <f t="shared" si="131"/>
        <v>0</v>
      </c>
      <c r="M2783" t="s">
        <v>20</v>
      </c>
      <c r="N2783" t="s">
        <v>16</v>
      </c>
    </row>
    <row r="2784" spans="1:14" x14ac:dyDescent="0.3">
      <c r="A2784">
        <v>2024003782</v>
      </c>
      <c r="B2784" s="1">
        <v>45302</v>
      </c>
      <c r="C2784" s="11">
        <f t="shared" si="129"/>
        <v>2024</v>
      </c>
      <c r="D2784" t="s">
        <v>126</v>
      </c>
      <c r="E2784" t="s">
        <v>34</v>
      </c>
      <c r="F2784" t="s">
        <v>35</v>
      </c>
      <c r="G2784" t="s">
        <v>36</v>
      </c>
      <c r="H2784">
        <v>1</v>
      </c>
      <c r="I2784" s="2">
        <v>14.42</v>
      </c>
      <c r="J2784" s="2">
        <v>14.42</v>
      </c>
      <c r="K2784" s="2">
        <f t="shared" si="130"/>
        <v>14.42</v>
      </c>
      <c r="L2784" s="2">
        <f t="shared" si="131"/>
        <v>0</v>
      </c>
      <c r="M2784" t="s">
        <v>57</v>
      </c>
      <c r="N2784" t="s">
        <v>32</v>
      </c>
    </row>
    <row r="2785" spans="1:14" x14ac:dyDescent="0.3">
      <c r="A2785">
        <v>2024003783</v>
      </c>
      <c r="B2785" s="1">
        <v>45394</v>
      </c>
      <c r="C2785" s="11">
        <f t="shared" si="129"/>
        <v>2024</v>
      </c>
      <c r="D2785" t="s">
        <v>128</v>
      </c>
      <c r="E2785" t="s">
        <v>23</v>
      </c>
      <c r="F2785" t="s">
        <v>24</v>
      </c>
      <c r="G2785" t="s">
        <v>14</v>
      </c>
      <c r="H2785">
        <v>2</v>
      </c>
      <c r="I2785" s="2">
        <v>78.11</v>
      </c>
      <c r="J2785" s="2">
        <v>156.22</v>
      </c>
      <c r="K2785" s="2">
        <f t="shared" si="130"/>
        <v>156.22</v>
      </c>
      <c r="L2785" s="2">
        <f t="shared" si="131"/>
        <v>0</v>
      </c>
      <c r="M2785" t="s">
        <v>61</v>
      </c>
      <c r="N2785" t="s">
        <v>26</v>
      </c>
    </row>
    <row r="2786" spans="1:14" x14ac:dyDescent="0.3">
      <c r="A2786">
        <v>2024003784</v>
      </c>
      <c r="B2786" s="1">
        <v>45321</v>
      </c>
      <c r="C2786" s="11">
        <f t="shared" si="129"/>
        <v>2024</v>
      </c>
      <c r="D2786" t="s">
        <v>188</v>
      </c>
      <c r="E2786" t="s">
        <v>46</v>
      </c>
      <c r="F2786" t="s">
        <v>47</v>
      </c>
      <c r="G2786" t="s">
        <v>36</v>
      </c>
      <c r="H2786">
        <v>1</v>
      </c>
      <c r="I2786" s="2">
        <v>88.5</v>
      </c>
      <c r="J2786" s="2">
        <v>88.5</v>
      </c>
      <c r="K2786" s="2">
        <f t="shared" si="130"/>
        <v>88.5</v>
      </c>
      <c r="L2786" s="2">
        <f t="shared" si="131"/>
        <v>0</v>
      </c>
      <c r="M2786" t="s">
        <v>15</v>
      </c>
      <c r="N2786" t="s">
        <v>21</v>
      </c>
    </row>
    <row r="2787" spans="1:14" x14ac:dyDescent="0.3">
      <c r="A2787">
        <v>2024003785</v>
      </c>
      <c r="B2787" s="1">
        <v>45583</v>
      </c>
      <c r="C2787" s="11">
        <f t="shared" si="129"/>
        <v>2024</v>
      </c>
      <c r="D2787" t="s">
        <v>339</v>
      </c>
      <c r="E2787" t="s">
        <v>23</v>
      </c>
      <c r="F2787" t="s">
        <v>24</v>
      </c>
      <c r="G2787" t="s">
        <v>14</v>
      </c>
      <c r="H2787">
        <v>1</v>
      </c>
      <c r="I2787" s="2">
        <v>75.540000000000006</v>
      </c>
      <c r="J2787" s="2">
        <v>75.540000000000006</v>
      </c>
      <c r="K2787" s="2">
        <f t="shared" si="130"/>
        <v>75.540000000000006</v>
      </c>
      <c r="L2787" s="2">
        <f t="shared" si="131"/>
        <v>0</v>
      </c>
      <c r="M2787" t="s">
        <v>38</v>
      </c>
      <c r="N2787" t="s">
        <v>26</v>
      </c>
    </row>
    <row r="2788" spans="1:14" x14ac:dyDescent="0.3">
      <c r="A2788">
        <v>2024003786</v>
      </c>
      <c r="B2788" s="1">
        <v>45609</v>
      </c>
      <c r="C2788" s="11">
        <f t="shared" si="129"/>
        <v>2024</v>
      </c>
      <c r="D2788" t="s">
        <v>166</v>
      </c>
      <c r="E2788" t="s">
        <v>43</v>
      </c>
      <c r="F2788" t="s">
        <v>44</v>
      </c>
      <c r="G2788" t="s">
        <v>36</v>
      </c>
      <c r="H2788">
        <v>1</v>
      </c>
      <c r="I2788" s="2">
        <v>1237.97</v>
      </c>
      <c r="J2788" s="2">
        <v>1237.97</v>
      </c>
      <c r="K2788" s="2">
        <f t="shared" si="130"/>
        <v>1237.97</v>
      </c>
      <c r="L2788" s="2">
        <f t="shared" si="131"/>
        <v>0</v>
      </c>
      <c r="M2788" t="s">
        <v>61</v>
      </c>
      <c r="N2788" t="s">
        <v>21</v>
      </c>
    </row>
    <row r="2789" spans="1:14" x14ac:dyDescent="0.3">
      <c r="A2789">
        <v>2024003787</v>
      </c>
      <c r="B2789" s="1">
        <v>45361</v>
      </c>
      <c r="C2789" s="11">
        <f t="shared" si="129"/>
        <v>2024</v>
      </c>
      <c r="D2789" t="s">
        <v>165</v>
      </c>
      <c r="E2789" t="s">
        <v>12</v>
      </c>
      <c r="F2789" t="s">
        <v>13</v>
      </c>
      <c r="G2789" t="s">
        <v>14</v>
      </c>
      <c r="H2789">
        <v>2</v>
      </c>
      <c r="I2789" s="2">
        <v>341.08</v>
      </c>
      <c r="J2789" s="2">
        <v>682.16</v>
      </c>
      <c r="K2789" s="2">
        <f t="shared" si="130"/>
        <v>682.16</v>
      </c>
      <c r="L2789" s="2">
        <f t="shared" si="131"/>
        <v>0</v>
      </c>
      <c r="M2789" t="s">
        <v>38</v>
      </c>
      <c r="N2789" t="s">
        <v>32</v>
      </c>
    </row>
    <row r="2790" spans="1:14" x14ac:dyDescent="0.3">
      <c r="A2790">
        <v>2024003788</v>
      </c>
      <c r="B2790" s="1">
        <v>45567</v>
      </c>
      <c r="C2790" s="11">
        <f t="shared" si="129"/>
        <v>2024</v>
      </c>
      <c r="D2790" t="s">
        <v>11</v>
      </c>
      <c r="E2790" t="s">
        <v>28</v>
      </c>
      <c r="F2790" t="s">
        <v>29</v>
      </c>
      <c r="G2790" t="s">
        <v>30</v>
      </c>
      <c r="H2790">
        <v>1</v>
      </c>
      <c r="I2790" s="2">
        <v>24.84</v>
      </c>
      <c r="J2790" s="2">
        <v>24.84</v>
      </c>
      <c r="K2790" s="2">
        <f t="shared" si="130"/>
        <v>24.84</v>
      </c>
      <c r="L2790" s="2">
        <f t="shared" si="131"/>
        <v>0</v>
      </c>
      <c r="M2790" t="s">
        <v>31</v>
      </c>
      <c r="N2790" t="s">
        <v>21</v>
      </c>
    </row>
    <row r="2791" spans="1:14" x14ac:dyDescent="0.3">
      <c r="A2791">
        <v>2024003789</v>
      </c>
      <c r="B2791" s="1">
        <v>45404</v>
      </c>
      <c r="C2791" s="11">
        <f t="shared" si="129"/>
        <v>2024</v>
      </c>
      <c r="D2791" t="s">
        <v>296</v>
      </c>
      <c r="E2791" t="s">
        <v>46</v>
      </c>
      <c r="F2791" t="s">
        <v>47</v>
      </c>
      <c r="G2791" t="s">
        <v>36</v>
      </c>
      <c r="H2791">
        <v>1</v>
      </c>
      <c r="I2791" s="2">
        <v>93.9</v>
      </c>
      <c r="J2791" s="2">
        <v>93.9</v>
      </c>
      <c r="K2791" s="2">
        <f t="shared" si="130"/>
        <v>93.9</v>
      </c>
      <c r="L2791" s="2">
        <f t="shared" si="131"/>
        <v>0</v>
      </c>
      <c r="M2791" t="s">
        <v>31</v>
      </c>
      <c r="N2791" t="s">
        <v>21</v>
      </c>
    </row>
    <row r="2792" spans="1:14" x14ac:dyDescent="0.3">
      <c r="A2792">
        <v>2024003790</v>
      </c>
      <c r="B2792" s="1">
        <v>45621</v>
      </c>
      <c r="C2792" s="11">
        <f t="shared" si="129"/>
        <v>2024</v>
      </c>
      <c r="D2792" t="s">
        <v>321</v>
      </c>
      <c r="E2792" t="s">
        <v>34</v>
      </c>
      <c r="F2792" t="s">
        <v>35</v>
      </c>
      <c r="G2792" t="s">
        <v>36</v>
      </c>
      <c r="H2792">
        <v>1</v>
      </c>
      <c r="I2792" s="2">
        <v>15.01</v>
      </c>
      <c r="J2792" s="2">
        <v>15.01</v>
      </c>
      <c r="K2792" s="2">
        <f t="shared" si="130"/>
        <v>15.01</v>
      </c>
      <c r="L2792" s="2">
        <f t="shared" si="131"/>
        <v>0</v>
      </c>
      <c r="M2792" t="s">
        <v>31</v>
      </c>
      <c r="N2792" t="s">
        <v>21</v>
      </c>
    </row>
    <row r="2793" spans="1:14" x14ac:dyDescent="0.3">
      <c r="A2793">
        <v>2024003791</v>
      </c>
      <c r="B2793" s="1">
        <v>45643</v>
      </c>
      <c r="C2793" s="11">
        <f t="shared" si="129"/>
        <v>2024</v>
      </c>
      <c r="D2793" t="s">
        <v>197</v>
      </c>
      <c r="E2793" t="s">
        <v>46</v>
      </c>
      <c r="F2793" t="s">
        <v>47</v>
      </c>
      <c r="G2793" t="s">
        <v>36</v>
      </c>
      <c r="H2793">
        <v>3</v>
      </c>
      <c r="I2793" s="2">
        <v>89.94</v>
      </c>
      <c r="J2793" s="2">
        <v>269.82</v>
      </c>
      <c r="K2793" s="2">
        <f t="shared" si="130"/>
        <v>269.82</v>
      </c>
      <c r="L2793" s="2">
        <f t="shared" si="131"/>
        <v>0</v>
      </c>
      <c r="M2793" t="s">
        <v>48</v>
      </c>
      <c r="N2793" t="s">
        <v>26</v>
      </c>
    </row>
    <row r="2794" spans="1:14" x14ac:dyDescent="0.3">
      <c r="A2794">
        <v>2024003792</v>
      </c>
      <c r="B2794" s="1">
        <v>45579</v>
      </c>
      <c r="C2794" s="11">
        <f t="shared" si="129"/>
        <v>2024</v>
      </c>
      <c r="D2794" t="s">
        <v>167</v>
      </c>
      <c r="E2794" t="s">
        <v>67</v>
      </c>
      <c r="F2794" t="s">
        <v>68</v>
      </c>
      <c r="G2794" t="s">
        <v>36</v>
      </c>
      <c r="H2794">
        <v>4</v>
      </c>
      <c r="I2794" s="2">
        <v>392.75</v>
      </c>
      <c r="J2794" s="2">
        <v>1571</v>
      </c>
      <c r="K2794" s="2">
        <f t="shared" si="130"/>
        <v>1571</v>
      </c>
      <c r="L2794" s="2">
        <f t="shared" si="131"/>
        <v>0</v>
      </c>
      <c r="M2794" t="s">
        <v>25</v>
      </c>
      <c r="N2794" t="s">
        <v>16</v>
      </c>
    </row>
    <row r="2795" spans="1:14" x14ac:dyDescent="0.3">
      <c r="A2795">
        <v>2024003793</v>
      </c>
      <c r="B2795" s="1">
        <v>45303</v>
      </c>
      <c r="C2795" s="11">
        <f t="shared" si="129"/>
        <v>2024</v>
      </c>
      <c r="D2795" t="s">
        <v>326</v>
      </c>
      <c r="E2795" t="s">
        <v>34</v>
      </c>
      <c r="F2795" t="s">
        <v>35</v>
      </c>
      <c r="G2795" t="s">
        <v>36</v>
      </c>
      <c r="H2795">
        <v>1</v>
      </c>
      <c r="I2795" s="2">
        <v>14.7</v>
      </c>
      <c r="J2795" s="2">
        <v>14.7</v>
      </c>
      <c r="K2795" s="2">
        <f t="shared" si="130"/>
        <v>14.7</v>
      </c>
      <c r="L2795" s="2">
        <f t="shared" si="131"/>
        <v>0</v>
      </c>
      <c r="M2795" t="s">
        <v>15</v>
      </c>
      <c r="N2795" t="s">
        <v>16</v>
      </c>
    </row>
    <row r="2796" spans="1:14" x14ac:dyDescent="0.3">
      <c r="A2796">
        <v>2024003794</v>
      </c>
      <c r="B2796" s="1">
        <v>45347</v>
      </c>
      <c r="C2796" s="11">
        <f t="shared" si="129"/>
        <v>2024</v>
      </c>
      <c r="D2796" t="s">
        <v>93</v>
      </c>
      <c r="E2796" t="s">
        <v>12</v>
      </c>
      <c r="F2796" t="s">
        <v>13</v>
      </c>
      <c r="G2796" t="s">
        <v>14</v>
      </c>
      <c r="H2796">
        <v>2</v>
      </c>
      <c r="I2796" s="2">
        <v>322.89</v>
      </c>
      <c r="J2796" s="2">
        <v>645.78</v>
      </c>
      <c r="K2796" s="2">
        <f t="shared" si="130"/>
        <v>645.78</v>
      </c>
      <c r="L2796" s="2">
        <f t="shared" si="131"/>
        <v>0</v>
      </c>
      <c r="M2796" t="s">
        <v>31</v>
      </c>
      <c r="N2796" t="s">
        <v>21</v>
      </c>
    </row>
    <row r="2797" spans="1:14" x14ac:dyDescent="0.3">
      <c r="A2797">
        <v>2024003795</v>
      </c>
      <c r="B2797" s="1">
        <v>45364</v>
      </c>
      <c r="C2797" s="11">
        <f t="shared" si="129"/>
        <v>2024</v>
      </c>
      <c r="D2797" t="s">
        <v>239</v>
      </c>
      <c r="E2797" t="s">
        <v>40</v>
      </c>
      <c r="F2797" t="s">
        <v>41</v>
      </c>
      <c r="G2797" t="s">
        <v>36</v>
      </c>
      <c r="H2797">
        <v>1</v>
      </c>
      <c r="I2797" s="2">
        <v>48.38</v>
      </c>
      <c r="J2797" s="2">
        <v>48.38</v>
      </c>
      <c r="K2797" s="2">
        <f t="shared" si="130"/>
        <v>48.38</v>
      </c>
      <c r="L2797" s="2">
        <f t="shared" si="131"/>
        <v>0</v>
      </c>
      <c r="M2797" t="s">
        <v>64</v>
      </c>
      <c r="N2797" t="s">
        <v>16</v>
      </c>
    </row>
    <row r="2798" spans="1:14" x14ac:dyDescent="0.3">
      <c r="A2798">
        <v>2024003796</v>
      </c>
      <c r="B2798" s="1">
        <v>45509</v>
      </c>
      <c r="C2798" s="11">
        <f t="shared" si="129"/>
        <v>2024</v>
      </c>
      <c r="D2798" t="s">
        <v>298</v>
      </c>
      <c r="E2798" t="s">
        <v>18</v>
      </c>
      <c r="F2798" t="s">
        <v>19</v>
      </c>
      <c r="G2798" t="s">
        <v>14</v>
      </c>
      <c r="H2798">
        <v>2</v>
      </c>
      <c r="I2798" s="2">
        <v>557.01</v>
      </c>
      <c r="J2798" s="2">
        <v>1114.02</v>
      </c>
      <c r="K2798" s="2">
        <f t="shared" si="130"/>
        <v>1114.02</v>
      </c>
      <c r="L2798" s="2">
        <f t="shared" si="131"/>
        <v>0</v>
      </c>
      <c r="M2798" t="s">
        <v>31</v>
      </c>
      <c r="N2798" t="s">
        <v>26</v>
      </c>
    </row>
    <row r="2799" spans="1:14" x14ac:dyDescent="0.3">
      <c r="A2799">
        <v>2024003797</v>
      </c>
      <c r="B2799" s="1">
        <v>45364</v>
      </c>
      <c r="C2799" s="11">
        <f t="shared" si="129"/>
        <v>2024</v>
      </c>
      <c r="D2799" t="s">
        <v>106</v>
      </c>
      <c r="E2799" t="s">
        <v>67</v>
      </c>
      <c r="F2799" t="s">
        <v>68</v>
      </c>
      <c r="G2799" t="s">
        <v>36</v>
      </c>
      <c r="H2799">
        <v>1</v>
      </c>
      <c r="I2799" s="2">
        <v>443.83</v>
      </c>
      <c r="J2799" s="2">
        <v>443.83</v>
      </c>
      <c r="K2799" s="2">
        <f t="shared" si="130"/>
        <v>443.83</v>
      </c>
      <c r="L2799" s="2">
        <f t="shared" si="131"/>
        <v>0</v>
      </c>
      <c r="M2799" t="s">
        <v>31</v>
      </c>
      <c r="N2799" t="s">
        <v>32</v>
      </c>
    </row>
    <row r="2800" spans="1:14" x14ac:dyDescent="0.3">
      <c r="A2800">
        <v>2024003798</v>
      </c>
      <c r="B2800" s="1">
        <v>45361</v>
      </c>
      <c r="C2800" s="11">
        <f t="shared" si="129"/>
        <v>2024</v>
      </c>
      <c r="D2800" t="s">
        <v>243</v>
      </c>
      <c r="E2800" t="s">
        <v>28</v>
      </c>
      <c r="F2800" t="s">
        <v>29</v>
      </c>
      <c r="G2800" t="s">
        <v>30</v>
      </c>
      <c r="H2800">
        <v>2</v>
      </c>
      <c r="I2800" s="2">
        <v>24.26</v>
      </c>
      <c r="J2800" s="2">
        <v>48.52</v>
      </c>
      <c r="K2800" s="2">
        <f t="shared" si="130"/>
        <v>48.52</v>
      </c>
      <c r="L2800" s="2">
        <f t="shared" si="131"/>
        <v>0</v>
      </c>
      <c r="M2800" t="s">
        <v>31</v>
      </c>
      <c r="N2800" t="s">
        <v>21</v>
      </c>
    </row>
    <row r="2801" spans="1:14" x14ac:dyDescent="0.3">
      <c r="A2801">
        <v>2024003799</v>
      </c>
      <c r="B2801" s="1">
        <v>45355</v>
      </c>
      <c r="C2801" s="11">
        <f t="shared" si="129"/>
        <v>2024</v>
      </c>
      <c r="D2801" t="s">
        <v>11</v>
      </c>
      <c r="E2801" t="s">
        <v>28</v>
      </c>
      <c r="F2801" t="s">
        <v>29</v>
      </c>
      <c r="G2801" t="s">
        <v>30</v>
      </c>
      <c r="H2801">
        <v>1</v>
      </c>
      <c r="I2801" s="2">
        <v>24.54</v>
      </c>
      <c r="J2801" s="2">
        <v>24.54</v>
      </c>
      <c r="K2801" s="2">
        <f t="shared" si="130"/>
        <v>24.54</v>
      </c>
      <c r="L2801" s="2">
        <f t="shared" si="131"/>
        <v>0</v>
      </c>
      <c r="M2801" t="s">
        <v>48</v>
      </c>
      <c r="N2801" t="s">
        <v>32</v>
      </c>
    </row>
    <row r="2802" spans="1:14" x14ac:dyDescent="0.3">
      <c r="A2802">
        <v>2024003800</v>
      </c>
      <c r="B2802" s="1">
        <v>45423</v>
      </c>
      <c r="C2802" s="11">
        <f t="shared" si="129"/>
        <v>2024</v>
      </c>
      <c r="D2802" t="s">
        <v>282</v>
      </c>
      <c r="E2802" t="s">
        <v>34</v>
      </c>
      <c r="F2802" t="s">
        <v>35</v>
      </c>
      <c r="G2802" t="s">
        <v>36</v>
      </c>
      <c r="H2802">
        <v>3</v>
      </c>
      <c r="I2802" s="2">
        <v>14.12</v>
      </c>
      <c r="J2802" s="2">
        <v>42.36</v>
      </c>
      <c r="K2802" s="2">
        <f t="shared" si="130"/>
        <v>42.36</v>
      </c>
      <c r="L2802" s="2">
        <f t="shared" si="131"/>
        <v>0</v>
      </c>
      <c r="M2802" t="s">
        <v>15</v>
      </c>
      <c r="N2802" t="s">
        <v>16</v>
      </c>
    </row>
    <row r="2803" spans="1:14" x14ac:dyDescent="0.3">
      <c r="A2803">
        <v>2024003738</v>
      </c>
      <c r="B2803" s="1">
        <v>45434</v>
      </c>
      <c r="C2803" s="11">
        <f t="shared" si="129"/>
        <v>2024</v>
      </c>
      <c r="D2803" t="s">
        <v>153</v>
      </c>
      <c r="E2803" t="s">
        <v>12</v>
      </c>
      <c r="F2803" t="s">
        <v>13</v>
      </c>
      <c r="G2803" t="s">
        <v>14</v>
      </c>
      <c r="H2803">
        <v>5</v>
      </c>
      <c r="I2803" s="2">
        <v>352.31</v>
      </c>
      <c r="J2803" s="2">
        <v>1761.55</v>
      </c>
      <c r="K2803" s="2">
        <f t="shared" si="130"/>
        <v>1761.55</v>
      </c>
      <c r="L2803" s="2">
        <f t="shared" si="131"/>
        <v>0</v>
      </c>
      <c r="M2803" t="s">
        <v>31</v>
      </c>
      <c r="N2803" t="s">
        <v>32</v>
      </c>
    </row>
    <row r="2804" spans="1:14" x14ac:dyDescent="0.3">
      <c r="A2804">
        <v>2024003802</v>
      </c>
      <c r="B2804" s="1">
        <v>45333</v>
      </c>
      <c r="C2804" s="11">
        <f t="shared" si="129"/>
        <v>2024</v>
      </c>
      <c r="D2804" t="s">
        <v>91</v>
      </c>
      <c r="E2804" t="s">
        <v>12</v>
      </c>
      <c r="F2804" t="s">
        <v>13</v>
      </c>
      <c r="G2804" t="s">
        <v>14</v>
      </c>
      <c r="H2804">
        <v>1</v>
      </c>
      <c r="I2804" s="2">
        <v>369.2</v>
      </c>
      <c r="J2804" s="2">
        <v>369.2</v>
      </c>
      <c r="K2804" s="2">
        <f t="shared" si="130"/>
        <v>369.2</v>
      </c>
      <c r="L2804" s="2">
        <f t="shared" si="131"/>
        <v>0</v>
      </c>
      <c r="M2804" t="s">
        <v>64</v>
      </c>
      <c r="N2804" t="s">
        <v>32</v>
      </c>
    </row>
    <row r="2805" spans="1:14" x14ac:dyDescent="0.3">
      <c r="A2805">
        <v>2024003803</v>
      </c>
      <c r="B2805" s="1">
        <v>45526</v>
      </c>
      <c r="C2805" s="11">
        <f t="shared" si="129"/>
        <v>2024</v>
      </c>
      <c r="D2805" t="s">
        <v>317</v>
      </c>
      <c r="E2805" t="s">
        <v>23</v>
      </c>
      <c r="F2805" t="s">
        <v>24</v>
      </c>
      <c r="G2805" t="s">
        <v>14</v>
      </c>
      <c r="H2805">
        <v>1</v>
      </c>
      <c r="I2805" s="2">
        <v>89.03</v>
      </c>
      <c r="J2805" s="2">
        <v>89.03</v>
      </c>
      <c r="K2805" s="2">
        <f t="shared" si="130"/>
        <v>89.03</v>
      </c>
      <c r="L2805" s="2">
        <f t="shared" si="131"/>
        <v>0</v>
      </c>
      <c r="M2805" t="s">
        <v>15</v>
      </c>
      <c r="N2805" t="s">
        <v>32</v>
      </c>
    </row>
    <row r="2806" spans="1:14" x14ac:dyDescent="0.3">
      <c r="A2806">
        <v>2024003804</v>
      </c>
      <c r="B2806" s="1">
        <v>45467</v>
      </c>
      <c r="C2806" s="11">
        <f t="shared" si="129"/>
        <v>2024</v>
      </c>
      <c r="D2806" t="s">
        <v>300</v>
      </c>
      <c r="E2806" t="s">
        <v>67</v>
      </c>
      <c r="F2806" t="s">
        <v>68</v>
      </c>
      <c r="G2806" t="s">
        <v>36</v>
      </c>
      <c r="H2806">
        <v>5</v>
      </c>
      <c r="I2806" s="2">
        <v>407.39</v>
      </c>
      <c r="J2806" s="2">
        <v>2036.95</v>
      </c>
      <c r="K2806" s="2">
        <f t="shared" si="130"/>
        <v>2036.9499999999998</v>
      </c>
      <c r="L2806" s="2">
        <f t="shared" si="131"/>
        <v>0</v>
      </c>
      <c r="M2806" t="s">
        <v>64</v>
      </c>
      <c r="N2806" t="s">
        <v>26</v>
      </c>
    </row>
    <row r="2807" spans="1:14" x14ac:dyDescent="0.3">
      <c r="A2807">
        <v>2024003805</v>
      </c>
      <c r="B2807" s="1">
        <v>45500</v>
      </c>
      <c r="C2807" s="11">
        <f t="shared" si="129"/>
        <v>2024</v>
      </c>
      <c r="D2807" t="s">
        <v>11</v>
      </c>
      <c r="E2807" t="s">
        <v>28</v>
      </c>
      <c r="F2807" t="s">
        <v>29</v>
      </c>
      <c r="G2807" t="s">
        <v>30</v>
      </c>
      <c r="H2807">
        <v>2</v>
      </c>
      <c r="I2807" s="2">
        <v>25.39</v>
      </c>
      <c r="J2807" s="2">
        <v>50.78</v>
      </c>
      <c r="K2807" s="2">
        <f t="shared" si="130"/>
        <v>50.78</v>
      </c>
      <c r="L2807" s="2">
        <f t="shared" si="131"/>
        <v>0</v>
      </c>
      <c r="M2807" t="s">
        <v>64</v>
      </c>
      <c r="N2807" t="s">
        <v>26</v>
      </c>
    </row>
    <row r="2808" spans="1:14" x14ac:dyDescent="0.3">
      <c r="A2808">
        <v>2024003806</v>
      </c>
      <c r="B2808" s="1">
        <v>45517</v>
      </c>
      <c r="C2808" s="11">
        <f t="shared" si="129"/>
        <v>2024</v>
      </c>
      <c r="D2808" t="s">
        <v>58</v>
      </c>
      <c r="E2808" t="s">
        <v>34</v>
      </c>
      <c r="F2808" t="s">
        <v>35</v>
      </c>
      <c r="G2808" t="s">
        <v>36</v>
      </c>
      <c r="H2808">
        <v>1</v>
      </c>
      <c r="I2808" s="2">
        <v>15.07</v>
      </c>
      <c r="J2808" s="2">
        <v>15.07</v>
      </c>
      <c r="K2808" s="2">
        <f t="shared" si="130"/>
        <v>15.07</v>
      </c>
      <c r="L2808" s="2">
        <f t="shared" si="131"/>
        <v>0</v>
      </c>
      <c r="M2808" t="s">
        <v>64</v>
      </c>
      <c r="N2808" t="s">
        <v>21</v>
      </c>
    </row>
    <row r="2809" spans="1:14" x14ac:dyDescent="0.3">
      <c r="A2809">
        <v>2024003807</v>
      </c>
      <c r="B2809" s="1">
        <v>45361</v>
      </c>
      <c r="C2809" s="11">
        <f t="shared" si="129"/>
        <v>2024</v>
      </c>
      <c r="D2809" t="s">
        <v>108</v>
      </c>
      <c r="E2809" t="s">
        <v>12</v>
      </c>
      <c r="F2809" t="s">
        <v>13</v>
      </c>
      <c r="G2809" t="s">
        <v>14</v>
      </c>
      <c r="H2809">
        <v>1</v>
      </c>
      <c r="I2809" s="2">
        <v>357.4</v>
      </c>
      <c r="J2809" s="2">
        <v>357.4</v>
      </c>
      <c r="K2809" s="2">
        <f t="shared" si="130"/>
        <v>357.4</v>
      </c>
      <c r="L2809" s="2">
        <f t="shared" si="131"/>
        <v>0</v>
      </c>
      <c r="M2809" t="s">
        <v>31</v>
      </c>
      <c r="N2809" t="s">
        <v>32</v>
      </c>
    </row>
    <row r="2810" spans="1:14" x14ac:dyDescent="0.3">
      <c r="A2810">
        <v>2024003808</v>
      </c>
      <c r="B2810" s="1">
        <v>45445</v>
      </c>
      <c r="C2810" s="11">
        <f t="shared" si="129"/>
        <v>2024</v>
      </c>
      <c r="D2810" t="s">
        <v>142</v>
      </c>
      <c r="E2810" t="s">
        <v>34</v>
      </c>
      <c r="F2810" t="s">
        <v>35</v>
      </c>
      <c r="G2810" t="s">
        <v>36</v>
      </c>
      <c r="H2810">
        <v>2</v>
      </c>
      <c r="I2810" s="2">
        <v>13.81</v>
      </c>
      <c r="J2810" s="2">
        <v>27.62</v>
      </c>
      <c r="K2810" s="2">
        <f t="shared" si="130"/>
        <v>27.62</v>
      </c>
      <c r="L2810" s="2">
        <f t="shared" si="131"/>
        <v>0</v>
      </c>
      <c r="M2810" t="s">
        <v>25</v>
      </c>
      <c r="N2810" t="s">
        <v>26</v>
      </c>
    </row>
    <row r="2811" spans="1:14" x14ac:dyDescent="0.3">
      <c r="A2811">
        <v>2024003809</v>
      </c>
      <c r="B2811" s="1">
        <v>45651</v>
      </c>
      <c r="C2811" s="11">
        <f t="shared" si="129"/>
        <v>2024</v>
      </c>
      <c r="D2811" t="s">
        <v>237</v>
      </c>
      <c r="E2811" t="s">
        <v>67</v>
      </c>
      <c r="F2811" t="s">
        <v>68</v>
      </c>
      <c r="G2811" t="s">
        <v>36</v>
      </c>
      <c r="H2811">
        <v>1</v>
      </c>
      <c r="I2811" s="2">
        <v>416.8</v>
      </c>
      <c r="J2811" s="2">
        <v>416.8</v>
      </c>
      <c r="K2811" s="2">
        <f t="shared" si="130"/>
        <v>416.8</v>
      </c>
      <c r="L2811" s="2">
        <f t="shared" si="131"/>
        <v>0</v>
      </c>
      <c r="M2811" t="s">
        <v>61</v>
      </c>
      <c r="N2811" t="s">
        <v>21</v>
      </c>
    </row>
    <row r="2812" spans="1:14" x14ac:dyDescent="0.3">
      <c r="A2812">
        <v>2024003810</v>
      </c>
      <c r="B2812" s="1">
        <v>45544</v>
      </c>
      <c r="C2812" s="11">
        <f t="shared" si="129"/>
        <v>2024</v>
      </c>
      <c r="D2812" t="s">
        <v>173</v>
      </c>
      <c r="E2812" t="s">
        <v>46</v>
      </c>
      <c r="F2812" t="s">
        <v>47</v>
      </c>
      <c r="G2812" t="s">
        <v>36</v>
      </c>
      <c r="H2812">
        <v>1</v>
      </c>
      <c r="I2812" s="2">
        <v>86.15</v>
      </c>
      <c r="J2812" s="2">
        <v>86.15</v>
      </c>
      <c r="K2812" s="2">
        <f t="shared" si="130"/>
        <v>86.15</v>
      </c>
      <c r="L2812" s="2">
        <f t="shared" si="131"/>
        <v>0</v>
      </c>
      <c r="M2812" t="s">
        <v>25</v>
      </c>
      <c r="N2812" t="s">
        <v>16</v>
      </c>
    </row>
    <row r="2813" spans="1:14" x14ac:dyDescent="0.3">
      <c r="A2813">
        <v>2024003811</v>
      </c>
      <c r="B2813" s="1">
        <v>45487</v>
      </c>
      <c r="C2813" s="11">
        <f t="shared" si="129"/>
        <v>2024</v>
      </c>
      <c r="D2813" t="s">
        <v>153</v>
      </c>
      <c r="E2813" t="s">
        <v>53</v>
      </c>
      <c r="F2813" t="s">
        <v>54</v>
      </c>
      <c r="G2813" t="s">
        <v>36</v>
      </c>
      <c r="H2813">
        <v>2</v>
      </c>
      <c r="I2813" s="2">
        <v>118.88</v>
      </c>
      <c r="J2813" s="2">
        <v>237.76</v>
      </c>
      <c r="K2813" s="2">
        <f t="shared" si="130"/>
        <v>237.76</v>
      </c>
      <c r="L2813" s="2">
        <f t="shared" si="131"/>
        <v>0</v>
      </c>
      <c r="M2813" t="s">
        <v>20</v>
      </c>
      <c r="N2813" t="s">
        <v>32</v>
      </c>
    </row>
    <row r="2814" spans="1:14" x14ac:dyDescent="0.3">
      <c r="A2814">
        <v>2024003812</v>
      </c>
      <c r="B2814" s="1">
        <v>45334</v>
      </c>
      <c r="C2814" s="11">
        <f t="shared" si="129"/>
        <v>2024</v>
      </c>
      <c r="D2814" t="s">
        <v>242</v>
      </c>
      <c r="E2814" t="s">
        <v>34</v>
      </c>
      <c r="F2814" t="s">
        <v>35</v>
      </c>
      <c r="G2814" t="s">
        <v>36</v>
      </c>
      <c r="H2814">
        <v>1</v>
      </c>
      <c r="I2814" s="2">
        <v>14.07</v>
      </c>
      <c r="J2814" s="2">
        <v>14.07</v>
      </c>
      <c r="K2814" s="2">
        <f t="shared" si="130"/>
        <v>14.07</v>
      </c>
      <c r="L2814" s="2">
        <f t="shared" si="131"/>
        <v>0</v>
      </c>
      <c r="M2814" t="s">
        <v>64</v>
      </c>
      <c r="N2814" t="s">
        <v>21</v>
      </c>
    </row>
    <row r="2815" spans="1:14" x14ac:dyDescent="0.3">
      <c r="A2815">
        <v>2024003813</v>
      </c>
      <c r="B2815" s="1">
        <v>45321</v>
      </c>
      <c r="C2815" s="11">
        <f t="shared" si="129"/>
        <v>2024</v>
      </c>
      <c r="D2815" t="s">
        <v>87</v>
      </c>
      <c r="E2815" t="s">
        <v>18</v>
      </c>
      <c r="F2815" t="s">
        <v>19</v>
      </c>
      <c r="G2815" t="s">
        <v>14</v>
      </c>
      <c r="H2815">
        <v>1</v>
      </c>
      <c r="I2815" s="2">
        <v>611.77</v>
      </c>
      <c r="J2815" s="2">
        <v>611.77</v>
      </c>
      <c r="K2815" s="2">
        <f t="shared" si="130"/>
        <v>611.77</v>
      </c>
      <c r="L2815" s="2">
        <f t="shared" si="131"/>
        <v>0</v>
      </c>
      <c r="M2815" t="s">
        <v>25</v>
      </c>
      <c r="N2815" t="s">
        <v>16</v>
      </c>
    </row>
    <row r="2816" spans="1:14" x14ac:dyDescent="0.3">
      <c r="A2816">
        <v>2024003814</v>
      </c>
      <c r="B2816" s="1">
        <v>45413</v>
      </c>
      <c r="C2816" s="11">
        <f t="shared" si="129"/>
        <v>2024</v>
      </c>
      <c r="D2816" t="s">
        <v>287</v>
      </c>
      <c r="E2816" t="s">
        <v>40</v>
      </c>
      <c r="F2816" t="s">
        <v>41</v>
      </c>
      <c r="G2816" t="s">
        <v>36</v>
      </c>
      <c r="H2816">
        <v>2</v>
      </c>
      <c r="I2816" s="2">
        <v>45.44</v>
      </c>
      <c r="J2816" s="2">
        <v>90.88</v>
      </c>
      <c r="K2816" s="2">
        <f t="shared" si="130"/>
        <v>90.88</v>
      </c>
      <c r="L2816" s="2">
        <f t="shared" si="131"/>
        <v>0</v>
      </c>
      <c r="M2816" t="s">
        <v>64</v>
      </c>
      <c r="N2816" t="s">
        <v>16</v>
      </c>
    </row>
    <row r="2817" spans="1:14" x14ac:dyDescent="0.3">
      <c r="A2817">
        <v>2024003815</v>
      </c>
      <c r="B2817" s="1">
        <v>45494</v>
      </c>
      <c r="C2817" s="11">
        <f t="shared" si="129"/>
        <v>2024</v>
      </c>
      <c r="D2817" t="s">
        <v>239</v>
      </c>
      <c r="E2817" t="s">
        <v>23</v>
      </c>
      <c r="F2817" t="s">
        <v>24</v>
      </c>
      <c r="G2817" t="s">
        <v>14</v>
      </c>
      <c r="H2817">
        <v>2</v>
      </c>
      <c r="I2817" s="2">
        <v>82.57</v>
      </c>
      <c r="J2817" s="2">
        <v>165.14</v>
      </c>
      <c r="K2817" s="2">
        <f t="shared" si="130"/>
        <v>165.14</v>
      </c>
      <c r="L2817" s="2">
        <f t="shared" si="131"/>
        <v>0</v>
      </c>
      <c r="M2817" t="s">
        <v>20</v>
      </c>
      <c r="N2817" t="s">
        <v>21</v>
      </c>
    </row>
    <row r="2818" spans="1:14" x14ac:dyDescent="0.3">
      <c r="A2818">
        <v>2024003816</v>
      </c>
      <c r="B2818" s="1">
        <v>45360</v>
      </c>
      <c r="C2818" s="11">
        <f t="shared" si="129"/>
        <v>2024</v>
      </c>
      <c r="D2818" t="s">
        <v>22</v>
      </c>
      <c r="E2818" t="s">
        <v>23</v>
      </c>
      <c r="F2818" t="s">
        <v>24</v>
      </c>
      <c r="G2818" t="s">
        <v>14</v>
      </c>
      <c r="H2818">
        <v>2</v>
      </c>
      <c r="I2818" s="2">
        <v>75.94</v>
      </c>
      <c r="J2818" s="2">
        <v>151.88</v>
      </c>
      <c r="K2818" s="2">
        <f t="shared" si="130"/>
        <v>151.88</v>
      </c>
      <c r="L2818" s="2">
        <f t="shared" si="131"/>
        <v>0</v>
      </c>
      <c r="M2818" t="s">
        <v>25</v>
      </c>
      <c r="N2818" t="s">
        <v>32</v>
      </c>
    </row>
    <row r="2819" spans="1:14" x14ac:dyDescent="0.3">
      <c r="A2819">
        <v>2024003817</v>
      </c>
      <c r="B2819" s="1">
        <v>45607</v>
      </c>
      <c r="C2819" s="11">
        <f t="shared" ref="C2819:C2882" si="132">YEAR(B2819)</f>
        <v>2024</v>
      </c>
      <c r="D2819" t="s">
        <v>59</v>
      </c>
      <c r="E2819" t="s">
        <v>43</v>
      </c>
      <c r="F2819" t="s">
        <v>44</v>
      </c>
      <c r="G2819" t="s">
        <v>36</v>
      </c>
      <c r="H2819">
        <v>1</v>
      </c>
      <c r="I2819" s="2">
        <v>1164.04</v>
      </c>
      <c r="J2819" s="2">
        <v>1164.04</v>
      </c>
      <c r="K2819" s="2">
        <f t="shared" ref="K2819:K2882" si="133">I2819*H2819</f>
        <v>1164.04</v>
      </c>
      <c r="L2819" s="2">
        <f t="shared" ref="L2819:L2882" si="134">J2819-K2819</f>
        <v>0</v>
      </c>
      <c r="M2819" t="s">
        <v>61</v>
      </c>
      <c r="N2819" t="s">
        <v>21</v>
      </c>
    </row>
    <row r="2820" spans="1:14" x14ac:dyDescent="0.3">
      <c r="A2820">
        <v>2024003818</v>
      </c>
      <c r="B2820" s="1">
        <v>45398</v>
      </c>
      <c r="C2820" s="11">
        <f t="shared" si="132"/>
        <v>2024</v>
      </c>
      <c r="D2820" t="s">
        <v>135</v>
      </c>
      <c r="E2820" t="s">
        <v>40</v>
      </c>
      <c r="F2820" t="s">
        <v>41</v>
      </c>
      <c r="G2820" t="s">
        <v>36</v>
      </c>
      <c r="H2820">
        <v>1</v>
      </c>
      <c r="I2820" s="2">
        <v>43.08</v>
      </c>
      <c r="J2820" s="2">
        <v>43.08</v>
      </c>
      <c r="K2820" s="2">
        <f t="shared" si="133"/>
        <v>43.08</v>
      </c>
      <c r="L2820" s="2">
        <f t="shared" si="134"/>
        <v>0</v>
      </c>
      <c r="M2820" t="s">
        <v>15</v>
      </c>
      <c r="N2820" t="s">
        <v>21</v>
      </c>
    </row>
    <row r="2821" spans="1:14" x14ac:dyDescent="0.3">
      <c r="A2821">
        <v>2024003819</v>
      </c>
      <c r="B2821" s="1">
        <v>45332</v>
      </c>
      <c r="C2821" s="11">
        <f t="shared" si="132"/>
        <v>2024</v>
      </c>
      <c r="D2821" t="s">
        <v>128</v>
      </c>
      <c r="E2821" t="s">
        <v>34</v>
      </c>
      <c r="F2821" t="s">
        <v>35</v>
      </c>
      <c r="G2821" t="s">
        <v>36</v>
      </c>
      <c r="H2821">
        <v>1</v>
      </c>
      <c r="I2821" s="2">
        <v>16.149999999999999</v>
      </c>
      <c r="J2821" s="2">
        <v>16.149999999999999</v>
      </c>
      <c r="K2821" s="2">
        <f t="shared" si="133"/>
        <v>16.149999999999999</v>
      </c>
      <c r="L2821" s="2">
        <f t="shared" si="134"/>
        <v>0</v>
      </c>
      <c r="M2821" t="s">
        <v>31</v>
      </c>
      <c r="N2821" t="s">
        <v>32</v>
      </c>
    </row>
    <row r="2822" spans="1:14" x14ac:dyDescent="0.3">
      <c r="A2822">
        <v>2024003820</v>
      </c>
      <c r="B2822" s="1">
        <v>45522</v>
      </c>
      <c r="C2822" s="11">
        <f t="shared" si="132"/>
        <v>2024</v>
      </c>
      <c r="D2822" t="s">
        <v>285</v>
      </c>
      <c r="E2822" t="s">
        <v>46</v>
      </c>
      <c r="F2822" t="s">
        <v>47</v>
      </c>
      <c r="G2822" t="s">
        <v>36</v>
      </c>
      <c r="H2822">
        <v>1</v>
      </c>
      <c r="I2822" s="2">
        <v>93.23</v>
      </c>
      <c r="J2822" s="2">
        <v>93.23</v>
      </c>
      <c r="K2822" s="2">
        <f t="shared" si="133"/>
        <v>93.23</v>
      </c>
      <c r="L2822" s="2">
        <f t="shared" si="134"/>
        <v>0</v>
      </c>
      <c r="M2822" t="s">
        <v>57</v>
      </c>
      <c r="N2822" t="s">
        <v>26</v>
      </c>
    </row>
    <row r="2823" spans="1:14" x14ac:dyDescent="0.3">
      <c r="A2823">
        <v>2024003821</v>
      </c>
      <c r="B2823" s="1">
        <v>45353</v>
      </c>
      <c r="C2823" s="11">
        <f t="shared" si="132"/>
        <v>2024</v>
      </c>
      <c r="D2823" t="s">
        <v>270</v>
      </c>
      <c r="E2823" t="s">
        <v>18</v>
      </c>
      <c r="F2823" t="s">
        <v>19</v>
      </c>
      <c r="G2823" t="s">
        <v>14</v>
      </c>
      <c r="H2823">
        <v>1</v>
      </c>
      <c r="I2823" s="2">
        <v>606.69000000000005</v>
      </c>
      <c r="J2823" s="2">
        <v>606.69000000000005</v>
      </c>
      <c r="K2823" s="2">
        <f t="shared" si="133"/>
        <v>606.69000000000005</v>
      </c>
      <c r="L2823" s="2">
        <f t="shared" si="134"/>
        <v>0</v>
      </c>
      <c r="M2823" t="s">
        <v>31</v>
      </c>
      <c r="N2823" t="s">
        <v>21</v>
      </c>
    </row>
    <row r="2824" spans="1:14" x14ac:dyDescent="0.3">
      <c r="A2824">
        <v>2024003822</v>
      </c>
      <c r="B2824" s="1">
        <v>45412</v>
      </c>
      <c r="C2824" s="11">
        <f t="shared" si="132"/>
        <v>2024</v>
      </c>
      <c r="D2824" t="s">
        <v>191</v>
      </c>
      <c r="E2824" t="s">
        <v>34</v>
      </c>
      <c r="F2824" t="s">
        <v>35</v>
      </c>
      <c r="G2824" t="s">
        <v>36</v>
      </c>
      <c r="H2824">
        <v>4</v>
      </c>
      <c r="I2824" s="2">
        <v>14.57</v>
      </c>
      <c r="J2824" s="2">
        <v>58.28</v>
      </c>
      <c r="K2824" s="2">
        <f t="shared" si="133"/>
        <v>58.28</v>
      </c>
      <c r="L2824" s="2">
        <f t="shared" si="134"/>
        <v>0</v>
      </c>
      <c r="M2824" t="s">
        <v>38</v>
      </c>
      <c r="N2824" t="s">
        <v>26</v>
      </c>
    </row>
    <row r="2825" spans="1:14" x14ac:dyDescent="0.3">
      <c r="A2825">
        <v>2024003823</v>
      </c>
      <c r="B2825" s="1">
        <v>45427</v>
      </c>
      <c r="C2825" s="11">
        <f t="shared" si="132"/>
        <v>2024</v>
      </c>
      <c r="D2825" t="s">
        <v>74</v>
      </c>
      <c r="E2825" t="s">
        <v>53</v>
      </c>
      <c r="F2825" t="s">
        <v>54</v>
      </c>
      <c r="G2825" t="s">
        <v>36</v>
      </c>
      <c r="H2825">
        <v>3</v>
      </c>
      <c r="I2825" s="2">
        <v>123.29</v>
      </c>
      <c r="J2825" s="2">
        <v>369.87</v>
      </c>
      <c r="K2825" s="2">
        <f t="shared" si="133"/>
        <v>369.87</v>
      </c>
      <c r="L2825" s="2">
        <f t="shared" si="134"/>
        <v>0</v>
      </c>
      <c r="M2825" t="s">
        <v>38</v>
      </c>
      <c r="N2825" t="s">
        <v>16</v>
      </c>
    </row>
    <row r="2826" spans="1:14" x14ac:dyDescent="0.3">
      <c r="A2826">
        <v>2024003824</v>
      </c>
      <c r="B2826" s="1">
        <v>45401</v>
      </c>
      <c r="C2826" s="11">
        <f t="shared" si="132"/>
        <v>2024</v>
      </c>
      <c r="D2826" t="s">
        <v>303</v>
      </c>
      <c r="E2826" t="s">
        <v>67</v>
      </c>
      <c r="F2826" t="s">
        <v>68</v>
      </c>
      <c r="G2826" t="s">
        <v>36</v>
      </c>
      <c r="H2826">
        <v>1</v>
      </c>
      <c r="I2826" s="2">
        <v>410.01</v>
      </c>
      <c r="J2826" s="2">
        <v>410.01</v>
      </c>
      <c r="K2826" s="2">
        <f t="shared" si="133"/>
        <v>410.01</v>
      </c>
      <c r="L2826" s="2">
        <f t="shared" si="134"/>
        <v>0</v>
      </c>
      <c r="M2826" t="s">
        <v>38</v>
      </c>
      <c r="N2826" t="s">
        <v>32</v>
      </c>
    </row>
    <row r="2827" spans="1:14" x14ac:dyDescent="0.3">
      <c r="A2827">
        <v>2024003825</v>
      </c>
      <c r="B2827" s="1">
        <v>45359</v>
      </c>
      <c r="C2827" s="11">
        <f t="shared" si="132"/>
        <v>2024</v>
      </c>
      <c r="D2827" t="s">
        <v>11</v>
      </c>
      <c r="E2827" t="s">
        <v>40</v>
      </c>
      <c r="F2827" t="s">
        <v>41</v>
      </c>
      <c r="G2827" t="s">
        <v>36</v>
      </c>
      <c r="H2827">
        <v>1</v>
      </c>
      <c r="I2827" s="2">
        <v>41.01</v>
      </c>
      <c r="J2827" s="2">
        <v>41.01</v>
      </c>
      <c r="K2827" s="2">
        <f t="shared" si="133"/>
        <v>41.01</v>
      </c>
      <c r="L2827" s="2">
        <f t="shared" si="134"/>
        <v>0</v>
      </c>
      <c r="M2827" t="s">
        <v>25</v>
      </c>
      <c r="N2827" t="s">
        <v>32</v>
      </c>
    </row>
    <row r="2828" spans="1:14" x14ac:dyDescent="0.3">
      <c r="A2828">
        <v>2024001809</v>
      </c>
      <c r="B2828" s="1">
        <v>45612</v>
      </c>
      <c r="C2828" s="11">
        <f t="shared" si="132"/>
        <v>2024</v>
      </c>
      <c r="D2828" t="s">
        <v>289</v>
      </c>
      <c r="E2828" t="s">
        <v>23</v>
      </c>
      <c r="F2828" t="s">
        <v>24</v>
      </c>
      <c r="G2828" t="s">
        <v>14</v>
      </c>
      <c r="H2828">
        <v>2</v>
      </c>
      <c r="I2828" s="2">
        <v>81.23</v>
      </c>
      <c r="J2828" s="2">
        <v>162.46</v>
      </c>
      <c r="K2828" s="2">
        <f t="shared" si="133"/>
        <v>162.46</v>
      </c>
      <c r="L2828" s="2">
        <f t="shared" si="134"/>
        <v>0</v>
      </c>
      <c r="M2828" t="s">
        <v>55</v>
      </c>
      <c r="N2828" t="s">
        <v>26</v>
      </c>
    </row>
    <row r="2829" spans="1:14" x14ac:dyDescent="0.3">
      <c r="A2829">
        <v>2024003827</v>
      </c>
      <c r="B2829" s="1">
        <v>45343</v>
      </c>
      <c r="C2829" s="11">
        <f t="shared" si="132"/>
        <v>2024</v>
      </c>
      <c r="D2829" t="s">
        <v>258</v>
      </c>
      <c r="E2829" t="s">
        <v>46</v>
      </c>
      <c r="F2829" t="s">
        <v>47</v>
      </c>
      <c r="G2829" t="s">
        <v>36</v>
      </c>
      <c r="H2829">
        <v>1</v>
      </c>
      <c r="I2829" s="2">
        <v>80.400000000000006</v>
      </c>
      <c r="J2829" s="2">
        <v>80.400000000000006</v>
      </c>
      <c r="K2829" s="2">
        <f t="shared" si="133"/>
        <v>80.400000000000006</v>
      </c>
      <c r="L2829" s="2">
        <f t="shared" si="134"/>
        <v>0</v>
      </c>
      <c r="M2829" t="s">
        <v>55</v>
      </c>
      <c r="N2829" t="s">
        <v>26</v>
      </c>
    </row>
    <row r="2830" spans="1:14" x14ac:dyDescent="0.3">
      <c r="A2830">
        <v>2024003828</v>
      </c>
      <c r="B2830" s="1">
        <v>45569</v>
      </c>
      <c r="C2830" s="11">
        <f t="shared" si="132"/>
        <v>2024</v>
      </c>
      <c r="D2830" t="s">
        <v>310</v>
      </c>
      <c r="E2830" t="s">
        <v>43</v>
      </c>
      <c r="F2830" t="s">
        <v>44</v>
      </c>
      <c r="G2830" t="s">
        <v>36</v>
      </c>
      <c r="H2830">
        <v>1</v>
      </c>
      <c r="I2830" s="2">
        <v>1232.78</v>
      </c>
      <c r="J2830" s="2">
        <v>1232.78</v>
      </c>
      <c r="K2830" s="2">
        <f t="shared" si="133"/>
        <v>1232.78</v>
      </c>
      <c r="L2830" s="2">
        <f t="shared" si="134"/>
        <v>0</v>
      </c>
      <c r="M2830" t="s">
        <v>31</v>
      </c>
      <c r="N2830" t="s">
        <v>21</v>
      </c>
    </row>
    <row r="2831" spans="1:14" x14ac:dyDescent="0.3">
      <c r="A2831">
        <v>2024003829</v>
      </c>
      <c r="B2831" s="1">
        <v>45397</v>
      </c>
      <c r="C2831" s="11">
        <f t="shared" si="132"/>
        <v>2024</v>
      </c>
      <c r="D2831" t="s">
        <v>223</v>
      </c>
      <c r="E2831" t="s">
        <v>67</v>
      </c>
      <c r="F2831" t="s">
        <v>68</v>
      </c>
      <c r="G2831" t="s">
        <v>36</v>
      </c>
      <c r="H2831">
        <v>3</v>
      </c>
      <c r="I2831" s="2">
        <v>395.04</v>
      </c>
      <c r="J2831" s="2">
        <v>1185.1199999999999</v>
      </c>
      <c r="K2831" s="2">
        <f t="shared" si="133"/>
        <v>1185.1200000000001</v>
      </c>
      <c r="L2831" s="2">
        <f t="shared" si="134"/>
        <v>0</v>
      </c>
      <c r="M2831" t="s">
        <v>61</v>
      </c>
      <c r="N2831" t="s">
        <v>16</v>
      </c>
    </row>
    <row r="2832" spans="1:14" x14ac:dyDescent="0.3">
      <c r="A2832">
        <v>2024003830</v>
      </c>
      <c r="B2832" s="1">
        <v>45303</v>
      </c>
      <c r="C2832" s="11">
        <f t="shared" si="132"/>
        <v>2024</v>
      </c>
      <c r="D2832" t="s">
        <v>94</v>
      </c>
      <c r="E2832" t="s">
        <v>40</v>
      </c>
      <c r="F2832" t="s">
        <v>41</v>
      </c>
      <c r="G2832" t="s">
        <v>36</v>
      </c>
      <c r="H2832">
        <v>1</v>
      </c>
      <c r="I2832" s="2">
        <v>48.61</v>
      </c>
      <c r="J2832" s="2">
        <v>48.61</v>
      </c>
      <c r="K2832" s="2">
        <f t="shared" si="133"/>
        <v>48.61</v>
      </c>
      <c r="L2832" s="2">
        <f t="shared" si="134"/>
        <v>0</v>
      </c>
      <c r="M2832" t="s">
        <v>55</v>
      </c>
      <c r="N2832" t="s">
        <v>32</v>
      </c>
    </row>
    <row r="2833" spans="1:14" x14ac:dyDescent="0.3">
      <c r="A2833">
        <v>2024003831</v>
      </c>
      <c r="B2833" s="1">
        <v>45601</v>
      </c>
      <c r="C2833" s="11">
        <f t="shared" si="132"/>
        <v>2024</v>
      </c>
      <c r="D2833" t="s">
        <v>91</v>
      </c>
      <c r="E2833" t="s">
        <v>12</v>
      </c>
      <c r="F2833" t="s">
        <v>13</v>
      </c>
      <c r="G2833" t="s">
        <v>14</v>
      </c>
      <c r="H2833">
        <v>1</v>
      </c>
      <c r="I2833" s="2">
        <v>330.04</v>
      </c>
      <c r="J2833" s="2">
        <v>330.04</v>
      </c>
      <c r="K2833" s="2">
        <f t="shared" si="133"/>
        <v>330.04</v>
      </c>
      <c r="L2833" s="2">
        <f t="shared" si="134"/>
        <v>0</v>
      </c>
      <c r="M2833" t="s">
        <v>38</v>
      </c>
      <c r="N2833" t="s">
        <v>32</v>
      </c>
    </row>
    <row r="2834" spans="1:14" x14ac:dyDescent="0.3">
      <c r="A2834">
        <v>2024003832</v>
      </c>
      <c r="B2834" s="1">
        <v>45317</v>
      </c>
      <c r="C2834" s="11">
        <f t="shared" si="132"/>
        <v>2024</v>
      </c>
      <c r="D2834" t="s">
        <v>321</v>
      </c>
      <c r="E2834" t="s">
        <v>46</v>
      </c>
      <c r="F2834" t="s">
        <v>47</v>
      </c>
      <c r="G2834" t="s">
        <v>36</v>
      </c>
      <c r="H2834">
        <v>1</v>
      </c>
      <c r="I2834" s="2">
        <v>89.35</v>
      </c>
      <c r="J2834" s="2">
        <v>89.35</v>
      </c>
      <c r="K2834" s="2">
        <f t="shared" si="133"/>
        <v>89.35</v>
      </c>
      <c r="L2834" s="2">
        <f t="shared" si="134"/>
        <v>0</v>
      </c>
      <c r="M2834" t="s">
        <v>55</v>
      </c>
      <c r="N2834" t="s">
        <v>16</v>
      </c>
    </row>
    <row r="2835" spans="1:14" x14ac:dyDescent="0.3">
      <c r="A2835">
        <v>2024003833</v>
      </c>
      <c r="B2835" s="1">
        <v>45444</v>
      </c>
      <c r="C2835" s="11">
        <f t="shared" si="132"/>
        <v>2024</v>
      </c>
      <c r="D2835" t="s">
        <v>225</v>
      </c>
      <c r="E2835" t="s">
        <v>18</v>
      </c>
      <c r="F2835" t="s">
        <v>19</v>
      </c>
      <c r="G2835" t="s">
        <v>14</v>
      </c>
      <c r="H2835">
        <v>2</v>
      </c>
      <c r="I2835" s="2">
        <v>606.84</v>
      </c>
      <c r="J2835" s="2">
        <v>1213.68</v>
      </c>
      <c r="K2835" s="2">
        <f t="shared" si="133"/>
        <v>1213.68</v>
      </c>
      <c r="L2835" s="2">
        <f t="shared" si="134"/>
        <v>0</v>
      </c>
      <c r="M2835" t="s">
        <v>31</v>
      </c>
      <c r="N2835" t="s">
        <v>32</v>
      </c>
    </row>
    <row r="2836" spans="1:14" x14ac:dyDescent="0.3">
      <c r="A2836">
        <v>2024003834</v>
      </c>
      <c r="B2836" s="1">
        <v>45613</v>
      </c>
      <c r="C2836" s="11">
        <f t="shared" si="132"/>
        <v>2024</v>
      </c>
      <c r="D2836" t="s">
        <v>106</v>
      </c>
      <c r="E2836" t="s">
        <v>12</v>
      </c>
      <c r="F2836" t="s">
        <v>13</v>
      </c>
      <c r="G2836" t="s">
        <v>14</v>
      </c>
      <c r="H2836">
        <v>1</v>
      </c>
      <c r="I2836" s="2">
        <v>370.03</v>
      </c>
      <c r="J2836" s="2">
        <v>370.03</v>
      </c>
      <c r="K2836" s="2">
        <f t="shared" si="133"/>
        <v>370.03</v>
      </c>
      <c r="L2836" s="2">
        <f t="shared" si="134"/>
        <v>0</v>
      </c>
      <c r="M2836" t="s">
        <v>31</v>
      </c>
      <c r="N2836" t="s">
        <v>21</v>
      </c>
    </row>
    <row r="2837" spans="1:14" x14ac:dyDescent="0.3">
      <c r="A2837">
        <v>2024003835</v>
      </c>
      <c r="B2837" s="1">
        <v>45472</v>
      </c>
      <c r="C2837" s="11">
        <f t="shared" si="132"/>
        <v>2024</v>
      </c>
      <c r="D2837" t="s">
        <v>168</v>
      </c>
      <c r="E2837" t="s">
        <v>43</v>
      </c>
      <c r="F2837" t="s">
        <v>44</v>
      </c>
      <c r="G2837" t="s">
        <v>36</v>
      </c>
      <c r="H2837">
        <v>1</v>
      </c>
      <c r="I2837" s="2">
        <v>1306.02</v>
      </c>
      <c r="J2837" s="2">
        <v>1306.02</v>
      </c>
      <c r="K2837" s="2">
        <f t="shared" si="133"/>
        <v>1306.02</v>
      </c>
      <c r="L2837" s="2">
        <f t="shared" si="134"/>
        <v>0</v>
      </c>
      <c r="M2837" t="s">
        <v>64</v>
      </c>
      <c r="N2837" t="s">
        <v>32</v>
      </c>
    </row>
    <row r="2838" spans="1:14" x14ac:dyDescent="0.3">
      <c r="A2838">
        <v>2024003836</v>
      </c>
      <c r="B2838" s="1">
        <v>45535</v>
      </c>
      <c r="C2838" s="11">
        <f t="shared" si="132"/>
        <v>2024</v>
      </c>
      <c r="D2838" t="s">
        <v>303</v>
      </c>
      <c r="E2838" t="s">
        <v>12</v>
      </c>
      <c r="F2838" t="s">
        <v>13</v>
      </c>
      <c r="G2838" t="s">
        <v>14</v>
      </c>
      <c r="H2838">
        <v>1</v>
      </c>
      <c r="I2838" s="2">
        <v>376.74</v>
      </c>
      <c r="J2838" s="2">
        <v>376.74</v>
      </c>
      <c r="K2838" s="2">
        <f t="shared" si="133"/>
        <v>376.74</v>
      </c>
      <c r="L2838" s="2">
        <f t="shared" si="134"/>
        <v>0</v>
      </c>
      <c r="M2838" t="s">
        <v>64</v>
      </c>
      <c r="N2838" t="s">
        <v>26</v>
      </c>
    </row>
    <row r="2839" spans="1:14" x14ac:dyDescent="0.3">
      <c r="A2839">
        <v>2024003837</v>
      </c>
      <c r="B2839" s="1">
        <v>45535</v>
      </c>
      <c r="C2839" s="11">
        <f t="shared" si="132"/>
        <v>2024</v>
      </c>
      <c r="D2839" t="s">
        <v>136</v>
      </c>
      <c r="E2839" t="s">
        <v>23</v>
      </c>
      <c r="F2839" t="s">
        <v>24</v>
      </c>
      <c r="G2839" t="s">
        <v>14</v>
      </c>
      <c r="H2839">
        <v>3</v>
      </c>
      <c r="I2839" s="2">
        <v>76.53</v>
      </c>
      <c r="J2839" s="2">
        <v>229.59</v>
      </c>
      <c r="K2839" s="2">
        <f t="shared" si="133"/>
        <v>229.59</v>
      </c>
      <c r="L2839" s="2">
        <f t="shared" si="134"/>
        <v>0</v>
      </c>
      <c r="M2839" t="s">
        <v>57</v>
      </c>
      <c r="N2839" t="s">
        <v>32</v>
      </c>
    </row>
    <row r="2840" spans="1:14" x14ac:dyDescent="0.3">
      <c r="A2840">
        <v>2024003838</v>
      </c>
      <c r="B2840" s="1">
        <v>45368</v>
      </c>
      <c r="C2840" s="11">
        <f t="shared" si="132"/>
        <v>2024</v>
      </c>
      <c r="D2840" t="s">
        <v>313</v>
      </c>
      <c r="E2840" t="s">
        <v>67</v>
      </c>
      <c r="F2840" t="s">
        <v>68</v>
      </c>
      <c r="G2840" t="s">
        <v>36</v>
      </c>
      <c r="H2840">
        <v>1</v>
      </c>
      <c r="I2840" s="2">
        <v>394.09</v>
      </c>
      <c r="J2840" s="2">
        <v>394.09</v>
      </c>
      <c r="K2840" s="2">
        <f t="shared" si="133"/>
        <v>394.09</v>
      </c>
      <c r="L2840" s="2">
        <f t="shared" si="134"/>
        <v>0</v>
      </c>
      <c r="M2840" t="s">
        <v>31</v>
      </c>
      <c r="N2840" t="s">
        <v>16</v>
      </c>
    </row>
    <row r="2841" spans="1:14" x14ac:dyDescent="0.3">
      <c r="A2841">
        <v>2024003839</v>
      </c>
      <c r="B2841" s="1">
        <v>45558</v>
      </c>
      <c r="C2841" s="11">
        <f t="shared" si="132"/>
        <v>2024</v>
      </c>
      <c r="D2841" t="s">
        <v>296</v>
      </c>
      <c r="E2841" t="s">
        <v>43</v>
      </c>
      <c r="F2841" t="s">
        <v>44</v>
      </c>
      <c r="G2841" t="s">
        <v>36</v>
      </c>
      <c r="H2841">
        <v>2</v>
      </c>
      <c r="I2841" s="2">
        <v>1239.93</v>
      </c>
      <c r="J2841" s="2">
        <v>2479.86</v>
      </c>
      <c r="K2841" s="2">
        <f t="shared" si="133"/>
        <v>2479.86</v>
      </c>
      <c r="L2841" s="2">
        <f t="shared" si="134"/>
        <v>0</v>
      </c>
      <c r="M2841" t="s">
        <v>64</v>
      </c>
      <c r="N2841" t="s">
        <v>26</v>
      </c>
    </row>
    <row r="2842" spans="1:14" x14ac:dyDescent="0.3">
      <c r="A2842">
        <v>2024003840</v>
      </c>
      <c r="B2842" s="1">
        <v>45586</v>
      </c>
      <c r="C2842" s="11">
        <f t="shared" si="132"/>
        <v>2024</v>
      </c>
      <c r="D2842" t="s">
        <v>154</v>
      </c>
      <c r="E2842" t="s">
        <v>12</v>
      </c>
      <c r="F2842" t="s">
        <v>13</v>
      </c>
      <c r="G2842" t="s">
        <v>14</v>
      </c>
      <c r="H2842">
        <v>2</v>
      </c>
      <c r="I2842" s="2">
        <v>372.79</v>
      </c>
      <c r="J2842" s="2">
        <v>745.58</v>
      </c>
      <c r="K2842" s="2">
        <f t="shared" si="133"/>
        <v>745.58</v>
      </c>
      <c r="L2842" s="2">
        <f t="shared" si="134"/>
        <v>0</v>
      </c>
      <c r="M2842" t="s">
        <v>64</v>
      </c>
      <c r="N2842" t="s">
        <v>26</v>
      </c>
    </row>
    <row r="2843" spans="1:14" x14ac:dyDescent="0.3">
      <c r="A2843">
        <v>2024003841</v>
      </c>
      <c r="B2843" s="1">
        <v>45501</v>
      </c>
      <c r="C2843" s="11">
        <f t="shared" si="132"/>
        <v>2024</v>
      </c>
      <c r="D2843" t="s">
        <v>189</v>
      </c>
      <c r="E2843" t="s">
        <v>12</v>
      </c>
      <c r="F2843" t="s">
        <v>13</v>
      </c>
      <c r="G2843" t="s">
        <v>14</v>
      </c>
      <c r="H2843">
        <v>2</v>
      </c>
      <c r="I2843" s="2">
        <v>329.22</v>
      </c>
      <c r="J2843" s="2">
        <v>658.44</v>
      </c>
      <c r="K2843" s="2">
        <f t="shared" si="133"/>
        <v>658.44</v>
      </c>
      <c r="L2843" s="2">
        <f t="shared" si="134"/>
        <v>0</v>
      </c>
      <c r="M2843" t="s">
        <v>57</v>
      </c>
      <c r="N2843" t="s">
        <v>26</v>
      </c>
    </row>
    <row r="2844" spans="1:14" x14ac:dyDescent="0.3">
      <c r="A2844">
        <v>2024003842</v>
      </c>
      <c r="B2844" s="1">
        <v>45510</v>
      </c>
      <c r="C2844" s="11">
        <f t="shared" si="132"/>
        <v>2024</v>
      </c>
      <c r="D2844" t="s">
        <v>298</v>
      </c>
      <c r="E2844" t="s">
        <v>43</v>
      </c>
      <c r="F2844" t="s">
        <v>44</v>
      </c>
      <c r="G2844" t="s">
        <v>36</v>
      </c>
      <c r="H2844">
        <v>2</v>
      </c>
      <c r="I2844" s="2">
        <v>1261.49</v>
      </c>
      <c r="J2844" s="2">
        <v>2522.98</v>
      </c>
      <c r="K2844" s="2">
        <f t="shared" si="133"/>
        <v>2522.98</v>
      </c>
      <c r="L2844" s="2">
        <f t="shared" si="134"/>
        <v>0</v>
      </c>
      <c r="M2844" t="s">
        <v>48</v>
      </c>
      <c r="N2844" t="s">
        <v>26</v>
      </c>
    </row>
    <row r="2845" spans="1:14" x14ac:dyDescent="0.3">
      <c r="A2845">
        <v>2024003843</v>
      </c>
      <c r="B2845" s="1">
        <v>45511</v>
      </c>
      <c r="C2845" s="11">
        <f t="shared" si="132"/>
        <v>2024</v>
      </c>
      <c r="D2845" t="s">
        <v>328</v>
      </c>
      <c r="E2845" t="s">
        <v>23</v>
      </c>
      <c r="F2845" t="s">
        <v>24</v>
      </c>
      <c r="G2845" t="s">
        <v>14</v>
      </c>
      <c r="H2845">
        <v>2</v>
      </c>
      <c r="I2845" s="2">
        <v>76.02</v>
      </c>
      <c r="J2845" s="2">
        <v>152.04</v>
      </c>
      <c r="K2845" s="2">
        <f t="shared" si="133"/>
        <v>152.04</v>
      </c>
      <c r="L2845" s="2">
        <f t="shared" si="134"/>
        <v>0</v>
      </c>
      <c r="M2845" t="s">
        <v>31</v>
      </c>
      <c r="N2845" t="s">
        <v>16</v>
      </c>
    </row>
    <row r="2846" spans="1:14" x14ac:dyDescent="0.3">
      <c r="A2846">
        <v>2024003844</v>
      </c>
      <c r="B2846" s="1">
        <v>45394</v>
      </c>
      <c r="C2846" s="11">
        <f t="shared" si="132"/>
        <v>2024</v>
      </c>
      <c r="D2846" t="s">
        <v>11</v>
      </c>
      <c r="E2846" t="s">
        <v>67</v>
      </c>
      <c r="F2846" t="s">
        <v>68</v>
      </c>
      <c r="G2846" t="s">
        <v>36</v>
      </c>
      <c r="H2846">
        <v>1</v>
      </c>
      <c r="I2846" s="2">
        <v>390.77</v>
      </c>
      <c r="J2846" s="2">
        <v>390.77</v>
      </c>
      <c r="K2846" s="2">
        <f t="shared" si="133"/>
        <v>390.77</v>
      </c>
      <c r="L2846" s="2">
        <f t="shared" si="134"/>
        <v>0</v>
      </c>
      <c r="M2846" t="s">
        <v>31</v>
      </c>
      <c r="N2846" t="s">
        <v>16</v>
      </c>
    </row>
    <row r="2847" spans="1:14" x14ac:dyDescent="0.3">
      <c r="A2847">
        <v>2024003845</v>
      </c>
      <c r="B2847" s="1">
        <v>45381</v>
      </c>
      <c r="C2847" s="11">
        <f t="shared" si="132"/>
        <v>2024</v>
      </c>
      <c r="D2847" t="s">
        <v>137</v>
      </c>
      <c r="E2847" t="s">
        <v>18</v>
      </c>
      <c r="F2847" t="s">
        <v>19</v>
      </c>
      <c r="G2847" t="s">
        <v>14</v>
      </c>
      <c r="H2847">
        <v>1</v>
      </c>
      <c r="I2847" s="2">
        <v>593.88</v>
      </c>
      <c r="J2847" s="2">
        <v>593.88</v>
      </c>
      <c r="K2847" s="2">
        <f t="shared" si="133"/>
        <v>593.88</v>
      </c>
      <c r="L2847" s="2">
        <f t="shared" si="134"/>
        <v>0</v>
      </c>
      <c r="M2847" t="s">
        <v>64</v>
      </c>
      <c r="N2847" t="s">
        <v>32</v>
      </c>
    </row>
    <row r="2848" spans="1:14" x14ac:dyDescent="0.3">
      <c r="A2848">
        <v>2024003846</v>
      </c>
      <c r="B2848" s="1">
        <v>45431</v>
      </c>
      <c r="C2848" s="11">
        <f t="shared" si="132"/>
        <v>2024</v>
      </c>
      <c r="D2848" t="s">
        <v>293</v>
      </c>
      <c r="E2848" t="s">
        <v>67</v>
      </c>
      <c r="F2848" t="s">
        <v>68</v>
      </c>
      <c r="G2848" t="s">
        <v>36</v>
      </c>
      <c r="H2848">
        <v>1</v>
      </c>
      <c r="I2848" s="2">
        <v>400.97</v>
      </c>
      <c r="J2848" s="2">
        <v>400.97</v>
      </c>
      <c r="K2848" s="2">
        <f t="shared" si="133"/>
        <v>400.97</v>
      </c>
      <c r="L2848" s="2">
        <f t="shared" si="134"/>
        <v>0</v>
      </c>
      <c r="M2848" t="s">
        <v>25</v>
      </c>
      <c r="N2848" t="s">
        <v>21</v>
      </c>
    </row>
    <row r="2849" spans="1:14" x14ac:dyDescent="0.3">
      <c r="A2849">
        <v>2024003847</v>
      </c>
      <c r="B2849" s="1">
        <v>45590</v>
      </c>
      <c r="C2849" s="11">
        <f t="shared" si="132"/>
        <v>2024</v>
      </c>
      <c r="D2849" t="s">
        <v>144</v>
      </c>
      <c r="E2849" t="s">
        <v>40</v>
      </c>
      <c r="F2849" t="s">
        <v>41</v>
      </c>
      <c r="G2849" t="s">
        <v>36</v>
      </c>
      <c r="H2849">
        <v>2</v>
      </c>
      <c r="I2849" s="2">
        <v>50.54</v>
      </c>
      <c r="J2849" s="2">
        <v>101.08</v>
      </c>
      <c r="K2849" s="2">
        <f t="shared" si="133"/>
        <v>101.08</v>
      </c>
      <c r="L2849" s="2">
        <f t="shared" si="134"/>
        <v>0</v>
      </c>
      <c r="M2849" t="s">
        <v>31</v>
      </c>
      <c r="N2849" t="s">
        <v>32</v>
      </c>
    </row>
    <row r="2850" spans="1:14" x14ac:dyDescent="0.3">
      <c r="A2850">
        <v>2024003848</v>
      </c>
      <c r="B2850" s="1">
        <v>45321</v>
      </c>
      <c r="C2850" s="11">
        <f t="shared" si="132"/>
        <v>2024</v>
      </c>
      <c r="D2850" t="s">
        <v>299</v>
      </c>
      <c r="E2850" t="s">
        <v>18</v>
      </c>
      <c r="F2850" t="s">
        <v>19</v>
      </c>
      <c r="G2850" t="s">
        <v>14</v>
      </c>
      <c r="H2850">
        <v>3</v>
      </c>
      <c r="I2850" s="2">
        <v>615.74</v>
      </c>
      <c r="J2850" s="2">
        <v>1847.22</v>
      </c>
      <c r="K2850" s="2">
        <f t="shared" si="133"/>
        <v>1847.22</v>
      </c>
      <c r="L2850" s="2">
        <f t="shared" si="134"/>
        <v>0</v>
      </c>
      <c r="M2850" t="s">
        <v>15</v>
      </c>
      <c r="N2850" t="s">
        <v>21</v>
      </c>
    </row>
    <row r="2851" spans="1:14" x14ac:dyDescent="0.3">
      <c r="A2851">
        <v>2024003849</v>
      </c>
      <c r="B2851" s="1">
        <v>45648</v>
      </c>
      <c r="C2851" s="11">
        <f t="shared" si="132"/>
        <v>2024</v>
      </c>
      <c r="D2851" t="s">
        <v>160</v>
      </c>
      <c r="E2851" t="s">
        <v>34</v>
      </c>
      <c r="F2851" t="s">
        <v>35</v>
      </c>
      <c r="G2851" t="s">
        <v>36</v>
      </c>
      <c r="H2851">
        <v>3</v>
      </c>
      <c r="I2851" s="2">
        <v>14.34</v>
      </c>
      <c r="J2851" s="2">
        <v>43.02</v>
      </c>
      <c r="K2851" s="2">
        <f t="shared" si="133"/>
        <v>43.019999999999996</v>
      </c>
      <c r="L2851" s="2">
        <f t="shared" si="134"/>
        <v>0</v>
      </c>
      <c r="M2851" t="s">
        <v>15</v>
      </c>
      <c r="N2851" t="s">
        <v>32</v>
      </c>
    </row>
    <row r="2852" spans="1:14" x14ac:dyDescent="0.3">
      <c r="A2852">
        <v>2024003850</v>
      </c>
      <c r="B2852" s="1">
        <v>45490</v>
      </c>
      <c r="C2852" s="11">
        <f t="shared" si="132"/>
        <v>2024</v>
      </c>
      <c r="D2852" t="s">
        <v>270</v>
      </c>
      <c r="E2852" t="s">
        <v>40</v>
      </c>
      <c r="F2852" t="s">
        <v>41</v>
      </c>
      <c r="G2852" t="s">
        <v>36</v>
      </c>
      <c r="H2852">
        <v>1</v>
      </c>
      <c r="I2852" s="2">
        <v>43.96</v>
      </c>
      <c r="J2852" s="2">
        <v>43.96</v>
      </c>
      <c r="K2852" s="2">
        <f t="shared" si="133"/>
        <v>43.96</v>
      </c>
      <c r="L2852" s="2">
        <f t="shared" si="134"/>
        <v>0</v>
      </c>
      <c r="M2852" t="s">
        <v>57</v>
      </c>
      <c r="N2852" t="s">
        <v>26</v>
      </c>
    </row>
    <row r="2853" spans="1:14" x14ac:dyDescent="0.3">
      <c r="A2853">
        <v>2024003851</v>
      </c>
      <c r="B2853" s="1">
        <v>45478</v>
      </c>
      <c r="C2853" s="11">
        <f t="shared" si="132"/>
        <v>2024</v>
      </c>
      <c r="D2853" t="s">
        <v>11</v>
      </c>
      <c r="E2853" t="s">
        <v>46</v>
      </c>
      <c r="F2853" t="s">
        <v>47</v>
      </c>
      <c r="G2853" t="s">
        <v>36</v>
      </c>
      <c r="H2853">
        <v>4</v>
      </c>
      <c r="I2853" s="2">
        <v>92.05</v>
      </c>
      <c r="J2853" s="2">
        <v>368.2</v>
      </c>
      <c r="K2853" s="2">
        <f t="shared" si="133"/>
        <v>368.2</v>
      </c>
      <c r="L2853" s="2">
        <f t="shared" si="134"/>
        <v>0</v>
      </c>
      <c r="M2853" t="s">
        <v>57</v>
      </c>
      <c r="N2853" t="s">
        <v>16</v>
      </c>
    </row>
    <row r="2854" spans="1:14" x14ac:dyDescent="0.3">
      <c r="A2854">
        <v>2024003852</v>
      </c>
      <c r="B2854" s="1">
        <v>45640</v>
      </c>
      <c r="C2854" s="11">
        <f t="shared" si="132"/>
        <v>2024</v>
      </c>
      <c r="D2854" t="s">
        <v>247</v>
      </c>
      <c r="E2854" t="s">
        <v>46</v>
      </c>
      <c r="F2854" t="s">
        <v>47</v>
      </c>
      <c r="G2854" t="s">
        <v>36</v>
      </c>
      <c r="H2854">
        <v>1</v>
      </c>
      <c r="I2854" s="2">
        <v>86.96</v>
      </c>
      <c r="J2854" s="2">
        <v>86.96</v>
      </c>
      <c r="K2854" s="2">
        <f t="shared" si="133"/>
        <v>86.96</v>
      </c>
      <c r="L2854" s="2">
        <f t="shared" si="134"/>
        <v>0</v>
      </c>
      <c r="M2854" t="s">
        <v>38</v>
      </c>
      <c r="N2854" t="s">
        <v>21</v>
      </c>
    </row>
    <row r="2855" spans="1:14" x14ac:dyDescent="0.3">
      <c r="A2855">
        <v>2024003853</v>
      </c>
      <c r="B2855" s="1">
        <v>45570</v>
      </c>
      <c r="C2855" s="11">
        <f t="shared" si="132"/>
        <v>2024</v>
      </c>
      <c r="D2855" t="s">
        <v>11</v>
      </c>
      <c r="E2855" t="s">
        <v>18</v>
      </c>
      <c r="F2855" t="s">
        <v>19</v>
      </c>
      <c r="G2855" t="s">
        <v>14</v>
      </c>
      <c r="H2855">
        <v>2</v>
      </c>
      <c r="I2855" s="2">
        <v>613.78</v>
      </c>
      <c r="J2855" s="2">
        <v>1227.56</v>
      </c>
      <c r="K2855" s="2">
        <f t="shared" si="133"/>
        <v>1227.56</v>
      </c>
      <c r="L2855" s="2">
        <f t="shared" si="134"/>
        <v>0</v>
      </c>
      <c r="M2855" t="s">
        <v>31</v>
      </c>
      <c r="N2855" t="s">
        <v>26</v>
      </c>
    </row>
    <row r="2856" spans="1:14" x14ac:dyDescent="0.3">
      <c r="A2856">
        <v>2024003854</v>
      </c>
      <c r="B2856" s="1">
        <v>45386</v>
      </c>
      <c r="C2856" s="11">
        <f t="shared" si="132"/>
        <v>2024</v>
      </c>
      <c r="D2856" t="s">
        <v>307</v>
      </c>
      <c r="E2856" t="s">
        <v>43</v>
      </c>
      <c r="F2856" t="s">
        <v>44</v>
      </c>
      <c r="G2856" t="s">
        <v>36</v>
      </c>
      <c r="H2856">
        <v>4</v>
      </c>
      <c r="I2856" s="2">
        <v>1279.95</v>
      </c>
      <c r="J2856" s="2">
        <v>5119.8</v>
      </c>
      <c r="K2856" s="2">
        <f t="shared" si="133"/>
        <v>5119.8</v>
      </c>
      <c r="L2856" s="2">
        <f t="shared" si="134"/>
        <v>0</v>
      </c>
      <c r="M2856" t="s">
        <v>20</v>
      </c>
      <c r="N2856" t="s">
        <v>16</v>
      </c>
    </row>
    <row r="2857" spans="1:14" x14ac:dyDescent="0.3">
      <c r="A2857">
        <v>2024003855</v>
      </c>
      <c r="B2857" s="1">
        <v>45541</v>
      </c>
      <c r="C2857" s="11">
        <f t="shared" si="132"/>
        <v>2024</v>
      </c>
      <c r="D2857" t="s">
        <v>11</v>
      </c>
      <c r="E2857" t="s">
        <v>53</v>
      </c>
      <c r="F2857" t="s">
        <v>54</v>
      </c>
      <c r="G2857" t="s">
        <v>36</v>
      </c>
      <c r="H2857">
        <v>1</v>
      </c>
      <c r="I2857" s="2">
        <v>126.95</v>
      </c>
      <c r="J2857" s="2">
        <v>126.95</v>
      </c>
      <c r="K2857" s="2">
        <f t="shared" si="133"/>
        <v>126.95</v>
      </c>
      <c r="L2857" s="2">
        <f t="shared" si="134"/>
        <v>0</v>
      </c>
      <c r="M2857" t="s">
        <v>64</v>
      </c>
      <c r="N2857" t="s">
        <v>32</v>
      </c>
    </row>
    <row r="2858" spans="1:14" x14ac:dyDescent="0.3">
      <c r="A2858">
        <v>2024003856</v>
      </c>
      <c r="B2858" s="1">
        <v>45408</v>
      </c>
      <c r="C2858" s="11">
        <f t="shared" si="132"/>
        <v>2024</v>
      </c>
      <c r="D2858" t="s">
        <v>78</v>
      </c>
      <c r="E2858" t="s">
        <v>18</v>
      </c>
      <c r="F2858" t="s">
        <v>19</v>
      </c>
      <c r="G2858" t="s">
        <v>14</v>
      </c>
      <c r="H2858">
        <v>1</v>
      </c>
      <c r="I2858" s="2">
        <v>636.83000000000004</v>
      </c>
      <c r="J2858" s="2">
        <v>636.83000000000004</v>
      </c>
      <c r="K2858" s="2">
        <f t="shared" si="133"/>
        <v>636.83000000000004</v>
      </c>
      <c r="L2858" s="2">
        <f t="shared" si="134"/>
        <v>0</v>
      </c>
      <c r="M2858" t="s">
        <v>55</v>
      </c>
      <c r="N2858" t="s">
        <v>26</v>
      </c>
    </row>
    <row r="2859" spans="1:14" x14ac:dyDescent="0.3">
      <c r="A2859">
        <v>2024003857</v>
      </c>
      <c r="B2859" s="1">
        <v>45458</v>
      </c>
      <c r="C2859" s="11">
        <f t="shared" si="132"/>
        <v>2024</v>
      </c>
      <c r="D2859" t="s">
        <v>128</v>
      </c>
      <c r="E2859" t="s">
        <v>43</v>
      </c>
      <c r="F2859" t="s">
        <v>44</v>
      </c>
      <c r="G2859" t="s">
        <v>36</v>
      </c>
      <c r="H2859">
        <v>2</v>
      </c>
      <c r="I2859" s="2">
        <v>1095.26</v>
      </c>
      <c r="J2859" s="2">
        <v>2190.52</v>
      </c>
      <c r="K2859" s="2">
        <f t="shared" si="133"/>
        <v>2190.52</v>
      </c>
      <c r="L2859" s="2">
        <f t="shared" si="134"/>
        <v>0</v>
      </c>
      <c r="M2859" t="s">
        <v>38</v>
      </c>
      <c r="N2859" t="s">
        <v>16</v>
      </c>
    </row>
    <row r="2860" spans="1:14" x14ac:dyDescent="0.3">
      <c r="A2860">
        <v>2024003858</v>
      </c>
      <c r="B2860" s="1">
        <v>45466</v>
      </c>
      <c r="C2860" s="11">
        <f t="shared" si="132"/>
        <v>2024</v>
      </c>
      <c r="D2860" t="s">
        <v>140</v>
      </c>
      <c r="E2860" t="s">
        <v>34</v>
      </c>
      <c r="F2860" t="s">
        <v>35</v>
      </c>
      <c r="G2860" t="s">
        <v>36</v>
      </c>
      <c r="H2860">
        <v>2</v>
      </c>
      <c r="I2860" s="2">
        <v>15.4</v>
      </c>
      <c r="J2860" s="2">
        <v>30.8</v>
      </c>
      <c r="K2860" s="2">
        <f t="shared" si="133"/>
        <v>30.8</v>
      </c>
      <c r="L2860" s="2">
        <f t="shared" si="134"/>
        <v>0</v>
      </c>
      <c r="M2860" t="s">
        <v>20</v>
      </c>
      <c r="N2860" t="s">
        <v>16</v>
      </c>
    </row>
    <row r="2861" spans="1:14" x14ac:dyDescent="0.3">
      <c r="A2861">
        <v>2024003859</v>
      </c>
      <c r="B2861" s="1">
        <v>45484</v>
      </c>
      <c r="C2861" s="11">
        <f t="shared" si="132"/>
        <v>2024</v>
      </c>
      <c r="D2861" t="s">
        <v>90</v>
      </c>
      <c r="E2861" t="s">
        <v>53</v>
      </c>
      <c r="F2861" t="s">
        <v>54</v>
      </c>
      <c r="G2861" t="s">
        <v>36</v>
      </c>
      <c r="H2861">
        <v>1</v>
      </c>
      <c r="I2861" s="2">
        <v>110.65</v>
      </c>
      <c r="J2861" s="2">
        <v>110.65</v>
      </c>
      <c r="K2861" s="2">
        <f t="shared" si="133"/>
        <v>110.65</v>
      </c>
      <c r="L2861" s="2">
        <f t="shared" si="134"/>
        <v>0</v>
      </c>
      <c r="M2861" t="s">
        <v>38</v>
      </c>
      <c r="N2861" t="s">
        <v>21</v>
      </c>
    </row>
    <row r="2862" spans="1:14" x14ac:dyDescent="0.3">
      <c r="A2862">
        <v>2024003860</v>
      </c>
      <c r="B2862" s="1">
        <v>45559</v>
      </c>
      <c r="C2862" s="11">
        <f t="shared" si="132"/>
        <v>2024</v>
      </c>
      <c r="D2862" t="s">
        <v>288</v>
      </c>
      <c r="E2862" t="s">
        <v>67</v>
      </c>
      <c r="F2862" t="s">
        <v>68</v>
      </c>
      <c r="G2862" t="s">
        <v>36</v>
      </c>
      <c r="H2862">
        <v>1</v>
      </c>
      <c r="I2862" s="2">
        <v>386</v>
      </c>
      <c r="J2862" s="2">
        <v>386</v>
      </c>
      <c r="K2862" s="2">
        <f t="shared" si="133"/>
        <v>386</v>
      </c>
      <c r="L2862" s="2">
        <f t="shared" si="134"/>
        <v>0</v>
      </c>
      <c r="M2862" t="s">
        <v>31</v>
      </c>
      <c r="N2862" t="s">
        <v>21</v>
      </c>
    </row>
    <row r="2863" spans="1:14" x14ac:dyDescent="0.3">
      <c r="A2863">
        <v>2024003861</v>
      </c>
      <c r="B2863" s="1">
        <v>45519</v>
      </c>
      <c r="C2863" s="11">
        <f t="shared" si="132"/>
        <v>2024</v>
      </c>
      <c r="D2863" t="s">
        <v>278</v>
      </c>
      <c r="E2863" t="s">
        <v>23</v>
      </c>
      <c r="F2863" t="s">
        <v>24</v>
      </c>
      <c r="G2863" t="s">
        <v>14</v>
      </c>
      <c r="H2863">
        <v>3</v>
      </c>
      <c r="I2863" s="2">
        <v>81.290000000000006</v>
      </c>
      <c r="J2863" s="2">
        <v>243.87</v>
      </c>
      <c r="K2863" s="2">
        <f t="shared" si="133"/>
        <v>243.87</v>
      </c>
      <c r="L2863" s="2">
        <f t="shared" si="134"/>
        <v>0</v>
      </c>
      <c r="M2863" t="s">
        <v>31</v>
      </c>
      <c r="N2863" t="s">
        <v>26</v>
      </c>
    </row>
    <row r="2864" spans="1:14" x14ac:dyDescent="0.3">
      <c r="A2864">
        <v>2024003862</v>
      </c>
      <c r="B2864" s="1">
        <v>45534</v>
      </c>
      <c r="C2864" s="11">
        <f t="shared" si="132"/>
        <v>2024</v>
      </c>
      <c r="D2864" t="s">
        <v>152</v>
      </c>
      <c r="E2864" t="s">
        <v>53</v>
      </c>
      <c r="F2864" t="s">
        <v>54</v>
      </c>
      <c r="G2864" t="s">
        <v>36</v>
      </c>
      <c r="H2864">
        <v>1</v>
      </c>
      <c r="I2864" s="2">
        <v>127.18</v>
      </c>
      <c r="J2864" s="2">
        <v>127.18</v>
      </c>
      <c r="K2864" s="2">
        <f t="shared" si="133"/>
        <v>127.18</v>
      </c>
      <c r="L2864" s="2">
        <f t="shared" si="134"/>
        <v>0</v>
      </c>
      <c r="M2864" t="s">
        <v>64</v>
      </c>
      <c r="N2864" t="s">
        <v>26</v>
      </c>
    </row>
    <row r="2865" spans="1:14" x14ac:dyDescent="0.3">
      <c r="A2865">
        <v>2024003863</v>
      </c>
      <c r="B2865" s="1">
        <v>45458</v>
      </c>
      <c r="C2865" s="11">
        <f t="shared" si="132"/>
        <v>2024</v>
      </c>
      <c r="D2865" t="s">
        <v>11</v>
      </c>
      <c r="E2865" t="s">
        <v>28</v>
      </c>
      <c r="F2865" t="s">
        <v>29</v>
      </c>
      <c r="G2865" t="s">
        <v>30</v>
      </c>
      <c r="H2865">
        <v>1</v>
      </c>
      <c r="I2865" s="2">
        <v>25.54</v>
      </c>
      <c r="J2865" s="2">
        <v>25.54</v>
      </c>
      <c r="K2865" s="2">
        <f t="shared" si="133"/>
        <v>25.54</v>
      </c>
      <c r="L2865" s="2">
        <f t="shared" si="134"/>
        <v>0</v>
      </c>
      <c r="M2865" t="s">
        <v>38</v>
      </c>
      <c r="N2865" t="s">
        <v>16</v>
      </c>
    </row>
    <row r="2866" spans="1:14" x14ac:dyDescent="0.3">
      <c r="A2866">
        <v>2024003864</v>
      </c>
      <c r="B2866" s="1">
        <v>45643</v>
      </c>
      <c r="C2866" s="11">
        <f t="shared" si="132"/>
        <v>2024</v>
      </c>
      <c r="D2866" t="s">
        <v>11</v>
      </c>
      <c r="E2866" t="s">
        <v>28</v>
      </c>
      <c r="F2866" t="s">
        <v>29</v>
      </c>
      <c r="G2866" t="s">
        <v>30</v>
      </c>
      <c r="H2866">
        <v>2</v>
      </c>
      <c r="I2866" s="2">
        <v>25.34</v>
      </c>
      <c r="J2866" s="2">
        <v>50.68</v>
      </c>
      <c r="K2866" s="2">
        <f t="shared" si="133"/>
        <v>50.68</v>
      </c>
      <c r="L2866" s="2">
        <f t="shared" si="134"/>
        <v>0</v>
      </c>
      <c r="M2866" t="s">
        <v>15</v>
      </c>
      <c r="N2866" t="s">
        <v>26</v>
      </c>
    </row>
    <row r="2867" spans="1:14" x14ac:dyDescent="0.3">
      <c r="A2867">
        <v>2024003865</v>
      </c>
      <c r="B2867" s="1">
        <v>45510</v>
      </c>
      <c r="C2867" s="11">
        <f t="shared" si="132"/>
        <v>2024</v>
      </c>
      <c r="D2867" t="s">
        <v>142</v>
      </c>
      <c r="E2867" t="s">
        <v>34</v>
      </c>
      <c r="F2867" t="s">
        <v>35</v>
      </c>
      <c r="G2867" t="s">
        <v>36</v>
      </c>
      <c r="H2867">
        <v>1</v>
      </c>
      <c r="I2867" s="2">
        <v>13.49</v>
      </c>
      <c r="J2867" s="2">
        <v>13.49</v>
      </c>
      <c r="K2867" s="2">
        <f t="shared" si="133"/>
        <v>13.49</v>
      </c>
      <c r="L2867" s="2">
        <f t="shared" si="134"/>
        <v>0</v>
      </c>
      <c r="M2867" t="s">
        <v>20</v>
      </c>
      <c r="N2867" t="s">
        <v>26</v>
      </c>
    </row>
    <row r="2868" spans="1:14" x14ac:dyDescent="0.3">
      <c r="A2868">
        <v>2024003866</v>
      </c>
      <c r="B2868" s="1">
        <v>45302</v>
      </c>
      <c r="C2868" s="11">
        <f t="shared" si="132"/>
        <v>2024</v>
      </c>
      <c r="D2868" t="s">
        <v>73</v>
      </c>
      <c r="E2868" t="s">
        <v>67</v>
      </c>
      <c r="F2868" t="s">
        <v>68</v>
      </c>
      <c r="G2868" t="s">
        <v>36</v>
      </c>
      <c r="H2868">
        <v>1</v>
      </c>
      <c r="I2868" s="2">
        <v>409.57</v>
      </c>
      <c r="J2868" s="2">
        <v>409.57</v>
      </c>
      <c r="K2868" s="2">
        <f t="shared" si="133"/>
        <v>409.57</v>
      </c>
      <c r="L2868" s="2">
        <f t="shared" si="134"/>
        <v>0</v>
      </c>
      <c r="M2868" t="s">
        <v>20</v>
      </c>
      <c r="N2868" t="s">
        <v>16</v>
      </c>
    </row>
    <row r="2869" spans="1:14" x14ac:dyDescent="0.3">
      <c r="A2869">
        <v>2024003867</v>
      </c>
      <c r="B2869" s="1">
        <v>45294</v>
      </c>
      <c r="C2869" s="11">
        <f t="shared" si="132"/>
        <v>2024</v>
      </c>
      <c r="D2869" t="s">
        <v>342</v>
      </c>
      <c r="E2869" t="s">
        <v>40</v>
      </c>
      <c r="F2869" t="s">
        <v>41</v>
      </c>
      <c r="G2869" t="s">
        <v>36</v>
      </c>
      <c r="H2869">
        <v>5</v>
      </c>
      <c r="I2869" s="2">
        <v>43.44</v>
      </c>
      <c r="J2869" s="2">
        <v>217.2</v>
      </c>
      <c r="K2869" s="2">
        <f t="shared" si="133"/>
        <v>217.2</v>
      </c>
      <c r="L2869" s="2">
        <f t="shared" si="134"/>
        <v>0</v>
      </c>
      <c r="M2869" t="s">
        <v>64</v>
      </c>
      <c r="N2869" t="s">
        <v>26</v>
      </c>
    </row>
    <row r="2870" spans="1:14" x14ac:dyDescent="0.3">
      <c r="A2870">
        <v>2024003868</v>
      </c>
      <c r="B2870" s="1">
        <v>45593</v>
      </c>
      <c r="C2870" s="11">
        <f t="shared" si="132"/>
        <v>2024</v>
      </c>
      <c r="D2870" t="s">
        <v>80</v>
      </c>
      <c r="E2870" t="s">
        <v>67</v>
      </c>
      <c r="F2870" t="s">
        <v>68</v>
      </c>
      <c r="G2870" t="s">
        <v>36</v>
      </c>
      <c r="H2870">
        <v>1</v>
      </c>
      <c r="I2870" s="2">
        <v>390.49</v>
      </c>
      <c r="J2870" s="2">
        <v>390.49</v>
      </c>
      <c r="K2870" s="2">
        <f t="shared" si="133"/>
        <v>390.49</v>
      </c>
      <c r="L2870" s="2">
        <f t="shared" si="134"/>
        <v>0</v>
      </c>
      <c r="M2870" t="s">
        <v>25</v>
      </c>
      <c r="N2870" t="s">
        <v>26</v>
      </c>
    </row>
    <row r="2871" spans="1:14" x14ac:dyDescent="0.3">
      <c r="A2871">
        <v>2024003869</v>
      </c>
      <c r="B2871" s="1">
        <v>45348</v>
      </c>
      <c r="C2871" s="11">
        <f t="shared" si="132"/>
        <v>2024</v>
      </c>
      <c r="D2871" t="s">
        <v>171</v>
      </c>
      <c r="E2871" t="s">
        <v>67</v>
      </c>
      <c r="F2871" t="s">
        <v>68</v>
      </c>
      <c r="G2871" t="s">
        <v>36</v>
      </c>
      <c r="H2871">
        <v>3</v>
      </c>
      <c r="I2871" s="2">
        <v>383.4</v>
      </c>
      <c r="J2871" s="2">
        <v>1150.2</v>
      </c>
      <c r="K2871" s="2">
        <f t="shared" si="133"/>
        <v>1150.1999999999998</v>
      </c>
      <c r="L2871" s="2">
        <f t="shared" si="134"/>
        <v>0</v>
      </c>
      <c r="M2871" t="s">
        <v>15</v>
      </c>
      <c r="N2871" t="s">
        <v>16</v>
      </c>
    </row>
    <row r="2872" spans="1:14" x14ac:dyDescent="0.3">
      <c r="A2872">
        <v>2024003870</v>
      </c>
      <c r="B2872" s="1">
        <v>45532</v>
      </c>
      <c r="C2872" s="11">
        <f t="shared" si="132"/>
        <v>2024</v>
      </c>
      <c r="D2872" t="s">
        <v>329</v>
      </c>
      <c r="E2872" t="s">
        <v>12</v>
      </c>
      <c r="F2872" t="s">
        <v>13</v>
      </c>
      <c r="G2872" t="s">
        <v>14</v>
      </c>
      <c r="H2872">
        <v>1</v>
      </c>
      <c r="I2872" s="2">
        <v>356.32</v>
      </c>
      <c r="J2872" s="2">
        <v>356.32</v>
      </c>
      <c r="K2872" s="2">
        <f t="shared" si="133"/>
        <v>356.32</v>
      </c>
      <c r="L2872" s="2">
        <f t="shared" si="134"/>
        <v>0</v>
      </c>
      <c r="M2872" t="s">
        <v>25</v>
      </c>
      <c r="N2872" t="s">
        <v>21</v>
      </c>
    </row>
    <row r="2873" spans="1:14" x14ac:dyDescent="0.3">
      <c r="A2873">
        <v>2024003871</v>
      </c>
      <c r="B2873" s="1">
        <v>45657</v>
      </c>
      <c r="C2873" s="11">
        <f t="shared" si="132"/>
        <v>2024</v>
      </c>
      <c r="D2873" t="s">
        <v>81</v>
      </c>
      <c r="E2873" t="s">
        <v>18</v>
      </c>
      <c r="F2873" t="s">
        <v>19</v>
      </c>
      <c r="G2873" t="s">
        <v>14</v>
      </c>
      <c r="H2873">
        <v>2</v>
      </c>
      <c r="I2873" s="2">
        <v>630.44000000000005</v>
      </c>
      <c r="J2873" s="2">
        <v>1260.8800000000001</v>
      </c>
      <c r="K2873" s="2">
        <f t="shared" si="133"/>
        <v>1260.8800000000001</v>
      </c>
      <c r="L2873" s="2">
        <f t="shared" si="134"/>
        <v>0</v>
      </c>
      <c r="M2873" t="s">
        <v>57</v>
      </c>
      <c r="N2873" t="s">
        <v>32</v>
      </c>
    </row>
    <row r="2874" spans="1:14" x14ac:dyDescent="0.3">
      <c r="A2874">
        <v>2024003872</v>
      </c>
      <c r="B2874" s="1">
        <v>45475</v>
      </c>
      <c r="C2874" s="11">
        <f t="shared" si="132"/>
        <v>2024</v>
      </c>
      <c r="D2874" t="s">
        <v>72</v>
      </c>
      <c r="E2874" t="s">
        <v>34</v>
      </c>
      <c r="F2874" t="s">
        <v>35</v>
      </c>
      <c r="G2874" t="s">
        <v>36</v>
      </c>
      <c r="H2874">
        <v>2</v>
      </c>
      <c r="I2874" s="2">
        <v>14.8</v>
      </c>
      <c r="J2874" s="2">
        <v>29.6</v>
      </c>
      <c r="K2874" s="2">
        <f t="shared" si="133"/>
        <v>29.6</v>
      </c>
      <c r="L2874" s="2">
        <f t="shared" si="134"/>
        <v>0</v>
      </c>
      <c r="M2874" t="s">
        <v>15</v>
      </c>
      <c r="N2874" t="s">
        <v>21</v>
      </c>
    </row>
    <row r="2875" spans="1:14" x14ac:dyDescent="0.3">
      <c r="A2875">
        <v>2024003873</v>
      </c>
      <c r="B2875" s="1">
        <v>45617</v>
      </c>
      <c r="C2875" s="11">
        <f t="shared" si="132"/>
        <v>2024</v>
      </c>
      <c r="D2875" t="s">
        <v>189</v>
      </c>
      <c r="E2875" t="s">
        <v>34</v>
      </c>
      <c r="F2875" t="s">
        <v>35</v>
      </c>
      <c r="G2875" t="s">
        <v>36</v>
      </c>
      <c r="H2875">
        <v>1</v>
      </c>
      <c r="I2875" s="2">
        <v>14.9</v>
      </c>
      <c r="J2875" s="2">
        <v>14.9</v>
      </c>
      <c r="K2875" s="2">
        <f t="shared" si="133"/>
        <v>14.9</v>
      </c>
      <c r="L2875" s="2">
        <f t="shared" si="134"/>
        <v>0</v>
      </c>
      <c r="M2875" t="s">
        <v>31</v>
      </c>
      <c r="N2875" t="s">
        <v>21</v>
      </c>
    </row>
    <row r="2876" spans="1:14" x14ac:dyDescent="0.3">
      <c r="A2876">
        <v>2024003874</v>
      </c>
      <c r="B2876" s="1">
        <v>45444</v>
      </c>
      <c r="C2876" s="11">
        <f t="shared" si="132"/>
        <v>2024</v>
      </c>
      <c r="D2876" t="s">
        <v>144</v>
      </c>
      <c r="E2876" t="s">
        <v>53</v>
      </c>
      <c r="F2876" t="s">
        <v>54</v>
      </c>
      <c r="G2876" t="s">
        <v>36</v>
      </c>
      <c r="H2876">
        <v>5</v>
      </c>
      <c r="I2876" s="2">
        <v>120.67</v>
      </c>
      <c r="J2876" s="2">
        <v>603.35</v>
      </c>
      <c r="K2876" s="2">
        <f t="shared" si="133"/>
        <v>603.35</v>
      </c>
      <c r="L2876" s="2">
        <f t="shared" si="134"/>
        <v>0</v>
      </c>
      <c r="M2876" t="s">
        <v>64</v>
      </c>
      <c r="N2876" t="s">
        <v>32</v>
      </c>
    </row>
    <row r="2877" spans="1:14" x14ac:dyDescent="0.3">
      <c r="A2877">
        <v>2024003875</v>
      </c>
      <c r="B2877" s="1">
        <v>45591</v>
      </c>
      <c r="C2877" s="11">
        <f t="shared" si="132"/>
        <v>2024</v>
      </c>
      <c r="D2877" t="s">
        <v>156</v>
      </c>
      <c r="E2877" t="s">
        <v>34</v>
      </c>
      <c r="F2877" t="s">
        <v>35</v>
      </c>
      <c r="G2877" t="s">
        <v>36</v>
      </c>
      <c r="H2877">
        <v>2</v>
      </c>
      <c r="I2877" s="2">
        <v>13.93</v>
      </c>
      <c r="J2877" s="2">
        <v>27.86</v>
      </c>
      <c r="K2877" s="2">
        <f t="shared" si="133"/>
        <v>27.86</v>
      </c>
      <c r="L2877" s="2">
        <f t="shared" si="134"/>
        <v>0</v>
      </c>
      <c r="M2877" t="s">
        <v>48</v>
      </c>
      <c r="N2877" t="s">
        <v>32</v>
      </c>
    </row>
    <row r="2878" spans="1:14" x14ac:dyDescent="0.3">
      <c r="A2878">
        <v>2024003876</v>
      </c>
      <c r="B2878" s="1">
        <v>45445</v>
      </c>
      <c r="C2878" s="11">
        <f t="shared" si="132"/>
        <v>2024</v>
      </c>
      <c r="D2878" t="s">
        <v>210</v>
      </c>
      <c r="E2878" t="s">
        <v>28</v>
      </c>
      <c r="F2878" t="s">
        <v>29</v>
      </c>
      <c r="G2878" t="s">
        <v>30</v>
      </c>
      <c r="H2878">
        <v>2</v>
      </c>
      <c r="I2878" s="2">
        <v>24.61</v>
      </c>
      <c r="J2878" s="2">
        <v>49.22</v>
      </c>
      <c r="K2878" s="2">
        <f t="shared" si="133"/>
        <v>49.22</v>
      </c>
      <c r="L2878" s="2">
        <f t="shared" si="134"/>
        <v>0</v>
      </c>
      <c r="M2878" t="s">
        <v>57</v>
      </c>
      <c r="N2878" t="s">
        <v>32</v>
      </c>
    </row>
    <row r="2879" spans="1:14" x14ac:dyDescent="0.3">
      <c r="A2879">
        <v>2024003877</v>
      </c>
      <c r="B2879" s="1">
        <v>45473</v>
      </c>
      <c r="C2879" s="11">
        <f t="shared" si="132"/>
        <v>2024</v>
      </c>
      <c r="D2879" t="s">
        <v>11</v>
      </c>
      <c r="E2879" t="s">
        <v>28</v>
      </c>
      <c r="F2879" t="s">
        <v>29</v>
      </c>
      <c r="G2879" t="s">
        <v>30</v>
      </c>
      <c r="H2879">
        <v>1</v>
      </c>
      <c r="I2879" s="2">
        <v>26.6</v>
      </c>
      <c r="J2879" s="2">
        <v>26.6</v>
      </c>
      <c r="K2879" s="2">
        <f t="shared" si="133"/>
        <v>26.6</v>
      </c>
      <c r="L2879" s="2">
        <f t="shared" si="134"/>
        <v>0</v>
      </c>
      <c r="M2879" t="s">
        <v>61</v>
      </c>
      <c r="N2879" t="s">
        <v>16</v>
      </c>
    </row>
    <row r="2880" spans="1:14" x14ac:dyDescent="0.3">
      <c r="A2880">
        <v>2024003878</v>
      </c>
      <c r="B2880" s="1">
        <v>45647</v>
      </c>
      <c r="C2880" s="11">
        <f t="shared" si="132"/>
        <v>2024</v>
      </c>
      <c r="D2880" t="s">
        <v>159</v>
      </c>
      <c r="E2880" t="s">
        <v>40</v>
      </c>
      <c r="F2880" t="s">
        <v>41</v>
      </c>
      <c r="G2880" t="s">
        <v>36</v>
      </c>
      <c r="H2880">
        <v>2</v>
      </c>
      <c r="I2880" s="2">
        <v>42.93</v>
      </c>
      <c r="J2880" s="2">
        <v>85.86</v>
      </c>
      <c r="K2880" s="2">
        <f t="shared" si="133"/>
        <v>85.86</v>
      </c>
      <c r="L2880" s="2">
        <f t="shared" si="134"/>
        <v>0</v>
      </c>
      <c r="M2880" t="s">
        <v>38</v>
      </c>
      <c r="N2880" t="s">
        <v>32</v>
      </c>
    </row>
    <row r="2881" spans="1:14" x14ac:dyDescent="0.3">
      <c r="A2881">
        <v>2024003879</v>
      </c>
      <c r="B2881" s="1">
        <v>45345</v>
      </c>
      <c r="C2881" s="11">
        <f t="shared" si="132"/>
        <v>2024</v>
      </c>
      <c r="D2881" t="s">
        <v>290</v>
      </c>
      <c r="E2881" t="s">
        <v>43</v>
      </c>
      <c r="F2881" t="s">
        <v>44</v>
      </c>
      <c r="G2881" t="s">
        <v>36</v>
      </c>
      <c r="H2881">
        <v>1</v>
      </c>
      <c r="I2881" s="2">
        <v>1198.52</v>
      </c>
      <c r="J2881" s="2">
        <v>1198.52</v>
      </c>
      <c r="K2881" s="2">
        <f t="shared" si="133"/>
        <v>1198.52</v>
      </c>
      <c r="L2881" s="2">
        <f t="shared" si="134"/>
        <v>0</v>
      </c>
      <c r="M2881" t="s">
        <v>15</v>
      </c>
      <c r="N2881" t="s">
        <v>16</v>
      </c>
    </row>
    <row r="2882" spans="1:14" x14ac:dyDescent="0.3">
      <c r="A2882">
        <v>2024003880</v>
      </c>
      <c r="B2882" s="1">
        <v>45382</v>
      </c>
      <c r="C2882" s="11">
        <f t="shared" si="132"/>
        <v>2024</v>
      </c>
      <c r="D2882" t="s">
        <v>137</v>
      </c>
      <c r="E2882" t="s">
        <v>53</v>
      </c>
      <c r="F2882" t="s">
        <v>54</v>
      </c>
      <c r="G2882" t="s">
        <v>36</v>
      </c>
      <c r="H2882">
        <v>1</v>
      </c>
      <c r="I2882" s="2">
        <v>133.97</v>
      </c>
      <c r="J2882" s="2">
        <v>133.97</v>
      </c>
      <c r="K2882" s="2">
        <f t="shared" si="133"/>
        <v>133.97</v>
      </c>
      <c r="L2882" s="2">
        <f t="shared" si="134"/>
        <v>0</v>
      </c>
      <c r="M2882" t="s">
        <v>48</v>
      </c>
      <c r="N2882" t="s">
        <v>16</v>
      </c>
    </row>
    <row r="2883" spans="1:14" x14ac:dyDescent="0.3">
      <c r="A2883">
        <v>2024003881</v>
      </c>
      <c r="B2883" s="1">
        <v>45335</v>
      </c>
      <c r="C2883" s="11">
        <f t="shared" ref="C2883:C2946" si="135">YEAR(B2883)</f>
        <v>2024</v>
      </c>
      <c r="D2883" t="s">
        <v>11</v>
      </c>
      <c r="E2883" t="s">
        <v>12</v>
      </c>
      <c r="F2883" t="s">
        <v>13</v>
      </c>
      <c r="G2883" t="s">
        <v>14</v>
      </c>
      <c r="H2883">
        <v>1</v>
      </c>
      <c r="I2883" s="2">
        <v>342.02</v>
      </c>
      <c r="J2883" s="2">
        <v>342.02</v>
      </c>
      <c r="K2883" s="2">
        <f t="shared" ref="K2883:K2946" si="136">I2883*H2883</f>
        <v>342.02</v>
      </c>
      <c r="L2883" s="2">
        <f t="shared" ref="L2883:L2946" si="137">J2883-K2883</f>
        <v>0</v>
      </c>
      <c r="M2883" t="s">
        <v>25</v>
      </c>
      <c r="N2883" t="s">
        <v>26</v>
      </c>
    </row>
    <row r="2884" spans="1:14" x14ac:dyDescent="0.3">
      <c r="A2884">
        <v>2024003882</v>
      </c>
      <c r="B2884" s="1">
        <v>45563</v>
      </c>
      <c r="C2884" s="11">
        <f t="shared" si="135"/>
        <v>2024</v>
      </c>
      <c r="D2884" t="s">
        <v>149</v>
      </c>
      <c r="E2884" t="s">
        <v>23</v>
      </c>
      <c r="F2884" t="s">
        <v>24</v>
      </c>
      <c r="G2884" t="s">
        <v>14</v>
      </c>
      <c r="H2884">
        <v>4</v>
      </c>
      <c r="I2884" s="2">
        <v>80.13</v>
      </c>
      <c r="J2884" s="2">
        <v>320.52</v>
      </c>
      <c r="K2884" s="2">
        <f t="shared" si="136"/>
        <v>320.52</v>
      </c>
      <c r="L2884" s="2">
        <f t="shared" si="137"/>
        <v>0</v>
      </c>
      <c r="M2884" t="s">
        <v>31</v>
      </c>
      <c r="N2884" t="s">
        <v>26</v>
      </c>
    </row>
    <row r="2885" spans="1:14" x14ac:dyDescent="0.3">
      <c r="A2885">
        <v>2024003883</v>
      </c>
      <c r="B2885" s="1">
        <v>45334</v>
      </c>
      <c r="C2885" s="11">
        <f t="shared" si="135"/>
        <v>2024</v>
      </c>
      <c r="D2885" t="s">
        <v>11</v>
      </c>
      <c r="E2885" t="s">
        <v>28</v>
      </c>
      <c r="F2885" t="s">
        <v>29</v>
      </c>
      <c r="G2885" t="s">
        <v>30</v>
      </c>
      <c r="H2885">
        <v>2</v>
      </c>
      <c r="I2885" s="2">
        <v>26.36</v>
      </c>
      <c r="J2885" s="2">
        <v>52.72</v>
      </c>
      <c r="K2885" s="2">
        <f t="shared" si="136"/>
        <v>52.72</v>
      </c>
      <c r="L2885" s="2">
        <f t="shared" si="137"/>
        <v>0</v>
      </c>
      <c r="M2885" t="s">
        <v>57</v>
      </c>
      <c r="N2885" t="s">
        <v>16</v>
      </c>
    </row>
    <row r="2886" spans="1:14" x14ac:dyDescent="0.3">
      <c r="A2886">
        <v>2024003884</v>
      </c>
      <c r="B2886" s="1">
        <v>45629</v>
      </c>
      <c r="C2886" s="11">
        <f t="shared" si="135"/>
        <v>2024</v>
      </c>
      <c r="D2886" t="s">
        <v>90</v>
      </c>
      <c r="E2886" t="s">
        <v>34</v>
      </c>
      <c r="F2886" t="s">
        <v>35</v>
      </c>
      <c r="G2886" t="s">
        <v>36</v>
      </c>
      <c r="H2886">
        <v>2</v>
      </c>
      <c r="I2886" s="2">
        <v>14.57</v>
      </c>
      <c r="J2886" s="2">
        <v>29.14</v>
      </c>
      <c r="K2886" s="2">
        <f t="shared" si="136"/>
        <v>29.14</v>
      </c>
      <c r="L2886" s="2">
        <f t="shared" si="137"/>
        <v>0</v>
      </c>
      <c r="M2886" t="s">
        <v>55</v>
      </c>
      <c r="N2886" t="s">
        <v>16</v>
      </c>
    </row>
    <row r="2887" spans="1:14" x14ac:dyDescent="0.3">
      <c r="A2887">
        <v>2024003885</v>
      </c>
      <c r="B2887" s="1">
        <v>45442</v>
      </c>
      <c r="C2887" s="11">
        <f t="shared" si="135"/>
        <v>2024</v>
      </c>
      <c r="D2887" t="s">
        <v>206</v>
      </c>
      <c r="E2887" t="s">
        <v>67</v>
      </c>
      <c r="F2887" t="s">
        <v>68</v>
      </c>
      <c r="G2887" t="s">
        <v>36</v>
      </c>
      <c r="H2887">
        <v>2</v>
      </c>
      <c r="I2887" s="2">
        <v>390.84</v>
      </c>
      <c r="J2887" s="2">
        <v>781.68</v>
      </c>
      <c r="K2887" s="2">
        <f t="shared" si="136"/>
        <v>781.68</v>
      </c>
      <c r="L2887" s="2">
        <f t="shared" si="137"/>
        <v>0</v>
      </c>
      <c r="M2887" t="s">
        <v>61</v>
      </c>
      <c r="N2887" t="s">
        <v>16</v>
      </c>
    </row>
    <row r="2888" spans="1:14" x14ac:dyDescent="0.3">
      <c r="A2888">
        <v>2024003886</v>
      </c>
      <c r="B2888" s="1">
        <v>45305</v>
      </c>
      <c r="C2888" s="11">
        <f t="shared" si="135"/>
        <v>2024</v>
      </c>
      <c r="D2888" t="s">
        <v>346</v>
      </c>
      <c r="E2888" t="s">
        <v>53</v>
      </c>
      <c r="F2888" t="s">
        <v>54</v>
      </c>
      <c r="G2888" t="s">
        <v>36</v>
      </c>
      <c r="H2888">
        <v>2</v>
      </c>
      <c r="I2888" s="2">
        <v>119.12</v>
      </c>
      <c r="J2888" s="2">
        <v>238.24</v>
      </c>
      <c r="K2888" s="2">
        <f t="shared" si="136"/>
        <v>238.24</v>
      </c>
      <c r="L2888" s="2">
        <f t="shared" si="137"/>
        <v>0</v>
      </c>
      <c r="M2888" t="s">
        <v>15</v>
      </c>
      <c r="N2888" t="s">
        <v>26</v>
      </c>
    </row>
    <row r="2889" spans="1:14" x14ac:dyDescent="0.3">
      <c r="A2889">
        <v>2024003887</v>
      </c>
      <c r="B2889" s="1">
        <v>45615</v>
      </c>
      <c r="C2889" s="11">
        <f t="shared" si="135"/>
        <v>2024</v>
      </c>
      <c r="D2889" t="s">
        <v>259</v>
      </c>
      <c r="E2889" t="s">
        <v>12</v>
      </c>
      <c r="F2889" t="s">
        <v>13</v>
      </c>
      <c r="G2889" t="s">
        <v>14</v>
      </c>
      <c r="H2889">
        <v>2</v>
      </c>
      <c r="I2889" s="2">
        <v>349.14</v>
      </c>
      <c r="J2889" s="2">
        <v>698.28</v>
      </c>
      <c r="K2889" s="2">
        <f t="shared" si="136"/>
        <v>698.28</v>
      </c>
      <c r="L2889" s="2">
        <f t="shared" si="137"/>
        <v>0</v>
      </c>
      <c r="M2889" t="s">
        <v>38</v>
      </c>
      <c r="N2889" t="s">
        <v>26</v>
      </c>
    </row>
    <row r="2890" spans="1:14" x14ac:dyDescent="0.3">
      <c r="A2890">
        <v>2024003888</v>
      </c>
      <c r="B2890" s="1">
        <v>45416</v>
      </c>
      <c r="C2890" s="11">
        <f t="shared" si="135"/>
        <v>2024</v>
      </c>
      <c r="D2890" t="s">
        <v>232</v>
      </c>
      <c r="E2890" t="s">
        <v>12</v>
      </c>
      <c r="F2890" t="s">
        <v>13</v>
      </c>
      <c r="G2890" t="s">
        <v>14</v>
      </c>
      <c r="H2890">
        <v>2</v>
      </c>
      <c r="I2890" s="2">
        <v>375.4</v>
      </c>
      <c r="J2890" s="2">
        <v>750.8</v>
      </c>
      <c r="K2890" s="2">
        <f t="shared" si="136"/>
        <v>750.8</v>
      </c>
      <c r="L2890" s="2">
        <f t="shared" si="137"/>
        <v>0</v>
      </c>
      <c r="M2890" t="s">
        <v>55</v>
      </c>
      <c r="N2890" t="s">
        <v>32</v>
      </c>
    </row>
    <row r="2891" spans="1:14" x14ac:dyDescent="0.3">
      <c r="A2891">
        <v>2024003889</v>
      </c>
      <c r="B2891" s="1">
        <v>45653</v>
      </c>
      <c r="C2891" s="11">
        <f t="shared" si="135"/>
        <v>2024</v>
      </c>
      <c r="D2891" t="s">
        <v>251</v>
      </c>
      <c r="E2891" t="s">
        <v>34</v>
      </c>
      <c r="F2891" t="s">
        <v>35</v>
      </c>
      <c r="G2891" t="s">
        <v>36</v>
      </c>
      <c r="H2891">
        <v>3</v>
      </c>
      <c r="I2891" s="2">
        <v>14.07</v>
      </c>
      <c r="J2891" s="2">
        <v>42.21</v>
      </c>
      <c r="K2891" s="2">
        <f t="shared" si="136"/>
        <v>42.21</v>
      </c>
      <c r="L2891" s="2">
        <f t="shared" si="137"/>
        <v>0</v>
      </c>
      <c r="M2891" t="s">
        <v>64</v>
      </c>
      <c r="N2891" t="s">
        <v>16</v>
      </c>
    </row>
    <row r="2892" spans="1:14" x14ac:dyDescent="0.3">
      <c r="A2892">
        <v>2024003890</v>
      </c>
      <c r="B2892" s="1">
        <v>45443</v>
      </c>
      <c r="C2892" s="11">
        <f t="shared" si="135"/>
        <v>2024</v>
      </c>
      <c r="D2892" t="s">
        <v>77</v>
      </c>
      <c r="E2892" t="s">
        <v>67</v>
      </c>
      <c r="F2892" t="s">
        <v>68</v>
      </c>
      <c r="G2892" t="s">
        <v>36</v>
      </c>
      <c r="H2892">
        <v>1</v>
      </c>
      <c r="I2892" s="2">
        <v>381.41</v>
      </c>
      <c r="J2892" s="2">
        <v>381.41</v>
      </c>
      <c r="K2892" s="2">
        <f t="shared" si="136"/>
        <v>381.41</v>
      </c>
      <c r="L2892" s="2">
        <f t="shared" si="137"/>
        <v>0</v>
      </c>
      <c r="M2892" t="s">
        <v>38</v>
      </c>
      <c r="N2892" t="s">
        <v>26</v>
      </c>
    </row>
    <row r="2893" spans="1:14" x14ac:dyDescent="0.3">
      <c r="A2893">
        <v>2024003891</v>
      </c>
      <c r="B2893" s="1">
        <v>45422</v>
      </c>
      <c r="C2893" s="11">
        <f t="shared" si="135"/>
        <v>2024</v>
      </c>
      <c r="D2893" t="s">
        <v>293</v>
      </c>
      <c r="E2893" t="s">
        <v>43</v>
      </c>
      <c r="F2893" t="s">
        <v>44</v>
      </c>
      <c r="G2893" t="s">
        <v>36</v>
      </c>
      <c r="H2893">
        <v>2</v>
      </c>
      <c r="I2893" s="2">
        <v>1160.2</v>
      </c>
      <c r="J2893" s="2">
        <v>2320.4</v>
      </c>
      <c r="K2893" s="2">
        <f t="shared" si="136"/>
        <v>2320.4</v>
      </c>
      <c r="L2893" s="2">
        <f t="shared" si="137"/>
        <v>0</v>
      </c>
      <c r="M2893" t="s">
        <v>31</v>
      </c>
      <c r="N2893" t="s">
        <v>16</v>
      </c>
    </row>
    <row r="2894" spans="1:14" x14ac:dyDescent="0.3">
      <c r="A2894">
        <v>2024003892</v>
      </c>
      <c r="B2894" s="1">
        <v>45651</v>
      </c>
      <c r="C2894" s="11">
        <f t="shared" si="135"/>
        <v>2024</v>
      </c>
      <c r="D2894" t="s">
        <v>181</v>
      </c>
      <c r="E2894" t="s">
        <v>40</v>
      </c>
      <c r="F2894" t="s">
        <v>41</v>
      </c>
      <c r="G2894" t="s">
        <v>36</v>
      </c>
      <c r="H2894">
        <v>4</v>
      </c>
      <c r="I2894" s="2">
        <v>43.05</v>
      </c>
      <c r="J2894" s="2">
        <v>172.2</v>
      </c>
      <c r="K2894" s="2">
        <f t="shared" si="136"/>
        <v>172.2</v>
      </c>
      <c r="L2894" s="2">
        <f t="shared" si="137"/>
        <v>0</v>
      </c>
      <c r="M2894" t="s">
        <v>61</v>
      </c>
      <c r="N2894" t="s">
        <v>32</v>
      </c>
    </row>
    <row r="2895" spans="1:14" x14ac:dyDescent="0.3">
      <c r="A2895">
        <v>2024003893</v>
      </c>
      <c r="B2895" s="1">
        <v>45366</v>
      </c>
      <c r="C2895" s="11">
        <f t="shared" si="135"/>
        <v>2024</v>
      </c>
      <c r="D2895" t="s">
        <v>189</v>
      </c>
      <c r="E2895" t="s">
        <v>12</v>
      </c>
      <c r="F2895" t="s">
        <v>13</v>
      </c>
      <c r="G2895" t="s">
        <v>14</v>
      </c>
      <c r="H2895">
        <v>1</v>
      </c>
      <c r="I2895" s="2">
        <v>336.56</v>
      </c>
      <c r="J2895" s="2">
        <v>336.56</v>
      </c>
      <c r="K2895" s="2">
        <f t="shared" si="136"/>
        <v>336.56</v>
      </c>
      <c r="L2895" s="2">
        <f t="shared" si="137"/>
        <v>0</v>
      </c>
      <c r="M2895" t="s">
        <v>31</v>
      </c>
      <c r="N2895" t="s">
        <v>26</v>
      </c>
    </row>
    <row r="2896" spans="1:14" x14ac:dyDescent="0.3">
      <c r="A2896">
        <v>2024003894</v>
      </c>
      <c r="B2896" s="1">
        <v>45479</v>
      </c>
      <c r="C2896" s="11">
        <f t="shared" si="135"/>
        <v>2024</v>
      </c>
      <c r="D2896" t="s">
        <v>163</v>
      </c>
      <c r="E2896" t="s">
        <v>18</v>
      </c>
      <c r="F2896" t="s">
        <v>19</v>
      </c>
      <c r="G2896" t="s">
        <v>14</v>
      </c>
      <c r="H2896">
        <v>3</v>
      </c>
      <c r="I2896" s="2">
        <v>642.69000000000005</v>
      </c>
      <c r="J2896" s="2">
        <v>1928.07</v>
      </c>
      <c r="K2896" s="2">
        <f t="shared" si="136"/>
        <v>1928.0700000000002</v>
      </c>
      <c r="L2896" s="2">
        <f t="shared" si="137"/>
        <v>0</v>
      </c>
      <c r="M2896" t="s">
        <v>64</v>
      </c>
      <c r="N2896" t="s">
        <v>26</v>
      </c>
    </row>
    <row r="2897" spans="1:14" x14ac:dyDescent="0.3">
      <c r="A2897">
        <v>2024003895</v>
      </c>
      <c r="B2897" s="1">
        <v>45543</v>
      </c>
      <c r="C2897" s="11">
        <f t="shared" si="135"/>
        <v>2024</v>
      </c>
      <c r="D2897" t="s">
        <v>145</v>
      </c>
      <c r="E2897" t="s">
        <v>67</v>
      </c>
      <c r="F2897" t="s">
        <v>68</v>
      </c>
      <c r="G2897" t="s">
        <v>36</v>
      </c>
      <c r="H2897">
        <v>3</v>
      </c>
      <c r="I2897" s="2">
        <v>397.78</v>
      </c>
      <c r="J2897" s="2">
        <v>1193.3399999999999</v>
      </c>
      <c r="K2897" s="2">
        <f t="shared" si="136"/>
        <v>1193.3399999999999</v>
      </c>
      <c r="L2897" s="2">
        <f t="shared" si="137"/>
        <v>0</v>
      </c>
      <c r="M2897" t="s">
        <v>25</v>
      </c>
      <c r="N2897" t="s">
        <v>32</v>
      </c>
    </row>
    <row r="2898" spans="1:14" x14ac:dyDescent="0.3">
      <c r="A2898">
        <v>2024003896</v>
      </c>
      <c r="B2898" s="1">
        <v>45544</v>
      </c>
      <c r="C2898" s="11">
        <f t="shared" si="135"/>
        <v>2024</v>
      </c>
      <c r="D2898" t="s">
        <v>296</v>
      </c>
      <c r="E2898" t="s">
        <v>46</v>
      </c>
      <c r="F2898" t="s">
        <v>47</v>
      </c>
      <c r="G2898" t="s">
        <v>36</v>
      </c>
      <c r="H2898">
        <v>3</v>
      </c>
      <c r="I2898" s="2">
        <v>95.81</v>
      </c>
      <c r="J2898" s="2">
        <v>287.43</v>
      </c>
      <c r="K2898" s="2">
        <f t="shared" si="136"/>
        <v>287.43</v>
      </c>
      <c r="L2898" s="2">
        <f t="shared" si="137"/>
        <v>0</v>
      </c>
      <c r="M2898" t="s">
        <v>38</v>
      </c>
      <c r="N2898" t="s">
        <v>21</v>
      </c>
    </row>
    <row r="2899" spans="1:14" x14ac:dyDescent="0.3">
      <c r="A2899">
        <v>2024003897</v>
      </c>
      <c r="B2899" s="1">
        <v>45537</v>
      </c>
      <c r="C2899" s="11">
        <f t="shared" si="135"/>
        <v>2024</v>
      </c>
      <c r="D2899" t="s">
        <v>137</v>
      </c>
      <c r="E2899" t="s">
        <v>40</v>
      </c>
      <c r="F2899" t="s">
        <v>41</v>
      </c>
      <c r="G2899" t="s">
        <v>36</v>
      </c>
      <c r="H2899">
        <v>3</v>
      </c>
      <c r="I2899" s="2">
        <v>51.49</v>
      </c>
      <c r="J2899" s="2">
        <v>154.47</v>
      </c>
      <c r="K2899" s="2">
        <f t="shared" si="136"/>
        <v>154.47</v>
      </c>
      <c r="L2899" s="2">
        <f t="shared" si="137"/>
        <v>0</v>
      </c>
      <c r="M2899" t="s">
        <v>48</v>
      </c>
      <c r="N2899" t="s">
        <v>21</v>
      </c>
    </row>
    <row r="2900" spans="1:14" x14ac:dyDescent="0.3">
      <c r="A2900">
        <v>2024003898</v>
      </c>
      <c r="B2900" s="1">
        <v>45464</v>
      </c>
      <c r="C2900" s="11">
        <f t="shared" si="135"/>
        <v>2024</v>
      </c>
      <c r="D2900" t="s">
        <v>311</v>
      </c>
      <c r="E2900" t="s">
        <v>67</v>
      </c>
      <c r="F2900" t="s">
        <v>68</v>
      </c>
      <c r="G2900" t="s">
        <v>36</v>
      </c>
      <c r="H2900">
        <v>2</v>
      </c>
      <c r="I2900" s="2">
        <v>397.59</v>
      </c>
      <c r="J2900" s="2">
        <v>795.18</v>
      </c>
      <c r="K2900" s="2">
        <f t="shared" si="136"/>
        <v>795.18</v>
      </c>
      <c r="L2900" s="2">
        <f t="shared" si="137"/>
        <v>0</v>
      </c>
      <c r="M2900" t="s">
        <v>15</v>
      </c>
      <c r="N2900" t="s">
        <v>32</v>
      </c>
    </row>
    <row r="2901" spans="1:14" x14ac:dyDescent="0.3">
      <c r="A2901">
        <v>2024003899</v>
      </c>
      <c r="B2901" s="1">
        <v>45392</v>
      </c>
      <c r="C2901" s="11">
        <f t="shared" si="135"/>
        <v>2024</v>
      </c>
      <c r="D2901" t="s">
        <v>178</v>
      </c>
      <c r="E2901" t="s">
        <v>34</v>
      </c>
      <c r="F2901" t="s">
        <v>35</v>
      </c>
      <c r="G2901" t="s">
        <v>36</v>
      </c>
      <c r="H2901">
        <v>2</v>
      </c>
      <c r="I2901" s="2">
        <v>13.96</v>
      </c>
      <c r="J2901" s="2">
        <v>27.92</v>
      </c>
      <c r="K2901" s="2">
        <f t="shared" si="136"/>
        <v>27.92</v>
      </c>
      <c r="L2901" s="2">
        <f t="shared" si="137"/>
        <v>0</v>
      </c>
      <c r="M2901" t="s">
        <v>64</v>
      </c>
      <c r="N2901" t="s">
        <v>32</v>
      </c>
    </row>
    <row r="2902" spans="1:14" x14ac:dyDescent="0.3">
      <c r="A2902">
        <v>2024003900</v>
      </c>
      <c r="B2902" s="1">
        <v>45529</v>
      </c>
      <c r="C2902" s="11">
        <f t="shared" si="135"/>
        <v>2024</v>
      </c>
      <c r="D2902" t="s">
        <v>11</v>
      </c>
      <c r="E2902" t="s">
        <v>18</v>
      </c>
      <c r="F2902" t="s">
        <v>19</v>
      </c>
      <c r="G2902" t="s">
        <v>14</v>
      </c>
      <c r="H2902">
        <v>2</v>
      </c>
      <c r="I2902" s="2">
        <v>582.41</v>
      </c>
      <c r="J2902" s="2">
        <v>1164.82</v>
      </c>
      <c r="K2902" s="2">
        <f t="shared" si="136"/>
        <v>1164.82</v>
      </c>
      <c r="L2902" s="2">
        <f t="shared" si="137"/>
        <v>0</v>
      </c>
      <c r="M2902" t="s">
        <v>55</v>
      </c>
      <c r="N2902" t="s">
        <v>16</v>
      </c>
    </row>
    <row r="2903" spans="1:14" x14ac:dyDescent="0.3">
      <c r="A2903">
        <v>2024003901</v>
      </c>
      <c r="B2903" s="1">
        <v>45548</v>
      </c>
      <c r="C2903" s="11">
        <f t="shared" si="135"/>
        <v>2024</v>
      </c>
      <c r="D2903" t="s">
        <v>104</v>
      </c>
      <c r="E2903" t="s">
        <v>40</v>
      </c>
      <c r="F2903" t="s">
        <v>41</v>
      </c>
      <c r="G2903" t="s">
        <v>36</v>
      </c>
      <c r="H2903">
        <v>1</v>
      </c>
      <c r="I2903" s="2">
        <v>46.41</v>
      </c>
      <c r="J2903" s="2">
        <v>46.41</v>
      </c>
      <c r="K2903" s="2">
        <f t="shared" si="136"/>
        <v>46.41</v>
      </c>
      <c r="L2903" s="2">
        <f t="shared" si="137"/>
        <v>0</v>
      </c>
      <c r="M2903" t="s">
        <v>38</v>
      </c>
      <c r="N2903" t="s">
        <v>21</v>
      </c>
    </row>
    <row r="2904" spans="1:14" x14ac:dyDescent="0.3">
      <c r="A2904">
        <v>2024003902</v>
      </c>
      <c r="B2904" s="1">
        <v>45575</v>
      </c>
      <c r="C2904" s="11">
        <f t="shared" si="135"/>
        <v>2024</v>
      </c>
      <c r="D2904" t="s">
        <v>335</v>
      </c>
      <c r="E2904" t="s">
        <v>53</v>
      </c>
      <c r="F2904" t="s">
        <v>54</v>
      </c>
      <c r="G2904" t="s">
        <v>36</v>
      </c>
      <c r="H2904">
        <v>1</v>
      </c>
      <c r="I2904" s="2">
        <v>124.23</v>
      </c>
      <c r="J2904" s="2">
        <v>124.23</v>
      </c>
      <c r="K2904" s="2">
        <f t="shared" si="136"/>
        <v>124.23</v>
      </c>
      <c r="L2904" s="2">
        <f t="shared" si="137"/>
        <v>0</v>
      </c>
      <c r="M2904" t="s">
        <v>38</v>
      </c>
      <c r="N2904" t="s">
        <v>16</v>
      </c>
    </row>
    <row r="2905" spans="1:14" x14ac:dyDescent="0.3">
      <c r="A2905">
        <v>2024003903</v>
      </c>
      <c r="B2905" s="1">
        <v>45519</v>
      </c>
      <c r="C2905" s="11">
        <f t="shared" si="135"/>
        <v>2024</v>
      </c>
      <c r="D2905" t="s">
        <v>62</v>
      </c>
      <c r="E2905" t="s">
        <v>34</v>
      </c>
      <c r="F2905" t="s">
        <v>35</v>
      </c>
      <c r="G2905" t="s">
        <v>36</v>
      </c>
      <c r="H2905">
        <v>1</v>
      </c>
      <c r="I2905" s="2">
        <v>15.19</v>
      </c>
      <c r="J2905" s="2">
        <v>15.19</v>
      </c>
      <c r="K2905" s="2">
        <f t="shared" si="136"/>
        <v>15.19</v>
      </c>
      <c r="L2905" s="2">
        <f t="shared" si="137"/>
        <v>0</v>
      </c>
      <c r="M2905" t="s">
        <v>15</v>
      </c>
      <c r="N2905" t="s">
        <v>16</v>
      </c>
    </row>
    <row r="2906" spans="1:14" x14ac:dyDescent="0.3">
      <c r="A2906">
        <v>2024003904</v>
      </c>
      <c r="B2906" s="1">
        <v>45398</v>
      </c>
      <c r="C2906" s="11">
        <f t="shared" si="135"/>
        <v>2024</v>
      </c>
      <c r="D2906" t="s">
        <v>129</v>
      </c>
      <c r="E2906" t="s">
        <v>67</v>
      </c>
      <c r="F2906" t="s">
        <v>68</v>
      </c>
      <c r="G2906" t="s">
        <v>36</v>
      </c>
      <c r="H2906">
        <v>1</v>
      </c>
      <c r="I2906" s="2">
        <v>418.63</v>
      </c>
      <c r="J2906" s="2">
        <v>418.63</v>
      </c>
      <c r="K2906" s="2">
        <f t="shared" si="136"/>
        <v>418.63</v>
      </c>
      <c r="L2906" s="2">
        <f t="shared" si="137"/>
        <v>0</v>
      </c>
      <c r="M2906" t="s">
        <v>38</v>
      </c>
      <c r="N2906" t="s">
        <v>32</v>
      </c>
    </row>
    <row r="2907" spans="1:14" x14ac:dyDescent="0.3">
      <c r="A2907">
        <v>2024003905</v>
      </c>
      <c r="B2907" s="1">
        <v>45339</v>
      </c>
      <c r="C2907" s="11">
        <f t="shared" si="135"/>
        <v>2024</v>
      </c>
      <c r="D2907" t="s">
        <v>202</v>
      </c>
      <c r="E2907" t="s">
        <v>46</v>
      </c>
      <c r="F2907" t="s">
        <v>47</v>
      </c>
      <c r="G2907" t="s">
        <v>36</v>
      </c>
      <c r="H2907">
        <v>1</v>
      </c>
      <c r="I2907" s="2">
        <v>91.25</v>
      </c>
      <c r="J2907" s="2">
        <v>91.25</v>
      </c>
      <c r="K2907" s="2">
        <f t="shared" si="136"/>
        <v>91.25</v>
      </c>
      <c r="L2907" s="2">
        <f t="shared" si="137"/>
        <v>0</v>
      </c>
      <c r="M2907" t="s">
        <v>15</v>
      </c>
      <c r="N2907" t="s">
        <v>16</v>
      </c>
    </row>
    <row r="2908" spans="1:14" x14ac:dyDescent="0.3">
      <c r="A2908">
        <v>2024003906</v>
      </c>
      <c r="B2908" s="1">
        <v>45547</v>
      </c>
      <c r="C2908" s="11">
        <f t="shared" si="135"/>
        <v>2024</v>
      </c>
      <c r="D2908" t="s">
        <v>158</v>
      </c>
      <c r="E2908" t="s">
        <v>53</v>
      </c>
      <c r="F2908" t="s">
        <v>54</v>
      </c>
      <c r="G2908" t="s">
        <v>36</v>
      </c>
      <c r="H2908">
        <v>1</v>
      </c>
      <c r="I2908" s="2">
        <v>120.56</v>
      </c>
      <c r="J2908" s="2">
        <v>120.56</v>
      </c>
      <c r="K2908" s="2">
        <f t="shared" si="136"/>
        <v>120.56</v>
      </c>
      <c r="L2908" s="2">
        <f t="shared" si="137"/>
        <v>0</v>
      </c>
      <c r="M2908" t="s">
        <v>61</v>
      </c>
      <c r="N2908" t="s">
        <v>26</v>
      </c>
    </row>
    <row r="2909" spans="1:14" x14ac:dyDescent="0.3">
      <c r="A2909">
        <v>2024003907</v>
      </c>
      <c r="B2909" s="1">
        <v>45647</v>
      </c>
      <c r="C2909" s="11">
        <f t="shared" si="135"/>
        <v>2024</v>
      </c>
      <c r="D2909" t="s">
        <v>266</v>
      </c>
      <c r="E2909" t="s">
        <v>28</v>
      </c>
      <c r="F2909" t="s">
        <v>29</v>
      </c>
      <c r="G2909" t="s">
        <v>30</v>
      </c>
      <c r="H2909">
        <v>4</v>
      </c>
      <c r="I2909" s="2">
        <v>26.15</v>
      </c>
      <c r="J2909" s="2">
        <v>104.6</v>
      </c>
      <c r="K2909" s="2">
        <f t="shared" si="136"/>
        <v>104.6</v>
      </c>
      <c r="L2909" s="2">
        <f t="shared" si="137"/>
        <v>0</v>
      </c>
      <c r="M2909" t="s">
        <v>61</v>
      </c>
      <c r="N2909" t="s">
        <v>21</v>
      </c>
    </row>
    <row r="2910" spans="1:14" x14ac:dyDescent="0.3">
      <c r="A2910">
        <v>2024003908</v>
      </c>
      <c r="B2910" s="1">
        <v>45427</v>
      </c>
      <c r="C2910" s="11">
        <f t="shared" si="135"/>
        <v>2024</v>
      </c>
      <c r="D2910" t="s">
        <v>343</v>
      </c>
      <c r="E2910" t="s">
        <v>12</v>
      </c>
      <c r="F2910" t="s">
        <v>13</v>
      </c>
      <c r="G2910" t="s">
        <v>14</v>
      </c>
      <c r="H2910">
        <v>2</v>
      </c>
      <c r="I2910" s="2">
        <v>345.79</v>
      </c>
      <c r="J2910" s="2">
        <v>691.58</v>
      </c>
      <c r="K2910" s="2">
        <f t="shared" si="136"/>
        <v>691.58</v>
      </c>
      <c r="L2910" s="2">
        <f t="shared" si="137"/>
        <v>0</v>
      </c>
      <c r="M2910" t="s">
        <v>48</v>
      </c>
      <c r="N2910" t="s">
        <v>26</v>
      </c>
    </row>
    <row r="2911" spans="1:14" x14ac:dyDescent="0.3">
      <c r="A2911">
        <v>2024003909</v>
      </c>
      <c r="B2911" s="1">
        <v>45596</v>
      </c>
      <c r="C2911" s="11">
        <f t="shared" si="135"/>
        <v>2024</v>
      </c>
      <c r="D2911" t="s">
        <v>144</v>
      </c>
      <c r="E2911" t="s">
        <v>67</v>
      </c>
      <c r="F2911" t="s">
        <v>68</v>
      </c>
      <c r="G2911" t="s">
        <v>36</v>
      </c>
      <c r="H2911">
        <v>1</v>
      </c>
      <c r="I2911" s="2">
        <v>415.36</v>
      </c>
      <c r="J2911" s="2">
        <v>415.36</v>
      </c>
      <c r="K2911" s="2">
        <f t="shared" si="136"/>
        <v>415.36</v>
      </c>
      <c r="L2911" s="2">
        <f t="shared" si="137"/>
        <v>0</v>
      </c>
      <c r="M2911" t="s">
        <v>57</v>
      </c>
      <c r="N2911" t="s">
        <v>16</v>
      </c>
    </row>
    <row r="2912" spans="1:14" x14ac:dyDescent="0.3">
      <c r="A2912">
        <v>2024003910</v>
      </c>
      <c r="B2912" s="1">
        <v>45596</v>
      </c>
      <c r="C2912" s="11">
        <f t="shared" si="135"/>
        <v>2024</v>
      </c>
      <c r="D2912" t="s">
        <v>314</v>
      </c>
      <c r="E2912" t="s">
        <v>18</v>
      </c>
      <c r="F2912" t="s">
        <v>19</v>
      </c>
      <c r="G2912" t="s">
        <v>14</v>
      </c>
      <c r="H2912">
        <v>3</v>
      </c>
      <c r="I2912" s="2">
        <v>609.15</v>
      </c>
      <c r="J2912" s="2">
        <v>1827.45</v>
      </c>
      <c r="K2912" s="2">
        <f t="shared" si="136"/>
        <v>1827.4499999999998</v>
      </c>
      <c r="L2912" s="2">
        <f t="shared" si="137"/>
        <v>0</v>
      </c>
      <c r="M2912" t="s">
        <v>25</v>
      </c>
      <c r="N2912" t="s">
        <v>32</v>
      </c>
    </row>
    <row r="2913" spans="1:14" x14ac:dyDescent="0.3">
      <c r="A2913">
        <v>2024003911</v>
      </c>
      <c r="B2913" s="1">
        <v>45319</v>
      </c>
      <c r="C2913" s="11">
        <f t="shared" si="135"/>
        <v>2024</v>
      </c>
      <c r="D2913" t="s">
        <v>148</v>
      </c>
      <c r="E2913" t="s">
        <v>12</v>
      </c>
      <c r="F2913" t="s">
        <v>13</v>
      </c>
      <c r="G2913" t="s">
        <v>14</v>
      </c>
      <c r="H2913">
        <v>1</v>
      </c>
      <c r="I2913" s="2">
        <v>352.19</v>
      </c>
      <c r="J2913" s="2">
        <v>352.19</v>
      </c>
      <c r="K2913" s="2">
        <f t="shared" si="136"/>
        <v>352.19</v>
      </c>
      <c r="L2913" s="2">
        <f t="shared" si="137"/>
        <v>0</v>
      </c>
      <c r="M2913" t="s">
        <v>31</v>
      </c>
      <c r="N2913" t="s">
        <v>21</v>
      </c>
    </row>
    <row r="2914" spans="1:14" x14ac:dyDescent="0.3">
      <c r="A2914">
        <v>2024003912</v>
      </c>
      <c r="B2914" s="1">
        <v>45498</v>
      </c>
      <c r="C2914" s="11">
        <f t="shared" si="135"/>
        <v>2024</v>
      </c>
      <c r="D2914" t="s">
        <v>11</v>
      </c>
      <c r="E2914" t="s">
        <v>12</v>
      </c>
      <c r="F2914" t="s">
        <v>13</v>
      </c>
      <c r="G2914" t="s">
        <v>14</v>
      </c>
      <c r="H2914">
        <v>3</v>
      </c>
      <c r="I2914" s="2">
        <v>358.02</v>
      </c>
      <c r="J2914" s="2">
        <v>1074.06</v>
      </c>
      <c r="K2914" s="2">
        <f t="shared" si="136"/>
        <v>1074.06</v>
      </c>
      <c r="L2914" s="2">
        <f t="shared" si="137"/>
        <v>0</v>
      </c>
      <c r="M2914" t="s">
        <v>48</v>
      </c>
      <c r="N2914" t="s">
        <v>26</v>
      </c>
    </row>
    <row r="2915" spans="1:14" x14ac:dyDescent="0.3">
      <c r="A2915">
        <v>2024003913</v>
      </c>
      <c r="B2915" s="1">
        <v>45390</v>
      </c>
      <c r="C2915" s="11">
        <f t="shared" si="135"/>
        <v>2024</v>
      </c>
      <c r="D2915" t="s">
        <v>11</v>
      </c>
      <c r="E2915" t="s">
        <v>53</v>
      </c>
      <c r="F2915" t="s">
        <v>54</v>
      </c>
      <c r="G2915" t="s">
        <v>36</v>
      </c>
      <c r="H2915">
        <v>1</v>
      </c>
      <c r="I2915" s="2">
        <v>122.03</v>
      </c>
      <c r="J2915" s="2">
        <v>122.03</v>
      </c>
      <c r="K2915" s="2">
        <f t="shared" si="136"/>
        <v>122.03</v>
      </c>
      <c r="L2915" s="2">
        <f t="shared" si="137"/>
        <v>0</v>
      </c>
      <c r="M2915" t="s">
        <v>48</v>
      </c>
      <c r="N2915" t="s">
        <v>16</v>
      </c>
    </row>
    <row r="2916" spans="1:14" x14ac:dyDescent="0.3">
      <c r="A2916">
        <v>2024003914</v>
      </c>
      <c r="B2916" s="1">
        <v>45486</v>
      </c>
      <c r="C2916" s="11">
        <f t="shared" si="135"/>
        <v>2024</v>
      </c>
      <c r="D2916" t="s">
        <v>104</v>
      </c>
      <c r="E2916" t="s">
        <v>18</v>
      </c>
      <c r="F2916" t="s">
        <v>19</v>
      </c>
      <c r="G2916" t="s">
        <v>14</v>
      </c>
      <c r="H2916">
        <v>1</v>
      </c>
      <c r="I2916" s="2">
        <v>578.83000000000004</v>
      </c>
      <c r="J2916" s="2">
        <v>578.83000000000004</v>
      </c>
      <c r="K2916" s="2">
        <f t="shared" si="136"/>
        <v>578.83000000000004</v>
      </c>
      <c r="L2916" s="2">
        <f t="shared" si="137"/>
        <v>0</v>
      </c>
      <c r="M2916" t="s">
        <v>20</v>
      </c>
      <c r="N2916" t="s">
        <v>32</v>
      </c>
    </row>
    <row r="2917" spans="1:14" x14ac:dyDescent="0.3">
      <c r="A2917">
        <v>2024003915</v>
      </c>
      <c r="B2917" s="1">
        <v>45500</v>
      </c>
      <c r="C2917" s="11">
        <f t="shared" si="135"/>
        <v>2024</v>
      </c>
      <c r="D2917" t="s">
        <v>11</v>
      </c>
      <c r="E2917" t="s">
        <v>43</v>
      </c>
      <c r="F2917" t="s">
        <v>44</v>
      </c>
      <c r="G2917" t="s">
        <v>36</v>
      </c>
      <c r="H2917">
        <v>3</v>
      </c>
      <c r="I2917" s="2">
        <v>1187.52</v>
      </c>
      <c r="J2917" s="2">
        <v>3562.56</v>
      </c>
      <c r="K2917" s="2">
        <f t="shared" si="136"/>
        <v>3562.56</v>
      </c>
      <c r="L2917" s="2">
        <f t="shared" si="137"/>
        <v>0</v>
      </c>
      <c r="M2917" t="s">
        <v>61</v>
      </c>
      <c r="N2917" t="s">
        <v>16</v>
      </c>
    </row>
    <row r="2918" spans="1:14" x14ac:dyDescent="0.3">
      <c r="A2918">
        <v>2024003916</v>
      </c>
      <c r="B2918" s="1">
        <v>45595</v>
      </c>
      <c r="C2918" s="11">
        <f t="shared" si="135"/>
        <v>2024</v>
      </c>
      <c r="D2918" t="s">
        <v>194</v>
      </c>
      <c r="E2918" t="s">
        <v>28</v>
      </c>
      <c r="F2918" t="s">
        <v>29</v>
      </c>
      <c r="G2918" t="s">
        <v>30</v>
      </c>
      <c r="H2918">
        <v>5</v>
      </c>
      <c r="I2918" s="2">
        <v>24.32</v>
      </c>
      <c r="J2918" s="2">
        <v>121.6</v>
      </c>
      <c r="K2918" s="2">
        <f t="shared" si="136"/>
        <v>121.6</v>
      </c>
      <c r="L2918" s="2">
        <f t="shared" si="137"/>
        <v>0</v>
      </c>
      <c r="M2918" t="s">
        <v>15</v>
      </c>
      <c r="N2918" t="s">
        <v>26</v>
      </c>
    </row>
    <row r="2919" spans="1:14" x14ac:dyDescent="0.3">
      <c r="A2919">
        <v>2024003917</v>
      </c>
      <c r="B2919" s="1">
        <v>45649</v>
      </c>
      <c r="C2919" s="11">
        <f t="shared" si="135"/>
        <v>2024</v>
      </c>
      <c r="D2919" t="s">
        <v>253</v>
      </c>
      <c r="E2919" t="s">
        <v>40</v>
      </c>
      <c r="F2919" t="s">
        <v>41</v>
      </c>
      <c r="G2919" t="s">
        <v>36</v>
      </c>
      <c r="H2919">
        <v>1</v>
      </c>
      <c r="I2919" s="2">
        <v>46.86</v>
      </c>
      <c r="J2919" s="2">
        <v>46.86</v>
      </c>
      <c r="K2919" s="2">
        <f t="shared" si="136"/>
        <v>46.86</v>
      </c>
      <c r="L2919" s="2">
        <f t="shared" si="137"/>
        <v>0</v>
      </c>
      <c r="M2919" t="s">
        <v>61</v>
      </c>
      <c r="N2919" t="s">
        <v>32</v>
      </c>
    </row>
    <row r="2920" spans="1:14" x14ac:dyDescent="0.3">
      <c r="A2920">
        <v>2024003918</v>
      </c>
      <c r="B2920" s="1">
        <v>45638</v>
      </c>
      <c r="C2920" s="11">
        <f t="shared" si="135"/>
        <v>2024</v>
      </c>
      <c r="D2920" t="s">
        <v>11</v>
      </c>
      <c r="E2920" t="s">
        <v>46</v>
      </c>
      <c r="F2920" t="s">
        <v>47</v>
      </c>
      <c r="G2920" t="s">
        <v>36</v>
      </c>
      <c r="H2920">
        <v>1</v>
      </c>
      <c r="I2920" s="2">
        <v>92.91</v>
      </c>
      <c r="J2920" s="2">
        <v>92.91</v>
      </c>
      <c r="K2920" s="2">
        <f t="shared" si="136"/>
        <v>92.91</v>
      </c>
      <c r="L2920" s="2">
        <f t="shared" si="137"/>
        <v>0</v>
      </c>
      <c r="M2920" t="s">
        <v>15</v>
      </c>
      <c r="N2920" t="s">
        <v>21</v>
      </c>
    </row>
    <row r="2921" spans="1:14" x14ac:dyDescent="0.3">
      <c r="A2921">
        <v>2024003919</v>
      </c>
      <c r="B2921" s="1">
        <v>45399</v>
      </c>
      <c r="C2921" s="11">
        <f t="shared" si="135"/>
        <v>2024</v>
      </c>
      <c r="D2921" t="s">
        <v>84</v>
      </c>
      <c r="E2921" t="s">
        <v>40</v>
      </c>
      <c r="F2921" t="s">
        <v>41</v>
      </c>
      <c r="G2921" t="s">
        <v>36</v>
      </c>
      <c r="H2921">
        <v>2</v>
      </c>
      <c r="I2921" s="2">
        <v>42.51</v>
      </c>
      <c r="J2921" s="2">
        <v>85.02</v>
      </c>
      <c r="K2921" s="2">
        <f t="shared" si="136"/>
        <v>85.02</v>
      </c>
      <c r="L2921" s="2">
        <f t="shared" si="137"/>
        <v>0</v>
      </c>
      <c r="M2921" t="s">
        <v>38</v>
      </c>
      <c r="N2921" t="s">
        <v>32</v>
      </c>
    </row>
    <row r="2922" spans="1:14" x14ac:dyDescent="0.3">
      <c r="A2922">
        <v>2024003920</v>
      </c>
      <c r="B2922" s="1">
        <v>45419</v>
      </c>
      <c r="C2922" s="11">
        <f t="shared" si="135"/>
        <v>2024</v>
      </c>
      <c r="D2922" t="s">
        <v>88</v>
      </c>
      <c r="E2922" t="s">
        <v>46</v>
      </c>
      <c r="F2922" t="s">
        <v>47</v>
      </c>
      <c r="G2922" t="s">
        <v>36</v>
      </c>
      <c r="H2922">
        <v>1</v>
      </c>
      <c r="I2922" s="2">
        <v>92.1</v>
      </c>
      <c r="J2922" s="2">
        <v>92.1</v>
      </c>
      <c r="K2922" s="2">
        <f t="shared" si="136"/>
        <v>92.1</v>
      </c>
      <c r="L2922" s="2">
        <f t="shared" si="137"/>
        <v>0</v>
      </c>
      <c r="M2922" t="s">
        <v>15</v>
      </c>
      <c r="N2922" t="s">
        <v>21</v>
      </c>
    </row>
    <row r="2923" spans="1:14" x14ac:dyDescent="0.3">
      <c r="A2923">
        <v>2024003921</v>
      </c>
      <c r="B2923" s="1">
        <v>45631</v>
      </c>
      <c r="C2923" s="11">
        <f t="shared" si="135"/>
        <v>2024</v>
      </c>
      <c r="D2923" t="s">
        <v>332</v>
      </c>
      <c r="E2923" t="s">
        <v>34</v>
      </c>
      <c r="F2923" t="s">
        <v>35</v>
      </c>
      <c r="G2923" t="s">
        <v>36</v>
      </c>
      <c r="H2923">
        <v>1</v>
      </c>
      <c r="I2923" s="2">
        <v>15.13</v>
      </c>
      <c r="J2923" s="2">
        <v>15.13</v>
      </c>
      <c r="K2923" s="2">
        <f t="shared" si="136"/>
        <v>15.13</v>
      </c>
      <c r="L2923" s="2">
        <f t="shared" si="137"/>
        <v>0</v>
      </c>
      <c r="M2923" t="s">
        <v>55</v>
      </c>
      <c r="N2923" t="s">
        <v>21</v>
      </c>
    </row>
    <row r="2924" spans="1:14" x14ac:dyDescent="0.3">
      <c r="A2924">
        <v>2024003922</v>
      </c>
      <c r="B2924" s="1">
        <v>45573</v>
      </c>
      <c r="C2924" s="11">
        <f t="shared" si="135"/>
        <v>2024</v>
      </c>
      <c r="D2924" t="s">
        <v>330</v>
      </c>
      <c r="E2924" t="s">
        <v>46</v>
      </c>
      <c r="F2924" t="s">
        <v>47</v>
      </c>
      <c r="G2924" t="s">
        <v>36</v>
      </c>
      <c r="H2924">
        <v>2</v>
      </c>
      <c r="I2924" s="2">
        <v>88.92</v>
      </c>
      <c r="J2924" s="2">
        <v>177.84</v>
      </c>
      <c r="K2924" s="2">
        <f t="shared" si="136"/>
        <v>177.84</v>
      </c>
      <c r="L2924" s="2">
        <f t="shared" si="137"/>
        <v>0</v>
      </c>
      <c r="M2924" t="s">
        <v>64</v>
      </c>
      <c r="N2924" t="s">
        <v>26</v>
      </c>
    </row>
    <row r="2925" spans="1:14" x14ac:dyDescent="0.3">
      <c r="A2925">
        <v>2024003923</v>
      </c>
      <c r="B2925" s="1">
        <v>45503</v>
      </c>
      <c r="C2925" s="11">
        <f t="shared" si="135"/>
        <v>2024</v>
      </c>
      <c r="D2925" t="s">
        <v>263</v>
      </c>
      <c r="E2925" t="s">
        <v>23</v>
      </c>
      <c r="F2925" t="s">
        <v>24</v>
      </c>
      <c r="G2925" t="s">
        <v>14</v>
      </c>
      <c r="H2925">
        <v>1</v>
      </c>
      <c r="I2925" s="2">
        <v>80.040000000000006</v>
      </c>
      <c r="J2925" s="2">
        <v>80.040000000000006</v>
      </c>
      <c r="K2925" s="2">
        <f t="shared" si="136"/>
        <v>80.040000000000006</v>
      </c>
      <c r="L2925" s="2">
        <f t="shared" si="137"/>
        <v>0</v>
      </c>
      <c r="M2925" t="s">
        <v>61</v>
      </c>
      <c r="N2925" t="s">
        <v>21</v>
      </c>
    </row>
    <row r="2926" spans="1:14" x14ac:dyDescent="0.3">
      <c r="A2926">
        <v>2024003924</v>
      </c>
      <c r="B2926" s="1">
        <v>45329</v>
      </c>
      <c r="C2926" s="11">
        <f t="shared" si="135"/>
        <v>2024</v>
      </c>
      <c r="D2926" t="s">
        <v>262</v>
      </c>
      <c r="E2926" t="s">
        <v>23</v>
      </c>
      <c r="F2926" t="s">
        <v>24</v>
      </c>
      <c r="G2926" t="s">
        <v>14</v>
      </c>
      <c r="H2926">
        <v>2</v>
      </c>
      <c r="I2926" s="2">
        <v>79.13</v>
      </c>
      <c r="J2926" s="2">
        <v>158.26</v>
      </c>
      <c r="K2926" s="2">
        <f t="shared" si="136"/>
        <v>158.26</v>
      </c>
      <c r="L2926" s="2">
        <f t="shared" si="137"/>
        <v>0</v>
      </c>
      <c r="M2926" t="s">
        <v>57</v>
      </c>
      <c r="N2926" t="s">
        <v>21</v>
      </c>
    </row>
    <row r="2927" spans="1:14" x14ac:dyDescent="0.3">
      <c r="A2927">
        <v>2024003925</v>
      </c>
      <c r="B2927" s="1">
        <v>45657</v>
      </c>
      <c r="C2927" s="11">
        <f t="shared" si="135"/>
        <v>2024</v>
      </c>
      <c r="D2927" t="s">
        <v>37</v>
      </c>
      <c r="E2927" t="s">
        <v>23</v>
      </c>
      <c r="F2927" t="s">
        <v>24</v>
      </c>
      <c r="G2927" t="s">
        <v>14</v>
      </c>
      <c r="H2927">
        <v>1</v>
      </c>
      <c r="I2927" s="2">
        <v>73.180000000000007</v>
      </c>
      <c r="J2927" s="2">
        <v>73.180000000000007</v>
      </c>
      <c r="K2927" s="2">
        <f t="shared" si="136"/>
        <v>73.180000000000007</v>
      </c>
      <c r="L2927" s="2">
        <f t="shared" si="137"/>
        <v>0</v>
      </c>
      <c r="M2927" t="s">
        <v>38</v>
      </c>
      <c r="N2927" t="s">
        <v>32</v>
      </c>
    </row>
    <row r="2928" spans="1:14" x14ac:dyDescent="0.3">
      <c r="A2928">
        <v>2024003926</v>
      </c>
      <c r="B2928" s="1">
        <v>45451</v>
      </c>
      <c r="C2928" s="11">
        <f t="shared" si="135"/>
        <v>2024</v>
      </c>
      <c r="D2928" t="s">
        <v>317</v>
      </c>
      <c r="E2928" t="s">
        <v>46</v>
      </c>
      <c r="F2928" t="s">
        <v>47</v>
      </c>
      <c r="G2928" t="s">
        <v>36</v>
      </c>
      <c r="H2928">
        <v>1</v>
      </c>
      <c r="I2928" s="2">
        <v>81.16</v>
      </c>
      <c r="J2928" s="2">
        <v>81.16</v>
      </c>
      <c r="K2928" s="2">
        <f t="shared" si="136"/>
        <v>81.16</v>
      </c>
      <c r="L2928" s="2">
        <f t="shared" si="137"/>
        <v>0</v>
      </c>
      <c r="M2928" t="s">
        <v>64</v>
      </c>
      <c r="N2928" t="s">
        <v>21</v>
      </c>
    </row>
    <row r="2929" spans="1:14" x14ac:dyDescent="0.3">
      <c r="A2929">
        <v>2024003927</v>
      </c>
      <c r="B2929" s="1">
        <v>45403</v>
      </c>
      <c r="C2929" s="11">
        <f t="shared" si="135"/>
        <v>2024</v>
      </c>
      <c r="D2929" t="s">
        <v>105</v>
      </c>
      <c r="E2929" t="s">
        <v>46</v>
      </c>
      <c r="F2929" t="s">
        <v>47</v>
      </c>
      <c r="G2929" t="s">
        <v>36</v>
      </c>
      <c r="H2929">
        <v>3</v>
      </c>
      <c r="I2929" s="2">
        <v>87.41</v>
      </c>
      <c r="J2929" s="2">
        <v>262.23</v>
      </c>
      <c r="K2929" s="2">
        <f t="shared" si="136"/>
        <v>262.23</v>
      </c>
      <c r="L2929" s="2">
        <f t="shared" si="137"/>
        <v>0</v>
      </c>
      <c r="M2929" t="s">
        <v>55</v>
      </c>
      <c r="N2929" t="s">
        <v>32</v>
      </c>
    </row>
    <row r="2930" spans="1:14" x14ac:dyDescent="0.3">
      <c r="A2930">
        <v>2024003928</v>
      </c>
      <c r="B2930" s="1">
        <v>45628</v>
      </c>
      <c r="C2930" s="11">
        <f t="shared" si="135"/>
        <v>2024</v>
      </c>
      <c r="D2930" t="s">
        <v>120</v>
      </c>
      <c r="E2930" t="s">
        <v>40</v>
      </c>
      <c r="F2930" t="s">
        <v>41</v>
      </c>
      <c r="G2930" t="s">
        <v>36</v>
      </c>
      <c r="H2930">
        <v>4</v>
      </c>
      <c r="I2930" s="2">
        <v>43.83</v>
      </c>
      <c r="J2930" s="2">
        <v>175.32</v>
      </c>
      <c r="K2930" s="2">
        <f t="shared" si="136"/>
        <v>175.32</v>
      </c>
      <c r="L2930" s="2">
        <f t="shared" si="137"/>
        <v>0</v>
      </c>
      <c r="M2930" t="s">
        <v>38</v>
      </c>
      <c r="N2930" t="s">
        <v>32</v>
      </c>
    </row>
    <row r="2931" spans="1:14" x14ac:dyDescent="0.3">
      <c r="A2931">
        <v>2024003929</v>
      </c>
      <c r="B2931" s="1">
        <v>45422</v>
      </c>
      <c r="C2931" s="11">
        <f t="shared" si="135"/>
        <v>2024</v>
      </c>
      <c r="D2931" t="s">
        <v>108</v>
      </c>
      <c r="E2931" t="s">
        <v>12</v>
      </c>
      <c r="F2931" t="s">
        <v>13</v>
      </c>
      <c r="G2931" t="s">
        <v>14</v>
      </c>
      <c r="H2931">
        <v>2</v>
      </c>
      <c r="I2931" s="2">
        <v>336.93</v>
      </c>
      <c r="J2931" s="2">
        <v>673.86</v>
      </c>
      <c r="K2931" s="2">
        <f t="shared" si="136"/>
        <v>673.86</v>
      </c>
      <c r="L2931" s="2">
        <f t="shared" si="137"/>
        <v>0</v>
      </c>
      <c r="M2931" t="s">
        <v>15</v>
      </c>
      <c r="N2931" t="s">
        <v>16</v>
      </c>
    </row>
    <row r="2932" spans="1:14" x14ac:dyDescent="0.3">
      <c r="A2932">
        <v>2024003930</v>
      </c>
      <c r="B2932" s="1">
        <v>45507</v>
      </c>
      <c r="C2932" s="11">
        <f t="shared" si="135"/>
        <v>2024</v>
      </c>
      <c r="D2932" t="s">
        <v>283</v>
      </c>
      <c r="E2932" t="s">
        <v>28</v>
      </c>
      <c r="F2932" t="s">
        <v>29</v>
      </c>
      <c r="G2932" t="s">
        <v>30</v>
      </c>
      <c r="H2932">
        <v>1</v>
      </c>
      <c r="I2932" s="2">
        <v>25.71</v>
      </c>
      <c r="J2932" s="2">
        <v>25.71</v>
      </c>
      <c r="K2932" s="2">
        <f t="shared" si="136"/>
        <v>25.71</v>
      </c>
      <c r="L2932" s="2">
        <f t="shared" si="137"/>
        <v>0</v>
      </c>
      <c r="M2932" t="s">
        <v>25</v>
      </c>
      <c r="N2932" t="s">
        <v>21</v>
      </c>
    </row>
    <row r="2933" spans="1:14" x14ac:dyDescent="0.3">
      <c r="A2933">
        <v>2024003931</v>
      </c>
      <c r="B2933" s="1">
        <v>45359</v>
      </c>
      <c r="C2933" s="11">
        <f t="shared" si="135"/>
        <v>2024</v>
      </c>
      <c r="D2933" t="s">
        <v>39</v>
      </c>
      <c r="E2933" t="s">
        <v>40</v>
      </c>
      <c r="F2933" t="s">
        <v>41</v>
      </c>
      <c r="G2933" t="s">
        <v>36</v>
      </c>
      <c r="H2933">
        <v>4</v>
      </c>
      <c r="I2933" s="2">
        <v>44.18</v>
      </c>
      <c r="J2933" s="2">
        <v>176.72</v>
      </c>
      <c r="K2933" s="2">
        <f t="shared" si="136"/>
        <v>176.72</v>
      </c>
      <c r="L2933" s="2">
        <f t="shared" si="137"/>
        <v>0</v>
      </c>
      <c r="M2933" t="s">
        <v>31</v>
      </c>
      <c r="N2933" t="s">
        <v>26</v>
      </c>
    </row>
    <row r="2934" spans="1:14" x14ac:dyDescent="0.3">
      <c r="A2934">
        <v>2024003932</v>
      </c>
      <c r="B2934" s="1">
        <v>45538</v>
      </c>
      <c r="C2934" s="11">
        <f t="shared" si="135"/>
        <v>2024</v>
      </c>
      <c r="D2934" t="s">
        <v>11</v>
      </c>
      <c r="E2934" t="s">
        <v>28</v>
      </c>
      <c r="F2934" t="s">
        <v>29</v>
      </c>
      <c r="G2934" t="s">
        <v>30</v>
      </c>
      <c r="H2934">
        <v>4</v>
      </c>
      <c r="I2934" s="2">
        <v>26.57</v>
      </c>
      <c r="J2934" s="2">
        <v>106.28</v>
      </c>
      <c r="K2934" s="2">
        <f t="shared" si="136"/>
        <v>106.28</v>
      </c>
      <c r="L2934" s="2">
        <f t="shared" si="137"/>
        <v>0</v>
      </c>
      <c r="M2934" t="s">
        <v>38</v>
      </c>
      <c r="N2934" t="s">
        <v>26</v>
      </c>
    </row>
    <row r="2935" spans="1:14" x14ac:dyDescent="0.3">
      <c r="A2935">
        <v>2024003933</v>
      </c>
      <c r="B2935" s="1">
        <v>45597</v>
      </c>
      <c r="C2935" s="11">
        <f t="shared" si="135"/>
        <v>2024</v>
      </c>
      <c r="D2935" t="s">
        <v>11</v>
      </c>
      <c r="E2935" t="s">
        <v>23</v>
      </c>
      <c r="F2935" t="s">
        <v>24</v>
      </c>
      <c r="G2935" t="s">
        <v>14</v>
      </c>
      <c r="H2935">
        <v>2</v>
      </c>
      <c r="I2935" s="2">
        <v>82.24</v>
      </c>
      <c r="J2935" s="2">
        <v>164.48</v>
      </c>
      <c r="K2935" s="2">
        <f t="shared" si="136"/>
        <v>164.48</v>
      </c>
      <c r="L2935" s="2">
        <f t="shared" si="137"/>
        <v>0</v>
      </c>
      <c r="M2935" t="s">
        <v>61</v>
      </c>
      <c r="N2935" t="s">
        <v>16</v>
      </c>
    </row>
    <row r="2936" spans="1:14" x14ac:dyDescent="0.3">
      <c r="A2936">
        <v>2024003117</v>
      </c>
      <c r="B2936" s="1">
        <v>45527</v>
      </c>
      <c r="C2936" s="11">
        <f t="shared" si="135"/>
        <v>2024</v>
      </c>
      <c r="D2936" t="s">
        <v>286</v>
      </c>
      <c r="E2936" t="s">
        <v>53</v>
      </c>
      <c r="F2936" t="s">
        <v>54</v>
      </c>
      <c r="G2936" t="s">
        <v>36</v>
      </c>
      <c r="H2936">
        <v>2</v>
      </c>
      <c r="I2936" s="2">
        <v>119.97</v>
      </c>
      <c r="J2936" s="2">
        <v>239.94</v>
      </c>
      <c r="K2936" s="2">
        <f t="shared" si="136"/>
        <v>239.94</v>
      </c>
      <c r="L2936" s="2">
        <f t="shared" si="137"/>
        <v>0</v>
      </c>
      <c r="M2936" t="s">
        <v>38</v>
      </c>
      <c r="N2936" t="s">
        <v>21</v>
      </c>
    </row>
    <row r="2937" spans="1:14" x14ac:dyDescent="0.3">
      <c r="A2937">
        <v>2024003935</v>
      </c>
      <c r="B2937" s="1">
        <v>45434</v>
      </c>
      <c r="C2937" s="11">
        <f t="shared" si="135"/>
        <v>2024</v>
      </c>
      <c r="D2937" t="s">
        <v>249</v>
      </c>
      <c r="E2937" t="s">
        <v>34</v>
      </c>
      <c r="F2937" t="s">
        <v>35</v>
      </c>
      <c r="G2937" t="s">
        <v>36</v>
      </c>
      <c r="H2937">
        <v>2</v>
      </c>
      <c r="I2937" s="2">
        <v>14.38</v>
      </c>
      <c r="J2937" s="2">
        <v>28.76</v>
      </c>
      <c r="K2937" s="2">
        <f t="shared" si="136"/>
        <v>28.76</v>
      </c>
      <c r="L2937" s="2">
        <f t="shared" si="137"/>
        <v>0</v>
      </c>
      <c r="M2937" t="s">
        <v>15</v>
      </c>
      <c r="N2937" t="s">
        <v>16</v>
      </c>
    </row>
    <row r="2938" spans="1:14" x14ac:dyDescent="0.3">
      <c r="A2938">
        <v>2024003936</v>
      </c>
      <c r="B2938" s="1">
        <v>45527</v>
      </c>
      <c r="C2938" s="11">
        <f t="shared" si="135"/>
        <v>2024</v>
      </c>
      <c r="D2938" t="s">
        <v>136</v>
      </c>
      <c r="E2938" t="s">
        <v>23</v>
      </c>
      <c r="F2938" t="s">
        <v>24</v>
      </c>
      <c r="G2938" t="s">
        <v>14</v>
      </c>
      <c r="H2938">
        <v>1</v>
      </c>
      <c r="I2938" s="2">
        <v>85.19</v>
      </c>
      <c r="J2938" s="2">
        <v>85.19</v>
      </c>
      <c r="K2938" s="2">
        <f t="shared" si="136"/>
        <v>85.19</v>
      </c>
      <c r="L2938" s="2">
        <f t="shared" si="137"/>
        <v>0</v>
      </c>
      <c r="M2938" t="s">
        <v>57</v>
      </c>
      <c r="N2938" t="s">
        <v>26</v>
      </c>
    </row>
    <row r="2939" spans="1:14" x14ac:dyDescent="0.3">
      <c r="A2939">
        <v>2024003937</v>
      </c>
      <c r="B2939" s="1">
        <v>45294</v>
      </c>
      <c r="C2939" s="11">
        <f t="shared" si="135"/>
        <v>2024</v>
      </c>
      <c r="D2939" t="s">
        <v>132</v>
      </c>
      <c r="E2939" t="s">
        <v>40</v>
      </c>
      <c r="F2939" t="s">
        <v>41</v>
      </c>
      <c r="G2939" t="s">
        <v>36</v>
      </c>
      <c r="H2939">
        <v>4</v>
      </c>
      <c r="I2939" s="2">
        <v>48.96</v>
      </c>
      <c r="J2939" s="2">
        <v>195.84</v>
      </c>
      <c r="K2939" s="2">
        <f t="shared" si="136"/>
        <v>195.84</v>
      </c>
      <c r="L2939" s="2">
        <f t="shared" si="137"/>
        <v>0</v>
      </c>
      <c r="M2939" t="s">
        <v>48</v>
      </c>
      <c r="N2939" t="s">
        <v>26</v>
      </c>
    </row>
    <row r="2940" spans="1:14" x14ac:dyDescent="0.3">
      <c r="A2940">
        <v>2024003938</v>
      </c>
      <c r="B2940" s="1">
        <v>45546</v>
      </c>
      <c r="C2940" s="11">
        <f t="shared" si="135"/>
        <v>2024</v>
      </c>
      <c r="D2940" t="s">
        <v>66</v>
      </c>
      <c r="E2940" t="s">
        <v>34</v>
      </c>
      <c r="F2940" t="s">
        <v>35</v>
      </c>
      <c r="G2940" t="s">
        <v>36</v>
      </c>
      <c r="H2940">
        <v>1</v>
      </c>
      <c r="I2940" s="2">
        <v>14.77</v>
      </c>
      <c r="J2940" s="2">
        <v>14.77</v>
      </c>
      <c r="K2940" s="2">
        <f t="shared" si="136"/>
        <v>14.77</v>
      </c>
      <c r="L2940" s="2">
        <f t="shared" si="137"/>
        <v>0</v>
      </c>
      <c r="M2940" t="s">
        <v>31</v>
      </c>
      <c r="N2940" t="s">
        <v>16</v>
      </c>
    </row>
    <row r="2941" spans="1:14" x14ac:dyDescent="0.3">
      <c r="A2941">
        <v>2024003939</v>
      </c>
      <c r="B2941" s="1">
        <v>45412</v>
      </c>
      <c r="C2941" s="11">
        <f t="shared" si="135"/>
        <v>2024</v>
      </c>
      <c r="D2941" t="s">
        <v>281</v>
      </c>
      <c r="E2941" t="s">
        <v>18</v>
      </c>
      <c r="F2941" t="s">
        <v>19</v>
      </c>
      <c r="G2941" t="s">
        <v>14</v>
      </c>
      <c r="H2941">
        <v>1</v>
      </c>
      <c r="I2941" s="2">
        <v>611.08000000000004</v>
      </c>
      <c r="J2941" s="2">
        <v>611.08000000000004</v>
      </c>
      <c r="K2941" s="2">
        <f t="shared" si="136"/>
        <v>611.08000000000004</v>
      </c>
      <c r="L2941" s="2">
        <f t="shared" si="137"/>
        <v>0</v>
      </c>
      <c r="M2941" t="s">
        <v>31</v>
      </c>
      <c r="N2941" t="s">
        <v>16</v>
      </c>
    </row>
    <row r="2942" spans="1:14" x14ac:dyDescent="0.3">
      <c r="A2942">
        <v>2024003940</v>
      </c>
      <c r="B2942" s="1">
        <v>45426</v>
      </c>
      <c r="C2942" s="11">
        <f t="shared" si="135"/>
        <v>2024</v>
      </c>
      <c r="D2942" t="s">
        <v>118</v>
      </c>
      <c r="E2942" t="s">
        <v>43</v>
      </c>
      <c r="F2942" t="s">
        <v>44</v>
      </c>
      <c r="G2942" t="s">
        <v>36</v>
      </c>
      <c r="H2942">
        <v>1</v>
      </c>
      <c r="I2942" s="2">
        <v>1225.53</v>
      </c>
      <c r="J2942" s="2">
        <v>1225.53</v>
      </c>
      <c r="K2942" s="2">
        <f t="shared" si="136"/>
        <v>1225.53</v>
      </c>
      <c r="L2942" s="2">
        <f t="shared" si="137"/>
        <v>0</v>
      </c>
      <c r="M2942" t="s">
        <v>31</v>
      </c>
      <c r="N2942" t="s">
        <v>21</v>
      </c>
    </row>
    <row r="2943" spans="1:14" x14ac:dyDescent="0.3">
      <c r="A2943">
        <v>2024003941</v>
      </c>
      <c r="B2943" s="1">
        <v>45533</v>
      </c>
      <c r="C2943" s="11">
        <f t="shared" si="135"/>
        <v>2024</v>
      </c>
      <c r="D2943" t="s">
        <v>206</v>
      </c>
      <c r="E2943" t="s">
        <v>53</v>
      </c>
      <c r="F2943" t="s">
        <v>54</v>
      </c>
      <c r="G2943" t="s">
        <v>36</v>
      </c>
      <c r="H2943">
        <v>2</v>
      </c>
      <c r="I2943" s="2">
        <v>125.83</v>
      </c>
      <c r="J2943" s="2">
        <v>251.66</v>
      </c>
      <c r="K2943" s="2">
        <f t="shared" si="136"/>
        <v>251.66</v>
      </c>
      <c r="L2943" s="2">
        <f t="shared" si="137"/>
        <v>0</v>
      </c>
      <c r="M2943" t="s">
        <v>64</v>
      </c>
      <c r="N2943" t="s">
        <v>32</v>
      </c>
    </row>
    <row r="2944" spans="1:14" x14ac:dyDescent="0.3">
      <c r="A2944">
        <v>2024003942</v>
      </c>
      <c r="B2944" s="1">
        <v>45452</v>
      </c>
      <c r="C2944" s="11">
        <f t="shared" si="135"/>
        <v>2024</v>
      </c>
      <c r="D2944" t="s">
        <v>56</v>
      </c>
      <c r="E2944" t="s">
        <v>53</v>
      </c>
      <c r="F2944" t="s">
        <v>54</v>
      </c>
      <c r="G2944" t="s">
        <v>36</v>
      </c>
      <c r="H2944">
        <v>3</v>
      </c>
      <c r="I2944" s="2">
        <v>118.91</v>
      </c>
      <c r="J2944" s="2">
        <v>356.73</v>
      </c>
      <c r="K2944" s="2">
        <f t="shared" si="136"/>
        <v>356.73</v>
      </c>
      <c r="L2944" s="2">
        <f t="shared" si="137"/>
        <v>0</v>
      </c>
      <c r="M2944" t="s">
        <v>25</v>
      </c>
      <c r="N2944" t="s">
        <v>16</v>
      </c>
    </row>
    <row r="2945" spans="1:14" x14ac:dyDescent="0.3">
      <c r="A2945">
        <v>2024003943</v>
      </c>
      <c r="B2945" s="1">
        <v>45460</v>
      </c>
      <c r="C2945" s="11">
        <f t="shared" si="135"/>
        <v>2024</v>
      </c>
      <c r="D2945" t="s">
        <v>11</v>
      </c>
      <c r="E2945" t="s">
        <v>46</v>
      </c>
      <c r="F2945" t="s">
        <v>47</v>
      </c>
      <c r="G2945" t="s">
        <v>36</v>
      </c>
      <c r="H2945">
        <v>2</v>
      </c>
      <c r="I2945" s="2">
        <v>94.85</v>
      </c>
      <c r="J2945" s="2">
        <v>189.7</v>
      </c>
      <c r="K2945" s="2">
        <f t="shared" si="136"/>
        <v>189.7</v>
      </c>
      <c r="L2945" s="2">
        <f t="shared" si="137"/>
        <v>0</v>
      </c>
      <c r="M2945" t="s">
        <v>48</v>
      </c>
      <c r="N2945" t="s">
        <v>16</v>
      </c>
    </row>
    <row r="2946" spans="1:14" x14ac:dyDescent="0.3">
      <c r="A2946">
        <v>2024003944</v>
      </c>
      <c r="B2946" s="1">
        <v>45294</v>
      </c>
      <c r="C2946" s="11">
        <f t="shared" si="135"/>
        <v>2024</v>
      </c>
      <c r="D2946" t="s">
        <v>184</v>
      </c>
      <c r="E2946" t="s">
        <v>53</v>
      </c>
      <c r="F2946" t="s">
        <v>54</v>
      </c>
      <c r="G2946" t="s">
        <v>36</v>
      </c>
      <c r="H2946">
        <v>1</v>
      </c>
      <c r="I2946" s="2">
        <v>116.26</v>
      </c>
      <c r="J2946" s="2">
        <v>116.26</v>
      </c>
      <c r="K2946" s="2">
        <f t="shared" si="136"/>
        <v>116.26</v>
      </c>
      <c r="L2946" s="2">
        <f t="shared" si="137"/>
        <v>0</v>
      </c>
      <c r="M2946" t="s">
        <v>20</v>
      </c>
      <c r="N2946" t="s">
        <v>21</v>
      </c>
    </row>
    <row r="2947" spans="1:14" x14ac:dyDescent="0.3">
      <c r="A2947">
        <v>2024003945</v>
      </c>
      <c r="B2947" s="1">
        <v>45564</v>
      </c>
      <c r="C2947" s="11">
        <f t="shared" ref="C2947:C3010" si="138">YEAR(B2947)</f>
        <v>2024</v>
      </c>
      <c r="D2947" t="s">
        <v>329</v>
      </c>
      <c r="E2947" t="s">
        <v>12</v>
      </c>
      <c r="F2947" t="s">
        <v>13</v>
      </c>
      <c r="G2947" t="s">
        <v>14</v>
      </c>
      <c r="H2947">
        <v>1</v>
      </c>
      <c r="I2947" s="2">
        <v>345.15</v>
      </c>
      <c r="J2947" s="2">
        <v>345.15</v>
      </c>
      <c r="K2947" s="2">
        <f t="shared" ref="K2947:K3010" si="139">I2947*H2947</f>
        <v>345.15</v>
      </c>
      <c r="L2947" s="2">
        <f t="shared" ref="L2947:L3010" si="140">J2947-K2947</f>
        <v>0</v>
      </c>
      <c r="M2947" t="s">
        <v>61</v>
      </c>
      <c r="N2947" t="s">
        <v>32</v>
      </c>
    </row>
    <row r="2948" spans="1:14" x14ac:dyDescent="0.3">
      <c r="A2948">
        <v>2024003946</v>
      </c>
      <c r="B2948" s="1">
        <v>45472</v>
      </c>
      <c r="C2948" s="11">
        <f t="shared" si="138"/>
        <v>2024</v>
      </c>
      <c r="D2948" t="s">
        <v>122</v>
      </c>
      <c r="E2948" t="s">
        <v>18</v>
      </c>
      <c r="F2948" t="s">
        <v>19</v>
      </c>
      <c r="G2948" t="s">
        <v>14</v>
      </c>
      <c r="H2948">
        <v>1</v>
      </c>
      <c r="I2948" s="2">
        <v>637.16999999999996</v>
      </c>
      <c r="J2948" s="2">
        <v>637.16999999999996</v>
      </c>
      <c r="K2948" s="2">
        <f t="shared" si="139"/>
        <v>637.16999999999996</v>
      </c>
      <c r="L2948" s="2">
        <f t="shared" si="140"/>
        <v>0</v>
      </c>
      <c r="M2948" t="s">
        <v>48</v>
      </c>
      <c r="N2948" t="s">
        <v>32</v>
      </c>
    </row>
    <row r="2949" spans="1:14" x14ac:dyDescent="0.3">
      <c r="A2949">
        <v>2024003947</v>
      </c>
      <c r="B2949" s="1">
        <v>45368</v>
      </c>
      <c r="C2949" s="11">
        <f t="shared" si="138"/>
        <v>2024</v>
      </c>
      <c r="D2949" t="s">
        <v>146</v>
      </c>
      <c r="E2949" t="s">
        <v>43</v>
      </c>
      <c r="F2949" t="s">
        <v>44</v>
      </c>
      <c r="G2949" t="s">
        <v>36</v>
      </c>
      <c r="H2949">
        <v>3</v>
      </c>
      <c r="I2949" s="2">
        <v>1210.29</v>
      </c>
      <c r="J2949" s="2">
        <v>3630.87</v>
      </c>
      <c r="K2949" s="2">
        <f t="shared" si="139"/>
        <v>3630.87</v>
      </c>
      <c r="L2949" s="2">
        <f t="shared" si="140"/>
        <v>0</v>
      </c>
      <c r="M2949" t="s">
        <v>55</v>
      </c>
      <c r="N2949" t="s">
        <v>21</v>
      </c>
    </row>
    <row r="2950" spans="1:14" x14ac:dyDescent="0.3">
      <c r="A2950">
        <v>2024003948</v>
      </c>
      <c r="B2950" s="1">
        <v>45657</v>
      </c>
      <c r="C2950" s="11">
        <f t="shared" si="138"/>
        <v>2024</v>
      </c>
      <c r="D2950" t="s">
        <v>322</v>
      </c>
      <c r="E2950" t="s">
        <v>46</v>
      </c>
      <c r="F2950" t="s">
        <v>47</v>
      </c>
      <c r="G2950" t="s">
        <v>36</v>
      </c>
      <c r="H2950">
        <v>2</v>
      </c>
      <c r="I2950" s="2">
        <v>84.72</v>
      </c>
      <c r="J2950" s="2">
        <v>169.44</v>
      </c>
      <c r="K2950" s="2">
        <f t="shared" si="139"/>
        <v>169.44</v>
      </c>
      <c r="L2950" s="2">
        <f t="shared" si="140"/>
        <v>0</v>
      </c>
      <c r="M2950" t="s">
        <v>25</v>
      </c>
      <c r="N2950" t="s">
        <v>16</v>
      </c>
    </row>
    <row r="2951" spans="1:14" x14ac:dyDescent="0.3">
      <c r="A2951">
        <v>2024003949</v>
      </c>
      <c r="B2951" s="1">
        <v>45487</v>
      </c>
      <c r="C2951" s="11">
        <f t="shared" si="138"/>
        <v>2024</v>
      </c>
      <c r="D2951" t="s">
        <v>226</v>
      </c>
      <c r="E2951" t="s">
        <v>34</v>
      </c>
      <c r="F2951" t="s">
        <v>35</v>
      </c>
      <c r="G2951" t="s">
        <v>36</v>
      </c>
      <c r="H2951">
        <v>1</v>
      </c>
      <c r="I2951" s="2">
        <v>14.67</v>
      </c>
      <c r="J2951" s="2">
        <v>14.67</v>
      </c>
      <c r="K2951" s="2">
        <f t="shared" si="139"/>
        <v>14.67</v>
      </c>
      <c r="L2951" s="2">
        <f t="shared" si="140"/>
        <v>0</v>
      </c>
      <c r="M2951" t="s">
        <v>61</v>
      </c>
      <c r="N2951" t="s">
        <v>16</v>
      </c>
    </row>
    <row r="2952" spans="1:14" x14ac:dyDescent="0.3">
      <c r="A2952">
        <v>2024003950</v>
      </c>
      <c r="B2952" s="1">
        <v>45465</v>
      </c>
      <c r="C2952" s="11">
        <f t="shared" si="138"/>
        <v>2024</v>
      </c>
      <c r="D2952" t="s">
        <v>278</v>
      </c>
      <c r="E2952" t="s">
        <v>23</v>
      </c>
      <c r="F2952" t="s">
        <v>24</v>
      </c>
      <c r="G2952" t="s">
        <v>14</v>
      </c>
      <c r="H2952">
        <v>1</v>
      </c>
      <c r="I2952" s="2">
        <v>76.599999999999994</v>
      </c>
      <c r="J2952" s="2">
        <v>76.599999999999994</v>
      </c>
      <c r="K2952" s="2">
        <f t="shared" si="139"/>
        <v>76.599999999999994</v>
      </c>
      <c r="L2952" s="2">
        <f t="shared" si="140"/>
        <v>0</v>
      </c>
      <c r="M2952" t="s">
        <v>48</v>
      </c>
      <c r="N2952" t="s">
        <v>32</v>
      </c>
    </row>
    <row r="2953" spans="1:14" x14ac:dyDescent="0.3">
      <c r="A2953">
        <v>2024003951</v>
      </c>
      <c r="B2953" s="1">
        <v>45643</v>
      </c>
      <c r="C2953" s="11">
        <f t="shared" si="138"/>
        <v>2024</v>
      </c>
      <c r="D2953" t="s">
        <v>321</v>
      </c>
      <c r="E2953" t="s">
        <v>28</v>
      </c>
      <c r="F2953" t="s">
        <v>29</v>
      </c>
      <c r="G2953" t="s">
        <v>30</v>
      </c>
      <c r="H2953">
        <v>5</v>
      </c>
      <c r="I2953" s="2">
        <v>25.19</v>
      </c>
      <c r="J2953" s="2">
        <v>125.95</v>
      </c>
      <c r="K2953" s="2">
        <f t="shared" si="139"/>
        <v>125.95</v>
      </c>
      <c r="L2953" s="2">
        <f t="shared" si="140"/>
        <v>0</v>
      </c>
      <c r="M2953" t="s">
        <v>15</v>
      </c>
      <c r="N2953" t="s">
        <v>16</v>
      </c>
    </row>
    <row r="2954" spans="1:14" x14ac:dyDescent="0.3">
      <c r="A2954">
        <v>2024003952</v>
      </c>
      <c r="B2954" s="1">
        <v>45352</v>
      </c>
      <c r="C2954" s="11">
        <f t="shared" si="138"/>
        <v>2024</v>
      </c>
      <c r="D2954" t="s">
        <v>170</v>
      </c>
      <c r="E2954" t="s">
        <v>43</v>
      </c>
      <c r="F2954" t="s">
        <v>44</v>
      </c>
      <c r="G2954" t="s">
        <v>36</v>
      </c>
      <c r="H2954">
        <v>1</v>
      </c>
      <c r="I2954" s="2">
        <v>1201.77</v>
      </c>
      <c r="J2954" s="2">
        <v>1201.77</v>
      </c>
      <c r="K2954" s="2">
        <f t="shared" si="139"/>
        <v>1201.77</v>
      </c>
      <c r="L2954" s="2">
        <f t="shared" si="140"/>
        <v>0</v>
      </c>
      <c r="M2954" t="s">
        <v>48</v>
      </c>
      <c r="N2954" t="s">
        <v>26</v>
      </c>
    </row>
    <row r="2955" spans="1:14" x14ac:dyDescent="0.3">
      <c r="A2955">
        <v>2024003953</v>
      </c>
      <c r="B2955" s="1">
        <v>45593</v>
      </c>
      <c r="C2955" s="11">
        <f t="shared" si="138"/>
        <v>2024</v>
      </c>
      <c r="D2955" t="s">
        <v>59</v>
      </c>
      <c r="E2955" t="s">
        <v>40</v>
      </c>
      <c r="F2955" t="s">
        <v>41</v>
      </c>
      <c r="G2955" t="s">
        <v>36</v>
      </c>
      <c r="H2955">
        <v>1</v>
      </c>
      <c r="I2955" s="2">
        <v>44.58</v>
      </c>
      <c r="J2955" s="2">
        <v>44.58</v>
      </c>
      <c r="K2955" s="2">
        <f t="shared" si="139"/>
        <v>44.58</v>
      </c>
      <c r="L2955" s="2">
        <f t="shared" si="140"/>
        <v>0</v>
      </c>
      <c r="M2955" t="s">
        <v>15</v>
      </c>
      <c r="N2955" t="s">
        <v>26</v>
      </c>
    </row>
    <row r="2956" spans="1:14" x14ac:dyDescent="0.3">
      <c r="A2956">
        <v>2024003954</v>
      </c>
      <c r="B2956" s="1">
        <v>45353</v>
      </c>
      <c r="C2956" s="11">
        <f t="shared" si="138"/>
        <v>2024</v>
      </c>
      <c r="D2956" t="s">
        <v>165</v>
      </c>
      <c r="E2956" t="s">
        <v>12</v>
      </c>
      <c r="F2956" t="s">
        <v>13</v>
      </c>
      <c r="G2956" t="s">
        <v>14</v>
      </c>
      <c r="H2956">
        <v>1</v>
      </c>
      <c r="I2956" s="2">
        <v>352.84</v>
      </c>
      <c r="J2956" s="2">
        <v>352.84</v>
      </c>
      <c r="K2956" s="2">
        <f t="shared" si="139"/>
        <v>352.84</v>
      </c>
      <c r="L2956" s="2">
        <f t="shared" si="140"/>
        <v>0</v>
      </c>
      <c r="M2956" t="s">
        <v>25</v>
      </c>
      <c r="N2956" t="s">
        <v>32</v>
      </c>
    </row>
    <row r="2957" spans="1:14" x14ac:dyDescent="0.3">
      <c r="A2957">
        <v>2024003955</v>
      </c>
      <c r="B2957" s="1">
        <v>45484</v>
      </c>
      <c r="C2957" s="11">
        <f t="shared" si="138"/>
        <v>2024</v>
      </c>
      <c r="D2957" t="s">
        <v>119</v>
      </c>
      <c r="E2957" t="s">
        <v>28</v>
      </c>
      <c r="F2957" t="s">
        <v>29</v>
      </c>
      <c r="G2957" t="s">
        <v>30</v>
      </c>
      <c r="H2957">
        <v>4</v>
      </c>
      <c r="I2957" s="2">
        <v>26.64</v>
      </c>
      <c r="J2957" s="2">
        <v>106.56</v>
      </c>
      <c r="K2957" s="2">
        <f t="shared" si="139"/>
        <v>106.56</v>
      </c>
      <c r="L2957" s="2">
        <f t="shared" si="140"/>
        <v>0</v>
      </c>
      <c r="M2957" t="s">
        <v>31</v>
      </c>
      <c r="N2957" t="s">
        <v>26</v>
      </c>
    </row>
    <row r="2958" spans="1:14" x14ac:dyDescent="0.3">
      <c r="A2958">
        <v>2024003956</v>
      </c>
      <c r="B2958" s="1">
        <v>45595</v>
      </c>
      <c r="C2958" s="11">
        <f t="shared" si="138"/>
        <v>2024</v>
      </c>
      <c r="D2958" t="s">
        <v>107</v>
      </c>
      <c r="E2958" t="s">
        <v>18</v>
      </c>
      <c r="F2958" t="s">
        <v>19</v>
      </c>
      <c r="G2958" t="s">
        <v>14</v>
      </c>
      <c r="H2958">
        <v>4</v>
      </c>
      <c r="I2958" s="2">
        <v>607.99</v>
      </c>
      <c r="J2958" s="2">
        <v>2431.96</v>
      </c>
      <c r="K2958" s="2">
        <f t="shared" si="139"/>
        <v>2431.96</v>
      </c>
      <c r="L2958" s="2">
        <f t="shared" si="140"/>
        <v>0</v>
      </c>
      <c r="M2958" t="s">
        <v>57</v>
      </c>
      <c r="N2958" t="s">
        <v>26</v>
      </c>
    </row>
    <row r="2959" spans="1:14" x14ac:dyDescent="0.3">
      <c r="A2959">
        <v>2024003957</v>
      </c>
      <c r="B2959" s="1">
        <v>45378</v>
      </c>
      <c r="C2959" s="11">
        <f t="shared" si="138"/>
        <v>2024</v>
      </c>
      <c r="D2959" t="s">
        <v>295</v>
      </c>
      <c r="E2959" t="s">
        <v>40</v>
      </c>
      <c r="F2959" t="s">
        <v>41</v>
      </c>
      <c r="G2959" t="s">
        <v>36</v>
      </c>
      <c r="H2959">
        <v>2</v>
      </c>
      <c r="I2959" s="2">
        <v>43.66</v>
      </c>
      <c r="J2959" s="2">
        <v>87.32</v>
      </c>
      <c r="K2959" s="2">
        <f t="shared" si="139"/>
        <v>87.32</v>
      </c>
      <c r="L2959" s="2">
        <f t="shared" si="140"/>
        <v>0</v>
      </c>
      <c r="M2959" t="s">
        <v>57</v>
      </c>
      <c r="N2959" t="s">
        <v>16</v>
      </c>
    </row>
    <row r="2960" spans="1:14" x14ac:dyDescent="0.3">
      <c r="A2960">
        <v>2024003958</v>
      </c>
      <c r="B2960" s="1">
        <v>45576</v>
      </c>
      <c r="C2960" s="11">
        <f t="shared" si="138"/>
        <v>2024</v>
      </c>
      <c r="D2960" t="s">
        <v>11</v>
      </c>
      <c r="E2960" t="s">
        <v>40</v>
      </c>
      <c r="F2960" t="s">
        <v>41</v>
      </c>
      <c r="G2960" t="s">
        <v>36</v>
      </c>
      <c r="H2960">
        <v>1</v>
      </c>
      <c r="I2960" s="2">
        <v>42.78</v>
      </c>
      <c r="J2960" s="2">
        <v>42.78</v>
      </c>
      <c r="K2960" s="2">
        <f t="shared" si="139"/>
        <v>42.78</v>
      </c>
      <c r="L2960" s="2">
        <f t="shared" si="140"/>
        <v>0</v>
      </c>
      <c r="M2960" t="s">
        <v>15</v>
      </c>
      <c r="N2960" t="s">
        <v>32</v>
      </c>
    </row>
    <row r="2961" spans="1:14" x14ac:dyDescent="0.3">
      <c r="A2961">
        <v>2024003959</v>
      </c>
      <c r="B2961" s="1">
        <v>45641</v>
      </c>
      <c r="C2961" s="11">
        <f t="shared" si="138"/>
        <v>2024</v>
      </c>
      <c r="D2961" t="s">
        <v>165</v>
      </c>
      <c r="E2961" t="s">
        <v>34</v>
      </c>
      <c r="F2961" t="s">
        <v>35</v>
      </c>
      <c r="G2961" t="s">
        <v>36</v>
      </c>
      <c r="H2961">
        <v>1</v>
      </c>
      <c r="I2961" s="2">
        <v>14.36</v>
      </c>
      <c r="J2961" s="2">
        <v>14.36</v>
      </c>
      <c r="K2961" s="2">
        <f t="shared" si="139"/>
        <v>14.36</v>
      </c>
      <c r="L2961" s="2">
        <f t="shared" si="140"/>
        <v>0</v>
      </c>
      <c r="M2961" t="s">
        <v>55</v>
      </c>
      <c r="N2961" t="s">
        <v>16</v>
      </c>
    </row>
    <row r="2962" spans="1:14" x14ac:dyDescent="0.3">
      <c r="A2962">
        <v>2024003960</v>
      </c>
      <c r="B2962" s="1">
        <v>45509</v>
      </c>
      <c r="C2962" s="11">
        <f t="shared" si="138"/>
        <v>2024</v>
      </c>
      <c r="D2962" t="s">
        <v>11</v>
      </c>
      <c r="E2962" t="s">
        <v>12</v>
      </c>
      <c r="F2962" t="s">
        <v>13</v>
      </c>
      <c r="G2962" t="s">
        <v>14</v>
      </c>
      <c r="H2962">
        <v>1</v>
      </c>
      <c r="I2962" s="2">
        <v>310.49</v>
      </c>
      <c r="J2962" s="2">
        <v>310.49</v>
      </c>
      <c r="K2962" s="2">
        <f t="shared" si="139"/>
        <v>310.49</v>
      </c>
      <c r="L2962" s="2">
        <f t="shared" si="140"/>
        <v>0</v>
      </c>
      <c r="M2962" t="s">
        <v>48</v>
      </c>
      <c r="N2962" t="s">
        <v>21</v>
      </c>
    </row>
    <row r="2963" spans="1:14" x14ac:dyDescent="0.3">
      <c r="A2963">
        <v>2024003961</v>
      </c>
      <c r="B2963" s="1">
        <v>45631</v>
      </c>
      <c r="C2963" s="11">
        <f t="shared" si="138"/>
        <v>2024</v>
      </c>
      <c r="D2963" t="s">
        <v>209</v>
      </c>
      <c r="E2963" t="s">
        <v>46</v>
      </c>
      <c r="F2963" t="s">
        <v>47</v>
      </c>
      <c r="G2963" t="s">
        <v>36</v>
      </c>
      <c r="H2963">
        <v>2</v>
      </c>
      <c r="I2963" s="2">
        <v>89.56</v>
      </c>
      <c r="J2963" s="2">
        <v>179.12</v>
      </c>
      <c r="K2963" s="2">
        <f t="shared" si="139"/>
        <v>179.12</v>
      </c>
      <c r="L2963" s="2">
        <f t="shared" si="140"/>
        <v>0</v>
      </c>
      <c r="M2963" t="s">
        <v>57</v>
      </c>
      <c r="N2963" t="s">
        <v>21</v>
      </c>
    </row>
    <row r="2964" spans="1:14" x14ac:dyDescent="0.3">
      <c r="A2964">
        <v>2024003962</v>
      </c>
      <c r="B2964" s="1">
        <v>45603</v>
      </c>
      <c r="C2964" s="11">
        <f t="shared" si="138"/>
        <v>2024</v>
      </c>
      <c r="D2964" t="s">
        <v>250</v>
      </c>
      <c r="E2964" t="s">
        <v>67</v>
      </c>
      <c r="F2964" t="s">
        <v>68</v>
      </c>
      <c r="G2964" t="s">
        <v>36</v>
      </c>
      <c r="H2964">
        <v>5</v>
      </c>
      <c r="I2964" s="2">
        <v>409.37</v>
      </c>
      <c r="J2964" s="2">
        <v>2046.85</v>
      </c>
      <c r="K2964" s="2">
        <f t="shared" si="139"/>
        <v>2046.85</v>
      </c>
      <c r="L2964" s="2">
        <f t="shared" si="140"/>
        <v>0</v>
      </c>
      <c r="M2964" t="s">
        <v>57</v>
      </c>
      <c r="N2964" t="s">
        <v>32</v>
      </c>
    </row>
    <row r="2965" spans="1:14" x14ac:dyDescent="0.3">
      <c r="A2965">
        <v>2024003963</v>
      </c>
      <c r="B2965" s="1">
        <v>45426</v>
      </c>
      <c r="C2965" s="11">
        <f t="shared" si="138"/>
        <v>2024</v>
      </c>
      <c r="D2965" t="s">
        <v>167</v>
      </c>
      <c r="E2965" t="s">
        <v>12</v>
      </c>
      <c r="F2965" t="s">
        <v>13</v>
      </c>
      <c r="G2965" t="s">
        <v>14</v>
      </c>
      <c r="H2965">
        <v>2</v>
      </c>
      <c r="I2965" s="2">
        <v>340.57</v>
      </c>
      <c r="J2965" s="2">
        <v>681.14</v>
      </c>
      <c r="K2965" s="2">
        <f t="shared" si="139"/>
        <v>681.14</v>
      </c>
      <c r="L2965" s="2">
        <f t="shared" si="140"/>
        <v>0</v>
      </c>
      <c r="M2965" t="s">
        <v>25</v>
      </c>
      <c r="N2965" t="s">
        <v>32</v>
      </c>
    </row>
    <row r="2966" spans="1:14" x14ac:dyDescent="0.3">
      <c r="A2966">
        <v>2024003964</v>
      </c>
      <c r="B2966" s="1">
        <v>45321</v>
      </c>
      <c r="C2966" s="11">
        <f t="shared" si="138"/>
        <v>2024</v>
      </c>
      <c r="D2966" t="s">
        <v>131</v>
      </c>
      <c r="E2966" t="s">
        <v>43</v>
      </c>
      <c r="F2966" t="s">
        <v>44</v>
      </c>
      <c r="G2966" t="s">
        <v>36</v>
      </c>
      <c r="H2966">
        <v>2</v>
      </c>
      <c r="I2966" s="2">
        <v>860.26</v>
      </c>
      <c r="J2966" s="2">
        <v>1720.52</v>
      </c>
      <c r="K2966" s="2">
        <f t="shared" si="139"/>
        <v>1720.52</v>
      </c>
      <c r="L2966" s="2">
        <f t="shared" si="140"/>
        <v>0</v>
      </c>
      <c r="M2966" t="s">
        <v>64</v>
      </c>
      <c r="N2966" t="s">
        <v>21</v>
      </c>
    </row>
    <row r="2967" spans="1:14" x14ac:dyDescent="0.3">
      <c r="A2967">
        <v>2024003965</v>
      </c>
      <c r="B2967" s="1">
        <v>45393</v>
      </c>
      <c r="C2967" s="11">
        <f t="shared" si="138"/>
        <v>2024</v>
      </c>
      <c r="D2967" t="s">
        <v>11</v>
      </c>
      <c r="E2967" t="s">
        <v>34</v>
      </c>
      <c r="F2967" t="s">
        <v>35</v>
      </c>
      <c r="G2967" t="s">
        <v>36</v>
      </c>
      <c r="H2967">
        <v>1</v>
      </c>
      <c r="I2967" s="2">
        <v>14.86</v>
      </c>
      <c r="J2967" s="2">
        <v>14.86</v>
      </c>
      <c r="K2967" s="2">
        <f t="shared" si="139"/>
        <v>14.86</v>
      </c>
      <c r="L2967" s="2">
        <f t="shared" si="140"/>
        <v>0</v>
      </c>
      <c r="M2967" t="s">
        <v>64</v>
      </c>
      <c r="N2967" t="s">
        <v>32</v>
      </c>
    </row>
    <row r="2968" spans="1:14" x14ac:dyDescent="0.3">
      <c r="A2968">
        <v>2024003966</v>
      </c>
      <c r="B2968" s="1">
        <v>45627</v>
      </c>
      <c r="C2968" s="11">
        <f t="shared" si="138"/>
        <v>2024</v>
      </c>
      <c r="D2968" t="s">
        <v>166</v>
      </c>
      <c r="E2968" t="s">
        <v>34</v>
      </c>
      <c r="F2968" t="s">
        <v>35</v>
      </c>
      <c r="G2968" t="s">
        <v>36</v>
      </c>
      <c r="H2968">
        <v>1</v>
      </c>
      <c r="I2968" s="2">
        <v>14.25</v>
      </c>
      <c r="J2968" s="2">
        <v>14.25</v>
      </c>
      <c r="K2968" s="2">
        <f t="shared" si="139"/>
        <v>14.25</v>
      </c>
      <c r="L2968" s="2">
        <f t="shared" si="140"/>
        <v>0</v>
      </c>
      <c r="M2968" t="s">
        <v>64</v>
      </c>
      <c r="N2968" t="s">
        <v>21</v>
      </c>
    </row>
    <row r="2969" spans="1:14" x14ac:dyDescent="0.3">
      <c r="A2969">
        <v>2024003967</v>
      </c>
      <c r="B2969" s="1">
        <v>45578</v>
      </c>
      <c r="C2969" s="11">
        <f t="shared" si="138"/>
        <v>2024</v>
      </c>
      <c r="D2969" t="s">
        <v>247</v>
      </c>
      <c r="E2969" t="s">
        <v>34</v>
      </c>
      <c r="F2969" t="s">
        <v>35</v>
      </c>
      <c r="G2969" t="s">
        <v>36</v>
      </c>
      <c r="H2969">
        <v>2</v>
      </c>
      <c r="I2969" s="2">
        <v>14.72</v>
      </c>
      <c r="J2969" s="2">
        <v>29.44</v>
      </c>
      <c r="K2969" s="2">
        <f t="shared" si="139"/>
        <v>29.44</v>
      </c>
      <c r="L2969" s="2">
        <f t="shared" si="140"/>
        <v>0</v>
      </c>
      <c r="M2969" t="s">
        <v>15</v>
      </c>
      <c r="N2969" t="s">
        <v>21</v>
      </c>
    </row>
    <row r="2970" spans="1:14" x14ac:dyDescent="0.3">
      <c r="A2970">
        <v>2024003968</v>
      </c>
      <c r="B2970" s="1">
        <v>45363</v>
      </c>
      <c r="C2970" s="11">
        <f t="shared" si="138"/>
        <v>2024</v>
      </c>
      <c r="D2970" t="s">
        <v>111</v>
      </c>
      <c r="E2970" t="s">
        <v>53</v>
      </c>
      <c r="F2970" t="s">
        <v>54</v>
      </c>
      <c r="G2970" t="s">
        <v>36</v>
      </c>
      <c r="H2970">
        <v>1</v>
      </c>
      <c r="I2970" s="2">
        <v>116.86</v>
      </c>
      <c r="J2970" s="2">
        <v>116.86</v>
      </c>
      <c r="K2970" s="2">
        <f t="shared" si="139"/>
        <v>116.86</v>
      </c>
      <c r="L2970" s="2">
        <f t="shared" si="140"/>
        <v>0</v>
      </c>
      <c r="M2970" t="s">
        <v>55</v>
      </c>
      <c r="N2970" t="s">
        <v>16</v>
      </c>
    </row>
    <row r="2971" spans="1:14" x14ac:dyDescent="0.3">
      <c r="A2971">
        <v>2024002209</v>
      </c>
      <c r="B2971" s="1">
        <v>45444</v>
      </c>
      <c r="C2971" s="11">
        <f t="shared" si="138"/>
        <v>2024</v>
      </c>
      <c r="D2971" t="s">
        <v>310</v>
      </c>
      <c r="E2971" t="s">
        <v>34</v>
      </c>
      <c r="F2971" t="s">
        <v>35</v>
      </c>
      <c r="G2971" t="s">
        <v>36</v>
      </c>
      <c r="H2971">
        <v>3</v>
      </c>
      <c r="I2971" s="2">
        <v>14.94</v>
      </c>
      <c r="J2971" s="2">
        <v>44.82</v>
      </c>
      <c r="K2971" s="2">
        <f t="shared" si="139"/>
        <v>44.82</v>
      </c>
      <c r="L2971" s="2">
        <f t="shared" si="140"/>
        <v>0</v>
      </c>
      <c r="M2971" t="s">
        <v>15</v>
      </c>
      <c r="N2971" t="s">
        <v>21</v>
      </c>
    </row>
    <row r="2972" spans="1:14" x14ac:dyDescent="0.3">
      <c r="A2972">
        <v>2024003970</v>
      </c>
      <c r="B2972" s="1">
        <v>45301</v>
      </c>
      <c r="C2972" s="11">
        <f t="shared" si="138"/>
        <v>2024</v>
      </c>
      <c r="D2972" t="s">
        <v>218</v>
      </c>
      <c r="E2972" t="s">
        <v>53</v>
      </c>
      <c r="F2972" t="s">
        <v>54</v>
      </c>
      <c r="G2972" t="s">
        <v>36</v>
      </c>
      <c r="H2972">
        <v>1</v>
      </c>
      <c r="I2972" s="2">
        <v>109.37</v>
      </c>
      <c r="J2972" s="2">
        <v>109.37</v>
      </c>
      <c r="K2972" s="2">
        <f t="shared" si="139"/>
        <v>109.37</v>
      </c>
      <c r="L2972" s="2">
        <f t="shared" si="140"/>
        <v>0</v>
      </c>
      <c r="M2972" t="s">
        <v>55</v>
      </c>
      <c r="N2972" t="s">
        <v>26</v>
      </c>
    </row>
    <row r="2973" spans="1:14" x14ac:dyDescent="0.3">
      <c r="A2973">
        <v>2024003971</v>
      </c>
      <c r="B2973" s="1">
        <v>45419</v>
      </c>
      <c r="C2973" s="11">
        <f t="shared" si="138"/>
        <v>2024</v>
      </c>
      <c r="D2973" t="s">
        <v>22</v>
      </c>
      <c r="E2973" t="s">
        <v>34</v>
      </c>
      <c r="F2973" t="s">
        <v>35</v>
      </c>
      <c r="G2973" t="s">
        <v>36</v>
      </c>
      <c r="H2973">
        <v>2</v>
      </c>
      <c r="I2973" s="2">
        <v>14.47</v>
      </c>
      <c r="J2973" s="2">
        <v>28.94</v>
      </c>
      <c r="K2973" s="2">
        <f t="shared" si="139"/>
        <v>28.94</v>
      </c>
      <c r="L2973" s="2">
        <f t="shared" si="140"/>
        <v>0</v>
      </c>
      <c r="M2973" t="s">
        <v>38</v>
      </c>
      <c r="N2973" t="s">
        <v>21</v>
      </c>
    </row>
    <row r="2974" spans="1:14" x14ac:dyDescent="0.3">
      <c r="A2974">
        <v>2024003972</v>
      </c>
      <c r="B2974" s="1">
        <v>45601</v>
      </c>
      <c r="C2974" s="11">
        <f t="shared" si="138"/>
        <v>2024</v>
      </c>
      <c r="D2974" t="s">
        <v>287</v>
      </c>
      <c r="E2974" t="s">
        <v>34</v>
      </c>
      <c r="F2974" t="s">
        <v>35</v>
      </c>
      <c r="G2974" t="s">
        <v>36</v>
      </c>
      <c r="H2974">
        <v>1</v>
      </c>
      <c r="I2974" s="2">
        <v>14.53</v>
      </c>
      <c r="J2974" s="2">
        <v>14.53</v>
      </c>
      <c r="K2974" s="2">
        <f t="shared" si="139"/>
        <v>14.53</v>
      </c>
      <c r="L2974" s="2">
        <f t="shared" si="140"/>
        <v>0</v>
      </c>
      <c r="M2974" t="s">
        <v>57</v>
      </c>
      <c r="N2974" t="s">
        <v>21</v>
      </c>
    </row>
    <row r="2975" spans="1:14" x14ac:dyDescent="0.3">
      <c r="A2975">
        <v>2024003973</v>
      </c>
      <c r="B2975" s="1">
        <v>45440</v>
      </c>
      <c r="C2975" s="11">
        <f t="shared" si="138"/>
        <v>2024</v>
      </c>
      <c r="D2975" t="s">
        <v>208</v>
      </c>
      <c r="E2975" t="s">
        <v>12</v>
      </c>
      <c r="F2975" t="s">
        <v>13</v>
      </c>
      <c r="G2975" t="s">
        <v>14</v>
      </c>
      <c r="H2975">
        <v>1</v>
      </c>
      <c r="I2975" s="2">
        <v>335.56</v>
      </c>
      <c r="J2975" s="2">
        <v>335.56</v>
      </c>
      <c r="K2975" s="2">
        <f t="shared" si="139"/>
        <v>335.56</v>
      </c>
      <c r="L2975" s="2">
        <f t="shared" si="140"/>
        <v>0</v>
      </c>
      <c r="M2975" t="s">
        <v>31</v>
      </c>
      <c r="N2975" t="s">
        <v>21</v>
      </c>
    </row>
    <row r="2976" spans="1:14" x14ac:dyDescent="0.3">
      <c r="A2976">
        <v>2024003974</v>
      </c>
      <c r="B2976" s="1">
        <v>45512</v>
      </c>
      <c r="C2976" s="11">
        <f t="shared" si="138"/>
        <v>2024</v>
      </c>
      <c r="D2976" t="s">
        <v>336</v>
      </c>
      <c r="E2976" t="s">
        <v>67</v>
      </c>
      <c r="F2976" t="s">
        <v>68</v>
      </c>
      <c r="G2976" t="s">
        <v>36</v>
      </c>
      <c r="H2976">
        <v>1</v>
      </c>
      <c r="I2976" s="2">
        <v>395.56</v>
      </c>
      <c r="J2976" s="2">
        <v>395.56</v>
      </c>
      <c r="K2976" s="2">
        <f t="shared" si="139"/>
        <v>395.56</v>
      </c>
      <c r="L2976" s="2">
        <f t="shared" si="140"/>
        <v>0</v>
      </c>
      <c r="M2976" t="s">
        <v>55</v>
      </c>
      <c r="N2976" t="s">
        <v>26</v>
      </c>
    </row>
    <row r="2977" spans="1:14" x14ac:dyDescent="0.3">
      <c r="A2977">
        <v>2024003975</v>
      </c>
      <c r="B2977" s="1">
        <v>45528</v>
      </c>
      <c r="C2977" s="11">
        <f t="shared" si="138"/>
        <v>2024</v>
      </c>
      <c r="D2977" t="s">
        <v>237</v>
      </c>
      <c r="E2977" t="s">
        <v>53</v>
      </c>
      <c r="F2977" t="s">
        <v>54</v>
      </c>
      <c r="G2977" t="s">
        <v>36</v>
      </c>
      <c r="H2977">
        <v>1</v>
      </c>
      <c r="I2977" s="2">
        <v>121.77</v>
      </c>
      <c r="J2977" s="2">
        <v>121.77</v>
      </c>
      <c r="K2977" s="2">
        <f t="shared" si="139"/>
        <v>121.77</v>
      </c>
      <c r="L2977" s="2">
        <f t="shared" si="140"/>
        <v>0</v>
      </c>
      <c r="M2977" t="s">
        <v>25</v>
      </c>
      <c r="N2977" t="s">
        <v>26</v>
      </c>
    </row>
    <row r="2978" spans="1:14" x14ac:dyDescent="0.3">
      <c r="A2978">
        <v>2024003976</v>
      </c>
      <c r="B2978" s="1">
        <v>45548</v>
      </c>
      <c r="C2978" s="11">
        <f t="shared" si="138"/>
        <v>2024</v>
      </c>
      <c r="D2978" t="s">
        <v>199</v>
      </c>
      <c r="E2978" t="s">
        <v>46</v>
      </c>
      <c r="F2978" t="s">
        <v>47</v>
      </c>
      <c r="G2978" t="s">
        <v>36</v>
      </c>
      <c r="H2978">
        <v>1</v>
      </c>
      <c r="I2978" s="2">
        <v>85.61</v>
      </c>
      <c r="J2978" s="2">
        <v>85.61</v>
      </c>
      <c r="K2978" s="2">
        <f t="shared" si="139"/>
        <v>85.61</v>
      </c>
      <c r="L2978" s="2">
        <f t="shared" si="140"/>
        <v>0</v>
      </c>
      <c r="M2978" t="s">
        <v>15</v>
      </c>
      <c r="N2978" t="s">
        <v>21</v>
      </c>
    </row>
    <row r="2979" spans="1:14" x14ac:dyDescent="0.3">
      <c r="A2979">
        <v>2024003977</v>
      </c>
      <c r="B2979" s="1">
        <v>45342</v>
      </c>
      <c r="C2979" s="11">
        <f t="shared" si="138"/>
        <v>2024</v>
      </c>
      <c r="D2979" t="s">
        <v>11</v>
      </c>
      <c r="E2979" t="s">
        <v>53</v>
      </c>
      <c r="F2979" t="s">
        <v>54</v>
      </c>
      <c r="G2979" t="s">
        <v>36</v>
      </c>
      <c r="H2979">
        <v>1</v>
      </c>
      <c r="I2979" s="2">
        <v>118.03</v>
      </c>
      <c r="J2979" s="2">
        <v>118.03</v>
      </c>
      <c r="K2979" s="2">
        <f t="shared" si="139"/>
        <v>118.03</v>
      </c>
      <c r="L2979" s="2">
        <f t="shared" si="140"/>
        <v>0</v>
      </c>
      <c r="M2979" t="s">
        <v>31</v>
      </c>
      <c r="N2979" t="s">
        <v>21</v>
      </c>
    </row>
    <row r="2980" spans="1:14" x14ac:dyDescent="0.3">
      <c r="A2980">
        <v>2024003978</v>
      </c>
      <c r="B2980" s="1">
        <v>45647</v>
      </c>
      <c r="C2980" s="11">
        <f t="shared" si="138"/>
        <v>2024</v>
      </c>
      <c r="D2980" t="s">
        <v>126</v>
      </c>
      <c r="E2980" t="s">
        <v>34</v>
      </c>
      <c r="F2980" t="s">
        <v>35</v>
      </c>
      <c r="G2980" t="s">
        <v>36</v>
      </c>
      <c r="H2980">
        <v>1</v>
      </c>
      <c r="I2980" s="2">
        <v>15.03</v>
      </c>
      <c r="J2980" s="2">
        <v>15.03</v>
      </c>
      <c r="K2980" s="2">
        <f t="shared" si="139"/>
        <v>15.03</v>
      </c>
      <c r="L2980" s="2">
        <f t="shared" si="140"/>
        <v>0</v>
      </c>
      <c r="M2980" t="s">
        <v>55</v>
      </c>
      <c r="N2980" t="s">
        <v>32</v>
      </c>
    </row>
    <row r="2981" spans="1:14" x14ac:dyDescent="0.3">
      <c r="A2981">
        <v>2024003979</v>
      </c>
      <c r="B2981" s="1">
        <v>45305</v>
      </c>
      <c r="C2981" s="11">
        <f t="shared" si="138"/>
        <v>2024</v>
      </c>
      <c r="D2981" t="s">
        <v>209</v>
      </c>
      <c r="E2981" t="s">
        <v>53</v>
      </c>
      <c r="F2981" t="s">
        <v>54</v>
      </c>
      <c r="G2981" t="s">
        <v>36</v>
      </c>
      <c r="H2981">
        <v>4</v>
      </c>
      <c r="I2981" s="2">
        <v>117.06</v>
      </c>
      <c r="J2981" s="2">
        <v>468.24</v>
      </c>
      <c r="K2981" s="2">
        <f t="shared" si="139"/>
        <v>468.24</v>
      </c>
      <c r="L2981" s="2">
        <f t="shared" si="140"/>
        <v>0</v>
      </c>
      <c r="M2981" t="s">
        <v>55</v>
      </c>
      <c r="N2981" t="s">
        <v>26</v>
      </c>
    </row>
    <row r="2982" spans="1:14" x14ac:dyDescent="0.3">
      <c r="A2982">
        <v>2024003980</v>
      </c>
      <c r="B2982" s="1">
        <v>45654</v>
      </c>
      <c r="C2982" s="11">
        <f t="shared" si="138"/>
        <v>2024</v>
      </c>
      <c r="D2982" t="s">
        <v>317</v>
      </c>
      <c r="E2982" t="s">
        <v>23</v>
      </c>
      <c r="F2982" t="s">
        <v>24</v>
      </c>
      <c r="G2982" t="s">
        <v>14</v>
      </c>
      <c r="H2982">
        <v>2</v>
      </c>
      <c r="I2982" s="2">
        <v>83.64</v>
      </c>
      <c r="J2982" s="2">
        <v>167.28</v>
      </c>
      <c r="K2982" s="2">
        <f t="shared" si="139"/>
        <v>167.28</v>
      </c>
      <c r="L2982" s="2">
        <f t="shared" si="140"/>
        <v>0</v>
      </c>
      <c r="M2982" t="s">
        <v>57</v>
      </c>
      <c r="N2982" t="s">
        <v>32</v>
      </c>
    </row>
    <row r="2983" spans="1:14" x14ac:dyDescent="0.3">
      <c r="A2983">
        <v>2024003981</v>
      </c>
      <c r="B2983" s="1">
        <v>45304</v>
      </c>
      <c r="C2983" s="11">
        <f t="shared" si="138"/>
        <v>2024</v>
      </c>
      <c r="D2983" t="s">
        <v>66</v>
      </c>
      <c r="E2983" t="s">
        <v>67</v>
      </c>
      <c r="F2983" t="s">
        <v>68</v>
      </c>
      <c r="G2983" t="s">
        <v>36</v>
      </c>
      <c r="H2983">
        <v>1</v>
      </c>
      <c r="I2983" s="2">
        <v>415.91</v>
      </c>
      <c r="J2983" s="2">
        <v>415.91</v>
      </c>
      <c r="K2983" s="2">
        <f t="shared" si="139"/>
        <v>415.91</v>
      </c>
      <c r="L2983" s="2">
        <f t="shared" si="140"/>
        <v>0</v>
      </c>
      <c r="M2983" t="s">
        <v>55</v>
      </c>
      <c r="N2983" t="s">
        <v>16</v>
      </c>
    </row>
    <row r="2984" spans="1:14" x14ac:dyDescent="0.3">
      <c r="A2984">
        <v>2024003982</v>
      </c>
      <c r="B2984" s="1">
        <v>45621</v>
      </c>
      <c r="C2984" s="11">
        <f t="shared" si="138"/>
        <v>2024</v>
      </c>
      <c r="D2984" t="s">
        <v>346</v>
      </c>
      <c r="E2984" t="s">
        <v>28</v>
      </c>
      <c r="F2984" t="s">
        <v>29</v>
      </c>
      <c r="G2984" t="s">
        <v>30</v>
      </c>
      <c r="H2984">
        <v>1</v>
      </c>
      <c r="I2984" s="2">
        <v>26.87</v>
      </c>
      <c r="J2984" s="2">
        <v>26.87</v>
      </c>
      <c r="K2984" s="2">
        <f t="shared" si="139"/>
        <v>26.87</v>
      </c>
      <c r="L2984" s="2">
        <f t="shared" si="140"/>
        <v>0</v>
      </c>
      <c r="M2984" t="s">
        <v>57</v>
      </c>
      <c r="N2984" t="s">
        <v>21</v>
      </c>
    </row>
    <row r="2985" spans="1:14" x14ac:dyDescent="0.3">
      <c r="A2985">
        <v>2024003983</v>
      </c>
      <c r="B2985" s="1">
        <v>45328</v>
      </c>
      <c r="C2985" s="11">
        <f t="shared" si="138"/>
        <v>2024</v>
      </c>
      <c r="D2985" t="s">
        <v>137</v>
      </c>
      <c r="E2985" t="s">
        <v>40</v>
      </c>
      <c r="F2985" t="s">
        <v>41</v>
      </c>
      <c r="G2985" t="s">
        <v>36</v>
      </c>
      <c r="H2985">
        <v>1</v>
      </c>
      <c r="I2985" s="2">
        <v>43.6</v>
      </c>
      <c r="J2985" s="2">
        <v>43.6</v>
      </c>
      <c r="K2985" s="2">
        <f t="shared" si="139"/>
        <v>43.6</v>
      </c>
      <c r="L2985" s="2">
        <f t="shared" si="140"/>
        <v>0</v>
      </c>
      <c r="M2985" t="s">
        <v>31</v>
      </c>
      <c r="N2985" t="s">
        <v>16</v>
      </c>
    </row>
    <row r="2986" spans="1:14" x14ac:dyDescent="0.3">
      <c r="A2986">
        <v>2024003984</v>
      </c>
      <c r="B2986" s="1">
        <v>45305</v>
      </c>
      <c r="C2986" s="11">
        <f t="shared" si="138"/>
        <v>2024</v>
      </c>
      <c r="D2986" t="s">
        <v>87</v>
      </c>
      <c r="E2986" t="s">
        <v>53</v>
      </c>
      <c r="F2986" t="s">
        <v>54</v>
      </c>
      <c r="G2986" t="s">
        <v>36</v>
      </c>
      <c r="H2986">
        <v>2</v>
      </c>
      <c r="I2986" s="2">
        <v>115.05</v>
      </c>
      <c r="J2986" s="2">
        <v>230.1</v>
      </c>
      <c r="K2986" s="2">
        <f t="shared" si="139"/>
        <v>230.1</v>
      </c>
      <c r="L2986" s="2">
        <f t="shared" si="140"/>
        <v>0</v>
      </c>
      <c r="M2986" t="s">
        <v>48</v>
      </c>
      <c r="N2986" t="s">
        <v>32</v>
      </c>
    </row>
    <row r="2987" spans="1:14" x14ac:dyDescent="0.3">
      <c r="A2987">
        <v>2024003985</v>
      </c>
      <c r="B2987" s="1">
        <v>45387</v>
      </c>
      <c r="C2987" s="11">
        <f t="shared" si="138"/>
        <v>2024</v>
      </c>
      <c r="D2987" t="s">
        <v>105</v>
      </c>
      <c r="E2987" t="s">
        <v>40</v>
      </c>
      <c r="F2987" t="s">
        <v>41</v>
      </c>
      <c r="G2987" t="s">
        <v>36</v>
      </c>
      <c r="H2987">
        <v>1</v>
      </c>
      <c r="I2987" s="2">
        <v>46.43</v>
      </c>
      <c r="J2987" s="2">
        <v>46.43</v>
      </c>
      <c r="K2987" s="2">
        <f t="shared" si="139"/>
        <v>46.43</v>
      </c>
      <c r="L2987" s="2">
        <f t="shared" si="140"/>
        <v>0</v>
      </c>
      <c r="M2987" t="s">
        <v>38</v>
      </c>
      <c r="N2987" t="s">
        <v>32</v>
      </c>
    </row>
    <row r="2988" spans="1:14" x14ac:dyDescent="0.3">
      <c r="A2988">
        <v>2024003986</v>
      </c>
      <c r="B2988" s="1">
        <v>45383</v>
      </c>
      <c r="C2988" s="11">
        <f t="shared" si="138"/>
        <v>2024</v>
      </c>
      <c r="D2988" t="s">
        <v>148</v>
      </c>
      <c r="E2988" t="s">
        <v>40</v>
      </c>
      <c r="F2988" t="s">
        <v>41</v>
      </c>
      <c r="G2988" t="s">
        <v>36</v>
      </c>
      <c r="H2988">
        <v>3</v>
      </c>
      <c r="I2988" s="2">
        <v>43.75</v>
      </c>
      <c r="J2988" s="2">
        <v>131.25</v>
      </c>
      <c r="K2988" s="2">
        <f t="shared" si="139"/>
        <v>131.25</v>
      </c>
      <c r="L2988" s="2">
        <f t="shared" si="140"/>
        <v>0</v>
      </c>
      <c r="M2988" t="s">
        <v>61</v>
      </c>
      <c r="N2988" t="s">
        <v>16</v>
      </c>
    </row>
    <row r="2989" spans="1:14" x14ac:dyDescent="0.3">
      <c r="A2989">
        <v>2024001272</v>
      </c>
      <c r="B2989" s="1">
        <v>45407</v>
      </c>
      <c r="C2989" s="11">
        <f t="shared" si="138"/>
        <v>2024</v>
      </c>
      <c r="D2989" t="s">
        <v>79</v>
      </c>
      <c r="E2989" t="s">
        <v>34</v>
      </c>
      <c r="F2989" t="s">
        <v>35</v>
      </c>
      <c r="G2989" t="s">
        <v>36</v>
      </c>
      <c r="H2989">
        <v>3</v>
      </c>
      <c r="I2989" s="2">
        <v>14.35</v>
      </c>
      <c r="J2989" s="2">
        <v>43.05</v>
      </c>
      <c r="K2989" s="2">
        <f t="shared" si="139"/>
        <v>43.05</v>
      </c>
      <c r="L2989" s="2">
        <f t="shared" si="140"/>
        <v>0</v>
      </c>
      <c r="M2989" t="s">
        <v>61</v>
      </c>
      <c r="N2989" t="s">
        <v>16</v>
      </c>
    </row>
    <row r="2990" spans="1:14" x14ac:dyDescent="0.3">
      <c r="A2990">
        <v>2024003988</v>
      </c>
      <c r="B2990" s="1">
        <v>45421</v>
      </c>
      <c r="C2990" s="11">
        <f t="shared" si="138"/>
        <v>2024</v>
      </c>
      <c r="D2990" t="s">
        <v>261</v>
      </c>
      <c r="E2990" t="s">
        <v>53</v>
      </c>
      <c r="F2990" t="s">
        <v>54</v>
      </c>
      <c r="G2990" t="s">
        <v>36</v>
      </c>
      <c r="H2990">
        <v>1</v>
      </c>
      <c r="I2990" s="2">
        <v>116.63</v>
      </c>
      <c r="J2990" s="2">
        <v>116.63</v>
      </c>
      <c r="K2990" s="2">
        <f t="shared" si="139"/>
        <v>116.63</v>
      </c>
      <c r="L2990" s="2">
        <f t="shared" si="140"/>
        <v>0</v>
      </c>
      <c r="M2990" t="s">
        <v>20</v>
      </c>
      <c r="N2990" t="s">
        <v>26</v>
      </c>
    </row>
    <row r="2991" spans="1:14" x14ac:dyDescent="0.3">
      <c r="A2991">
        <v>2024003989</v>
      </c>
      <c r="B2991" s="1">
        <v>45367</v>
      </c>
      <c r="C2991" s="11">
        <f t="shared" si="138"/>
        <v>2024</v>
      </c>
      <c r="D2991" t="s">
        <v>119</v>
      </c>
      <c r="E2991" t="s">
        <v>53</v>
      </c>
      <c r="F2991" t="s">
        <v>54</v>
      </c>
      <c r="G2991" t="s">
        <v>36</v>
      </c>
      <c r="H2991">
        <v>1</v>
      </c>
      <c r="I2991" s="2">
        <v>112.21</v>
      </c>
      <c r="J2991" s="2">
        <v>112.21</v>
      </c>
      <c r="K2991" s="2">
        <f t="shared" si="139"/>
        <v>112.21</v>
      </c>
      <c r="L2991" s="2">
        <f t="shared" si="140"/>
        <v>0</v>
      </c>
      <c r="M2991" t="s">
        <v>38</v>
      </c>
      <c r="N2991" t="s">
        <v>16</v>
      </c>
    </row>
    <row r="2992" spans="1:14" x14ac:dyDescent="0.3">
      <c r="A2992">
        <v>2024003990</v>
      </c>
      <c r="B2992" s="1">
        <v>45657</v>
      </c>
      <c r="C2992" s="11">
        <f t="shared" si="138"/>
        <v>2024</v>
      </c>
      <c r="D2992" t="s">
        <v>111</v>
      </c>
      <c r="E2992" t="s">
        <v>12</v>
      </c>
      <c r="F2992" t="s">
        <v>13</v>
      </c>
      <c r="G2992" t="s">
        <v>14</v>
      </c>
      <c r="H2992">
        <v>1</v>
      </c>
      <c r="I2992" s="2">
        <v>356.61</v>
      </c>
      <c r="J2992" s="2">
        <v>356.61</v>
      </c>
      <c r="K2992" s="2">
        <f t="shared" si="139"/>
        <v>356.61</v>
      </c>
      <c r="L2992" s="2">
        <f t="shared" si="140"/>
        <v>0</v>
      </c>
      <c r="M2992" t="s">
        <v>55</v>
      </c>
      <c r="N2992" t="s">
        <v>16</v>
      </c>
    </row>
    <row r="2993" spans="1:14" x14ac:dyDescent="0.3">
      <c r="A2993">
        <v>2024003991</v>
      </c>
      <c r="B2993" s="1">
        <v>45597</v>
      </c>
      <c r="C2993" s="11">
        <f t="shared" si="138"/>
        <v>2024</v>
      </c>
      <c r="D2993" t="s">
        <v>129</v>
      </c>
      <c r="E2993" t="s">
        <v>40</v>
      </c>
      <c r="F2993" t="s">
        <v>41</v>
      </c>
      <c r="G2993" t="s">
        <v>36</v>
      </c>
      <c r="H2993">
        <v>3</v>
      </c>
      <c r="I2993" s="2">
        <v>48.95</v>
      </c>
      <c r="J2993" s="2">
        <v>146.85</v>
      </c>
      <c r="K2993" s="2">
        <f t="shared" si="139"/>
        <v>146.85000000000002</v>
      </c>
      <c r="L2993" s="2">
        <f t="shared" si="140"/>
        <v>0</v>
      </c>
      <c r="M2993" t="s">
        <v>25</v>
      </c>
      <c r="N2993" t="s">
        <v>32</v>
      </c>
    </row>
    <row r="2994" spans="1:14" x14ac:dyDescent="0.3">
      <c r="A2994">
        <v>2024003992</v>
      </c>
      <c r="B2994" s="1">
        <v>45450</v>
      </c>
      <c r="C2994" s="11">
        <f t="shared" si="138"/>
        <v>2024</v>
      </c>
      <c r="D2994" t="s">
        <v>316</v>
      </c>
      <c r="E2994" t="s">
        <v>43</v>
      </c>
      <c r="F2994" t="s">
        <v>44</v>
      </c>
      <c r="G2994" t="s">
        <v>36</v>
      </c>
      <c r="H2994">
        <v>1</v>
      </c>
      <c r="I2994" s="2">
        <v>1176.53</v>
      </c>
      <c r="J2994" s="2">
        <v>1176.53</v>
      </c>
      <c r="K2994" s="2">
        <f t="shared" si="139"/>
        <v>1176.53</v>
      </c>
      <c r="L2994" s="2">
        <f t="shared" si="140"/>
        <v>0</v>
      </c>
      <c r="M2994" t="s">
        <v>31</v>
      </c>
      <c r="N2994" t="s">
        <v>32</v>
      </c>
    </row>
    <row r="2995" spans="1:14" x14ac:dyDescent="0.3">
      <c r="A2995">
        <v>2024003993</v>
      </c>
      <c r="B2995" s="1">
        <v>45589</v>
      </c>
      <c r="C2995" s="11">
        <f t="shared" si="138"/>
        <v>2024</v>
      </c>
      <c r="D2995" t="s">
        <v>173</v>
      </c>
      <c r="E2995" t="s">
        <v>34</v>
      </c>
      <c r="F2995" t="s">
        <v>35</v>
      </c>
      <c r="G2995" t="s">
        <v>36</v>
      </c>
      <c r="H2995">
        <v>3</v>
      </c>
      <c r="I2995" s="2">
        <v>13.3</v>
      </c>
      <c r="J2995" s="2">
        <v>39.9</v>
      </c>
      <c r="K2995" s="2">
        <f t="shared" si="139"/>
        <v>39.900000000000006</v>
      </c>
      <c r="L2995" s="2">
        <f t="shared" si="140"/>
        <v>0</v>
      </c>
      <c r="M2995" t="s">
        <v>31</v>
      </c>
      <c r="N2995" t="s">
        <v>21</v>
      </c>
    </row>
    <row r="2996" spans="1:14" x14ac:dyDescent="0.3">
      <c r="A2996">
        <v>2024003994</v>
      </c>
      <c r="B2996" s="1">
        <v>45329</v>
      </c>
      <c r="C2996" s="11">
        <f t="shared" si="138"/>
        <v>2024</v>
      </c>
      <c r="D2996" t="s">
        <v>290</v>
      </c>
      <c r="E2996" t="s">
        <v>67</v>
      </c>
      <c r="F2996" t="s">
        <v>68</v>
      </c>
      <c r="G2996" t="s">
        <v>36</v>
      </c>
      <c r="H2996">
        <v>2</v>
      </c>
      <c r="I2996" s="2">
        <v>427.64</v>
      </c>
      <c r="J2996" s="2">
        <v>855.28</v>
      </c>
      <c r="K2996" s="2">
        <f t="shared" si="139"/>
        <v>855.28</v>
      </c>
      <c r="L2996" s="2">
        <f t="shared" si="140"/>
        <v>0</v>
      </c>
      <c r="M2996" t="s">
        <v>15</v>
      </c>
      <c r="N2996" t="s">
        <v>16</v>
      </c>
    </row>
    <row r="2997" spans="1:14" x14ac:dyDescent="0.3">
      <c r="A2997">
        <v>2024003995</v>
      </c>
      <c r="B2997" s="1">
        <v>45607</v>
      </c>
      <c r="C2997" s="11">
        <f t="shared" si="138"/>
        <v>2024</v>
      </c>
      <c r="D2997" t="s">
        <v>114</v>
      </c>
      <c r="E2997" t="s">
        <v>53</v>
      </c>
      <c r="F2997" t="s">
        <v>54</v>
      </c>
      <c r="G2997" t="s">
        <v>36</v>
      </c>
      <c r="H2997">
        <v>1</v>
      </c>
      <c r="I2997" s="2">
        <v>122.86</v>
      </c>
      <c r="J2997" s="2">
        <v>122.86</v>
      </c>
      <c r="K2997" s="2">
        <f t="shared" si="139"/>
        <v>122.86</v>
      </c>
      <c r="L2997" s="2">
        <f t="shared" si="140"/>
        <v>0</v>
      </c>
      <c r="M2997" t="s">
        <v>15</v>
      </c>
      <c r="N2997" t="s">
        <v>21</v>
      </c>
    </row>
    <row r="2998" spans="1:14" x14ac:dyDescent="0.3">
      <c r="A2998">
        <v>2024003996</v>
      </c>
      <c r="B2998" s="1">
        <v>45601</v>
      </c>
      <c r="C2998" s="11">
        <f t="shared" si="138"/>
        <v>2024</v>
      </c>
      <c r="D2998" t="s">
        <v>212</v>
      </c>
      <c r="E2998" t="s">
        <v>46</v>
      </c>
      <c r="F2998" t="s">
        <v>47</v>
      </c>
      <c r="G2998" t="s">
        <v>36</v>
      </c>
      <c r="H2998">
        <v>1</v>
      </c>
      <c r="I2998" s="2">
        <v>86.02</v>
      </c>
      <c r="J2998" s="2">
        <v>86.02</v>
      </c>
      <c r="K2998" s="2">
        <f t="shared" si="139"/>
        <v>86.02</v>
      </c>
      <c r="L2998" s="2">
        <f t="shared" si="140"/>
        <v>0</v>
      </c>
      <c r="M2998" t="s">
        <v>55</v>
      </c>
      <c r="N2998" t="s">
        <v>32</v>
      </c>
    </row>
    <row r="2999" spans="1:14" x14ac:dyDescent="0.3">
      <c r="A2999">
        <v>2024003997</v>
      </c>
      <c r="B2999" s="1">
        <v>45602</v>
      </c>
      <c r="C2999" s="11">
        <f t="shared" si="138"/>
        <v>2024</v>
      </c>
      <c r="D2999" t="s">
        <v>287</v>
      </c>
      <c r="E2999" t="s">
        <v>43</v>
      </c>
      <c r="F2999" t="s">
        <v>44</v>
      </c>
      <c r="G2999" t="s">
        <v>36</v>
      </c>
      <c r="H2999">
        <v>1</v>
      </c>
      <c r="I2999" s="2">
        <v>1217.27</v>
      </c>
      <c r="J2999" s="2">
        <v>1217.27</v>
      </c>
      <c r="K2999" s="2">
        <f t="shared" si="139"/>
        <v>1217.27</v>
      </c>
      <c r="L2999" s="2">
        <f t="shared" si="140"/>
        <v>0</v>
      </c>
      <c r="M2999" t="s">
        <v>20</v>
      </c>
      <c r="N2999" t="s">
        <v>21</v>
      </c>
    </row>
    <row r="3000" spans="1:14" x14ac:dyDescent="0.3">
      <c r="A3000">
        <v>2024003998</v>
      </c>
      <c r="B3000" s="1">
        <v>45405</v>
      </c>
      <c r="C3000" s="11">
        <f t="shared" si="138"/>
        <v>2024</v>
      </c>
      <c r="D3000" t="s">
        <v>17</v>
      </c>
      <c r="E3000" t="s">
        <v>46</v>
      </c>
      <c r="F3000" t="s">
        <v>47</v>
      </c>
      <c r="G3000" t="s">
        <v>36</v>
      </c>
      <c r="H3000">
        <v>1</v>
      </c>
      <c r="I3000" s="2">
        <v>95.88</v>
      </c>
      <c r="J3000" s="2">
        <v>95.88</v>
      </c>
      <c r="K3000" s="2">
        <f t="shared" si="139"/>
        <v>95.88</v>
      </c>
      <c r="L3000" s="2">
        <f t="shared" si="140"/>
        <v>0</v>
      </c>
      <c r="M3000" t="s">
        <v>20</v>
      </c>
      <c r="N3000" t="s">
        <v>32</v>
      </c>
    </row>
    <row r="3001" spans="1:14" x14ac:dyDescent="0.3">
      <c r="A3001">
        <v>2024003999</v>
      </c>
      <c r="B3001" s="1">
        <v>45642</v>
      </c>
      <c r="C3001" s="11">
        <f t="shared" si="138"/>
        <v>2024</v>
      </c>
      <c r="D3001" t="s">
        <v>112</v>
      </c>
      <c r="E3001" t="s">
        <v>18</v>
      </c>
      <c r="F3001" t="s">
        <v>19</v>
      </c>
      <c r="G3001" t="s">
        <v>14</v>
      </c>
      <c r="H3001">
        <v>1</v>
      </c>
      <c r="I3001" s="2">
        <v>572.74</v>
      </c>
      <c r="J3001" s="2">
        <v>572.74</v>
      </c>
      <c r="K3001" s="2">
        <f t="shared" si="139"/>
        <v>572.74</v>
      </c>
      <c r="L3001" s="2">
        <f t="shared" si="140"/>
        <v>0</v>
      </c>
      <c r="M3001" t="s">
        <v>31</v>
      </c>
      <c r="N3001" t="s">
        <v>26</v>
      </c>
    </row>
    <row r="3002" spans="1:14" x14ac:dyDescent="0.3">
      <c r="A3002">
        <v>2024003032</v>
      </c>
      <c r="B3002" s="1">
        <v>45418</v>
      </c>
      <c r="C3002" s="11">
        <f t="shared" si="138"/>
        <v>2024</v>
      </c>
      <c r="D3002" t="s">
        <v>62</v>
      </c>
      <c r="E3002" t="s">
        <v>18</v>
      </c>
      <c r="F3002" t="s">
        <v>19</v>
      </c>
      <c r="G3002" t="s">
        <v>14</v>
      </c>
      <c r="H3002">
        <v>2</v>
      </c>
      <c r="I3002" s="2">
        <v>579.92999999999995</v>
      </c>
      <c r="J3002" s="2">
        <v>1159.8599999999999</v>
      </c>
      <c r="K3002" s="2">
        <f t="shared" si="139"/>
        <v>1159.8599999999999</v>
      </c>
      <c r="L3002" s="2">
        <f t="shared" si="140"/>
        <v>0</v>
      </c>
      <c r="M3002" t="s">
        <v>25</v>
      </c>
      <c r="N3002" t="s">
        <v>16</v>
      </c>
    </row>
    <row r="3003" spans="1:14" x14ac:dyDescent="0.3">
      <c r="A3003">
        <v>2024004001</v>
      </c>
      <c r="B3003" s="1">
        <v>45364</v>
      </c>
      <c r="C3003" s="11">
        <f t="shared" si="138"/>
        <v>2024</v>
      </c>
      <c r="D3003" t="s">
        <v>128</v>
      </c>
      <c r="E3003" t="s">
        <v>12</v>
      </c>
      <c r="F3003" t="s">
        <v>13</v>
      </c>
      <c r="G3003" t="s">
        <v>14</v>
      </c>
      <c r="H3003">
        <v>2</v>
      </c>
      <c r="I3003" s="2">
        <v>364.07</v>
      </c>
      <c r="J3003" s="2">
        <v>728.14</v>
      </c>
      <c r="K3003" s="2">
        <f t="shared" si="139"/>
        <v>728.14</v>
      </c>
      <c r="L3003" s="2">
        <f t="shared" si="140"/>
        <v>0</v>
      </c>
      <c r="M3003" t="s">
        <v>61</v>
      </c>
      <c r="N3003" t="s">
        <v>16</v>
      </c>
    </row>
    <row r="3004" spans="1:14" x14ac:dyDescent="0.3">
      <c r="A3004">
        <v>2024004002</v>
      </c>
      <c r="B3004" s="1">
        <v>45530</v>
      </c>
      <c r="C3004" s="11">
        <f t="shared" si="138"/>
        <v>2024</v>
      </c>
      <c r="D3004" t="s">
        <v>89</v>
      </c>
      <c r="E3004" t="s">
        <v>53</v>
      </c>
      <c r="F3004" t="s">
        <v>54</v>
      </c>
      <c r="G3004" t="s">
        <v>36</v>
      </c>
      <c r="H3004">
        <v>2</v>
      </c>
      <c r="I3004" s="2">
        <v>114.23</v>
      </c>
      <c r="J3004" s="2">
        <v>228.46</v>
      </c>
      <c r="K3004" s="2">
        <f t="shared" si="139"/>
        <v>228.46</v>
      </c>
      <c r="L3004" s="2">
        <f t="shared" si="140"/>
        <v>0</v>
      </c>
      <c r="M3004" t="s">
        <v>61</v>
      </c>
      <c r="N3004" t="s">
        <v>26</v>
      </c>
    </row>
    <row r="3005" spans="1:14" x14ac:dyDescent="0.3">
      <c r="A3005">
        <v>2024004003</v>
      </c>
      <c r="B3005" s="1">
        <v>45648</v>
      </c>
      <c r="C3005" s="11">
        <f t="shared" si="138"/>
        <v>2024</v>
      </c>
      <c r="D3005" t="s">
        <v>60</v>
      </c>
      <c r="E3005" t="s">
        <v>43</v>
      </c>
      <c r="F3005" t="s">
        <v>44</v>
      </c>
      <c r="G3005" t="s">
        <v>36</v>
      </c>
      <c r="H3005">
        <v>1</v>
      </c>
      <c r="I3005" s="2">
        <v>1226.07</v>
      </c>
      <c r="J3005" s="2">
        <v>1226.07</v>
      </c>
      <c r="K3005" s="2">
        <f t="shared" si="139"/>
        <v>1226.07</v>
      </c>
      <c r="L3005" s="2">
        <f t="shared" si="140"/>
        <v>0</v>
      </c>
      <c r="M3005" t="s">
        <v>31</v>
      </c>
      <c r="N3005" t="s">
        <v>26</v>
      </c>
    </row>
    <row r="3006" spans="1:14" x14ac:dyDescent="0.3">
      <c r="A3006">
        <v>2024004004</v>
      </c>
      <c r="B3006" s="1">
        <v>45513</v>
      </c>
      <c r="C3006" s="11">
        <f t="shared" si="138"/>
        <v>2024</v>
      </c>
      <c r="D3006" t="s">
        <v>316</v>
      </c>
      <c r="E3006" t="s">
        <v>43</v>
      </c>
      <c r="F3006" t="s">
        <v>44</v>
      </c>
      <c r="G3006" t="s">
        <v>36</v>
      </c>
      <c r="H3006">
        <v>3</v>
      </c>
      <c r="I3006" s="2">
        <v>1161.1600000000001</v>
      </c>
      <c r="J3006" s="2">
        <v>3483.48</v>
      </c>
      <c r="K3006" s="2">
        <f t="shared" si="139"/>
        <v>3483.4800000000005</v>
      </c>
      <c r="L3006" s="2">
        <f t="shared" si="140"/>
        <v>0</v>
      </c>
      <c r="M3006" t="s">
        <v>61</v>
      </c>
      <c r="N3006" t="s">
        <v>21</v>
      </c>
    </row>
    <row r="3007" spans="1:14" x14ac:dyDescent="0.3">
      <c r="A3007">
        <v>2024004005</v>
      </c>
      <c r="B3007" s="1">
        <v>45394</v>
      </c>
      <c r="C3007" s="11">
        <f t="shared" si="138"/>
        <v>2024</v>
      </c>
      <c r="D3007" t="s">
        <v>129</v>
      </c>
      <c r="E3007" t="s">
        <v>40</v>
      </c>
      <c r="F3007" t="s">
        <v>41</v>
      </c>
      <c r="G3007" t="s">
        <v>36</v>
      </c>
      <c r="H3007">
        <v>1</v>
      </c>
      <c r="I3007" s="2">
        <v>43.61</v>
      </c>
      <c r="J3007" s="2">
        <v>43.61</v>
      </c>
      <c r="K3007" s="2">
        <f t="shared" si="139"/>
        <v>43.61</v>
      </c>
      <c r="L3007" s="2">
        <f t="shared" si="140"/>
        <v>0</v>
      </c>
      <c r="M3007" t="s">
        <v>64</v>
      </c>
      <c r="N3007" t="s">
        <v>32</v>
      </c>
    </row>
    <row r="3008" spans="1:14" x14ac:dyDescent="0.3">
      <c r="A3008">
        <v>2024004006</v>
      </c>
      <c r="B3008" s="1">
        <v>45480</v>
      </c>
      <c r="C3008" s="11">
        <f t="shared" si="138"/>
        <v>2024</v>
      </c>
      <c r="D3008" t="s">
        <v>235</v>
      </c>
      <c r="E3008" t="s">
        <v>53</v>
      </c>
      <c r="F3008" t="s">
        <v>54</v>
      </c>
      <c r="G3008" t="s">
        <v>36</v>
      </c>
      <c r="H3008">
        <v>3</v>
      </c>
      <c r="I3008" s="2">
        <v>120.03</v>
      </c>
      <c r="J3008" s="2">
        <v>360.09</v>
      </c>
      <c r="K3008" s="2">
        <f t="shared" si="139"/>
        <v>360.09000000000003</v>
      </c>
      <c r="L3008" s="2">
        <f t="shared" si="140"/>
        <v>0</v>
      </c>
      <c r="M3008" t="s">
        <v>15</v>
      </c>
      <c r="N3008" t="s">
        <v>26</v>
      </c>
    </row>
    <row r="3009" spans="1:14" x14ac:dyDescent="0.3">
      <c r="A3009">
        <v>2024004007</v>
      </c>
      <c r="B3009" s="1">
        <v>45454</v>
      </c>
      <c r="C3009" s="11">
        <f t="shared" si="138"/>
        <v>2024</v>
      </c>
      <c r="D3009" t="s">
        <v>247</v>
      </c>
      <c r="E3009" t="s">
        <v>40</v>
      </c>
      <c r="F3009" t="s">
        <v>41</v>
      </c>
      <c r="G3009" t="s">
        <v>36</v>
      </c>
      <c r="H3009">
        <v>1</v>
      </c>
      <c r="I3009" s="2">
        <v>41.56</v>
      </c>
      <c r="J3009" s="2">
        <v>41.56</v>
      </c>
      <c r="K3009" s="2">
        <f t="shared" si="139"/>
        <v>41.56</v>
      </c>
      <c r="L3009" s="2">
        <f t="shared" si="140"/>
        <v>0</v>
      </c>
      <c r="M3009" t="s">
        <v>61</v>
      </c>
      <c r="N3009" t="s">
        <v>21</v>
      </c>
    </row>
    <row r="3010" spans="1:14" x14ac:dyDescent="0.3">
      <c r="A3010">
        <v>2024004008</v>
      </c>
      <c r="B3010" s="1">
        <v>45556</v>
      </c>
      <c r="C3010" s="11">
        <f t="shared" si="138"/>
        <v>2024</v>
      </c>
      <c r="D3010" t="s">
        <v>154</v>
      </c>
      <c r="E3010" t="s">
        <v>40</v>
      </c>
      <c r="F3010" t="s">
        <v>41</v>
      </c>
      <c r="G3010" t="s">
        <v>36</v>
      </c>
      <c r="H3010">
        <v>3</v>
      </c>
      <c r="I3010" s="2">
        <v>44</v>
      </c>
      <c r="J3010" s="2">
        <v>132</v>
      </c>
      <c r="K3010" s="2">
        <f t="shared" si="139"/>
        <v>132</v>
      </c>
      <c r="L3010" s="2">
        <f t="shared" si="140"/>
        <v>0</v>
      </c>
      <c r="M3010" t="s">
        <v>64</v>
      </c>
      <c r="N3010" t="s">
        <v>26</v>
      </c>
    </row>
    <row r="3011" spans="1:14" x14ac:dyDescent="0.3">
      <c r="A3011">
        <v>2024004009</v>
      </c>
      <c r="B3011" s="1">
        <v>45421</v>
      </c>
      <c r="C3011" s="11">
        <f t="shared" ref="C3011:C3074" si="141">YEAR(B3011)</f>
        <v>2024</v>
      </c>
      <c r="D3011" t="s">
        <v>169</v>
      </c>
      <c r="E3011" t="s">
        <v>34</v>
      </c>
      <c r="F3011" t="s">
        <v>35</v>
      </c>
      <c r="G3011" t="s">
        <v>36</v>
      </c>
      <c r="H3011">
        <v>1</v>
      </c>
      <c r="I3011" s="2">
        <v>16.03</v>
      </c>
      <c r="J3011" s="2">
        <v>16.03</v>
      </c>
      <c r="K3011" s="2">
        <f t="shared" ref="K3011:K3074" si="142">I3011*H3011</f>
        <v>16.03</v>
      </c>
      <c r="L3011" s="2">
        <f t="shared" ref="L3011:L3074" si="143">J3011-K3011</f>
        <v>0</v>
      </c>
      <c r="M3011" t="s">
        <v>38</v>
      </c>
      <c r="N3011" t="s">
        <v>16</v>
      </c>
    </row>
    <row r="3012" spans="1:14" x14ac:dyDescent="0.3">
      <c r="A3012">
        <v>2024004010</v>
      </c>
      <c r="B3012" s="1">
        <v>45417</v>
      </c>
      <c r="C3012" s="11">
        <f t="shared" si="141"/>
        <v>2024</v>
      </c>
      <c r="D3012" t="s">
        <v>299</v>
      </c>
      <c r="E3012" t="s">
        <v>23</v>
      </c>
      <c r="F3012" t="s">
        <v>24</v>
      </c>
      <c r="G3012" t="s">
        <v>14</v>
      </c>
      <c r="H3012">
        <v>1</v>
      </c>
      <c r="I3012" s="2">
        <v>79.11</v>
      </c>
      <c r="J3012" s="2">
        <v>79.11</v>
      </c>
      <c r="K3012" s="2">
        <f t="shared" si="142"/>
        <v>79.11</v>
      </c>
      <c r="L3012" s="2">
        <f t="shared" si="143"/>
        <v>0</v>
      </c>
      <c r="M3012" t="s">
        <v>20</v>
      </c>
      <c r="N3012" t="s">
        <v>26</v>
      </c>
    </row>
    <row r="3013" spans="1:14" x14ac:dyDescent="0.3">
      <c r="A3013">
        <v>2024004011</v>
      </c>
      <c r="B3013" s="1">
        <v>45333</v>
      </c>
      <c r="C3013" s="11">
        <f t="shared" si="141"/>
        <v>2024</v>
      </c>
      <c r="D3013" t="s">
        <v>264</v>
      </c>
      <c r="E3013" t="s">
        <v>28</v>
      </c>
      <c r="F3013" t="s">
        <v>29</v>
      </c>
      <c r="G3013" t="s">
        <v>30</v>
      </c>
      <c r="H3013">
        <v>1</v>
      </c>
      <c r="I3013" s="2">
        <v>26.19</v>
      </c>
      <c r="J3013" s="2">
        <v>26.19</v>
      </c>
      <c r="K3013" s="2">
        <f t="shared" si="142"/>
        <v>26.19</v>
      </c>
      <c r="L3013" s="2">
        <f t="shared" si="143"/>
        <v>0</v>
      </c>
      <c r="M3013" t="s">
        <v>57</v>
      </c>
      <c r="N3013" t="s">
        <v>32</v>
      </c>
    </row>
    <row r="3014" spans="1:14" x14ac:dyDescent="0.3">
      <c r="A3014">
        <v>2024004012</v>
      </c>
      <c r="B3014" s="1">
        <v>45480</v>
      </c>
      <c r="C3014" s="11">
        <f t="shared" si="141"/>
        <v>2024</v>
      </c>
      <c r="D3014" t="s">
        <v>215</v>
      </c>
      <c r="E3014" t="s">
        <v>12</v>
      </c>
      <c r="F3014" t="s">
        <v>13</v>
      </c>
      <c r="G3014" t="s">
        <v>14</v>
      </c>
      <c r="H3014">
        <v>1</v>
      </c>
      <c r="I3014" s="2">
        <v>334.19</v>
      </c>
      <c r="J3014" s="2">
        <v>334.19</v>
      </c>
      <c r="K3014" s="2">
        <f t="shared" si="142"/>
        <v>334.19</v>
      </c>
      <c r="L3014" s="2">
        <f t="shared" si="143"/>
        <v>0</v>
      </c>
      <c r="M3014" t="s">
        <v>64</v>
      </c>
      <c r="N3014" t="s">
        <v>16</v>
      </c>
    </row>
    <row r="3015" spans="1:14" x14ac:dyDescent="0.3">
      <c r="A3015">
        <v>2024004013</v>
      </c>
      <c r="B3015" s="1">
        <v>45300</v>
      </c>
      <c r="C3015" s="11">
        <f t="shared" si="141"/>
        <v>2024</v>
      </c>
      <c r="D3015" t="s">
        <v>298</v>
      </c>
      <c r="E3015" t="s">
        <v>18</v>
      </c>
      <c r="F3015" t="s">
        <v>19</v>
      </c>
      <c r="G3015" t="s">
        <v>14</v>
      </c>
      <c r="H3015">
        <v>1</v>
      </c>
      <c r="I3015" s="2">
        <v>634.27</v>
      </c>
      <c r="J3015" s="2">
        <v>634.27</v>
      </c>
      <c r="K3015" s="2">
        <f t="shared" si="142"/>
        <v>634.27</v>
      </c>
      <c r="L3015" s="2">
        <f t="shared" si="143"/>
        <v>0</v>
      </c>
      <c r="M3015" t="s">
        <v>15</v>
      </c>
      <c r="N3015" t="s">
        <v>21</v>
      </c>
    </row>
    <row r="3016" spans="1:14" x14ac:dyDescent="0.3">
      <c r="A3016">
        <v>2024004014</v>
      </c>
      <c r="B3016" s="1">
        <v>45589</v>
      </c>
      <c r="C3016" s="11">
        <f t="shared" si="141"/>
        <v>2024</v>
      </c>
      <c r="D3016" t="s">
        <v>185</v>
      </c>
      <c r="E3016" t="s">
        <v>12</v>
      </c>
      <c r="F3016" t="s">
        <v>13</v>
      </c>
      <c r="G3016" t="s">
        <v>14</v>
      </c>
      <c r="H3016">
        <v>3</v>
      </c>
      <c r="I3016" s="2">
        <v>364.59</v>
      </c>
      <c r="J3016" s="2">
        <v>1093.77</v>
      </c>
      <c r="K3016" s="2">
        <f t="shared" si="142"/>
        <v>1093.77</v>
      </c>
      <c r="L3016" s="2">
        <f t="shared" si="143"/>
        <v>0</v>
      </c>
      <c r="M3016" t="s">
        <v>57</v>
      </c>
      <c r="N3016" t="s">
        <v>32</v>
      </c>
    </row>
    <row r="3017" spans="1:14" x14ac:dyDescent="0.3">
      <c r="A3017">
        <v>2024004015</v>
      </c>
      <c r="B3017" s="1">
        <v>45315</v>
      </c>
      <c r="C3017" s="11">
        <f t="shared" si="141"/>
        <v>2024</v>
      </c>
      <c r="D3017" t="s">
        <v>291</v>
      </c>
      <c r="E3017" t="s">
        <v>23</v>
      </c>
      <c r="F3017" t="s">
        <v>24</v>
      </c>
      <c r="G3017" t="s">
        <v>14</v>
      </c>
      <c r="H3017">
        <v>3</v>
      </c>
      <c r="I3017" s="2">
        <v>83.38</v>
      </c>
      <c r="J3017" s="2">
        <v>250.14</v>
      </c>
      <c r="K3017" s="2">
        <f t="shared" si="142"/>
        <v>250.14</v>
      </c>
      <c r="L3017" s="2">
        <f t="shared" si="143"/>
        <v>0</v>
      </c>
      <c r="M3017" t="s">
        <v>48</v>
      </c>
      <c r="N3017" t="s">
        <v>21</v>
      </c>
    </row>
    <row r="3018" spans="1:14" x14ac:dyDescent="0.3">
      <c r="A3018">
        <v>2024004016</v>
      </c>
      <c r="B3018" s="1">
        <v>45373</v>
      </c>
      <c r="C3018" s="11">
        <f t="shared" si="141"/>
        <v>2024</v>
      </c>
      <c r="D3018" t="s">
        <v>11</v>
      </c>
      <c r="E3018" t="s">
        <v>12</v>
      </c>
      <c r="F3018" t="s">
        <v>13</v>
      </c>
      <c r="G3018" t="s">
        <v>14</v>
      </c>
      <c r="H3018">
        <v>1</v>
      </c>
      <c r="I3018" s="2">
        <v>337.16</v>
      </c>
      <c r="J3018" s="2">
        <v>337.16</v>
      </c>
      <c r="K3018" s="2">
        <f t="shared" si="142"/>
        <v>337.16</v>
      </c>
      <c r="L3018" s="2">
        <f t="shared" si="143"/>
        <v>0</v>
      </c>
      <c r="M3018" t="s">
        <v>15</v>
      </c>
      <c r="N3018" t="s">
        <v>26</v>
      </c>
    </row>
    <row r="3019" spans="1:14" x14ac:dyDescent="0.3">
      <c r="A3019">
        <v>2024004017</v>
      </c>
      <c r="B3019" s="1">
        <v>45375</v>
      </c>
      <c r="C3019" s="11">
        <f t="shared" si="141"/>
        <v>2024</v>
      </c>
      <c r="D3019" t="s">
        <v>321</v>
      </c>
      <c r="E3019" t="s">
        <v>23</v>
      </c>
      <c r="F3019" t="s">
        <v>24</v>
      </c>
      <c r="G3019" t="s">
        <v>14</v>
      </c>
      <c r="H3019">
        <v>3</v>
      </c>
      <c r="I3019" s="2">
        <v>79.45</v>
      </c>
      <c r="J3019" s="2">
        <v>238.35</v>
      </c>
      <c r="K3019" s="2">
        <f t="shared" si="142"/>
        <v>238.35000000000002</v>
      </c>
      <c r="L3019" s="2">
        <f t="shared" si="143"/>
        <v>0</v>
      </c>
      <c r="M3019" t="s">
        <v>20</v>
      </c>
      <c r="N3019" t="s">
        <v>16</v>
      </c>
    </row>
    <row r="3020" spans="1:14" x14ac:dyDescent="0.3">
      <c r="A3020">
        <v>2024004018</v>
      </c>
      <c r="B3020" s="1">
        <v>45632</v>
      </c>
      <c r="C3020" s="11">
        <f t="shared" si="141"/>
        <v>2024</v>
      </c>
      <c r="D3020" t="s">
        <v>224</v>
      </c>
      <c r="E3020" t="s">
        <v>18</v>
      </c>
      <c r="F3020" t="s">
        <v>19</v>
      </c>
      <c r="G3020" t="s">
        <v>14</v>
      </c>
      <c r="H3020">
        <v>1</v>
      </c>
      <c r="I3020" s="2">
        <v>568.80999999999995</v>
      </c>
      <c r="J3020" s="2">
        <v>568.80999999999995</v>
      </c>
      <c r="K3020" s="2">
        <f t="shared" si="142"/>
        <v>568.80999999999995</v>
      </c>
      <c r="L3020" s="2">
        <f t="shared" si="143"/>
        <v>0</v>
      </c>
      <c r="M3020" t="s">
        <v>48</v>
      </c>
      <c r="N3020" t="s">
        <v>26</v>
      </c>
    </row>
    <row r="3021" spans="1:14" x14ac:dyDescent="0.3">
      <c r="A3021">
        <v>2024004019</v>
      </c>
      <c r="B3021" s="1">
        <v>45364</v>
      </c>
      <c r="C3021" s="11">
        <f t="shared" si="141"/>
        <v>2024</v>
      </c>
      <c r="D3021" t="s">
        <v>276</v>
      </c>
      <c r="E3021" t="s">
        <v>12</v>
      </c>
      <c r="F3021" t="s">
        <v>13</v>
      </c>
      <c r="G3021" t="s">
        <v>14</v>
      </c>
      <c r="H3021">
        <v>2</v>
      </c>
      <c r="I3021" s="2">
        <v>344.26</v>
      </c>
      <c r="J3021" s="2">
        <v>688.52</v>
      </c>
      <c r="K3021" s="2">
        <f t="shared" si="142"/>
        <v>688.52</v>
      </c>
      <c r="L3021" s="2">
        <f t="shared" si="143"/>
        <v>0</v>
      </c>
      <c r="M3021" t="s">
        <v>15</v>
      </c>
      <c r="N3021" t="s">
        <v>21</v>
      </c>
    </row>
    <row r="3022" spans="1:14" x14ac:dyDescent="0.3">
      <c r="A3022">
        <v>2024004020</v>
      </c>
      <c r="B3022" s="1">
        <v>45521</v>
      </c>
      <c r="C3022" s="11">
        <f t="shared" si="141"/>
        <v>2024</v>
      </c>
      <c r="D3022" t="s">
        <v>11</v>
      </c>
      <c r="E3022" t="s">
        <v>34</v>
      </c>
      <c r="F3022" t="s">
        <v>35</v>
      </c>
      <c r="G3022" t="s">
        <v>36</v>
      </c>
      <c r="H3022">
        <v>5</v>
      </c>
      <c r="I3022" s="2">
        <v>14.87</v>
      </c>
      <c r="J3022" s="2">
        <v>74.349999999999994</v>
      </c>
      <c r="K3022" s="2">
        <f t="shared" si="142"/>
        <v>74.349999999999994</v>
      </c>
      <c r="L3022" s="2">
        <f t="shared" si="143"/>
        <v>0</v>
      </c>
      <c r="M3022" t="s">
        <v>48</v>
      </c>
      <c r="N3022" t="s">
        <v>21</v>
      </c>
    </row>
    <row r="3023" spans="1:14" x14ac:dyDescent="0.3">
      <c r="A3023">
        <v>2024004021</v>
      </c>
      <c r="B3023" s="1">
        <v>45619</v>
      </c>
      <c r="C3023" s="11">
        <f t="shared" si="141"/>
        <v>2024</v>
      </c>
      <c r="D3023" t="s">
        <v>82</v>
      </c>
      <c r="E3023" t="s">
        <v>34</v>
      </c>
      <c r="F3023" t="s">
        <v>35</v>
      </c>
      <c r="G3023" t="s">
        <v>36</v>
      </c>
      <c r="H3023">
        <v>1</v>
      </c>
      <c r="I3023" s="2">
        <v>14.91</v>
      </c>
      <c r="J3023" s="2">
        <v>14.91</v>
      </c>
      <c r="K3023" s="2">
        <f t="shared" si="142"/>
        <v>14.91</v>
      </c>
      <c r="L3023" s="2">
        <f t="shared" si="143"/>
        <v>0</v>
      </c>
      <c r="M3023" t="s">
        <v>38</v>
      </c>
      <c r="N3023" t="s">
        <v>26</v>
      </c>
    </row>
    <row r="3024" spans="1:14" x14ac:dyDescent="0.3">
      <c r="A3024">
        <v>2024004022</v>
      </c>
      <c r="B3024" s="1">
        <v>45472</v>
      </c>
      <c r="C3024" s="11">
        <f t="shared" si="141"/>
        <v>2024</v>
      </c>
      <c r="D3024" t="s">
        <v>312</v>
      </c>
      <c r="E3024" t="s">
        <v>43</v>
      </c>
      <c r="F3024" t="s">
        <v>44</v>
      </c>
      <c r="G3024" t="s">
        <v>36</v>
      </c>
      <c r="H3024">
        <v>3</v>
      </c>
      <c r="I3024" s="2">
        <v>1074.96</v>
      </c>
      <c r="J3024" s="2">
        <v>3224.88</v>
      </c>
      <c r="K3024" s="2">
        <f t="shared" si="142"/>
        <v>3224.88</v>
      </c>
      <c r="L3024" s="2">
        <f t="shared" si="143"/>
        <v>0</v>
      </c>
      <c r="M3024" t="s">
        <v>48</v>
      </c>
      <c r="N3024" t="s">
        <v>21</v>
      </c>
    </row>
    <row r="3025" spans="1:14" x14ac:dyDescent="0.3">
      <c r="A3025">
        <v>2024004023</v>
      </c>
      <c r="B3025" s="1">
        <v>45549</v>
      </c>
      <c r="C3025" s="11">
        <f t="shared" si="141"/>
        <v>2024</v>
      </c>
      <c r="D3025" t="s">
        <v>277</v>
      </c>
      <c r="E3025" t="s">
        <v>67</v>
      </c>
      <c r="F3025" t="s">
        <v>68</v>
      </c>
      <c r="G3025" t="s">
        <v>36</v>
      </c>
      <c r="H3025">
        <v>3</v>
      </c>
      <c r="I3025" s="2">
        <v>400.24</v>
      </c>
      <c r="J3025" s="2">
        <v>1200.72</v>
      </c>
      <c r="K3025" s="2">
        <f t="shared" si="142"/>
        <v>1200.72</v>
      </c>
      <c r="L3025" s="2">
        <f t="shared" si="143"/>
        <v>0</v>
      </c>
      <c r="M3025" t="s">
        <v>48</v>
      </c>
      <c r="N3025" t="s">
        <v>32</v>
      </c>
    </row>
    <row r="3026" spans="1:14" x14ac:dyDescent="0.3">
      <c r="A3026">
        <v>2024004024</v>
      </c>
      <c r="B3026" s="1">
        <v>45599</v>
      </c>
      <c r="C3026" s="11">
        <f t="shared" si="141"/>
        <v>2024</v>
      </c>
      <c r="D3026" t="s">
        <v>164</v>
      </c>
      <c r="E3026" t="s">
        <v>23</v>
      </c>
      <c r="F3026" t="s">
        <v>24</v>
      </c>
      <c r="G3026" t="s">
        <v>14</v>
      </c>
      <c r="H3026">
        <v>4</v>
      </c>
      <c r="I3026" s="2">
        <v>68.91</v>
      </c>
      <c r="J3026" s="2">
        <v>275.64</v>
      </c>
      <c r="K3026" s="2">
        <f t="shared" si="142"/>
        <v>275.64</v>
      </c>
      <c r="L3026" s="2">
        <f t="shared" si="143"/>
        <v>0</v>
      </c>
      <c r="M3026" t="s">
        <v>55</v>
      </c>
      <c r="N3026" t="s">
        <v>21</v>
      </c>
    </row>
    <row r="3027" spans="1:14" x14ac:dyDescent="0.3">
      <c r="A3027">
        <v>2024004025</v>
      </c>
      <c r="B3027" s="1">
        <v>45526</v>
      </c>
      <c r="C3027" s="11">
        <f t="shared" si="141"/>
        <v>2024</v>
      </c>
      <c r="D3027" t="s">
        <v>325</v>
      </c>
      <c r="E3027" t="s">
        <v>43</v>
      </c>
      <c r="F3027" t="s">
        <v>44</v>
      </c>
      <c r="G3027" t="s">
        <v>36</v>
      </c>
      <c r="H3027">
        <v>1</v>
      </c>
      <c r="I3027" s="2">
        <v>1324.22</v>
      </c>
      <c r="J3027" s="2">
        <v>1324.22</v>
      </c>
      <c r="K3027" s="2">
        <f t="shared" si="142"/>
        <v>1324.22</v>
      </c>
      <c r="L3027" s="2">
        <f t="shared" si="143"/>
        <v>0</v>
      </c>
      <c r="M3027" t="s">
        <v>31</v>
      </c>
      <c r="N3027" t="s">
        <v>32</v>
      </c>
    </row>
    <row r="3028" spans="1:14" x14ac:dyDescent="0.3">
      <c r="A3028">
        <v>2024004026</v>
      </c>
      <c r="B3028" s="1">
        <v>45657</v>
      </c>
      <c r="C3028" s="11">
        <f t="shared" si="141"/>
        <v>2024</v>
      </c>
      <c r="D3028" t="s">
        <v>88</v>
      </c>
      <c r="E3028" t="s">
        <v>53</v>
      </c>
      <c r="F3028" t="s">
        <v>54</v>
      </c>
      <c r="G3028" t="s">
        <v>36</v>
      </c>
      <c r="H3028">
        <v>2</v>
      </c>
      <c r="I3028" s="2">
        <v>125.11</v>
      </c>
      <c r="J3028" s="2">
        <v>250.22</v>
      </c>
      <c r="K3028" s="2">
        <f t="shared" si="142"/>
        <v>250.22</v>
      </c>
      <c r="L3028" s="2">
        <f t="shared" si="143"/>
        <v>0</v>
      </c>
      <c r="M3028" t="s">
        <v>20</v>
      </c>
      <c r="N3028" t="s">
        <v>32</v>
      </c>
    </row>
    <row r="3029" spans="1:14" x14ac:dyDescent="0.3">
      <c r="A3029">
        <v>2024004027</v>
      </c>
      <c r="B3029" s="1">
        <v>45588</v>
      </c>
      <c r="C3029" s="11">
        <f t="shared" si="141"/>
        <v>2024</v>
      </c>
      <c r="D3029" t="s">
        <v>178</v>
      </c>
      <c r="E3029" t="s">
        <v>23</v>
      </c>
      <c r="F3029" t="s">
        <v>24</v>
      </c>
      <c r="G3029" t="s">
        <v>14</v>
      </c>
      <c r="H3029">
        <v>1</v>
      </c>
      <c r="I3029" s="2">
        <v>90.02</v>
      </c>
      <c r="J3029" s="2">
        <v>90.02</v>
      </c>
      <c r="K3029" s="2">
        <f t="shared" si="142"/>
        <v>90.02</v>
      </c>
      <c r="L3029" s="2">
        <f t="shared" si="143"/>
        <v>0</v>
      </c>
      <c r="M3029" t="s">
        <v>25</v>
      </c>
      <c r="N3029" t="s">
        <v>26</v>
      </c>
    </row>
    <row r="3030" spans="1:14" x14ac:dyDescent="0.3">
      <c r="A3030">
        <v>2024004028</v>
      </c>
      <c r="B3030" s="1">
        <v>45535</v>
      </c>
      <c r="C3030" s="11">
        <f t="shared" si="141"/>
        <v>2024</v>
      </c>
      <c r="D3030" t="s">
        <v>119</v>
      </c>
      <c r="E3030" t="s">
        <v>18</v>
      </c>
      <c r="F3030" t="s">
        <v>19</v>
      </c>
      <c r="G3030" t="s">
        <v>14</v>
      </c>
      <c r="H3030">
        <v>4</v>
      </c>
      <c r="I3030" s="2">
        <v>608.63</v>
      </c>
      <c r="J3030" s="2">
        <v>2434.52</v>
      </c>
      <c r="K3030" s="2">
        <f t="shared" si="142"/>
        <v>2434.52</v>
      </c>
      <c r="L3030" s="2">
        <f t="shared" si="143"/>
        <v>0</v>
      </c>
      <c r="M3030" t="s">
        <v>61</v>
      </c>
      <c r="N3030" t="s">
        <v>26</v>
      </c>
    </row>
    <row r="3031" spans="1:14" x14ac:dyDescent="0.3">
      <c r="A3031">
        <v>2024004029</v>
      </c>
      <c r="B3031" s="1">
        <v>45341</v>
      </c>
      <c r="C3031" s="11">
        <f t="shared" si="141"/>
        <v>2024</v>
      </c>
      <c r="D3031" t="s">
        <v>244</v>
      </c>
      <c r="E3031" t="s">
        <v>46</v>
      </c>
      <c r="F3031" t="s">
        <v>47</v>
      </c>
      <c r="G3031" t="s">
        <v>36</v>
      </c>
      <c r="H3031">
        <v>0</v>
      </c>
      <c r="I3031" s="2">
        <v>97.54</v>
      </c>
      <c r="J3031" s="2">
        <v>0</v>
      </c>
      <c r="K3031" s="2">
        <f t="shared" si="142"/>
        <v>0</v>
      </c>
      <c r="L3031" s="2">
        <f t="shared" si="143"/>
        <v>0</v>
      </c>
      <c r="M3031" t="s">
        <v>38</v>
      </c>
      <c r="N3031" t="s">
        <v>16</v>
      </c>
    </row>
    <row r="3032" spans="1:14" x14ac:dyDescent="0.3">
      <c r="A3032">
        <v>2024004030</v>
      </c>
      <c r="B3032" s="1">
        <v>45362</v>
      </c>
      <c r="C3032" s="11">
        <f t="shared" si="141"/>
        <v>2024</v>
      </c>
      <c r="D3032" t="s">
        <v>11</v>
      </c>
      <c r="E3032" t="s">
        <v>46</v>
      </c>
      <c r="F3032" t="s">
        <v>47</v>
      </c>
      <c r="G3032" t="s">
        <v>36</v>
      </c>
      <c r="H3032">
        <v>1</v>
      </c>
      <c r="I3032" s="2">
        <v>90.2</v>
      </c>
      <c r="J3032" s="2">
        <v>90.2</v>
      </c>
      <c r="K3032" s="2">
        <f t="shared" si="142"/>
        <v>90.2</v>
      </c>
      <c r="L3032" s="2">
        <f t="shared" si="143"/>
        <v>0</v>
      </c>
      <c r="M3032" t="s">
        <v>48</v>
      </c>
      <c r="N3032" t="s">
        <v>21</v>
      </c>
    </row>
    <row r="3033" spans="1:14" x14ac:dyDescent="0.3">
      <c r="A3033">
        <v>2024002590</v>
      </c>
      <c r="B3033" s="1">
        <v>45351</v>
      </c>
      <c r="C3033" s="11">
        <f t="shared" si="141"/>
        <v>2024</v>
      </c>
      <c r="D3033" t="s">
        <v>208</v>
      </c>
      <c r="E3033" t="s">
        <v>12</v>
      </c>
      <c r="F3033" t="s">
        <v>13</v>
      </c>
      <c r="G3033" t="s">
        <v>14</v>
      </c>
      <c r="H3033">
        <v>3</v>
      </c>
      <c r="I3033" s="2">
        <v>351.12</v>
      </c>
      <c r="J3033" s="2">
        <v>1053.3599999999999</v>
      </c>
      <c r="K3033" s="2">
        <f t="shared" si="142"/>
        <v>1053.3600000000001</v>
      </c>
      <c r="L3033" s="2">
        <f t="shared" si="143"/>
        <v>0</v>
      </c>
      <c r="M3033" t="s">
        <v>15</v>
      </c>
      <c r="N3033" t="s">
        <v>21</v>
      </c>
    </row>
    <row r="3034" spans="1:14" x14ac:dyDescent="0.3">
      <c r="A3034">
        <v>2024004032</v>
      </c>
      <c r="B3034" s="1">
        <v>45580</v>
      </c>
      <c r="C3034" s="11">
        <f t="shared" si="141"/>
        <v>2024</v>
      </c>
      <c r="D3034" t="s">
        <v>85</v>
      </c>
      <c r="E3034" t="s">
        <v>28</v>
      </c>
      <c r="F3034" t="s">
        <v>29</v>
      </c>
      <c r="G3034" t="s">
        <v>30</v>
      </c>
      <c r="H3034">
        <v>1</v>
      </c>
      <c r="I3034" s="2">
        <v>25.72</v>
      </c>
      <c r="J3034" s="2">
        <v>25.72</v>
      </c>
      <c r="K3034" s="2">
        <f t="shared" si="142"/>
        <v>25.72</v>
      </c>
      <c r="L3034" s="2">
        <f t="shared" si="143"/>
        <v>0</v>
      </c>
      <c r="M3034" t="s">
        <v>64</v>
      </c>
      <c r="N3034" t="s">
        <v>21</v>
      </c>
    </row>
    <row r="3035" spans="1:14" x14ac:dyDescent="0.3">
      <c r="A3035">
        <v>2024004033</v>
      </c>
      <c r="B3035" s="1">
        <v>45451</v>
      </c>
      <c r="C3035" s="11">
        <f t="shared" si="141"/>
        <v>2024</v>
      </c>
      <c r="D3035" t="s">
        <v>193</v>
      </c>
      <c r="E3035" t="s">
        <v>12</v>
      </c>
      <c r="F3035" t="s">
        <v>13</v>
      </c>
      <c r="G3035" t="s">
        <v>14</v>
      </c>
      <c r="H3035">
        <v>3</v>
      </c>
      <c r="I3035" s="2">
        <v>324.76</v>
      </c>
      <c r="J3035" s="2">
        <v>974.28</v>
      </c>
      <c r="K3035" s="2">
        <f t="shared" si="142"/>
        <v>974.28</v>
      </c>
      <c r="L3035" s="2">
        <f t="shared" si="143"/>
        <v>0</v>
      </c>
      <c r="M3035" t="s">
        <v>61</v>
      </c>
      <c r="N3035" t="s">
        <v>26</v>
      </c>
    </row>
    <row r="3036" spans="1:14" x14ac:dyDescent="0.3">
      <c r="A3036">
        <v>2024004034</v>
      </c>
      <c r="B3036" s="1">
        <v>45510</v>
      </c>
      <c r="C3036" s="11">
        <f t="shared" si="141"/>
        <v>2024</v>
      </c>
      <c r="D3036" t="s">
        <v>324</v>
      </c>
      <c r="E3036" t="s">
        <v>40</v>
      </c>
      <c r="F3036" t="s">
        <v>41</v>
      </c>
      <c r="G3036" t="s">
        <v>36</v>
      </c>
      <c r="H3036">
        <v>2</v>
      </c>
      <c r="I3036" s="2">
        <v>42.97</v>
      </c>
      <c r="J3036" s="2">
        <v>85.94</v>
      </c>
      <c r="K3036" s="2">
        <f t="shared" si="142"/>
        <v>85.94</v>
      </c>
      <c r="L3036" s="2">
        <f t="shared" si="143"/>
        <v>0</v>
      </c>
      <c r="M3036" t="s">
        <v>25</v>
      </c>
      <c r="N3036" t="s">
        <v>32</v>
      </c>
    </row>
    <row r="3037" spans="1:14" x14ac:dyDescent="0.3">
      <c r="A3037">
        <v>2024004035</v>
      </c>
      <c r="B3037" s="1">
        <v>45558</v>
      </c>
      <c r="C3037" s="11">
        <f t="shared" si="141"/>
        <v>2024</v>
      </c>
      <c r="D3037" t="s">
        <v>193</v>
      </c>
      <c r="E3037" t="s">
        <v>18</v>
      </c>
      <c r="F3037" t="s">
        <v>19</v>
      </c>
      <c r="G3037" t="s">
        <v>14</v>
      </c>
      <c r="H3037">
        <v>1</v>
      </c>
      <c r="I3037" s="2">
        <v>535.35</v>
      </c>
      <c r="J3037" s="2">
        <v>535.35</v>
      </c>
      <c r="K3037" s="2">
        <f t="shared" si="142"/>
        <v>535.35</v>
      </c>
      <c r="L3037" s="2">
        <f t="shared" si="143"/>
        <v>0</v>
      </c>
      <c r="M3037" t="s">
        <v>20</v>
      </c>
      <c r="N3037" t="s">
        <v>16</v>
      </c>
    </row>
    <row r="3038" spans="1:14" x14ac:dyDescent="0.3">
      <c r="A3038">
        <v>2024004036</v>
      </c>
      <c r="B3038" s="1">
        <v>45470</v>
      </c>
      <c r="C3038" s="11">
        <f t="shared" si="141"/>
        <v>2024</v>
      </c>
      <c r="D3038" t="s">
        <v>263</v>
      </c>
      <c r="E3038" t="s">
        <v>43</v>
      </c>
      <c r="F3038" t="s">
        <v>44</v>
      </c>
      <c r="G3038" t="s">
        <v>36</v>
      </c>
      <c r="H3038">
        <v>2</v>
      </c>
      <c r="I3038" s="2">
        <v>1129.46</v>
      </c>
      <c r="J3038" s="2">
        <v>2258.92</v>
      </c>
      <c r="K3038" s="2">
        <f t="shared" si="142"/>
        <v>2258.92</v>
      </c>
      <c r="L3038" s="2">
        <f t="shared" si="143"/>
        <v>0</v>
      </c>
      <c r="M3038" t="s">
        <v>20</v>
      </c>
      <c r="N3038" t="s">
        <v>21</v>
      </c>
    </row>
    <row r="3039" spans="1:14" x14ac:dyDescent="0.3">
      <c r="A3039">
        <v>2024004037</v>
      </c>
      <c r="B3039" s="1">
        <v>45607</v>
      </c>
      <c r="C3039" s="11">
        <f t="shared" si="141"/>
        <v>2024</v>
      </c>
      <c r="D3039" t="s">
        <v>11</v>
      </c>
      <c r="E3039" t="s">
        <v>28</v>
      </c>
      <c r="F3039" t="s">
        <v>29</v>
      </c>
      <c r="G3039" t="s">
        <v>30</v>
      </c>
      <c r="H3039">
        <v>3</v>
      </c>
      <c r="I3039" s="2">
        <v>25.18</v>
      </c>
      <c r="J3039" s="2">
        <v>75.540000000000006</v>
      </c>
      <c r="K3039" s="2">
        <f t="shared" si="142"/>
        <v>75.539999999999992</v>
      </c>
      <c r="L3039" s="2">
        <f t="shared" si="143"/>
        <v>0</v>
      </c>
      <c r="M3039" t="s">
        <v>48</v>
      </c>
      <c r="N3039" t="s">
        <v>16</v>
      </c>
    </row>
    <row r="3040" spans="1:14" x14ac:dyDescent="0.3">
      <c r="A3040">
        <v>2024004038</v>
      </c>
      <c r="B3040" s="1">
        <v>45391</v>
      </c>
      <c r="C3040" s="11">
        <f t="shared" si="141"/>
        <v>2024</v>
      </c>
      <c r="D3040" t="s">
        <v>260</v>
      </c>
      <c r="E3040" t="s">
        <v>23</v>
      </c>
      <c r="F3040" t="s">
        <v>24</v>
      </c>
      <c r="G3040" t="s">
        <v>14</v>
      </c>
      <c r="H3040">
        <v>5</v>
      </c>
      <c r="I3040" s="2">
        <v>76.290000000000006</v>
      </c>
      <c r="J3040" s="2">
        <v>381.45</v>
      </c>
      <c r="K3040" s="2">
        <f t="shared" si="142"/>
        <v>381.45000000000005</v>
      </c>
      <c r="L3040" s="2">
        <f t="shared" si="143"/>
        <v>0</v>
      </c>
      <c r="M3040" t="s">
        <v>57</v>
      </c>
      <c r="N3040" t="s">
        <v>16</v>
      </c>
    </row>
    <row r="3041" spans="1:14" x14ac:dyDescent="0.3">
      <c r="A3041">
        <v>2024004039</v>
      </c>
      <c r="B3041" s="1">
        <v>45431</v>
      </c>
      <c r="C3041" s="11">
        <f t="shared" si="141"/>
        <v>2024</v>
      </c>
      <c r="D3041" t="s">
        <v>129</v>
      </c>
      <c r="E3041" t="s">
        <v>46</v>
      </c>
      <c r="F3041" t="s">
        <v>47</v>
      </c>
      <c r="G3041" t="s">
        <v>36</v>
      </c>
      <c r="H3041">
        <v>1</v>
      </c>
      <c r="I3041" s="2">
        <v>90.87</v>
      </c>
      <c r="J3041" s="2">
        <v>90.87</v>
      </c>
      <c r="K3041" s="2">
        <f t="shared" si="142"/>
        <v>90.87</v>
      </c>
      <c r="L3041" s="2">
        <f t="shared" si="143"/>
        <v>0</v>
      </c>
      <c r="M3041" t="s">
        <v>20</v>
      </c>
      <c r="N3041" t="s">
        <v>26</v>
      </c>
    </row>
    <row r="3042" spans="1:14" x14ac:dyDescent="0.3">
      <c r="A3042">
        <v>2024004040</v>
      </c>
      <c r="B3042" s="1">
        <v>45513</v>
      </c>
      <c r="C3042" s="11">
        <f t="shared" si="141"/>
        <v>2024</v>
      </c>
      <c r="D3042" t="s">
        <v>11</v>
      </c>
      <c r="E3042" t="s">
        <v>23</v>
      </c>
      <c r="F3042" t="s">
        <v>24</v>
      </c>
      <c r="G3042" t="s">
        <v>14</v>
      </c>
      <c r="H3042">
        <v>1</v>
      </c>
      <c r="I3042" s="2">
        <v>80.709999999999994</v>
      </c>
      <c r="J3042" s="2">
        <v>80.709999999999994</v>
      </c>
      <c r="K3042" s="2">
        <f t="shared" si="142"/>
        <v>80.709999999999994</v>
      </c>
      <c r="L3042" s="2">
        <f t="shared" si="143"/>
        <v>0</v>
      </c>
      <c r="M3042" t="s">
        <v>25</v>
      </c>
      <c r="N3042" t="s">
        <v>26</v>
      </c>
    </row>
    <row r="3043" spans="1:14" x14ac:dyDescent="0.3">
      <c r="A3043">
        <v>2024004041</v>
      </c>
      <c r="B3043" s="1">
        <v>45343</v>
      </c>
      <c r="C3043" s="11">
        <f t="shared" si="141"/>
        <v>2024</v>
      </c>
      <c r="D3043" t="s">
        <v>318</v>
      </c>
      <c r="E3043" t="s">
        <v>53</v>
      </c>
      <c r="F3043" t="s">
        <v>54</v>
      </c>
      <c r="G3043" t="s">
        <v>36</v>
      </c>
      <c r="H3043">
        <v>1</v>
      </c>
      <c r="I3043" s="2">
        <v>121.03</v>
      </c>
      <c r="J3043" s="2">
        <v>121.03</v>
      </c>
      <c r="K3043" s="2">
        <f t="shared" si="142"/>
        <v>121.03</v>
      </c>
      <c r="L3043" s="2">
        <f t="shared" si="143"/>
        <v>0</v>
      </c>
      <c r="M3043" t="s">
        <v>64</v>
      </c>
      <c r="N3043" t="s">
        <v>32</v>
      </c>
    </row>
    <row r="3044" spans="1:14" x14ac:dyDescent="0.3">
      <c r="A3044">
        <v>2024004042</v>
      </c>
      <c r="B3044" s="1">
        <v>45304</v>
      </c>
      <c r="C3044" s="11">
        <f t="shared" si="141"/>
        <v>2024</v>
      </c>
      <c r="D3044" t="s">
        <v>11</v>
      </c>
      <c r="E3044" t="s">
        <v>43</v>
      </c>
      <c r="F3044" t="s">
        <v>44</v>
      </c>
      <c r="G3044" t="s">
        <v>36</v>
      </c>
      <c r="H3044">
        <v>3</v>
      </c>
      <c r="I3044" s="2">
        <v>1165.06</v>
      </c>
      <c r="J3044" s="2">
        <v>3495.18</v>
      </c>
      <c r="K3044" s="2">
        <f t="shared" si="142"/>
        <v>3495.18</v>
      </c>
      <c r="L3044" s="2">
        <f t="shared" si="143"/>
        <v>0</v>
      </c>
      <c r="M3044" t="s">
        <v>15</v>
      </c>
      <c r="N3044" t="s">
        <v>26</v>
      </c>
    </row>
    <row r="3045" spans="1:14" x14ac:dyDescent="0.3">
      <c r="A3045">
        <v>2024004043</v>
      </c>
      <c r="B3045" s="1">
        <v>45359</v>
      </c>
      <c r="C3045" s="11">
        <f t="shared" si="141"/>
        <v>2024</v>
      </c>
      <c r="D3045" t="s">
        <v>11</v>
      </c>
      <c r="E3045" t="s">
        <v>18</v>
      </c>
      <c r="F3045" t="s">
        <v>19</v>
      </c>
      <c r="G3045" t="s">
        <v>14</v>
      </c>
      <c r="H3045">
        <v>3</v>
      </c>
      <c r="I3045" s="2">
        <v>586.14</v>
      </c>
      <c r="J3045" s="2">
        <v>1758.42</v>
      </c>
      <c r="K3045" s="2">
        <f t="shared" si="142"/>
        <v>1758.42</v>
      </c>
      <c r="L3045" s="2">
        <f t="shared" si="143"/>
        <v>0</v>
      </c>
      <c r="M3045" t="s">
        <v>64</v>
      </c>
      <c r="N3045" t="s">
        <v>16</v>
      </c>
    </row>
    <row r="3046" spans="1:14" x14ac:dyDescent="0.3">
      <c r="A3046">
        <v>2024004044</v>
      </c>
      <c r="B3046" s="1">
        <v>45316</v>
      </c>
      <c r="C3046" s="11">
        <f t="shared" si="141"/>
        <v>2024</v>
      </c>
      <c r="D3046" t="s">
        <v>182</v>
      </c>
      <c r="E3046" t="s">
        <v>43</v>
      </c>
      <c r="F3046" t="s">
        <v>44</v>
      </c>
      <c r="G3046" t="s">
        <v>36</v>
      </c>
      <c r="H3046">
        <v>1</v>
      </c>
      <c r="I3046" s="2">
        <v>1158.5899999999999</v>
      </c>
      <c r="J3046" s="2">
        <v>1158.5899999999999</v>
      </c>
      <c r="K3046" s="2">
        <f t="shared" si="142"/>
        <v>1158.5899999999999</v>
      </c>
      <c r="L3046" s="2">
        <f t="shared" si="143"/>
        <v>0</v>
      </c>
      <c r="M3046" t="s">
        <v>48</v>
      </c>
      <c r="N3046" t="s">
        <v>26</v>
      </c>
    </row>
    <row r="3047" spans="1:14" x14ac:dyDescent="0.3">
      <c r="A3047">
        <v>2024004045</v>
      </c>
      <c r="B3047" s="1">
        <v>45388</v>
      </c>
      <c r="C3047" s="11">
        <f t="shared" si="141"/>
        <v>2024</v>
      </c>
      <c r="D3047" t="s">
        <v>285</v>
      </c>
      <c r="E3047" t="s">
        <v>34</v>
      </c>
      <c r="F3047" t="s">
        <v>35</v>
      </c>
      <c r="G3047" t="s">
        <v>36</v>
      </c>
      <c r="H3047">
        <v>1</v>
      </c>
      <c r="I3047" s="2">
        <v>15.58</v>
      </c>
      <c r="J3047" s="2">
        <v>15.58</v>
      </c>
      <c r="K3047" s="2">
        <f t="shared" si="142"/>
        <v>15.58</v>
      </c>
      <c r="L3047" s="2">
        <f t="shared" si="143"/>
        <v>0</v>
      </c>
      <c r="M3047" t="s">
        <v>20</v>
      </c>
      <c r="N3047" t="s">
        <v>21</v>
      </c>
    </row>
    <row r="3048" spans="1:14" x14ac:dyDescent="0.3">
      <c r="A3048">
        <v>2024004046</v>
      </c>
      <c r="B3048" s="1">
        <v>45532</v>
      </c>
      <c r="C3048" s="11">
        <f t="shared" si="141"/>
        <v>2024</v>
      </c>
      <c r="D3048" t="s">
        <v>173</v>
      </c>
      <c r="E3048" t="s">
        <v>46</v>
      </c>
      <c r="F3048" t="s">
        <v>47</v>
      </c>
      <c r="G3048" t="s">
        <v>36</v>
      </c>
      <c r="H3048">
        <v>2</v>
      </c>
      <c r="I3048" s="2">
        <v>85.01</v>
      </c>
      <c r="J3048" s="2">
        <v>170.02</v>
      </c>
      <c r="K3048" s="2">
        <f t="shared" si="142"/>
        <v>170.02</v>
      </c>
      <c r="L3048" s="2">
        <f t="shared" si="143"/>
        <v>0</v>
      </c>
      <c r="M3048" t="s">
        <v>31</v>
      </c>
      <c r="N3048" t="s">
        <v>32</v>
      </c>
    </row>
    <row r="3049" spans="1:14" x14ac:dyDescent="0.3">
      <c r="A3049">
        <v>2024004047</v>
      </c>
      <c r="B3049" s="1">
        <v>45595</v>
      </c>
      <c r="C3049" s="11">
        <f t="shared" si="141"/>
        <v>2024</v>
      </c>
      <c r="D3049" t="s">
        <v>179</v>
      </c>
      <c r="E3049" t="s">
        <v>46</v>
      </c>
      <c r="F3049" t="s">
        <v>47</v>
      </c>
      <c r="G3049" t="s">
        <v>36</v>
      </c>
      <c r="H3049">
        <v>4</v>
      </c>
      <c r="I3049" s="2">
        <v>81.52</v>
      </c>
      <c r="J3049" s="2">
        <v>326.08</v>
      </c>
      <c r="K3049" s="2">
        <f t="shared" si="142"/>
        <v>326.08</v>
      </c>
      <c r="L3049" s="2">
        <f t="shared" si="143"/>
        <v>0</v>
      </c>
      <c r="M3049" t="s">
        <v>25</v>
      </c>
      <c r="N3049" t="s">
        <v>26</v>
      </c>
    </row>
    <row r="3050" spans="1:14" x14ac:dyDescent="0.3">
      <c r="A3050">
        <v>2024004048</v>
      </c>
      <c r="B3050" s="1">
        <v>45553</v>
      </c>
      <c r="C3050" s="11">
        <f t="shared" si="141"/>
        <v>2024</v>
      </c>
      <c r="D3050" t="s">
        <v>158</v>
      </c>
      <c r="E3050" t="s">
        <v>28</v>
      </c>
      <c r="F3050" t="s">
        <v>29</v>
      </c>
      <c r="G3050" t="s">
        <v>30</v>
      </c>
      <c r="H3050">
        <v>2</v>
      </c>
      <c r="I3050" s="2">
        <v>27.57</v>
      </c>
      <c r="J3050" s="2">
        <v>55.14</v>
      </c>
      <c r="K3050" s="2">
        <f t="shared" si="142"/>
        <v>55.14</v>
      </c>
      <c r="L3050" s="2">
        <f t="shared" si="143"/>
        <v>0</v>
      </c>
      <c r="M3050" t="s">
        <v>25</v>
      </c>
      <c r="N3050" t="s">
        <v>32</v>
      </c>
    </row>
    <row r="3051" spans="1:14" x14ac:dyDescent="0.3">
      <c r="A3051">
        <v>2024004049</v>
      </c>
      <c r="B3051" s="1">
        <v>45617</v>
      </c>
      <c r="C3051" s="11">
        <f t="shared" si="141"/>
        <v>2024</v>
      </c>
      <c r="D3051" t="s">
        <v>190</v>
      </c>
      <c r="E3051" t="s">
        <v>28</v>
      </c>
      <c r="F3051" t="s">
        <v>29</v>
      </c>
      <c r="G3051" t="s">
        <v>30</v>
      </c>
      <c r="H3051">
        <v>2</v>
      </c>
      <c r="I3051" s="2">
        <v>26.07</v>
      </c>
      <c r="J3051" s="2">
        <v>52.14</v>
      </c>
      <c r="K3051" s="2">
        <f t="shared" si="142"/>
        <v>52.14</v>
      </c>
      <c r="L3051" s="2">
        <f t="shared" si="143"/>
        <v>0</v>
      </c>
      <c r="M3051" t="s">
        <v>15</v>
      </c>
      <c r="N3051" t="s">
        <v>32</v>
      </c>
    </row>
    <row r="3052" spans="1:14" x14ac:dyDescent="0.3">
      <c r="A3052">
        <v>2024004050</v>
      </c>
      <c r="B3052" s="1">
        <v>45565</v>
      </c>
      <c r="C3052" s="11">
        <f t="shared" si="141"/>
        <v>2024</v>
      </c>
      <c r="D3052" t="s">
        <v>120</v>
      </c>
      <c r="E3052" t="s">
        <v>40</v>
      </c>
      <c r="F3052" t="s">
        <v>41</v>
      </c>
      <c r="G3052" t="s">
        <v>36</v>
      </c>
      <c r="H3052">
        <v>1</v>
      </c>
      <c r="I3052" s="2">
        <v>42.47</v>
      </c>
      <c r="J3052" s="2">
        <v>42.47</v>
      </c>
      <c r="K3052" s="2">
        <f t="shared" si="142"/>
        <v>42.47</v>
      </c>
      <c r="L3052" s="2">
        <f t="shared" si="143"/>
        <v>0</v>
      </c>
      <c r="M3052" t="s">
        <v>25</v>
      </c>
      <c r="N3052" t="s">
        <v>16</v>
      </c>
    </row>
    <row r="3053" spans="1:14" x14ac:dyDescent="0.3">
      <c r="A3053">
        <v>2024004051</v>
      </c>
      <c r="B3053" s="1">
        <v>45421</v>
      </c>
      <c r="C3053" s="11">
        <f t="shared" si="141"/>
        <v>2024</v>
      </c>
      <c r="D3053" t="s">
        <v>227</v>
      </c>
      <c r="E3053" t="s">
        <v>43</v>
      </c>
      <c r="F3053" t="s">
        <v>44</v>
      </c>
      <c r="G3053" t="s">
        <v>36</v>
      </c>
      <c r="H3053">
        <v>1</v>
      </c>
      <c r="I3053" s="2">
        <v>1214.46</v>
      </c>
      <c r="J3053" s="2">
        <v>1214.46</v>
      </c>
      <c r="K3053" s="2">
        <f t="shared" si="142"/>
        <v>1214.46</v>
      </c>
      <c r="L3053" s="2">
        <f t="shared" si="143"/>
        <v>0</v>
      </c>
      <c r="M3053" t="s">
        <v>15</v>
      </c>
      <c r="N3053" t="s">
        <v>21</v>
      </c>
    </row>
    <row r="3054" spans="1:14" x14ac:dyDescent="0.3">
      <c r="A3054">
        <v>2024004052</v>
      </c>
      <c r="B3054" s="1">
        <v>45632</v>
      </c>
      <c r="C3054" s="11">
        <f t="shared" si="141"/>
        <v>2024</v>
      </c>
      <c r="D3054" t="s">
        <v>323</v>
      </c>
      <c r="E3054" t="s">
        <v>28</v>
      </c>
      <c r="F3054" t="s">
        <v>29</v>
      </c>
      <c r="G3054" t="s">
        <v>30</v>
      </c>
      <c r="H3054">
        <v>2</v>
      </c>
      <c r="I3054" s="2">
        <v>24.48</v>
      </c>
      <c r="J3054" s="2">
        <v>48.96</v>
      </c>
      <c r="K3054" s="2">
        <f t="shared" si="142"/>
        <v>48.96</v>
      </c>
      <c r="L3054" s="2">
        <f t="shared" si="143"/>
        <v>0</v>
      </c>
      <c r="M3054" t="s">
        <v>31</v>
      </c>
      <c r="N3054" t="s">
        <v>26</v>
      </c>
    </row>
    <row r="3055" spans="1:14" x14ac:dyDescent="0.3">
      <c r="A3055">
        <v>2024004053</v>
      </c>
      <c r="B3055" s="1">
        <v>45457</v>
      </c>
      <c r="C3055" s="11">
        <f t="shared" si="141"/>
        <v>2024</v>
      </c>
      <c r="D3055" t="s">
        <v>231</v>
      </c>
      <c r="E3055" t="s">
        <v>40</v>
      </c>
      <c r="F3055" t="s">
        <v>41</v>
      </c>
      <c r="G3055" t="s">
        <v>36</v>
      </c>
      <c r="H3055">
        <v>1</v>
      </c>
      <c r="I3055" s="2">
        <v>46.02</v>
      </c>
      <c r="J3055" s="2">
        <v>46.02</v>
      </c>
      <c r="K3055" s="2">
        <f t="shared" si="142"/>
        <v>46.02</v>
      </c>
      <c r="L3055" s="2">
        <f t="shared" si="143"/>
        <v>0</v>
      </c>
      <c r="M3055" t="s">
        <v>57</v>
      </c>
      <c r="N3055" t="s">
        <v>32</v>
      </c>
    </row>
    <row r="3056" spans="1:14" x14ac:dyDescent="0.3">
      <c r="A3056">
        <v>2024004054</v>
      </c>
      <c r="B3056" s="1">
        <v>45570</v>
      </c>
      <c r="C3056" s="11">
        <f t="shared" si="141"/>
        <v>2024</v>
      </c>
      <c r="D3056" t="s">
        <v>93</v>
      </c>
      <c r="E3056" t="s">
        <v>43</v>
      </c>
      <c r="F3056" t="s">
        <v>44</v>
      </c>
      <c r="G3056" t="s">
        <v>36</v>
      </c>
      <c r="H3056">
        <v>1</v>
      </c>
      <c r="I3056" s="2">
        <v>1207.07</v>
      </c>
      <c r="J3056" s="2">
        <v>1207.07</v>
      </c>
      <c r="K3056" s="2">
        <f t="shared" si="142"/>
        <v>1207.07</v>
      </c>
      <c r="L3056" s="2">
        <f t="shared" si="143"/>
        <v>0</v>
      </c>
      <c r="M3056" t="s">
        <v>61</v>
      </c>
      <c r="N3056" t="s">
        <v>26</v>
      </c>
    </row>
    <row r="3057" spans="1:14" x14ac:dyDescent="0.3">
      <c r="A3057">
        <v>2024004055</v>
      </c>
      <c r="B3057" s="1">
        <v>45494</v>
      </c>
      <c r="C3057" s="11">
        <f t="shared" si="141"/>
        <v>2024</v>
      </c>
      <c r="D3057" t="s">
        <v>11</v>
      </c>
      <c r="E3057" t="s">
        <v>28</v>
      </c>
      <c r="F3057" t="s">
        <v>29</v>
      </c>
      <c r="G3057" t="s">
        <v>30</v>
      </c>
      <c r="H3057">
        <v>2</v>
      </c>
      <c r="I3057" s="2">
        <v>26.4</v>
      </c>
      <c r="J3057" s="2">
        <v>52.8</v>
      </c>
      <c r="K3057" s="2">
        <f t="shared" si="142"/>
        <v>52.8</v>
      </c>
      <c r="L3057" s="2">
        <f t="shared" si="143"/>
        <v>0</v>
      </c>
      <c r="M3057" t="s">
        <v>48</v>
      </c>
      <c r="N3057" t="s">
        <v>16</v>
      </c>
    </row>
    <row r="3058" spans="1:14" x14ac:dyDescent="0.3">
      <c r="A3058">
        <v>2024004056</v>
      </c>
      <c r="B3058" s="1">
        <v>45532</v>
      </c>
      <c r="C3058" s="11">
        <f t="shared" si="141"/>
        <v>2024</v>
      </c>
      <c r="D3058" t="s">
        <v>143</v>
      </c>
      <c r="E3058" t="s">
        <v>18</v>
      </c>
      <c r="F3058" t="s">
        <v>19</v>
      </c>
      <c r="G3058" t="s">
        <v>14</v>
      </c>
      <c r="H3058">
        <v>1</v>
      </c>
      <c r="I3058" s="2">
        <v>653.41999999999996</v>
      </c>
      <c r="J3058" s="2">
        <v>653.41999999999996</v>
      </c>
      <c r="K3058" s="2">
        <f t="shared" si="142"/>
        <v>653.41999999999996</v>
      </c>
      <c r="L3058" s="2">
        <f t="shared" si="143"/>
        <v>0</v>
      </c>
      <c r="M3058" t="s">
        <v>57</v>
      </c>
      <c r="N3058" t="s">
        <v>16</v>
      </c>
    </row>
    <row r="3059" spans="1:14" x14ac:dyDescent="0.3">
      <c r="A3059">
        <v>2024004057</v>
      </c>
      <c r="B3059" s="1">
        <v>45617</v>
      </c>
      <c r="C3059" s="11">
        <f t="shared" si="141"/>
        <v>2024</v>
      </c>
      <c r="D3059" t="s">
        <v>220</v>
      </c>
      <c r="E3059" t="s">
        <v>34</v>
      </c>
      <c r="F3059" t="s">
        <v>35</v>
      </c>
      <c r="G3059" t="s">
        <v>36</v>
      </c>
      <c r="H3059">
        <v>2</v>
      </c>
      <c r="I3059" s="2">
        <v>16.37</v>
      </c>
      <c r="J3059" s="2">
        <v>32.74</v>
      </c>
      <c r="K3059" s="2">
        <f t="shared" si="142"/>
        <v>32.74</v>
      </c>
      <c r="L3059" s="2">
        <f t="shared" si="143"/>
        <v>0</v>
      </c>
      <c r="M3059" t="s">
        <v>25</v>
      </c>
      <c r="N3059" t="s">
        <v>16</v>
      </c>
    </row>
    <row r="3060" spans="1:14" x14ac:dyDescent="0.3">
      <c r="A3060">
        <v>2024004058</v>
      </c>
      <c r="B3060" s="1">
        <v>45501</v>
      </c>
      <c r="C3060" s="11">
        <f t="shared" si="141"/>
        <v>2024</v>
      </c>
      <c r="D3060" t="s">
        <v>127</v>
      </c>
      <c r="E3060" t="s">
        <v>12</v>
      </c>
      <c r="F3060" t="s">
        <v>13</v>
      </c>
      <c r="G3060" t="s">
        <v>14</v>
      </c>
      <c r="H3060">
        <v>4</v>
      </c>
      <c r="I3060" s="2">
        <v>351.62</v>
      </c>
      <c r="J3060" s="2">
        <v>1406.48</v>
      </c>
      <c r="K3060" s="2">
        <f t="shared" si="142"/>
        <v>1406.48</v>
      </c>
      <c r="L3060" s="2">
        <f t="shared" si="143"/>
        <v>0</v>
      </c>
      <c r="M3060" t="s">
        <v>20</v>
      </c>
      <c r="N3060" t="s">
        <v>32</v>
      </c>
    </row>
    <row r="3061" spans="1:14" x14ac:dyDescent="0.3">
      <c r="A3061">
        <v>2024004059</v>
      </c>
      <c r="B3061" s="1">
        <v>45627</v>
      </c>
      <c r="C3061" s="11">
        <f t="shared" si="141"/>
        <v>2024</v>
      </c>
      <c r="D3061" t="s">
        <v>93</v>
      </c>
      <c r="E3061" t="s">
        <v>46</v>
      </c>
      <c r="F3061" t="s">
        <v>47</v>
      </c>
      <c r="G3061" t="s">
        <v>36</v>
      </c>
      <c r="H3061">
        <v>4</v>
      </c>
      <c r="I3061" s="2">
        <v>98.62</v>
      </c>
      <c r="J3061" s="2">
        <v>394.48</v>
      </c>
      <c r="K3061" s="2">
        <f t="shared" si="142"/>
        <v>394.48</v>
      </c>
      <c r="L3061" s="2">
        <f t="shared" si="143"/>
        <v>0</v>
      </c>
      <c r="M3061" t="s">
        <v>64</v>
      </c>
      <c r="N3061" t="s">
        <v>32</v>
      </c>
    </row>
    <row r="3062" spans="1:14" x14ac:dyDescent="0.3">
      <c r="A3062">
        <v>2024004060</v>
      </c>
      <c r="B3062" s="1">
        <v>45657</v>
      </c>
      <c r="C3062" s="11">
        <f t="shared" si="141"/>
        <v>2024</v>
      </c>
      <c r="D3062" t="s">
        <v>228</v>
      </c>
      <c r="E3062" t="s">
        <v>67</v>
      </c>
      <c r="F3062" t="s">
        <v>68</v>
      </c>
      <c r="G3062" t="s">
        <v>36</v>
      </c>
      <c r="H3062">
        <v>3</v>
      </c>
      <c r="I3062" s="2">
        <v>417.61</v>
      </c>
      <c r="J3062" s="2">
        <v>1252.83</v>
      </c>
      <c r="K3062" s="2">
        <f t="shared" si="142"/>
        <v>1252.83</v>
      </c>
      <c r="L3062" s="2">
        <f t="shared" si="143"/>
        <v>0</v>
      </c>
      <c r="M3062" t="s">
        <v>31</v>
      </c>
      <c r="N3062" t="s">
        <v>26</v>
      </c>
    </row>
    <row r="3063" spans="1:14" x14ac:dyDescent="0.3">
      <c r="A3063">
        <v>2024004061</v>
      </c>
      <c r="B3063" s="1">
        <v>45557</v>
      </c>
      <c r="C3063" s="11">
        <f t="shared" si="141"/>
        <v>2024</v>
      </c>
      <c r="D3063" t="s">
        <v>315</v>
      </c>
      <c r="E3063" t="s">
        <v>18</v>
      </c>
      <c r="F3063" t="s">
        <v>19</v>
      </c>
      <c r="G3063" t="s">
        <v>14</v>
      </c>
      <c r="H3063">
        <v>1</v>
      </c>
      <c r="I3063" s="2">
        <v>609.99</v>
      </c>
      <c r="J3063" s="2">
        <v>609.99</v>
      </c>
      <c r="K3063" s="2">
        <f t="shared" si="142"/>
        <v>609.99</v>
      </c>
      <c r="L3063" s="2">
        <f t="shared" si="143"/>
        <v>0</v>
      </c>
      <c r="M3063" t="s">
        <v>20</v>
      </c>
      <c r="N3063" t="s">
        <v>21</v>
      </c>
    </row>
    <row r="3064" spans="1:14" x14ac:dyDescent="0.3">
      <c r="A3064">
        <v>2024004062</v>
      </c>
      <c r="B3064" s="1">
        <v>45395</v>
      </c>
      <c r="C3064" s="11">
        <f t="shared" si="141"/>
        <v>2024</v>
      </c>
      <c r="D3064" t="s">
        <v>114</v>
      </c>
      <c r="E3064" t="s">
        <v>67</v>
      </c>
      <c r="F3064" t="s">
        <v>68</v>
      </c>
      <c r="G3064" t="s">
        <v>36</v>
      </c>
      <c r="H3064">
        <v>1</v>
      </c>
      <c r="I3064" s="2">
        <v>397.82</v>
      </c>
      <c r="J3064" s="2">
        <v>397.82</v>
      </c>
      <c r="K3064" s="2">
        <f t="shared" si="142"/>
        <v>397.82</v>
      </c>
      <c r="L3064" s="2">
        <f t="shared" si="143"/>
        <v>0</v>
      </c>
      <c r="M3064" t="s">
        <v>38</v>
      </c>
      <c r="N3064" t="s">
        <v>32</v>
      </c>
    </row>
    <row r="3065" spans="1:14" x14ac:dyDescent="0.3">
      <c r="A3065">
        <v>2024004063</v>
      </c>
      <c r="B3065" s="1">
        <v>45327</v>
      </c>
      <c r="C3065" s="11">
        <f t="shared" si="141"/>
        <v>2024</v>
      </c>
      <c r="D3065" t="s">
        <v>212</v>
      </c>
      <c r="E3065" t="s">
        <v>18</v>
      </c>
      <c r="F3065" t="s">
        <v>19</v>
      </c>
      <c r="G3065" t="s">
        <v>14</v>
      </c>
      <c r="H3065">
        <v>1</v>
      </c>
      <c r="I3065" s="2">
        <v>637.19000000000005</v>
      </c>
      <c r="J3065" s="2">
        <v>637.19000000000005</v>
      </c>
      <c r="K3065" s="2">
        <f t="shared" si="142"/>
        <v>637.19000000000005</v>
      </c>
      <c r="L3065" s="2">
        <f t="shared" si="143"/>
        <v>0</v>
      </c>
      <c r="M3065" t="s">
        <v>20</v>
      </c>
      <c r="N3065" t="s">
        <v>16</v>
      </c>
    </row>
    <row r="3066" spans="1:14" x14ac:dyDescent="0.3">
      <c r="A3066">
        <v>2024004064</v>
      </c>
      <c r="B3066" s="1">
        <v>45613</v>
      </c>
      <c r="C3066" s="11">
        <f t="shared" si="141"/>
        <v>2024</v>
      </c>
      <c r="D3066" t="s">
        <v>196</v>
      </c>
      <c r="E3066" t="s">
        <v>28</v>
      </c>
      <c r="F3066" t="s">
        <v>29</v>
      </c>
      <c r="G3066" t="s">
        <v>30</v>
      </c>
      <c r="H3066">
        <v>3</v>
      </c>
      <c r="I3066" s="2">
        <v>23.67</v>
      </c>
      <c r="J3066" s="2">
        <v>71.010000000000005</v>
      </c>
      <c r="K3066" s="2">
        <f t="shared" si="142"/>
        <v>71.010000000000005</v>
      </c>
      <c r="L3066" s="2">
        <f t="shared" si="143"/>
        <v>0</v>
      </c>
      <c r="M3066" t="s">
        <v>15</v>
      </c>
      <c r="N3066" t="s">
        <v>26</v>
      </c>
    </row>
    <row r="3067" spans="1:14" x14ac:dyDescent="0.3">
      <c r="A3067">
        <v>2024004065</v>
      </c>
      <c r="B3067" s="1">
        <v>45383</v>
      </c>
      <c r="C3067" s="11">
        <f t="shared" si="141"/>
        <v>2024</v>
      </c>
      <c r="D3067" t="s">
        <v>197</v>
      </c>
      <c r="E3067" t="s">
        <v>23</v>
      </c>
      <c r="F3067" t="s">
        <v>24</v>
      </c>
      <c r="G3067" t="s">
        <v>14</v>
      </c>
      <c r="H3067">
        <v>2</v>
      </c>
      <c r="I3067" s="2">
        <v>79.260000000000005</v>
      </c>
      <c r="J3067" s="2">
        <v>158.52000000000001</v>
      </c>
      <c r="K3067" s="2">
        <f t="shared" si="142"/>
        <v>158.52000000000001</v>
      </c>
      <c r="L3067" s="2">
        <f t="shared" si="143"/>
        <v>0</v>
      </c>
      <c r="M3067" t="s">
        <v>61</v>
      </c>
      <c r="N3067" t="s">
        <v>26</v>
      </c>
    </row>
    <row r="3068" spans="1:14" x14ac:dyDescent="0.3">
      <c r="A3068">
        <v>2024004066</v>
      </c>
      <c r="B3068" s="1">
        <v>45466</v>
      </c>
      <c r="C3068" s="11">
        <f t="shared" si="141"/>
        <v>2024</v>
      </c>
      <c r="D3068" t="s">
        <v>184</v>
      </c>
      <c r="E3068" t="s">
        <v>34</v>
      </c>
      <c r="F3068" t="s">
        <v>35</v>
      </c>
      <c r="G3068" t="s">
        <v>36</v>
      </c>
      <c r="H3068">
        <v>3</v>
      </c>
      <c r="I3068" s="2">
        <v>13.73</v>
      </c>
      <c r="J3068" s="2">
        <v>41.19</v>
      </c>
      <c r="K3068" s="2">
        <f t="shared" si="142"/>
        <v>41.19</v>
      </c>
      <c r="L3068" s="2">
        <f t="shared" si="143"/>
        <v>0</v>
      </c>
      <c r="M3068" t="s">
        <v>64</v>
      </c>
      <c r="N3068" t="s">
        <v>32</v>
      </c>
    </row>
    <row r="3069" spans="1:14" x14ac:dyDescent="0.3">
      <c r="A3069">
        <v>2024004067</v>
      </c>
      <c r="B3069" s="1">
        <v>45473</v>
      </c>
      <c r="C3069" s="11">
        <f t="shared" si="141"/>
        <v>2024</v>
      </c>
      <c r="D3069" t="s">
        <v>81</v>
      </c>
      <c r="E3069" t="s">
        <v>12</v>
      </c>
      <c r="F3069" t="s">
        <v>13</v>
      </c>
      <c r="G3069" t="s">
        <v>14</v>
      </c>
      <c r="H3069">
        <v>1</v>
      </c>
      <c r="I3069" s="2">
        <v>331.46</v>
      </c>
      <c r="J3069" s="2">
        <v>331.46</v>
      </c>
      <c r="K3069" s="2">
        <f t="shared" si="142"/>
        <v>331.46</v>
      </c>
      <c r="L3069" s="2">
        <f t="shared" si="143"/>
        <v>0</v>
      </c>
      <c r="M3069" t="s">
        <v>64</v>
      </c>
      <c r="N3069" t="s">
        <v>26</v>
      </c>
    </row>
    <row r="3070" spans="1:14" x14ac:dyDescent="0.3">
      <c r="A3070">
        <v>2024004068</v>
      </c>
      <c r="B3070" s="1">
        <v>45469</v>
      </c>
      <c r="C3070" s="11">
        <f t="shared" si="141"/>
        <v>2024</v>
      </c>
      <c r="D3070" t="s">
        <v>147</v>
      </c>
      <c r="E3070" t="s">
        <v>43</v>
      </c>
      <c r="F3070" t="s">
        <v>44</v>
      </c>
      <c r="G3070" t="s">
        <v>36</v>
      </c>
      <c r="H3070">
        <v>4</v>
      </c>
      <c r="I3070" s="2">
        <v>1142.83</v>
      </c>
      <c r="J3070" s="2">
        <v>4571.32</v>
      </c>
      <c r="K3070" s="2">
        <f t="shared" si="142"/>
        <v>4571.32</v>
      </c>
      <c r="L3070" s="2">
        <f t="shared" si="143"/>
        <v>0</v>
      </c>
      <c r="M3070" t="s">
        <v>25</v>
      </c>
      <c r="N3070" t="s">
        <v>26</v>
      </c>
    </row>
    <row r="3071" spans="1:14" x14ac:dyDescent="0.3">
      <c r="A3071">
        <v>2024004069</v>
      </c>
      <c r="B3071" s="1">
        <v>45472</v>
      </c>
      <c r="C3071" s="11">
        <f t="shared" si="141"/>
        <v>2024</v>
      </c>
      <c r="D3071" t="s">
        <v>169</v>
      </c>
      <c r="E3071" t="s">
        <v>28</v>
      </c>
      <c r="F3071" t="s">
        <v>29</v>
      </c>
      <c r="G3071" t="s">
        <v>30</v>
      </c>
      <c r="H3071">
        <v>1</v>
      </c>
      <c r="I3071" s="2">
        <v>26.16</v>
      </c>
      <c r="J3071" s="2">
        <v>26.16</v>
      </c>
      <c r="K3071" s="2">
        <f t="shared" si="142"/>
        <v>26.16</v>
      </c>
      <c r="L3071" s="2">
        <f t="shared" si="143"/>
        <v>0</v>
      </c>
      <c r="M3071" t="s">
        <v>48</v>
      </c>
      <c r="N3071" t="s">
        <v>21</v>
      </c>
    </row>
    <row r="3072" spans="1:14" x14ac:dyDescent="0.3">
      <c r="A3072">
        <v>2024004070</v>
      </c>
      <c r="B3072" s="1">
        <v>45627</v>
      </c>
      <c r="C3072" s="11">
        <f t="shared" si="141"/>
        <v>2024</v>
      </c>
      <c r="D3072" t="s">
        <v>59</v>
      </c>
      <c r="E3072" t="s">
        <v>34</v>
      </c>
      <c r="F3072" t="s">
        <v>35</v>
      </c>
      <c r="G3072" t="s">
        <v>36</v>
      </c>
      <c r="H3072">
        <v>1</v>
      </c>
      <c r="I3072" s="2">
        <v>14.11</v>
      </c>
      <c r="J3072" s="2">
        <v>14.11</v>
      </c>
      <c r="K3072" s="2">
        <f t="shared" si="142"/>
        <v>14.11</v>
      </c>
      <c r="L3072" s="2">
        <f t="shared" si="143"/>
        <v>0</v>
      </c>
      <c r="M3072" t="s">
        <v>57</v>
      </c>
      <c r="N3072" t="s">
        <v>32</v>
      </c>
    </row>
    <row r="3073" spans="1:14" x14ac:dyDescent="0.3">
      <c r="A3073">
        <v>2024004071</v>
      </c>
      <c r="B3073" s="1">
        <v>45394</v>
      </c>
      <c r="C3073" s="11">
        <f t="shared" si="141"/>
        <v>2024</v>
      </c>
      <c r="D3073" t="s">
        <v>77</v>
      </c>
      <c r="E3073" t="s">
        <v>18</v>
      </c>
      <c r="F3073" t="s">
        <v>19</v>
      </c>
      <c r="G3073" t="s">
        <v>14</v>
      </c>
      <c r="H3073">
        <v>1</v>
      </c>
      <c r="I3073" s="2">
        <v>610.24</v>
      </c>
      <c r="J3073" s="2">
        <v>610.24</v>
      </c>
      <c r="K3073" s="2">
        <f t="shared" si="142"/>
        <v>610.24</v>
      </c>
      <c r="L3073" s="2">
        <f t="shared" si="143"/>
        <v>0</v>
      </c>
      <c r="M3073" t="s">
        <v>57</v>
      </c>
      <c r="N3073" t="s">
        <v>16</v>
      </c>
    </row>
    <row r="3074" spans="1:14" x14ac:dyDescent="0.3">
      <c r="A3074">
        <v>2024004072</v>
      </c>
      <c r="B3074" s="1">
        <v>45594</v>
      </c>
      <c r="C3074" s="11">
        <f t="shared" si="141"/>
        <v>2024</v>
      </c>
      <c r="D3074" t="s">
        <v>11</v>
      </c>
      <c r="E3074" t="s">
        <v>12</v>
      </c>
      <c r="F3074" t="s">
        <v>13</v>
      </c>
      <c r="G3074" t="s">
        <v>14</v>
      </c>
      <c r="H3074">
        <v>5</v>
      </c>
      <c r="I3074" s="2">
        <v>363.97</v>
      </c>
      <c r="J3074" s="2">
        <v>1819.85</v>
      </c>
      <c r="K3074" s="2">
        <f t="shared" si="142"/>
        <v>1819.8500000000001</v>
      </c>
      <c r="L3074" s="2">
        <f t="shared" si="143"/>
        <v>0</v>
      </c>
      <c r="M3074" t="s">
        <v>48</v>
      </c>
      <c r="N3074" t="s">
        <v>21</v>
      </c>
    </row>
    <row r="3075" spans="1:14" x14ac:dyDescent="0.3">
      <c r="A3075">
        <v>2024004073</v>
      </c>
      <c r="B3075" s="1">
        <v>45597</v>
      </c>
      <c r="C3075" s="11">
        <f t="shared" ref="C3075:C3138" si="144">YEAR(B3075)</f>
        <v>2024</v>
      </c>
      <c r="D3075" t="s">
        <v>236</v>
      </c>
      <c r="E3075" t="s">
        <v>28</v>
      </c>
      <c r="F3075" t="s">
        <v>29</v>
      </c>
      <c r="G3075" t="s">
        <v>30</v>
      </c>
      <c r="H3075">
        <v>1</v>
      </c>
      <c r="I3075" s="2">
        <v>25.65</v>
      </c>
      <c r="J3075" s="2">
        <v>25.65</v>
      </c>
      <c r="K3075" s="2">
        <f t="shared" ref="K3075:K3138" si="145">I3075*H3075</f>
        <v>25.65</v>
      </c>
      <c r="L3075" s="2">
        <f t="shared" ref="L3075:L3138" si="146">J3075-K3075</f>
        <v>0</v>
      </c>
      <c r="M3075" t="s">
        <v>61</v>
      </c>
      <c r="N3075" t="s">
        <v>26</v>
      </c>
    </row>
    <row r="3076" spans="1:14" x14ac:dyDescent="0.3">
      <c r="A3076">
        <v>2024004074</v>
      </c>
      <c r="B3076" s="1">
        <v>45413</v>
      </c>
      <c r="C3076" s="11">
        <f t="shared" si="144"/>
        <v>2024</v>
      </c>
      <c r="D3076" t="s">
        <v>91</v>
      </c>
      <c r="E3076" t="s">
        <v>46</v>
      </c>
      <c r="F3076" t="s">
        <v>47</v>
      </c>
      <c r="G3076" t="s">
        <v>36</v>
      </c>
      <c r="H3076">
        <v>2</v>
      </c>
      <c r="I3076" s="2">
        <v>92.49</v>
      </c>
      <c r="J3076" s="2">
        <v>184.98</v>
      </c>
      <c r="K3076" s="2">
        <f t="shared" si="145"/>
        <v>184.98</v>
      </c>
      <c r="L3076" s="2">
        <f t="shared" si="146"/>
        <v>0</v>
      </c>
      <c r="M3076" t="s">
        <v>20</v>
      </c>
      <c r="N3076" t="s">
        <v>21</v>
      </c>
    </row>
    <row r="3077" spans="1:14" x14ac:dyDescent="0.3">
      <c r="A3077">
        <v>2024004075</v>
      </c>
      <c r="B3077" s="1">
        <v>45334</v>
      </c>
      <c r="C3077" s="11">
        <f t="shared" si="144"/>
        <v>2024</v>
      </c>
      <c r="D3077" t="s">
        <v>11</v>
      </c>
      <c r="E3077" t="s">
        <v>12</v>
      </c>
      <c r="F3077" t="s">
        <v>13</v>
      </c>
      <c r="G3077" t="s">
        <v>14</v>
      </c>
      <c r="H3077">
        <v>1</v>
      </c>
      <c r="I3077" s="2">
        <v>363.97</v>
      </c>
      <c r="J3077" s="2">
        <v>363.97</v>
      </c>
      <c r="K3077" s="2">
        <f t="shared" si="145"/>
        <v>363.97</v>
      </c>
      <c r="L3077" s="2">
        <f t="shared" si="146"/>
        <v>0</v>
      </c>
      <c r="M3077" t="s">
        <v>15</v>
      </c>
      <c r="N3077" t="s">
        <v>16</v>
      </c>
    </row>
    <row r="3078" spans="1:14" x14ac:dyDescent="0.3">
      <c r="A3078">
        <v>2024004076</v>
      </c>
      <c r="B3078" s="1">
        <v>45440</v>
      </c>
      <c r="C3078" s="11">
        <f t="shared" si="144"/>
        <v>2024</v>
      </c>
      <c r="D3078" t="s">
        <v>156</v>
      </c>
      <c r="E3078" t="s">
        <v>67</v>
      </c>
      <c r="F3078" t="s">
        <v>68</v>
      </c>
      <c r="G3078" t="s">
        <v>36</v>
      </c>
      <c r="H3078">
        <v>1</v>
      </c>
      <c r="I3078" s="2">
        <v>392.3</v>
      </c>
      <c r="J3078" s="2">
        <v>392.3</v>
      </c>
      <c r="K3078" s="2">
        <f t="shared" si="145"/>
        <v>392.3</v>
      </c>
      <c r="L3078" s="2">
        <f t="shared" si="146"/>
        <v>0</v>
      </c>
      <c r="M3078" t="s">
        <v>25</v>
      </c>
      <c r="N3078" t="s">
        <v>21</v>
      </c>
    </row>
    <row r="3079" spans="1:14" x14ac:dyDescent="0.3">
      <c r="A3079">
        <v>2024004077</v>
      </c>
      <c r="B3079" s="1">
        <v>45494</v>
      </c>
      <c r="C3079" s="11">
        <f t="shared" si="144"/>
        <v>2024</v>
      </c>
      <c r="D3079" t="s">
        <v>11</v>
      </c>
      <c r="E3079" t="s">
        <v>46</v>
      </c>
      <c r="F3079" t="s">
        <v>47</v>
      </c>
      <c r="G3079" t="s">
        <v>36</v>
      </c>
      <c r="H3079">
        <v>5</v>
      </c>
      <c r="I3079" s="2">
        <v>88.31</v>
      </c>
      <c r="J3079" s="2">
        <v>441.55</v>
      </c>
      <c r="K3079" s="2">
        <f t="shared" si="145"/>
        <v>441.55</v>
      </c>
      <c r="L3079" s="2">
        <f t="shared" si="146"/>
        <v>0</v>
      </c>
      <c r="M3079" t="s">
        <v>31</v>
      </c>
      <c r="N3079" t="s">
        <v>16</v>
      </c>
    </row>
    <row r="3080" spans="1:14" x14ac:dyDescent="0.3">
      <c r="A3080">
        <v>2024004078</v>
      </c>
      <c r="B3080" s="1">
        <v>45425</v>
      </c>
      <c r="C3080" s="11">
        <f t="shared" si="144"/>
        <v>2024</v>
      </c>
      <c r="D3080" t="s">
        <v>125</v>
      </c>
      <c r="E3080" t="s">
        <v>40</v>
      </c>
      <c r="F3080" t="s">
        <v>41</v>
      </c>
      <c r="G3080" t="s">
        <v>36</v>
      </c>
      <c r="H3080">
        <v>4</v>
      </c>
      <c r="I3080" s="2">
        <v>41.76</v>
      </c>
      <c r="J3080" s="2">
        <v>167.04</v>
      </c>
      <c r="K3080" s="2">
        <f t="shared" si="145"/>
        <v>167.04</v>
      </c>
      <c r="L3080" s="2">
        <f t="shared" si="146"/>
        <v>0</v>
      </c>
      <c r="M3080" t="s">
        <v>31</v>
      </c>
      <c r="N3080" t="s">
        <v>26</v>
      </c>
    </row>
    <row r="3081" spans="1:14" x14ac:dyDescent="0.3">
      <c r="A3081">
        <v>2024004079</v>
      </c>
      <c r="B3081" s="1">
        <v>45580</v>
      </c>
      <c r="C3081" s="11">
        <f t="shared" si="144"/>
        <v>2024</v>
      </c>
      <c r="D3081" t="s">
        <v>56</v>
      </c>
      <c r="E3081" t="s">
        <v>67</v>
      </c>
      <c r="F3081" t="s">
        <v>68</v>
      </c>
      <c r="G3081" t="s">
        <v>36</v>
      </c>
      <c r="H3081">
        <v>3</v>
      </c>
      <c r="I3081" s="2">
        <v>395.92</v>
      </c>
      <c r="J3081" s="2">
        <v>1187.76</v>
      </c>
      <c r="K3081" s="2">
        <f t="shared" si="145"/>
        <v>1187.76</v>
      </c>
      <c r="L3081" s="2">
        <f t="shared" si="146"/>
        <v>0</v>
      </c>
      <c r="M3081" t="s">
        <v>61</v>
      </c>
      <c r="N3081" t="s">
        <v>32</v>
      </c>
    </row>
    <row r="3082" spans="1:14" x14ac:dyDescent="0.3">
      <c r="A3082">
        <v>2024004080</v>
      </c>
      <c r="B3082" s="1">
        <v>45625</v>
      </c>
      <c r="C3082" s="11">
        <f t="shared" si="144"/>
        <v>2024</v>
      </c>
      <c r="D3082" t="s">
        <v>195</v>
      </c>
      <c r="E3082" t="s">
        <v>34</v>
      </c>
      <c r="F3082" t="s">
        <v>35</v>
      </c>
      <c r="G3082" t="s">
        <v>36</v>
      </c>
      <c r="H3082">
        <v>2</v>
      </c>
      <c r="I3082" s="2">
        <v>14.94</v>
      </c>
      <c r="J3082" s="2">
        <v>29.88</v>
      </c>
      <c r="K3082" s="2">
        <f t="shared" si="145"/>
        <v>29.88</v>
      </c>
      <c r="L3082" s="2">
        <f t="shared" si="146"/>
        <v>0</v>
      </c>
      <c r="M3082" t="s">
        <v>38</v>
      </c>
      <c r="N3082" t="s">
        <v>26</v>
      </c>
    </row>
    <row r="3083" spans="1:14" x14ac:dyDescent="0.3">
      <c r="A3083">
        <v>2024004081</v>
      </c>
      <c r="B3083" s="1">
        <v>45460</v>
      </c>
      <c r="C3083" s="11">
        <f t="shared" si="144"/>
        <v>2024</v>
      </c>
      <c r="D3083" t="s">
        <v>296</v>
      </c>
      <c r="E3083" t="s">
        <v>12</v>
      </c>
      <c r="F3083" t="s">
        <v>13</v>
      </c>
      <c r="G3083" t="s">
        <v>14</v>
      </c>
      <c r="H3083">
        <v>1</v>
      </c>
      <c r="I3083" s="2">
        <v>331.54</v>
      </c>
      <c r="J3083" s="2">
        <v>331.54</v>
      </c>
      <c r="K3083" s="2">
        <f t="shared" si="145"/>
        <v>331.54</v>
      </c>
      <c r="L3083" s="2">
        <f t="shared" si="146"/>
        <v>0</v>
      </c>
      <c r="M3083" t="s">
        <v>57</v>
      </c>
      <c r="N3083" t="s">
        <v>26</v>
      </c>
    </row>
    <row r="3084" spans="1:14" x14ac:dyDescent="0.3">
      <c r="A3084">
        <v>2024004082</v>
      </c>
      <c r="B3084" s="1">
        <v>45388</v>
      </c>
      <c r="C3084" s="11">
        <f t="shared" si="144"/>
        <v>2024</v>
      </c>
      <c r="D3084" t="s">
        <v>292</v>
      </c>
      <c r="E3084" t="s">
        <v>12</v>
      </c>
      <c r="F3084" t="s">
        <v>13</v>
      </c>
      <c r="G3084" t="s">
        <v>14</v>
      </c>
      <c r="H3084">
        <v>1</v>
      </c>
      <c r="I3084" s="2">
        <v>374.02</v>
      </c>
      <c r="J3084" s="2">
        <v>374.02</v>
      </c>
      <c r="K3084" s="2">
        <f t="shared" si="145"/>
        <v>374.02</v>
      </c>
      <c r="L3084" s="2">
        <f t="shared" si="146"/>
        <v>0</v>
      </c>
      <c r="M3084" t="s">
        <v>20</v>
      </c>
      <c r="N3084" t="s">
        <v>21</v>
      </c>
    </row>
    <row r="3085" spans="1:14" x14ac:dyDescent="0.3">
      <c r="A3085">
        <v>2024004083</v>
      </c>
      <c r="B3085" s="1">
        <v>45638</v>
      </c>
      <c r="C3085" s="11">
        <f t="shared" si="144"/>
        <v>2024</v>
      </c>
      <c r="D3085" t="s">
        <v>283</v>
      </c>
      <c r="E3085" t="s">
        <v>23</v>
      </c>
      <c r="F3085" t="s">
        <v>24</v>
      </c>
      <c r="G3085" t="s">
        <v>14</v>
      </c>
      <c r="H3085">
        <v>1</v>
      </c>
      <c r="I3085" s="2">
        <v>74.92</v>
      </c>
      <c r="J3085" s="2">
        <v>74.92</v>
      </c>
      <c r="K3085" s="2">
        <f t="shared" si="145"/>
        <v>74.92</v>
      </c>
      <c r="L3085" s="2">
        <f t="shared" si="146"/>
        <v>0</v>
      </c>
      <c r="M3085" t="s">
        <v>64</v>
      </c>
      <c r="N3085" t="s">
        <v>32</v>
      </c>
    </row>
    <row r="3086" spans="1:14" x14ac:dyDescent="0.3">
      <c r="A3086">
        <v>2024004084</v>
      </c>
      <c r="B3086" s="1">
        <v>45348</v>
      </c>
      <c r="C3086" s="11">
        <f t="shared" si="144"/>
        <v>2024</v>
      </c>
      <c r="D3086" t="s">
        <v>189</v>
      </c>
      <c r="E3086" t="s">
        <v>28</v>
      </c>
      <c r="F3086" t="s">
        <v>29</v>
      </c>
      <c r="G3086" t="s">
        <v>30</v>
      </c>
      <c r="H3086">
        <v>3</v>
      </c>
      <c r="I3086" s="2">
        <v>25.9</v>
      </c>
      <c r="J3086" s="2">
        <v>77.7</v>
      </c>
      <c r="K3086" s="2">
        <f t="shared" si="145"/>
        <v>77.699999999999989</v>
      </c>
      <c r="L3086" s="2">
        <f t="shared" si="146"/>
        <v>0</v>
      </c>
      <c r="M3086" t="s">
        <v>55</v>
      </c>
      <c r="N3086" t="s">
        <v>16</v>
      </c>
    </row>
    <row r="3087" spans="1:14" x14ac:dyDescent="0.3">
      <c r="A3087">
        <v>2024004085</v>
      </c>
      <c r="B3087" s="1">
        <v>45549</v>
      </c>
      <c r="C3087" s="11">
        <f t="shared" si="144"/>
        <v>2024</v>
      </c>
      <c r="D3087" t="s">
        <v>115</v>
      </c>
      <c r="E3087" t="s">
        <v>23</v>
      </c>
      <c r="F3087" t="s">
        <v>24</v>
      </c>
      <c r="G3087" t="s">
        <v>14</v>
      </c>
      <c r="H3087">
        <v>1</v>
      </c>
      <c r="I3087" s="2">
        <v>81.709999999999994</v>
      </c>
      <c r="J3087" s="2">
        <v>81.709999999999994</v>
      </c>
      <c r="K3087" s="2">
        <f t="shared" si="145"/>
        <v>81.709999999999994</v>
      </c>
      <c r="L3087" s="2">
        <f t="shared" si="146"/>
        <v>0</v>
      </c>
      <c r="M3087" t="s">
        <v>38</v>
      </c>
      <c r="N3087" t="s">
        <v>26</v>
      </c>
    </row>
    <row r="3088" spans="1:14" x14ac:dyDescent="0.3">
      <c r="A3088">
        <v>2024004086</v>
      </c>
      <c r="B3088" s="1">
        <v>45379</v>
      </c>
      <c r="C3088" s="11">
        <f t="shared" si="144"/>
        <v>2024</v>
      </c>
      <c r="D3088" t="s">
        <v>305</v>
      </c>
      <c r="E3088" t="s">
        <v>43</v>
      </c>
      <c r="F3088" t="s">
        <v>44</v>
      </c>
      <c r="G3088" t="s">
        <v>36</v>
      </c>
      <c r="H3088">
        <v>1</v>
      </c>
      <c r="I3088" s="2">
        <v>1282.3800000000001</v>
      </c>
      <c r="J3088" s="2">
        <v>1282.3800000000001</v>
      </c>
      <c r="K3088" s="2">
        <f t="shared" si="145"/>
        <v>1282.3800000000001</v>
      </c>
      <c r="L3088" s="2">
        <f t="shared" si="146"/>
        <v>0</v>
      </c>
      <c r="M3088" t="s">
        <v>38</v>
      </c>
      <c r="N3088" t="s">
        <v>32</v>
      </c>
    </row>
    <row r="3089" spans="1:14" x14ac:dyDescent="0.3">
      <c r="A3089">
        <v>2024004087</v>
      </c>
      <c r="B3089" s="1">
        <v>45355</v>
      </c>
      <c r="C3089" s="11">
        <f t="shared" si="144"/>
        <v>2024</v>
      </c>
      <c r="D3089" t="s">
        <v>76</v>
      </c>
      <c r="E3089" t="s">
        <v>28</v>
      </c>
      <c r="F3089" t="s">
        <v>29</v>
      </c>
      <c r="G3089" t="s">
        <v>30</v>
      </c>
      <c r="H3089">
        <v>1</v>
      </c>
      <c r="I3089" s="2">
        <v>24.83</v>
      </c>
      <c r="J3089" s="2">
        <v>24.83</v>
      </c>
      <c r="K3089" s="2">
        <f t="shared" si="145"/>
        <v>24.83</v>
      </c>
      <c r="L3089" s="2">
        <f t="shared" si="146"/>
        <v>0</v>
      </c>
      <c r="M3089" t="s">
        <v>38</v>
      </c>
      <c r="N3089" t="s">
        <v>16</v>
      </c>
    </row>
    <row r="3090" spans="1:14" x14ac:dyDescent="0.3">
      <c r="A3090">
        <v>2024004088</v>
      </c>
      <c r="B3090" s="1">
        <v>45338</v>
      </c>
      <c r="C3090" s="11">
        <f t="shared" si="144"/>
        <v>2024</v>
      </c>
      <c r="D3090" t="s">
        <v>86</v>
      </c>
      <c r="E3090" t="s">
        <v>46</v>
      </c>
      <c r="F3090" t="s">
        <v>47</v>
      </c>
      <c r="G3090" t="s">
        <v>36</v>
      </c>
      <c r="H3090">
        <v>1</v>
      </c>
      <c r="I3090" s="2">
        <v>91.79</v>
      </c>
      <c r="J3090" s="2">
        <v>91.79</v>
      </c>
      <c r="K3090" s="2">
        <f t="shared" si="145"/>
        <v>91.79</v>
      </c>
      <c r="L3090" s="2">
        <f t="shared" si="146"/>
        <v>0</v>
      </c>
      <c r="M3090" t="s">
        <v>38</v>
      </c>
      <c r="N3090" t="s">
        <v>16</v>
      </c>
    </row>
    <row r="3091" spans="1:14" x14ac:dyDescent="0.3">
      <c r="A3091">
        <v>2024004089</v>
      </c>
      <c r="B3091" s="1">
        <v>45576</v>
      </c>
      <c r="C3091" s="11">
        <f t="shared" si="144"/>
        <v>2024</v>
      </c>
      <c r="D3091" t="s">
        <v>308</v>
      </c>
      <c r="E3091" t="s">
        <v>18</v>
      </c>
      <c r="F3091" t="s">
        <v>19</v>
      </c>
      <c r="G3091" t="s">
        <v>14</v>
      </c>
      <c r="H3091">
        <v>2</v>
      </c>
      <c r="I3091" s="2">
        <v>585.79</v>
      </c>
      <c r="J3091" s="2">
        <v>1171.58</v>
      </c>
      <c r="K3091" s="2">
        <f t="shared" si="145"/>
        <v>1171.58</v>
      </c>
      <c r="L3091" s="2">
        <f t="shared" si="146"/>
        <v>0</v>
      </c>
      <c r="M3091" t="s">
        <v>25</v>
      </c>
      <c r="N3091" t="s">
        <v>32</v>
      </c>
    </row>
    <row r="3092" spans="1:14" x14ac:dyDescent="0.3">
      <c r="A3092">
        <v>2024004090</v>
      </c>
      <c r="B3092" s="1">
        <v>45544</v>
      </c>
      <c r="C3092" s="11">
        <f t="shared" si="144"/>
        <v>2024</v>
      </c>
      <c r="D3092" t="s">
        <v>100</v>
      </c>
      <c r="E3092" t="s">
        <v>28</v>
      </c>
      <c r="F3092" t="s">
        <v>29</v>
      </c>
      <c r="G3092" t="s">
        <v>30</v>
      </c>
      <c r="H3092">
        <v>1</v>
      </c>
      <c r="I3092" s="2">
        <v>24.51</v>
      </c>
      <c r="J3092" s="2">
        <v>24.51</v>
      </c>
      <c r="K3092" s="2">
        <f t="shared" si="145"/>
        <v>24.51</v>
      </c>
      <c r="L3092" s="2">
        <f t="shared" si="146"/>
        <v>0</v>
      </c>
      <c r="M3092" t="s">
        <v>57</v>
      </c>
      <c r="N3092" t="s">
        <v>26</v>
      </c>
    </row>
    <row r="3093" spans="1:14" x14ac:dyDescent="0.3">
      <c r="A3093">
        <v>2024004091</v>
      </c>
      <c r="B3093" s="1">
        <v>45523</v>
      </c>
      <c r="C3093" s="11">
        <f t="shared" si="144"/>
        <v>2024</v>
      </c>
      <c r="D3093" t="s">
        <v>11</v>
      </c>
      <c r="E3093" t="s">
        <v>23</v>
      </c>
      <c r="F3093" t="s">
        <v>24</v>
      </c>
      <c r="G3093" t="s">
        <v>14</v>
      </c>
      <c r="H3093">
        <v>3</v>
      </c>
      <c r="I3093" s="2">
        <v>79.86</v>
      </c>
      <c r="J3093" s="2">
        <v>239.58</v>
      </c>
      <c r="K3093" s="2">
        <f t="shared" si="145"/>
        <v>239.57999999999998</v>
      </c>
      <c r="L3093" s="2">
        <f t="shared" si="146"/>
        <v>0</v>
      </c>
      <c r="M3093" t="s">
        <v>64</v>
      </c>
      <c r="N3093" t="s">
        <v>21</v>
      </c>
    </row>
    <row r="3094" spans="1:14" x14ac:dyDescent="0.3">
      <c r="A3094">
        <v>2024004092</v>
      </c>
      <c r="B3094" s="1">
        <v>45398</v>
      </c>
      <c r="C3094" s="11">
        <f t="shared" si="144"/>
        <v>2024</v>
      </c>
      <c r="D3094" t="s">
        <v>90</v>
      </c>
      <c r="E3094" t="s">
        <v>67</v>
      </c>
      <c r="F3094" t="s">
        <v>68</v>
      </c>
      <c r="G3094" t="s">
        <v>36</v>
      </c>
      <c r="H3094">
        <v>4</v>
      </c>
      <c r="I3094" s="2">
        <v>385.96</v>
      </c>
      <c r="J3094" s="2">
        <v>1543.84</v>
      </c>
      <c r="K3094" s="2">
        <f t="shared" si="145"/>
        <v>1543.84</v>
      </c>
      <c r="L3094" s="2">
        <f t="shared" si="146"/>
        <v>0</v>
      </c>
      <c r="M3094" t="s">
        <v>48</v>
      </c>
      <c r="N3094" t="s">
        <v>32</v>
      </c>
    </row>
    <row r="3095" spans="1:14" x14ac:dyDescent="0.3">
      <c r="A3095">
        <v>2024004093</v>
      </c>
      <c r="B3095" s="1">
        <v>45507</v>
      </c>
      <c r="C3095" s="11">
        <f t="shared" si="144"/>
        <v>2024</v>
      </c>
      <c r="D3095" t="s">
        <v>196</v>
      </c>
      <c r="E3095" t="s">
        <v>23</v>
      </c>
      <c r="F3095" t="s">
        <v>24</v>
      </c>
      <c r="G3095" t="s">
        <v>14</v>
      </c>
      <c r="H3095">
        <v>2</v>
      </c>
      <c r="I3095" s="2">
        <v>84.4</v>
      </c>
      <c r="J3095" s="2">
        <v>168.8</v>
      </c>
      <c r="K3095" s="2">
        <f t="shared" si="145"/>
        <v>168.8</v>
      </c>
      <c r="L3095" s="2">
        <f t="shared" si="146"/>
        <v>0</v>
      </c>
      <c r="M3095" t="s">
        <v>55</v>
      </c>
      <c r="N3095" t="s">
        <v>26</v>
      </c>
    </row>
    <row r="3096" spans="1:14" x14ac:dyDescent="0.3">
      <c r="A3096">
        <v>2024004094</v>
      </c>
      <c r="B3096" s="1">
        <v>45594</v>
      </c>
      <c r="C3096" s="11">
        <f t="shared" si="144"/>
        <v>2024</v>
      </c>
      <c r="D3096" t="s">
        <v>118</v>
      </c>
      <c r="E3096" t="s">
        <v>67</v>
      </c>
      <c r="F3096" t="s">
        <v>68</v>
      </c>
      <c r="G3096" t="s">
        <v>36</v>
      </c>
      <c r="H3096">
        <v>1</v>
      </c>
      <c r="I3096" s="2">
        <v>416.26</v>
      </c>
      <c r="J3096" s="2">
        <v>416.26</v>
      </c>
      <c r="K3096" s="2">
        <f t="shared" si="145"/>
        <v>416.26</v>
      </c>
      <c r="L3096" s="2">
        <f t="shared" si="146"/>
        <v>0</v>
      </c>
      <c r="M3096" t="s">
        <v>57</v>
      </c>
      <c r="N3096" t="s">
        <v>16</v>
      </c>
    </row>
    <row r="3097" spans="1:14" x14ac:dyDescent="0.3">
      <c r="A3097">
        <v>2024004095</v>
      </c>
      <c r="B3097" s="1">
        <v>45543</v>
      </c>
      <c r="C3097" s="11">
        <f t="shared" si="144"/>
        <v>2024</v>
      </c>
      <c r="D3097" t="s">
        <v>11</v>
      </c>
      <c r="E3097" t="s">
        <v>23</v>
      </c>
      <c r="F3097" t="s">
        <v>24</v>
      </c>
      <c r="G3097" t="s">
        <v>14</v>
      </c>
      <c r="H3097">
        <v>1</v>
      </c>
      <c r="I3097" s="2">
        <v>81.099999999999994</v>
      </c>
      <c r="J3097" s="2">
        <v>81.099999999999994</v>
      </c>
      <c r="K3097" s="2">
        <f t="shared" si="145"/>
        <v>81.099999999999994</v>
      </c>
      <c r="L3097" s="2">
        <f t="shared" si="146"/>
        <v>0</v>
      </c>
      <c r="M3097" t="s">
        <v>55</v>
      </c>
      <c r="N3097" t="s">
        <v>26</v>
      </c>
    </row>
    <row r="3098" spans="1:14" x14ac:dyDescent="0.3">
      <c r="A3098">
        <v>2024004096</v>
      </c>
      <c r="B3098" s="1">
        <v>45657</v>
      </c>
      <c r="C3098" s="11">
        <f t="shared" si="144"/>
        <v>2024</v>
      </c>
      <c r="D3098" t="s">
        <v>11</v>
      </c>
      <c r="E3098" t="s">
        <v>67</v>
      </c>
      <c r="F3098" t="s">
        <v>68</v>
      </c>
      <c r="G3098" t="s">
        <v>36</v>
      </c>
      <c r="H3098">
        <v>4</v>
      </c>
      <c r="I3098" s="2">
        <v>379.72</v>
      </c>
      <c r="J3098" s="2">
        <v>1518.88</v>
      </c>
      <c r="K3098" s="2">
        <f t="shared" si="145"/>
        <v>1518.88</v>
      </c>
      <c r="L3098" s="2">
        <f t="shared" si="146"/>
        <v>0</v>
      </c>
      <c r="M3098" t="s">
        <v>25</v>
      </c>
      <c r="N3098" t="s">
        <v>16</v>
      </c>
    </row>
    <row r="3099" spans="1:14" x14ac:dyDescent="0.3">
      <c r="A3099">
        <v>2024004097</v>
      </c>
      <c r="B3099" s="1">
        <v>45439</v>
      </c>
      <c r="C3099" s="11">
        <f t="shared" si="144"/>
        <v>2024</v>
      </c>
      <c r="D3099" t="s">
        <v>134</v>
      </c>
      <c r="E3099" t="s">
        <v>28</v>
      </c>
      <c r="F3099" t="s">
        <v>29</v>
      </c>
      <c r="G3099" t="s">
        <v>30</v>
      </c>
      <c r="H3099">
        <v>1</v>
      </c>
      <c r="I3099" s="2">
        <v>24</v>
      </c>
      <c r="J3099" s="2">
        <v>24</v>
      </c>
      <c r="K3099" s="2">
        <f t="shared" si="145"/>
        <v>24</v>
      </c>
      <c r="L3099" s="2">
        <f t="shared" si="146"/>
        <v>0</v>
      </c>
      <c r="M3099" t="s">
        <v>38</v>
      </c>
      <c r="N3099" t="s">
        <v>32</v>
      </c>
    </row>
    <row r="3100" spans="1:14" x14ac:dyDescent="0.3">
      <c r="A3100">
        <v>2024004098</v>
      </c>
      <c r="B3100" s="1">
        <v>45622</v>
      </c>
      <c r="C3100" s="11">
        <f t="shared" si="144"/>
        <v>2024</v>
      </c>
      <c r="D3100" t="s">
        <v>252</v>
      </c>
      <c r="E3100" t="s">
        <v>28</v>
      </c>
      <c r="F3100" t="s">
        <v>29</v>
      </c>
      <c r="G3100" t="s">
        <v>30</v>
      </c>
      <c r="H3100">
        <v>3</v>
      </c>
      <c r="I3100" s="2">
        <v>24.08</v>
      </c>
      <c r="J3100" s="2">
        <v>72.239999999999995</v>
      </c>
      <c r="K3100" s="2">
        <f t="shared" si="145"/>
        <v>72.239999999999995</v>
      </c>
      <c r="L3100" s="2">
        <f t="shared" si="146"/>
        <v>0</v>
      </c>
      <c r="M3100" t="s">
        <v>48</v>
      </c>
      <c r="N3100" t="s">
        <v>21</v>
      </c>
    </row>
    <row r="3101" spans="1:14" x14ac:dyDescent="0.3">
      <c r="A3101">
        <v>2024004099</v>
      </c>
      <c r="B3101" s="1">
        <v>45372</v>
      </c>
      <c r="C3101" s="11">
        <f t="shared" si="144"/>
        <v>2024</v>
      </c>
      <c r="D3101" t="s">
        <v>191</v>
      </c>
      <c r="E3101" t="s">
        <v>53</v>
      </c>
      <c r="F3101" t="s">
        <v>54</v>
      </c>
      <c r="G3101" t="s">
        <v>36</v>
      </c>
      <c r="H3101">
        <v>1</v>
      </c>
      <c r="I3101" s="2">
        <v>125.16</v>
      </c>
      <c r="J3101" s="2">
        <v>125.16</v>
      </c>
      <c r="K3101" s="2">
        <f t="shared" si="145"/>
        <v>125.16</v>
      </c>
      <c r="L3101" s="2">
        <f t="shared" si="146"/>
        <v>0</v>
      </c>
      <c r="M3101" t="s">
        <v>61</v>
      </c>
      <c r="N3101" t="s">
        <v>26</v>
      </c>
    </row>
    <row r="3102" spans="1:14" x14ac:dyDescent="0.3">
      <c r="A3102">
        <v>2024004100</v>
      </c>
      <c r="B3102" s="1">
        <v>45429</v>
      </c>
      <c r="C3102" s="11">
        <f t="shared" si="144"/>
        <v>2024</v>
      </c>
      <c r="D3102" t="s">
        <v>101</v>
      </c>
      <c r="E3102" t="s">
        <v>46</v>
      </c>
      <c r="F3102" t="s">
        <v>47</v>
      </c>
      <c r="G3102" t="s">
        <v>36</v>
      </c>
      <c r="H3102">
        <v>1</v>
      </c>
      <c r="I3102" s="2">
        <v>87.82</v>
      </c>
      <c r="J3102" s="2">
        <v>87.82</v>
      </c>
      <c r="K3102" s="2">
        <f t="shared" si="145"/>
        <v>87.82</v>
      </c>
      <c r="L3102" s="2">
        <f t="shared" si="146"/>
        <v>0</v>
      </c>
      <c r="M3102" t="s">
        <v>57</v>
      </c>
      <c r="N3102" t="s">
        <v>26</v>
      </c>
    </row>
    <row r="3103" spans="1:14" x14ac:dyDescent="0.3">
      <c r="A3103">
        <v>2024004101</v>
      </c>
      <c r="B3103" s="1">
        <v>45467</v>
      </c>
      <c r="C3103" s="11">
        <f t="shared" si="144"/>
        <v>2024</v>
      </c>
      <c r="D3103" t="s">
        <v>337</v>
      </c>
      <c r="E3103" t="s">
        <v>12</v>
      </c>
      <c r="F3103" t="s">
        <v>13</v>
      </c>
      <c r="G3103" t="s">
        <v>14</v>
      </c>
      <c r="H3103">
        <v>4</v>
      </c>
      <c r="I3103" s="2">
        <v>350.5</v>
      </c>
      <c r="J3103" s="2">
        <v>1402</v>
      </c>
      <c r="K3103" s="2">
        <f t="shared" si="145"/>
        <v>1402</v>
      </c>
      <c r="L3103" s="2">
        <f t="shared" si="146"/>
        <v>0</v>
      </c>
      <c r="M3103" t="s">
        <v>25</v>
      </c>
      <c r="N3103" t="s">
        <v>21</v>
      </c>
    </row>
    <row r="3104" spans="1:14" x14ac:dyDescent="0.3">
      <c r="A3104">
        <v>2024004102</v>
      </c>
      <c r="B3104" s="1">
        <v>45436</v>
      </c>
      <c r="C3104" s="11">
        <f t="shared" si="144"/>
        <v>2024</v>
      </c>
      <c r="D3104" t="s">
        <v>209</v>
      </c>
      <c r="E3104" t="s">
        <v>18</v>
      </c>
      <c r="F3104" t="s">
        <v>19</v>
      </c>
      <c r="G3104" t="s">
        <v>14</v>
      </c>
      <c r="H3104">
        <v>1</v>
      </c>
      <c r="I3104" s="2">
        <v>613.15</v>
      </c>
      <c r="J3104" s="2">
        <v>613.15</v>
      </c>
      <c r="K3104" s="2">
        <f t="shared" si="145"/>
        <v>613.15</v>
      </c>
      <c r="L3104" s="2">
        <f t="shared" si="146"/>
        <v>0</v>
      </c>
      <c r="M3104" t="s">
        <v>61</v>
      </c>
      <c r="N3104" t="s">
        <v>21</v>
      </c>
    </row>
    <row r="3105" spans="1:14" x14ac:dyDescent="0.3">
      <c r="A3105">
        <v>2024004103</v>
      </c>
      <c r="B3105" s="1">
        <v>45304</v>
      </c>
      <c r="C3105" s="11">
        <f t="shared" si="144"/>
        <v>2024</v>
      </c>
      <c r="D3105" t="s">
        <v>216</v>
      </c>
      <c r="E3105" t="s">
        <v>43</v>
      </c>
      <c r="F3105" t="s">
        <v>44</v>
      </c>
      <c r="G3105" t="s">
        <v>36</v>
      </c>
      <c r="H3105">
        <v>1</v>
      </c>
      <c r="I3105" s="2">
        <v>1217.3699999999999</v>
      </c>
      <c r="J3105" s="2">
        <v>1217.3699999999999</v>
      </c>
      <c r="K3105" s="2">
        <f t="shared" si="145"/>
        <v>1217.3699999999999</v>
      </c>
      <c r="L3105" s="2">
        <f t="shared" si="146"/>
        <v>0</v>
      </c>
      <c r="M3105" t="s">
        <v>38</v>
      </c>
      <c r="N3105" t="s">
        <v>26</v>
      </c>
    </row>
    <row r="3106" spans="1:14" x14ac:dyDescent="0.3">
      <c r="A3106">
        <v>2024004104</v>
      </c>
      <c r="B3106" s="1">
        <v>45516</v>
      </c>
      <c r="C3106" s="11">
        <f t="shared" si="144"/>
        <v>2024</v>
      </c>
      <c r="D3106" t="s">
        <v>74</v>
      </c>
      <c r="E3106" t="s">
        <v>12</v>
      </c>
      <c r="F3106" t="s">
        <v>13</v>
      </c>
      <c r="G3106" t="s">
        <v>14</v>
      </c>
      <c r="H3106">
        <v>1</v>
      </c>
      <c r="I3106" s="2">
        <v>355.45</v>
      </c>
      <c r="J3106" s="2">
        <v>355.45</v>
      </c>
      <c r="K3106" s="2">
        <f t="shared" si="145"/>
        <v>355.45</v>
      </c>
      <c r="L3106" s="2">
        <f t="shared" si="146"/>
        <v>0</v>
      </c>
      <c r="M3106" t="s">
        <v>15</v>
      </c>
      <c r="N3106" t="s">
        <v>32</v>
      </c>
    </row>
    <row r="3107" spans="1:14" x14ac:dyDescent="0.3">
      <c r="A3107">
        <v>2024004105</v>
      </c>
      <c r="B3107" s="1">
        <v>45408</v>
      </c>
      <c r="C3107" s="11">
        <f t="shared" si="144"/>
        <v>2024</v>
      </c>
      <c r="D3107" t="s">
        <v>187</v>
      </c>
      <c r="E3107" t="s">
        <v>46</v>
      </c>
      <c r="F3107" t="s">
        <v>47</v>
      </c>
      <c r="G3107" t="s">
        <v>36</v>
      </c>
      <c r="H3107">
        <v>1</v>
      </c>
      <c r="I3107" s="2">
        <v>92.11</v>
      </c>
      <c r="J3107" s="2">
        <v>92.11</v>
      </c>
      <c r="K3107" s="2">
        <f t="shared" si="145"/>
        <v>92.11</v>
      </c>
      <c r="L3107" s="2">
        <f t="shared" si="146"/>
        <v>0</v>
      </c>
      <c r="M3107" t="s">
        <v>15</v>
      </c>
      <c r="N3107" t="s">
        <v>32</v>
      </c>
    </row>
    <row r="3108" spans="1:14" x14ac:dyDescent="0.3">
      <c r="A3108">
        <v>2024004106</v>
      </c>
      <c r="B3108" s="1">
        <v>45591</v>
      </c>
      <c r="C3108" s="11">
        <f t="shared" si="144"/>
        <v>2024</v>
      </c>
      <c r="D3108" t="s">
        <v>219</v>
      </c>
      <c r="E3108" t="s">
        <v>12</v>
      </c>
      <c r="F3108" t="s">
        <v>13</v>
      </c>
      <c r="G3108" t="s">
        <v>14</v>
      </c>
      <c r="H3108">
        <v>1</v>
      </c>
      <c r="I3108" s="2">
        <v>346.98</v>
      </c>
      <c r="J3108" s="2">
        <v>346.98</v>
      </c>
      <c r="K3108" s="2">
        <f t="shared" si="145"/>
        <v>346.98</v>
      </c>
      <c r="L3108" s="2">
        <f t="shared" si="146"/>
        <v>0</v>
      </c>
      <c r="M3108" t="s">
        <v>25</v>
      </c>
      <c r="N3108" t="s">
        <v>16</v>
      </c>
    </row>
    <row r="3109" spans="1:14" x14ac:dyDescent="0.3">
      <c r="A3109">
        <v>2024004107</v>
      </c>
      <c r="B3109" s="1">
        <v>45446</v>
      </c>
      <c r="C3109" s="11">
        <f t="shared" si="144"/>
        <v>2024</v>
      </c>
      <c r="D3109" t="s">
        <v>11</v>
      </c>
      <c r="E3109" t="s">
        <v>34</v>
      </c>
      <c r="F3109" t="s">
        <v>35</v>
      </c>
      <c r="G3109" t="s">
        <v>36</v>
      </c>
      <c r="H3109">
        <v>2</v>
      </c>
      <c r="I3109" s="2">
        <v>14.77</v>
      </c>
      <c r="J3109" s="2">
        <v>29.54</v>
      </c>
      <c r="K3109" s="2">
        <f t="shared" si="145"/>
        <v>29.54</v>
      </c>
      <c r="L3109" s="2">
        <f t="shared" si="146"/>
        <v>0</v>
      </c>
      <c r="M3109" t="s">
        <v>64</v>
      </c>
      <c r="N3109" t="s">
        <v>26</v>
      </c>
    </row>
    <row r="3110" spans="1:14" x14ac:dyDescent="0.3">
      <c r="A3110">
        <v>2024004108</v>
      </c>
      <c r="B3110" s="1">
        <v>45394</v>
      </c>
      <c r="C3110" s="11">
        <f t="shared" si="144"/>
        <v>2024</v>
      </c>
      <c r="D3110" t="s">
        <v>281</v>
      </c>
      <c r="E3110" t="s">
        <v>53</v>
      </c>
      <c r="F3110" t="s">
        <v>54</v>
      </c>
      <c r="G3110" t="s">
        <v>36</v>
      </c>
      <c r="H3110">
        <v>1</v>
      </c>
      <c r="I3110" s="2">
        <v>126.71</v>
      </c>
      <c r="J3110" s="2">
        <v>126.71</v>
      </c>
      <c r="K3110" s="2">
        <f t="shared" si="145"/>
        <v>126.71</v>
      </c>
      <c r="L3110" s="2">
        <f t="shared" si="146"/>
        <v>0</v>
      </c>
      <c r="M3110" t="s">
        <v>20</v>
      </c>
      <c r="N3110" t="s">
        <v>16</v>
      </c>
    </row>
    <row r="3111" spans="1:14" x14ac:dyDescent="0.3">
      <c r="A3111">
        <v>2024004109</v>
      </c>
      <c r="B3111" s="1">
        <v>45571</v>
      </c>
      <c r="C3111" s="11">
        <f t="shared" si="144"/>
        <v>2024</v>
      </c>
      <c r="D3111" t="s">
        <v>103</v>
      </c>
      <c r="E3111" t="s">
        <v>23</v>
      </c>
      <c r="F3111" t="s">
        <v>24</v>
      </c>
      <c r="G3111" t="s">
        <v>14</v>
      </c>
      <c r="H3111">
        <v>2</v>
      </c>
      <c r="I3111" s="2">
        <v>83.24</v>
      </c>
      <c r="J3111" s="2">
        <v>166.48</v>
      </c>
      <c r="K3111" s="2">
        <f t="shared" si="145"/>
        <v>166.48</v>
      </c>
      <c r="L3111" s="2">
        <f t="shared" si="146"/>
        <v>0</v>
      </c>
      <c r="M3111" t="s">
        <v>48</v>
      </c>
      <c r="N3111" t="s">
        <v>32</v>
      </c>
    </row>
    <row r="3112" spans="1:14" x14ac:dyDescent="0.3">
      <c r="A3112">
        <v>2024004110</v>
      </c>
      <c r="B3112" s="1">
        <v>45514</v>
      </c>
      <c r="C3112" s="11">
        <f t="shared" si="144"/>
        <v>2024</v>
      </c>
      <c r="D3112" t="s">
        <v>311</v>
      </c>
      <c r="E3112" t="s">
        <v>28</v>
      </c>
      <c r="F3112" t="s">
        <v>29</v>
      </c>
      <c r="G3112" t="s">
        <v>30</v>
      </c>
      <c r="H3112">
        <v>1</v>
      </c>
      <c r="I3112" s="2">
        <v>25.57</v>
      </c>
      <c r="J3112" s="2">
        <v>25.57</v>
      </c>
      <c r="K3112" s="2">
        <f t="shared" si="145"/>
        <v>25.57</v>
      </c>
      <c r="L3112" s="2">
        <f t="shared" si="146"/>
        <v>0</v>
      </c>
      <c r="M3112" t="s">
        <v>57</v>
      </c>
      <c r="N3112" t="s">
        <v>21</v>
      </c>
    </row>
    <row r="3113" spans="1:14" x14ac:dyDescent="0.3">
      <c r="A3113">
        <v>2024004111</v>
      </c>
      <c r="B3113" s="1">
        <v>45402</v>
      </c>
      <c r="C3113" s="11">
        <f t="shared" si="144"/>
        <v>2024</v>
      </c>
      <c r="D3113" t="s">
        <v>11</v>
      </c>
      <c r="E3113" t="s">
        <v>28</v>
      </c>
      <c r="F3113" t="s">
        <v>29</v>
      </c>
      <c r="G3113" t="s">
        <v>30</v>
      </c>
      <c r="H3113">
        <v>3</v>
      </c>
      <c r="I3113" s="2">
        <v>25.97</v>
      </c>
      <c r="J3113" s="2">
        <v>77.91</v>
      </c>
      <c r="K3113" s="2">
        <f t="shared" si="145"/>
        <v>77.91</v>
      </c>
      <c r="L3113" s="2">
        <f t="shared" si="146"/>
        <v>0</v>
      </c>
      <c r="M3113" t="s">
        <v>31</v>
      </c>
      <c r="N3113" t="s">
        <v>16</v>
      </c>
    </row>
    <row r="3114" spans="1:14" x14ac:dyDescent="0.3">
      <c r="A3114">
        <v>2024004112</v>
      </c>
      <c r="B3114" s="1">
        <v>45407</v>
      </c>
      <c r="C3114" s="11">
        <f t="shared" si="144"/>
        <v>2024</v>
      </c>
      <c r="D3114" t="s">
        <v>340</v>
      </c>
      <c r="E3114" t="s">
        <v>23</v>
      </c>
      <c r="F3114" t="s">
        <v>24</v>
      </c>
      <c r="G3114" t="s">
        <v>14</v>
      </c>
      <c r="H3114">
        <v>1</v>
      </c>
      <c r="I3114" s="2">
        <v>85.82</v>
      </c>
      <c r="J3114" s="2">
        <v>85.82</v>
      </c>
      <c r="K3114" s="2">
        <f t="shared" si="145"/>
        <v>85.82</v>
      </c>
      <c r="L3114" s="2">
        <f t="shared" si="146"/>
        <v>0</v>
      </c>
      <c r="M3114" t="s">
        <v>20</v>
      </c>
      <c r="N3114" t="s">
        <v>26</v>
      </c>
    </row>
    <row r="3115" spans="1:14" x14ac:dyDescent="0.3">
      <c r="A3115">
        <v>2024004113</v>
      </c>
      <c r="B3115" s="1">
        <v>45418</v>
      </c>
      <c r="C3115" s="11">
        <f t="shared" si="144"/>
        <v>2024</v>
      </c>
      <c r="D3115" t="s">
        <v>255</v>
      </c>
      <c r="E3115" t="s">
        <v>34</v>
      </c>
      <c r="F3115" t="s">
        <v>35</v>
      </c>
      <c r="G3115" t="s">
        <v>36</v>
      </c>
      <c r="H3115">
        <v>2</v>
      </c>
      <c r="I3115" s="2">
        <v>16.260000000000002</v>
      </c>
      <c r="J3115" s="2">
        <v>32.520000000000003</v>
      </c>
      <c r="K3115" s="2">
        <f t="shared" si="145"/>
        <v>32.520000000000003</v>
      </c>
      <c r="L3115" s="2">
        <f t="shared" si="146"/>
        <v>0</v>
      </c>
      <c r="M3115" t="s">
        <v>15</v>
      </c>
      <c r="N3115" t="s">
        <v>26</v>
      </c>
    </row>
    <row r="3116" spans="1:14" x14ac:dyDescent="0.3">
      <c r="A3116">
        <v>2024004114</v>
      </c>
      <c r="B3116" s="1">
        <v>45461</v>
      </c>
      <c r="C3116" s="11">
        <f t="shared" si="144"/>
        <v>2024</v>
      </c>
      <c r="D3116" t="s">
        <v>207</v>
      </c>
      <c r="E3116" t="s">
        <v>18</v>
      </c>
      <c r="F3116" t="s">
        <v>19</v>
      </c>
      <c r="G3116" t="s">
        <v>14</v>
      </c>
      <c r="H3116">
        <v>4</v>
      </c>
      <c r="I3116" s="2">
        <v>562.5</v>
      </c>
      <c r="J3116" s="2">
        <v>2250</v>
      </c>
      <c r="K3116" s="2">
        <f t="shared" si="145"/>
        <v>2250</v>
      </c>
      <c r="L3116" s="2">
        <f t="shared" si="146"/>
        <v>0</v>
      </c>
      <c r="M3116" t="s">
        <v>57</v>
      </c>
      <c r="N3116" t="s">
        <v>26</v>
      </c>
    </row>
    <row r="3117" spans="1:14" x14ac:dyDescent="0.3">
      <c r="A3117">
        <v>2024004115</v>
      </c>
      <c r="B3117" s="1">
        <v>45344</v>
      </c>
      <c r="C3117" s="11">
        <f t="shared" si="144"/>
        <v>2024</v>
      </c>
      <c r="D3117" t="s">
        <v>270</v>
      </c>
      <c r="E3117" t="s">
        <v>43</v>
      </c>
      <c r="F3117" t="s">
        <v>44</v>
      </c>
      <c r="G3117" t="s">
        <v>36</v>
      </c>
      <c r="H3117">
        <v>1</v>
      </c>
      <c r="I3117" s="2">
        <v>1218.3399999999999</v>
      </c>
      <c r="J3117" s="2">
        <v>1218.3399999999999</v>
      </c>
      <c r="K3117" s="2">
        <f t="shared" si="145"/>
        <v>1218.3399999999999</v>
      </c>
      <c r="L3117" s="2">
        <f t="shared" si="146"/>
        <v>0</v>
      </c>
      <c r="M3117" t="s">
        <v>15</v>
      </c>
      <c r="N3117" t="s">
        <v>26</v>
      </c>
    </row>
    <row r="3118" spans="1:14" x14ac:dyDescent="0.3">
      <c r="A3118">
        <v>2024004116</v>
      </c>
      <c r="B3118" s="1">
        <v>45473</v>
      </c>
      <c r="C3118" s="11">
        <f t="shared" si="144"/>
        <v>2024</v>
      </c>
      <c r="D3118" t="s">
        <v>11</v>
      </c>
      <c r="E3118" t="s">
        <v>28</v>
      </c>
      <c r="F3118" t="s">
        <v>29</v>
      </c>
      <c r="G3118" t="s">
        <v>30</v>
      </c>
      <c r="H3118">
        <v>1</v>
      </c>
      <c r="I3118" s="2">
        <v>26.16</v>
      </c>
      <c r="J3118" s="2">
        <v>26.16</v>
      </c>
      <c r="K3118" s="2">
        <f t="shared" si="145"/>
        <v>26.16</v>
      </c>
      <c r="L3118" s="2">
        <f t="shared" si="146"/>
        <v>0</v>
      </c>
      <c r="M3118" t="s">
        <v>25</v>
      </c>
      <c r="N3118" t="s">
        <v>21</v>
      </c>
    </row>
    <row r="3119" spans="1:14" x14ac:dyDescent="0.3">
      <c r="A3119">
        <v>2024004117</v>
      </c>
      <c r="B3119" s="1">
        <v>45346</v>
      </c>
      <c r="C3119" s="11">
        <f t="shared" si="144"/>
        <v>2024</v>
      </c>
      <c r="D3119" t="s">
        <v>11</v>
      </c>
      <c r="E3119" t="s">
        <v>34</v>
      </c>
      <c r="F3119" t="s">
        <v>35</v>
      </c>
      <c r="G3119" t="s">
        <v>36</v>
      </c>
      <c r="H3119">
        <v>4</v>
      </c>
      <c r="I3119" s="2">
        <v>14.26</v>
      </c>
      <c r="J3119" s="2">
        <v>57.04</v>
      </c>
      <c r="K3119" s="2">
        <f t="shared" si="145"/>
        <v>57.04</v>
      </c>
      <c r="L3119" s="2">
        <f t="shared" si="146"/>
        <v>0</v>
      </c>
      <c r="M3119" t="s">
        <v>25</v>
      </c>
      <c r="N3119" t="s">
        <v>16</v>
      </c>
    </row>
    <row r="3120" spans="1:14" x14ac:dyDescent="0.3">
      <c r="A3120">
        <v>2024004118</v>
      </c>
      <c r="B3120" s="1">
        <v>45558</v>
      </c>
      <c r="C3120" s="11">
        <f t="shared" si="144"/>
        <v>2024</v>
      </c>
      <c r="D3120" t="s">
        <v>342</v>
      </c>
      <c r="E3120" t="s">
        <v>12</v>
      </c>
      <c r="F3120" t="s">
        <v>13</v>
      </c>
      <c r="G3120" t="s">
        <v>14</v>
      </c>
      <c r="H3120">
        <v>2</v>
      </c>
      <c r="I3120" s="2">
        <v>331.73</v>
      </c>
      <c r="J3120" s="2">
        <v>663.46</v>
      </c>
      <c r="K3120" s="2">
        <f t="shared" si="145"/>
        <v>663.46</v>
      </c>
      <c r="L3120" s="2">
        <f t="shared" si="146"/>
        <v>0</v>
      </c>
      <c r="M3120" t="s">
        <v>38</v>
      </c>
      <c r="N3120" t="s">
        <v>16</v>
      </c>
    </row>
    <row r="3121" spans="1:14" x14ac:dyDescent="0.3">
      <c r="A3121">
        <v>2024004119</v>
      </c>
      <c r="B3121" s="1">
        <v>45417</v>
      </c>
      <c r="C3121" s="11">
        <f t="shared" si="144"/>
        <v>2024</v>
      </c>
      <c r="D3121" t="s">
        <v>249</v>
      </c>
      <c r="E3121" t="s">
        <v>12</v>
      </c>
      <c r="F3121" t="s">
        <v>13</v>
      </c>
      <c r="G3121" t="s">
        <v>14</v>
      </c>
      <c r="H3121">
        <v>1</v>
      </c>
      <c r="I3121" s="2">
        <v>364.84</v>
      </c>
      <c r="J3121" s="2">
        <v>364.84</v>
      </c>
      <c r="K3121" s="2">
        <f t="shared" si="145"/>
        <v>364.84</v>
      </c>
      <c r="L3121" s="2">
        <f t="shared" si="146"/>
        <v>0</v>
      </c>
      <c r="M3121" t="s">
        <v>31</v>
      </c>
      <c r="N3121" t="s">
        <v>32</v>
      </c>
    </row>
    <row r="3122" spans="1:14" x14ac:dyDescent="0.3">
      <c r="A3122">
        <v>2024004120</v>
      </c>
      <c r="B3122" s="1">
        <v>45356</v>
      </c>
      <c r="C3122" s="11">
        <f t="shared" si="144"/>
        <v>2024</v>
      </c>
      <c r="D3122" t="s">
        <v>11</v>
      </c>
      <c r="E3122" t="s">
        <v>23</v>
      </c>
      <c r="F3122" t="s">
        <v>24</v>
      </c>
      <c r="G3122" t="s">
        <v>14</v>
      </c>
      <c r="H3122">
        <v>3</v>
      </c>
      <c r="I3122" s="2">
        <v>77.209999999999994</v>
      </c>
      <c r="J3122" s="2">
        <v>231.63</v>
      </c>
      <c r="K3122" s="2">
        <f t="shared" si="145"/>
        <v>231.63</v>
      </c>
      <c r="L3122" s="2">
        <f t="shared" si="146"/>
        <v>0</v>
      </c>
      <c r="M3122" t="s">
        <v>31</v>
      </c>
      <c r="N3122" t="s">
        <v>32</v>
      </c>
    </row>
    <row r="3123" spans="1:14" x14ac:dyDescent="0.3">
      <c r="A3123">
        <v>2024004121</v>
      </c>
      <c r="B3123" s="1">
        <v>45654</v>
      </c>
      <c r="C3123" s="11">
        <f t="shared" si="144"/>
        <v>2024</v>
      </c>
      <c r="D3123" t="s">
        <v>214</v>
      </c>
      <c r="E3123" t="s">
        <v>12</v>
      </c>
      <c r="F3123" t="s">
        <v>13</v>
      </c>
      <c r="G3123" t="s">
        <v>14</v>
      </c>
      <c r="H3123">
        <v>1</v>
      </c>
      <c r="I3123" s="2">
        <v>348.58</v>
      </c>
      <c r="J3123" s="2">
        <v>348.58</v>
      </c>
      <c r="K3123" s="2">
        <f t="shared" si="145"/>
        <v>348.58</v>
      </c>
      <c r="L3123" s="2">
        <f t="shared" si="146"/>
        <v>0</v>
      </c>
      <c r="M3123" t="s">
        <v>64</v>
      </c>
      <c r="N3123" t="s">
        <v>21</v>
      </c>
    </row>
    <row r="3124" spans="1:14" x14ac:dyDescent="0.3">
      <c r="A3124">
        <v>2024004122</v>
      </c>
      <c r="B3124" s="1">
        <v>45440</v>
      </c>
      <c r="C3124" s="11">
        <f t="shared" si="144"/>
        <v>2024</v>
      </c>
      <c r="D3124" t="s">
        <v>89</v>
      </c>
      <c r="E3124" t="s">
        <v>23</v>
      </c>
      <c r="F3124" t="s">
        <v>24</v>
      </c>
      <c r="G3124" t="s">
        <v>14</v>
      </c>
      <c r="H3124">
        <v>1</v>
      </c>
      <c r="I3124" s="2">
        <v>81.97</v>
      </c>
      <c r="J3124" s="2">
        <v>81.97</v>
      </c>
      <c r="K3124" s="2">
        <f t="shared" si="145"/>
        <v>81.97</v>
      </c>
      <c r="L3124" s="2">
        <f t="shared" si="146"/>
        <v>0</v>
      </c>
      <c r="M3124" t="s">
        <v>64</v>
      </c>
      <c r="N3124" t="s">
        <v>21</v>
      </c>
    </row>
    <row r="3125" spans="1:14" x14ac:dyDescent="0.3">
      <c r="A3125">
        <v>2024004123</v>
      </c>
      <c r="B3125" s="1">
        <v>45384</v>
      </c>
      <c r="C3125" s="11">
        <f t="shared" si="144"/>
        <v>2024</v>
      </c>
      <c r="D3125" t="s">
        <v>221</v>
      </c>
      <c r="E3125" t="s">
        <v>53</v>
      </c>
      <c r="F3125" t="s">
        <v>54</v>
      </c>
      <c r="G3125" t="s">
        <v>36</v>
      </c>
      <c r="H3125">
        <v>1</v>
      </c>
      <c r="I3125" s="2">
        <v>124.1</v>
      </c>
      <c r="J3125" s="2">
        <v>124.1</v>
      </c>
      <c r="K3125" s="2">
        <f t="shared" si="145"/>
        <v>124.1</v>
      </c>
      <c r="L3125" s="2">
        <f t="shared" si="146"/>
        <v>0</v>
      </c>
      <c r="M3125" t="s">
        <v>38</v>
      </c>
      <c r="N3125" t="s">
        <v>26</v>
      </c>
    </row>
    <row r="3126" spans="1:14" x14ac:dyDescent="0.3">
      <c r="A3126">
        <v>2024004124</v>
      </c>
      <c r="B3126" s="1">
        <v>45454</v>
      </c>
      <c r="C3126" s="11">
        <f t="shared" si="144"/>
        <v>2024</v>
      </c>
      <c r="D3126" t="s">
        <v>295</v>
      </c>
      <c r="E3126" t="s">
        <v>23</v>
      </c>
      <c r="F3126" t="s">
        <v>24</v>
      </c>
      <c r="G3126" t="s">
        <v>14</v>
      </c>
      <c r="H3126">
        <v>2</v>
      </c>
      <c r="I3126" s="2">
        <v>83.3</v>
      </c>
      <c r="J3126" s="2">
        <v>166.6</v>
      </c>
      <c r="K3126" s="2">
        <f t="shared" si="145"/>
        <v>166.6</v>
      </c>
      <c r="L3126" s="2">
        <f t="shared" si="146"/>
        <v>0</v>
      </c>
      <c r="M3126" t="s">
        <v>38</v>
      </c>
      <c r="N3126" t="s">
        <v>26</v>
      </c>
    </row>
    <row r="3127" spans="1:14" x14ac:dyDescent="0.3">
      <c r="A3127">
        <v>2024004125</v>
      </c>
      <c r="B3127" s="1">
        <v>45484</v>
      </c>
      <c r="C3127" s="11">
        <f t="shared" si="144"/>
        <v>2024</v>
      </c>
      <c r="D3127" t="s">
        <v>298</v>
      </c>
      <c r="E3127" t="s">
        <v>67</v>
      </c>
      <c r="F3127" t="s">
        <v>68</v>
      </c>
      <c r="G3127" t="s">
        <v>36</v>
      </c>
      <c r="H3127">
        <v>4</v>
      </c>
      <c r="I3127" s="2">
        <v>413.3</v>
      </c>
      <c r="J3127" s="2">
        <v>1653.2</v>
      </c>
      <c r="K3127" s="2">
        <f t="shared" si="145"/>
        <v>1653.2</v>
      </c>
      <c r="L3127" s="2">
        <f t="shared" si="146"/>
        <v>0</v>
      </c>
      <c r="M3127" t="s">
        <v>38</v>
      </c>
      <c r="N3127" t="s">
        <v>21</v>
      </c>
    </row>
    <row r="3128" spans="1:14" x14ac:dyDescent="0.3">
      <c r="A3128">
        <v>2024004126</v>
      </c>
      <c r="B3128" s="1">
        <v>45561</v>
      </c>
      <c r="C3128" s="11">
        <f t="shared" si="144"/>
        <v>2024</v>
      </c>
      <c r="D3128" t="s">
        <v>293</v>
      </c>
      <c r="E3128" t="s">
        <v>23</v>
      </c>
      <c r="F3128" t="s">
        <v>24</v>
      </c>
      <c r="G3128" t="s">
        <v>14</v>
      </c>
      <c r="H3128">
        <v>3</v>
      </c>
      <c r="I3128" s="2">
        <v>73.66</v>
      </c>
      <c r="J3128" s="2">
        <v>220.98</v>
      </c>
      <c r="K3128" s="2">
        <f t="shared" si="145"/>
        <v>220.98</v>
      </c>
      <c r="L3128" s="2">
        <f t="shared" si="146"/>
        <v>0</v>
      </c>
      <c r="M3128" t="s">
        <v>61</v>
      </c>
      <c r="N3128" t="s">
        <v>26</v>
      </c>
    </row>
    <row r="3129" spans="1:14" x14ac:dyDescent="0.3">
      <c r="A3129">
        <v>2024004127</v>
      </c>
      <c r="B3129" s="1">
        <v>45386</v>
      </c>
      <c r="C3129" s="11">
        <f t="shared" si="144"/>
        <v>2024</v>
      </c>
      <c r="D3129" t="s">
        <v>65</v>
      </c>
      <c r="E3129" t="s">
        <v>67</v>
      </c>
      <c r="F3129" t="s">
        <v>68</v>
      </c>
      <c r="G3129" t="s">
        <v>36</v>
      </c>
      <c r="H3129">
        <v>1</v>
      </c>
      <c r="I3129" s="2">
        <v>428.49</v>
      </c>
      <c r="J3129" s="2">
        <v>428.49</v>
      </c>
      <c r="K3129" s="2">
        <f t="shared" si="145"/>
        <v>428.49</v>
      </c>
      <c r="L3129" s="2">
        <f t="shared" si="146"/>
        <v>0</v>
      </c>
      <c r="M3129" t="s">
        <v>57</v>
      </c>
      <c r="N3129" t="s">
        <v>32</v>
      </c>
    </row>
    <row r="3130" spans="1:14" x14ac:dyDescent="0.3">
      <c r="A3130">
        <v>2024004128</v>
      </c>
      <c r="B3130" s="1">
        <v>45644</v>
      </c>
      <c r="C3130" s="11">
        <f t="shared" si="144"/>
        <v>2024</v>
      </c>
      <c r="D3130" t="s">
        <v>258</v>
      </c>
      <c r="E3130" t="s">
        <v>18</v>
      </c>
      <c r="F3130" t="s">
        <v>19</v>
      </c>
      <c r="G3130" t="s">
        <v>14</v>
      </c>
      <c r="H3130">
        <v>1</v>
      </c>
      <c r="I3130" s="2">
        <v>602.02</v>
      </c>
      <c r="J3130" s="2">
        <v>602.02</v>
      </c>
      <c r="K3130" s="2">
        <f t="shared" si="145"/>
        <v>602.02</v>
      </c>
      <c r="L3130" s="2">
        <f t="shared" si="146"/>
        <v>0</v>
      </c>
      <c r="M3130" t="s">
        <v>20</v>
      </c>
      <c r="N3130" t="s">
        <v>32</v>
      </c>
    </row>
    <row r="3131" spans="1:14" x14ac:dyDescent="0.3">
      <c r="A3131">
        <v>2024004129</v>
      </c>
      <c r="B3131" s="1">
        <v>45432</v>
      </c>
      <c r="C3131" s="11">
        <f t="shared" si="144"/>
        <v>2024</v>
      </c>
      <c r="D3131" t="s">
        <v>199</v>
      </c>
      <c r="E3131" t="s">
        <v>28</v>
      </c>
      <c r="F3131" t="s">
        <v>29</v>
      </c>
      <c r="G3131" t="s">
        <v>30</v>
      </c>
      <c r="H3131">
        <v>2</v>
      </c>
      <c r="I3131" s="2">
        <v>25.54</v>
      </c>
      <c r="J3131" s="2">
        <v>51.08</v>
      </c>
      <c r="K3131" s="2">
        <f t="shared" si="145"/>
        <v>51.08</v>
      </c>
      <c r="L3131" s="2">
        <f t="shared" si="146"/>
        <v>0</v>
      </c>
      <c r="M3131" t="s">
        <v>25</v>
      </c>
      <c r="N3131" t="s">
        <v>26</v>
      </c>
    </row>
    <row r="3132" spans="1:14" x14ac:dyDescent="0.3">
      <c r="A3132">
        <v>2024004130</v>
      </c>
      <c r="B3132" s="1">
        <v>45648</v>
      </c>
      <c r="C3132" s="11">
        <f t="shared" si="144"/>
        <v>2024</v>
      </c>
      <c r="D3132" t="s">
        <v>347</v>
      </c>
      <c r="E3132" t="s">
        <v>28</v>
      </c>
      <c r="F3132" t="s">
        <v>29</v>
      </c>
      <c r="G3132" t="s">
        <v>30</v>
      </c>
      <c r="H3132">
        <v>1</v>
      </c>
      <c r="I3132" s="2">
        <v>25.8</v>
      </c>
      <c r="J3132" s="2">
        <v>25.8</v>
      </c>
      <c r="K3132" s="2">
        <f t="shared" si="145"/>
        <v>25.8</v>
      </c>
      <c r="L3132" s="2">
        <f t="shared" si="146"/>
        <v>0</v>
      </c>
      <c r="M3132" t="s">
        <v>38</v>
      </c>
      <c r="N3132" t="s">
        <v>21</v>
      </c>
    </row>
    <row r="3133" spans="1:14" x14ac:dyDescent="0.3">
      <c r="A3133">
        <v>2024004131</v>
      </c>
      <c r="B3133" s="1">
        <v>45657</v>
      </c>
      <c r="C3133" s="11">
        <f t="shared" si="144"/>
        <v>2024</v>
      </c>
      <c r="D3133" t="s">
        <v>129</v>
      </c>
      <c r="E3133" t="s">
        <v>12</v>
      </c>
      <c r="F3133" t="s">
        <v>13</v>
      </c>
      <c r="G3133" t="s">
        <v>14</v>
      </c>
      <c r="H3133">
        <v>1</v>
      </c>
      <c r="I3133" s="2">
        <v>334.05</v>
      </c>
      <c r="J3133" s="2">
        <v>334.05</v>
      </c>
      <c r="K3133" s="2">
        <f t="shared" si="145"/>
        <v>334.05</v>
      </c>
      <c r="L3133" s="2">
        <f t="shared" si="146"/>
        <v>0</v>
      </c>
      <c r="M3133" t="s">
        <v>20</v>
      </c>
      <c r="N3133" t="s">
        <v>26</v>
      </c>
    </row>
    <row r="3134" spans="1:14" x14ac:dyDescent="0.3">
      <c r="A3134">
        <v>2024004132</v>
      </c>
      <c r="B3134" s="1">
        <v>45566</v>
      </c>
      <c r="C3134" s="11">
        <f t="shared" si="144"/>
        <v>2024</v>
      </c>
      <c r="D3134" t="s">
        <v>187</v>
      </c>
      <c r="E3134" t="s">
        <v>46</v>
      </c>
      <c r="F3134" t="s">
        <v>47</v>
      </c>
      <c r="G3134" t="s">
        <v>36</v>
      </c>
      <c r="H3134">
        <v>1</v>
      </c>
      <c r="I3134" s="2">
        <v>96.19</v>
      </c>
      <c r="J3134" s="2">
        <v>96.19</v>
      </c>
      <c r="K3134" s="2">
        <f t="shared" si="145"/>
        <v>96.19</v>
      </c>
      <c r="L3134" s="2">
        <f t="shared" si="146"/>
        <v>0</v>
      </c>
      <c r="M3134" t="s">
        <v>15</v>
      </c>
      <c r="N3134" t="s">
        <v>16</v>
      </c>
    </row>
    <row r="3135" spans="1:14" x14ac:dyDescent="0.3">
      <c r="A3135">
        <v>2024004133</v>
      </c>
      <c r="B3135" s="1">
        <v>45553</v>
      </c>
      <c r="C3135" s="11">
        <f t="shared" si="144"/>
        <v>2024</v>
      </c>
      <c r="D3135" t="s">
        <v>254</v>
      </c>
      <c r="E3135" t="s">
        <v>28</v>
      </c>
      <c r="F3135" t="s">
        <v>29</v>
      </c>
      <c r="G3135" t="s">
        <v>30</v>
      </c>
      <c r="H3135">
        <v>1</v>
      </c>
      <c r="I3135" s="2">
        <v>24.78</v>
      </c>
      <c r="J3135" s="2">
        <v>24.78</v>
      </c>
      <c r="K3135" s="2">
        <f t="shared" si="145"/>
        <v>24.78</v>
      </c>
      <c r="L3135" s="2">
        <f t="shared" si="146"/>
        <v>0</v>
      </c>
      <c r="M3135" t="s">
        <v>20</v>
      </c>
      <c r="N3135" t="s">
        <v>16</v>
      </c>
    </row>
    <row r="3136" spans="1:14" x14ac:dyDescent="0.3">
      <c r="A3136">
        <v>2024004134</v>
      </c>
      <c r="B3136" s="1">
        <v>45460</v>
      </c>
      <c r="C3136" s="11">
        <f t="shared" si="144"/>
        <v>2024</v>
      </c>
      <c r="D3136" t="s">
        <v>130</v>
      </c>
      <c r="E3136" t="s">
        <v>40</v>
      </c>
      <c r="F3136" t="s">
        <v>41</v>
      </c>
      <c r="G3136" t="s">
        <v>36</v>
      </c>
      <c r="H3136">
        <v>5</v>
      </c>
      <c r="I3136" s="2">
        <v>46.06</v>
      </c>
      <c r="J3136" s="2">
        <v>230.3</v>
      </c>
      <c r="K3136" s="2">
        <f t="shared" si="145"/>
        <v>230.3</v>
      </c>
      <c r="L3136" s="2">
        <f t="shared" si="146"/>
        <v>0</v>
      </c>
      <c r="M3136" t="s">
        <v>15</v>
      </c>
      <c r="N3136" t="s">
        <v>16</v>
      </c>
    </row>
    <row r="3137" spans="1:14" x14ac:dyDescent="0.3">
      <c r="A3137">
        <v>2024004135</v>
      </c>
      <c r="B3137" s="1">
        <v>45544</v>
      </c>
      <c r="C3137" s="11">
        <f t="shared" si="144"/>
        <v>2024</v>
      </c>
      <c r="D3137" t="s">
        <v>142</v>
      </c>
      <c r="E3137" t="s">
        <v>40</v>
      </c>
      <c r="F3137" t="s">
        <v>41</v>
      </c>
      <c r="G3137" t="s">
        <v>36</v>
      </c>
      <c r="H3137">
        <v>2</v>
      </c>
      <c r="I3137" s="2">
        <v>39.299999999999997</v>
      </c>
      <c r="J3137" s="2">
        <v>78.599999999999994</v>
      </c>
      <c r="K3137" s="2">
        <f t="shared" si="145"/>
        <v>78.599999999999994</v>
      </c>
      <c r="L3137" s="2">
        <f t="shared" si="146"/>
        <v>0</v>
      </c>
      <c r="M3137" t="s">
        <v>61</v>
      </c>
      <c r="N3137" t="s">
        <v>21</v>
      </c>
    </row>
    <row r="3138" spans="1:14" x14ac:dyDescent="0.3">
      <c r="A3138">
        <v>2024004136</v>
      </c>
      <c r="B3138" s="1">
        <v>45326</v>
      </c>
      <c r="C3138" s="11">
        <f t="shared" si="144"/>
        <v>2024</v>
      </c>
      <c r="D3138" t="s">
        <v>200</v>
      </c>
      <c r="E3138" t="s">
        <v>43</v>
      </c>
      <c r="F3138" t="s">
        <v>44</v>
      </c>
      <c r="G3138" t="s">
        <v>36</v>
      </c>
      <c r="H3138">
        <v>1</v>
      </c>
      <c r="I3138" s="2">
        <v>1153.71</v>
      </c>
      <c r="J3138" s="2">
        <v>1153.71</v>
      </c>
      <c r="K3138" s="2">
        <f t="shared" si="145"/>
        <v>1153.71</v>
      </c>
      <c r="L3138" s="2">
        <f t="shared" si="146"/>
        <v>0</v>
      </c>
      <c r="M3138" t="s">
        <v>25</v>
      </c>
      <c r="N3138" t="s">
        <v>26</v>
      </c>
    </row>
    <row r="3139" spans="1:14" x14ac:dyDescent="0.3">
      <c r="A3139">
        <v>2024004137</v>
      </c>
      <c r="B3139" s="1">
        <v>45492</v>
      </c>
      <c r="C3139" s="11">
        <f t="shared" ref="C3139:C3202" si="147">YEAR(B3139)</f>
        <v>2024</v>
      </c>
      <c r="D3139" t="s">
        <v>203</v>
      </c>
      <c r="E3139" t="s">
        <v>28</v>
      </c>
      <c r="F3139" t="s">
        <v>29</v>
      </c>
      <c r="G3139" t="s">
        <v>30</v>
      </c>
      <c r="H3139">
        <v>2</v>
      </c>
      <c r="I3139" s="2">
        <v>24.59</v>
      </c>
      <c r="J3139" s="2">
        <v>49.18</v>
      </c>
      <c r="K3139" s="2">
        <f t="shared" ref="K3139:K3202" si="148">I3139*H3139</f>
        <v>49.18</v>
      </c>
      <c r="L3139" s="2">
        <f t="shared" ref="L3139:L3202" si="149">J3139-K3139</f>
        <v>0</v>
      </c>
      <c r="M3139" t="s">
        <v>55</v>
      </c>
      <c r="N3139" t="s">
        <v>16</v>
      </c>
    </row>
    <row r="3140" spans="1:14" x14ac:dyDescent="0.3">
      <c r="A3140">
        <v>2024004138</v>
      </c>
      <c r="B3140" s="1">
        <v>45438</v>
      </c>
      <c r="C3140" s="11">
        <f t="shared" si="147"/>
        <v>2024</v>
      </c>
      <c r="D3140" t="s">
        <v>152</v>
      </c>
      <c r="E3140" t="s">
        <v>23</v>
      </c>
      <c r="F3140" t="s">
        <v>24</v>
      </c>
      <c r="G3140" t="s">
        <v>14</v>
      </c>
      <c r="H3140">
        <v>3</v>
      </c>
      <c r="I3140" s="2">
        <v>75.14</v>
      </c>
      <c r="J3140" s="2">
        <v>225.42</v>
      </c>
      <c r="K3140" s="2">
        <f t="shared" si="148"/>
        <v>225.42000000000002</v>
      </c>
      <c r="L3140" s="2">
        <f t="shared" si="149"/>
        <v>0</v>
      </c>
      <c r="M3140" t="s">
        <v>25</v>
      </c>
      <c r="N3140" t="s">
        <v>32</v>
      </c>
    </row>
    <row r="3141" spans="1:14" x14ac:dyDescent="0.3">
      <c r="A3141">
        <v>2024004139</v>
      </c>
      <c r="B3141" s="1">
        <v>45436</v>
      </c>
      <c r="C3141" s="11">
        <f t="shared" si="147"/>
        <v>2024</v>
      </c>
      <c r="D3141" t="s">
        <v>94</v>
      </c>
      <c r="E3141" t="s">
        <v>34</v>
      </c>
      <c r="F3141" t="s">
        <v>35</v>
      </c>
      <c r="G3141" t="s">
        <v>36</v>
      </c>
      <c r="H3141">
        <v>1</v>
      </c>
      <c r="I3141" s="2">
        <v>14.82</v>
      </c>
      <c r="J3141" s="2">
        <v>14.82</v>
      </c>
      <c r="K3141" s="2">
        <f t="shared" si="148"/>
        <v>14.82</v>
      </c>
      <c r="L3141" s="2">
        <f t="shared" si="149"/>
        <v>0</v>
      </c>
      <c r="M3141" t="s">
        <v>64</v>
      </c>
      <c r="N3141" t="s">
        <v>16</v>
      </c>
    </row>
    <row r="3142" spans="1:14" x14ac:dyDescent="0.3">
      <c r="A3142">
        <v>2024004140</v>
      </c>
      <c r="B3142" s="1">
        <v>45632</v>
      </c>
      <c r="C3142" s="11">
        <f t="shared" si="147"/>
        <v>2024</v>
      </c>
      <c r="D3142" t="s">
        <v>173</v>
      </c>
      <c r="E3142" t="s">
        <v>53</v>
      </c>
      <c r="F3142" t="s">
        <v>54</v>
      </c>
      <c r="G3142" t="s">
        <v>36</v>
      </c>
      <c r="H3142">
        <v>3</v>
      </c>
      <c r="I3142" s="2">
        <v>116.31</v>
      </c>
      <c r="J3142" s="2">
        <v>348.93</v>
      </c>
      <c r="K3142" s="2">
        <f t="shared" si="148"/>
        <v>348.93</v>
      </c>
      <c r="L3142" s="2">
        <f t="shared" si="149"/>
        <v>0</v>
      </c>
      <c r="M3142" t="s">
        <v>38</v>
      </c>
      <c r="N3142" t="s">
        <v>26</v>
      </c>
    </row>
    <row r="3143" spans="1:14" x14ac:dyDescent="0.3">
      <c r="A3143">
        <v>2024004141</v>
      </c>
      <c r="B3143" s="1">
        <v>45528</v>
      </c>
      <c r="C3143" s="11">
        <f t="shared" si="147"/>
        <v>2024</v>
      </c>
      <c r="D3143" t="s">
        <v>176</v>
      </c>
      <c r="E3143" t="s">
        <v>34</v>
      </c>
      <c r="F3143" t="s">
        <v>35</v>
      </c>
      <c r="G3143" t="s">
        <v>36</v>
      </c>
      <c r="H3143">
        <v>1</v>
      </c>
      <c r="I3143" s="2">
        <v>16.39</v>
      </c>
      <c r="J3143" s="2">
        <v>16.39</v>
      </c>
      <c r="K3143" s="2">
        <f t="shared" si="148"/>
        <v>16.39</v>
      </c>
      <c r="L3143" s="2">
        <f t="shared" si="149"/>
        <v>0</v>
      </c>
      <c r="M3143" t="s">
        <v>20</v>
      </c>
      <c r="N3143" t="s">
        <v>26</v>
      </c>
    </row>
    <row r="3144" spans="1:14" x14ac:dyDescent="0.3">
      <c r="A3144">
        <v>2024004142</v>
      </c>
      <c r="B3144" s="1">
        <v>45327</v>
      </c>
      <c r="C3144" s="11">
        <f t="shared" si="147"/>
        <v>2024</v>
      </c>
      <c r="D3144" t="s">
        <v>238</v>
      </c>
      <c r="E3144" t="s">
        <v>67</v>
      </c>
      <c r="F3144" t="s">
        <v>68</v>
      </c>
      <c r="G3144" t="s">
        <v>36</v>
      </c>
      <c r="H3144">
        <v>1</v>
      </c>
      <c r="I3144" s="2">
        <v>410.27</v>
      </c>
      <c r="J3144" s="2">
        <v>410.27</v>
      </c>
      <c r="K3144" s="2">
        <f t="shared" si="148"/>
        <v>410.27</v>
      </c>
      <c r="L3144" s="2">
        <f t="shared" si="149"/>
        <v>0</v>
      </c>
      <c r="M3144" t="s">
        <v>15</v>
      </c>
      <c r="N3144" t="s">
        <v>16</v>
      </c>
    </row>
    <row r="3145" spans="1:14" x14ac:dyDescent="0.3">
      <c r="A3145">
        <v>2024004143</v>
      </c>
      <c r="B3145" s="1">
        <v>45478</v>
      </c>
      <c r="C3145" s="11">
        <f t="shared" si="147"/>
        <v>2024</v>
      </c>
      <c r="D3145" t="s">
        <v>197</v>
      </c>
      <c r="E3145" t="s">
        <v>43</v>
      </c>
      <c r="F3145" t="s">
        <v>44</v>
      </c>
      <c r="G3145" t="s">
        <v>36</v>
      </c>
      <c r="H3145">
        <v>3</v>
      </c>
      <c r="I3145" s="2">
        <v>1233.28</v>
      </c>
      <c r="J3145" s="2">
        <v>3699.84</v>
      </c>
      <c r="K3145" s="2">
        <f t="shared" si="148"/>
        <v>3699.84</v>
      </c>
      <c r="L3145" s="2">
        <f t="shared" si="149"/>
        <v>0</v>
      </c>
      <c r="M3145" t="s">
        <v>64</v>
      </c>
      <c r="N3145" t="s">
        <v>21</v>
      </c>
    </row>
    <row r="3146" spans="1:14" x14ac:dyDescent="0.3">
      <c r="A3146">
        <v>2024004144</v>
      </c>
      <c r="B3146" s="1">
        <v>45292</v>
      </c>
      <c r="C3146" s="11">
        <f t="shared" si="147"/>
        <v>2024</v>
      </c>
      <c r="D3146" t="s">
        <v>157</v>
      </c>
      <c r="E3146" t="s">
        <v>18</v>
      </c>
      <c r="F3146" t="s">
        <v>19</v>
      </c>
      <c r="G3146" t="s">
        <v>14</v>
      </c>
      <c r="H3146">
        <v>1</v>
      </c>
      <c r="I3146" s="2">
        <v>580.33000000000004</v>
      </c>
      <c r="J3146" s="2">
        <v>580.33000000000004</v>
      </c>
      <c r="K3146" s="2">
        <f t="shared" si="148"/>
        <v>580.33000000000004</v>
      </c>
      <c r="L3146" s="2">
        <f t="shared" si="149"/>
        <v>0</v>
      </c>
      <c r="M3146" t="s">
        <v>15</v>
      </c>
      <c r="N3146" t="s">
        <v>26</v>
      </c>
    </row>
    <row r="3147" spans="1:14" x14ac:dyDescent="0.3">
      <c r="A3147">
        <v>2024004145</v>
      </c>
      <c r="B3147" s="1">
        <v>45607</v>
      </c>
      <c r="C3147" s="11">
        <f t="shared" si="147"/>
        <v>2024</v>
      </c>
      <c r="D3147" t="s">
        <v>140</v>
      </c>
      <c r="E3147" t="s">
        <v>46</v>
      </c>
      <c r="F3147" t="s">
        <v>47</v>
      </c>
      <c r="G3147" t="s">
        <v>36</v>
      </c>
      <c r="H3147">
        <v>1</v>
      </c>
      <c r="I3147" s="2">
        <v>92.25</v>
      </c>
      <c r="J3147" s="2">
        <v>92.25</v>
      </c>
      <c r="K3147" s="2">
        <f t="shared" si="148"/>
        <v>92.25</v>
      </c>
      <c r="L3147" s="2">
        <f t="shared" si="149"/>
        <v>0</v>
      </c>
      <c r="M3147" t="s">
        <v>20</v>
      </c>
      <c r="N3147" t="s">
        <v>21</v>
      </c>
    </row>
    <row r="3148" spans="1:14" x14ac:dyDescent="0.3">
      <c r="A3148">
        <v>2024004146</v>
      </c>
      <c r="B3148" s="1">
        <v>45657</v>
      </c>
      <c r="C3148" s="11">
        <f t="shared" si="147"/>
        <v>2024</v>
      </c>
      <c r="D3148" t="s">
        <v>220</v>
      </c>
      <c r="E3148" t="s">
        <v>28</v>
      </c>
      <c r="F3148" t="s">
        <v>29</v>
      </c>
      <c r="G3148" t="s">
        <v>30</v>
      </c>
      <c r="H3148">
        <v>1</v>
      </c>
      <c r="I3148" s="2">
        <v>27.56</v>
      </c>
      <c r="J3148" s="2">
        <v>27.56</v>
      </c>
      <c r="K3148" s="2">
        <f t="shared" si="148"/>
        <v>27.56</v>
      </c>
      <c r="L3148" s="2">
        <f t="shared" si="149"/>
        <v>0</v>
      </c>
      <c r="M3148" t="s">
        <v>48</v>
      </c>
      <c r="N3148" t="s">
        <v>26</v>
      </c>
    </row>
    <row r="3149" spans="1:14" x14ac:dyDescent="0.3">
      <c r="A3149">
        <v>2024004147</v>
      </c>
      <c r="B3149" s="1">
        <v>45582</v>
      </c>
      <c r="C3149" s="11">
        <f t="shared" si="147"/>
        <v>2024</v>
      </c>
      <c r="D3149" t="s">
        <v>92</v>
      </c>
      <c r="E3149" t="s">
        <v>34</v>
      </c>
      <c r="F3149" t="s">
        <v>35</v>
      </c>
      <c r="G3149" t="s">
        <v>36</v>
      </c>
      <c r="H3149">
        <v>2</v>
      </c>
      <c r="I3149" s="2">
        <v>14.61</v>
      </c>
      <c r="J3149" s="2">
        <v>29.22</v>
      </c>
      <c r="K3149" s="2">
        <f t="shared" si="148"/>
        <v>29.22</v>
      </c>
      <c r="L3149" s="2">
        <f t="shared" si="149"/>
        <v>0</v>
      </c>
      <c r="M3149" t="s">
        <v>25</v>
      </c>
      <c r="N3149" t="s">
        <v>32</v>
      </c>
    </row>
    <row r="3150" spans="1:14" x14ac:dyDescent="0.3">
      <c r="A3150">
        <v>2024004148</v>
      </c>
      <c r="B3150" s="1">
        <v>45540</v>
      </c>
      <c r="C3150" s="11">
        <f t="shared" si="147"/>
        <v>2024</v>
      </c>
      <c r="D3150" t="s">
        <v>223</v>
      </c>
      <c r="E3150" t="s">
        <v>40</v>
      </c>
      <c r="F3150" t="s">
        <v>41</v>
      </c>
      <c r="G3150" t="s">
        <v>36</v>
      </c>
      <c r="H3150">
        <v>2</v>
      </c>
      <c r="I3150" s="2">
        <v>43.61</v>
      </c>
      <c r="J3150" s="2">
        <v>87.22</v>
      </c>
      <c r="K3150" s="2">
        <f t="shared" si="148"/>
        <v>87.22</v>
      </c>
      <c r="L3150" s="2">
        <f t="shared" si="149"/>
        <v>0</v>
      </c>
      <c r="M3150" t="s">
        <v>57</v>
      </c>
      <c r="N3150" t="s">
        <v>26</v>
      </c>
    </row>
    <row r="3151" spans="1:14" x14ac:dyDescent="0.3">
      <c r="A3151">
        <v>2024004149</v>
      </c>
      <c r="B3151" s="1">
        <v>45514</v>
      </c>
      <c r="C3151" s="11">
        <f t="shared" si="147"/>
        <v>2024</v>
      </c>
      <c r="D3151" t="s">
        <v>11</v>
      </c>
      <c r="E3151" t="s">
        <v>28</v>
      </c>
      <c r="F3151" t="s">
        <v>29</v>
      </c>
      <c r="G3151" t="s">
        <v>30</v>
      </c>
      <c r="H3151">
        <v>1</v>
      </c>
      <c r="I3151" s="2">
        <v>25.85</v>
      </c>
      <c r="J3151" s="2">
        <v>25.85</v>
      </c>
      <c r="K3151" s="2">
        <f t="shared" si="148"/>
        <v>25.85</v>
      </c>
      <c r="L3151" s="2">
        <f t="shared" si="149"/>
        <v>0</v>
      </c>
      <c r="M3151" t="s">
        <v>15</v>
      </c>
      <c r="N3151" t="s">
        <v>32</v>
      </c>
    </row>
    <row r="3152" spans="1:14" x14ac:dyDescent="0.3">
      <c r="A3152">
        <v>2024004150</v>
      </c>
      <c r="B3152" s="1">
        <v>45632</v>
      </c>
      <c r="C3152" s="11">
        <f t="shared" si="147"/>
        <v>2024</v>
      </c>
      <c r="D3152" t="s">
        <v>232</v>
      </c>
      <c r="E3152" t="s">
        <v>43</v>
      </c>
      <c r="F3152" t="s">
        <v>44</v>
      </c>
      <c r="G3152" t="s">
        <v>36</v>
      </c>
      <c r="H3152">
        <v>2</v>
      </c>
      <c r="I3152" s="2">
        <v>1152.73</v>
      </c>
      <c r="J3152" s="2">
        <v>2305.46</v>
      </c>
      <c r="K3152" s="2">
        <f t="shared" si="148"/>
        <v>2305.46</v>
      </c>
      <c r="L3152" s="2">
        <f t="shared" si="149"/>
        <v>0</v>
      </c>
      <c r="M3152" t="s">
        <v>25</v>
      </c>
      <c r="N3152" t="s">
        <v>32</v>
      </c>
    </row>
    <row r="3153" spans="1:14" x14ac:dyDescent="0.3">
      <c r="A3153">
        <v>2024004151</v>
      </c>
      <c r="B3153" s="1">
        <v>45446</v>
      </c>
      <c r="C3153" s="11">
        <f t="shared" si="147"/>
        <v>2024</v>
      </c>
      <c r="D3153" t="s">
        <v>154</v>
      </c>
      <c r="E3153" t="s">
        <v>40</v>
      </c>
      <c r="F3153" t="s">
        <v>41</v>
      </c>
      <c r="G3153" t="s">
        <v>36</v>
      </c>
      <c r="H3153">
        <v>1</v>
      </c>
      <c r="I3153" s="2">
        <v>44.49</v>
      </c>
      <c r="J3153" s="2">
        <v>44.49</v>
      </c>
      <c r="K3153" s="2">
        <f t="shared" si="148"/>
        <v>44.49</v>
      </c>
      <c r="L3153" s="2">
        <f t="shared" si="149"/>
        <v>0</v>
      </c>
      <c r="M3153" t="s">
        <v>48</v>
      </c>
      <c r="N3153" t="s">
        <v>21</v>
      </c>
    </row>
    <row r="3154" spans="1:14" x14ac:dyDescent="0.3">
      <c r="A3154">
        <v>2024004152</v>
      </c>
      <c r="B3154" s="1">
        <v>45456</v>
      </c>
      <c r="C3154" s="11">
        <f t="shared" si="147"/>
        <v>2024</v>
      </c>
      <c r="D3154" t="s">
        <v>253</v>
      </c>
      <c r="E3154" t="s">
        <v>67</v>
      </c>
      <c r="F3154" t="s">
        <v>68</v>
      </c>
      <c r="G3154" t="s">
        <v>36</v>
      </c>
      <c r="H3154">
        <v>5</v>
      </c>
      <c r="I3154" s="2">
        <v>396.04</v>
      </c>
      <c r="J3154" s="2">
        <v>1980.2</v>
      </c>
      <c r="K3154" s="2">
        <f t="shared" si="148"/>
        <v>1980.2</v>
      </c>
      <c r="L3154" s="2">
        <f t="shared" si="149"/>
        <v>0</v>
      </c>
      <c r="M3154" t="s">
        <v>38</v>
      </c>
      <c r="N3154" t="s">
        <v>26</v>
      </c>
    </row>
    <row r="3155" spans="1:14" x14ac:dyDescent="0.3">
      <c r="A3155">
        <v>2024004153</v>
      </c>
      <c r="B3155" s="1">
        <v>45453</v>
      </c>
      <c r="C3155" s="11">
        <f t="shared" si="147"/>
        <v>2024</v>
      </c>
      <c r="D3155" t="s">
        <v>254</v>
      </c>
      <c r="E3155" t="s">
        <v>53</v>
      </c>
      <c r="F3155" t="s">
        <v>54</v>
      </c>
      <c r="G3155" t="s">
        <v>36</v>
      </c>
      <c r="H3155">
        <v>3</v>
      </c>
      <c r="I3155" s="2">
        <v>119.35</v>
      </c>
      <c r="J3155" s="2">
        <v>358.05</v>
      </c>
      <c r="K3155" s="2">
        <f t="shared" si="148"/>
        <v>358.04999999999995</v>
      </c>
      <c r="L3155" s="2">
        <f t="shared" si="149"/>
        <v>0</v>
      </c>
      <c r="M3155" t="s">
        <v>55</v>
      </c>
      <c r="N3155" t="s">
        <v>26</v>
      </c>
    </row>
    <row r="3156" spans="1:14" x14ac:dyDescent="0.3">
      <c r="A3156">
        <v>2024004154</v>
      </c>
      <c r="B3156" s="1">
        <v>45341</v>
      </c>
      <c r="C3156" s="11">
        <f t="shared" si="147"/>
        <v>2024</v>
      </c>
      <c r="D3156" t="s">
        <v>315</v>
      </c>
      <c r="E3156" t="s">
        <v>40</v>
      </c>
      <c r="F3156" t="s">
        <v>41</v>
      </c>
      <c r="G3156" t="s">
        <v>36</v>
      </c>
      <c r="H3156">
        <v>1</v>
      </c>
      <c r="I3156" s="2">
        <v>42.73</v>
      </c>
      <c r="J3156" s="2">
        <v>42.73</v>
      </c>
      <c r="K3156" s="2">
        <f t="shared" si="148"/>
        <v>42.73</v>
      </c>
      <c r="L3156" s="2">
        <f t="shared" si="149"/>
        <v>0</v>
      </c>
      <c r="M3156" t="s">
        <v>48</v>
      </c>
      <c r="N3156" t="s">
        <v>32</v>
      </c>
    </row>
    <row r="3157" spans="1:14" x14ac:dyDescent="0.3">
      <c r="A3157">
        <v>2024004155</v>
      </c>
      <c r="B3157" s="1">
        <v>45615</v>
      </c>
      <c r="C3157" s="11">
        <f t="shared" si="147"/>
        <v>2024</v>
      </c>
      <c r="D3157" t="s">
        <v>11</v>
      </c>
      <c r="E3157" t="s">
        <v>53</v>
      </c>
      <c r="F3157" t="s">
        <v>54</v>
      </c>
      <c r="G3157" t="s">
        <v>36</v>
      </c>
      <c r="H3157">
        <v>2</v>
      </c>
      <c r="I3157" s="2">
        <v>120.97</v>
      </c>
      <c r="J3157" s="2">
        <v>241.94</v>
      </c>
      <c r="K3157" s="2">
        <f t="shared" si="148"/>
        <v>241.94</v>
      </c>
      <c r="L3157" s="2">
        <f t="shared" si="149"/>
        <v>0</v>
      </c>
      <c r="M3157" t="s">
        <v>55</v>
      </c>
      <c r="N3157" t="s">
        <v>21</v>
      </c>
    </row>
    <row r="3158" spans="1:14" x14ac:dyDescent="0.3">
      <c r="A3158">
        <v>2024004156</v>
      </c>
      <c r="B3158" s="1">
        <v>45482</v>
      </c>
      <c r="C3158" s="11">
        <f t="shared" si="147"/>
        <v>2024</v>
      </c>
      <c r="D3158" t="s">
        <v>103</v>
      </c>
      <c r="E3158" t="s">
        <v>67</v>
      </c>
      <c r="F3158" t="s">
        <v>68</v>
      </c>
      <c r="G3158" t="s">
        <v>36</v>
      </c>
      <c r="H3158">
        <v>1</v>
      </c>
      <c r="I3158" s="2">
        <v>420.93</v>
      </c>
      <c r="J3158" s="2">
        <v>420.93</v>
      </c>
      <c r="K3158" s="2">
        <f t="shared" si="148"/>
        <v>420.93</v>
      </c>
      <c r="L3158" s="2">
        <f t="shared" si="149"/>
        <v>0</v>
      </c>
      <c r="M3158" t="s">
        <v>25</v>
      </c>
      <c r="N3158" t="s">
        <v>16</v>
      </c>
    </row>
    <row r="3159" spans="1:14" x14ac:dyDescent="0.3">
      <c r="A3159">
        <v>2024004157</v>
      </c>
      <c r="B3159" s="1">
        <v>45490</v>
      </c>
      <c r="C3159" s="11">
        <f t="shared" si="147"/>
        <v>2024</v>
      </c>
      <c r="D3159" t="s">
        <v>284</v>
      </c>
      <c r="E3159" t="s">
        <v>23</v>
      </c>
      <c r="F3159" t="s">
        <v>24</v>
      </c>
      <c r="G3159" t="s">
        <v>14</v>
      </c>
      <c r="H3159">
        <v>1</v>
      </c>
      <c r="I3159" s="2">
        <v>76.95</v>
      </c>
      <c r="J3159" s="2">
        <v>76.95</v>
      </c>
      <c r="K3159" s="2">
        <f t="shared" si="148"/>
        <v>76.95</v>
      </c>
      <c r="L3159" s="2">
        <f t="shared" si="149"/>
        <v>0</v>
      </c>
      <c r="M3159" t="s">
        <v>25</v>
      </c>
      <c r="N3159" t="s">
        <v>16</v>
      </c>
    </row>
    <row r="3160" spans="1:14" x14ac:dyDescent="0.3">
      <c r="A3160">
        <v>2024004158</v>
      </c>
      <c r="B3160" s="1">
        <v>45528</v>
      </c>
      <c r="C3160" s="11">
        <f t="shared" si="147"/>
        <v>2024</v>
      </c>
      <c r="D3160" t="s">
        <v>215</v>
      </c>
      <c r="E3160" t="s">
        <v>23</v>
      </c>
      <c r="F3160" t="s">
        <v>24</v>
      </c>
      <c r="G3160" t="s">
        <v>14</v>
      </c>
      <c r="H3160">
        <v>2</v>
      </c>
      <c r="I3160" s="2">
        <v>80.989999999999995</v>
      </c>
      <c r="J3160" s="2">
        <v>161.97999999999999</v>
      </c>
      <c r="K3160" s="2">
        <f t="shared" si="148"/>
        <v>161.97999999999999</v>
      </c>
      <c r="L3160" s="2">
        <f t="shared" si="149"/>
        <v>0</v>
      </c>
      <c r="M3160" t="s">
        <v>25</v>
      </c>
      <c r="N3160" t="s">
        <v>21</v>
      </c>
    </row>
    <row r="3161" spans="1:14" x14ac:dyDescent="0.3">
      <c r="A3161">
        <v>2024004159</v>
      </c>
      <c r="B3161" s="1">
        <v>45361</v>
      </c>
      <c r="C3161" s="11">
        <f t="shared" si="147"/>
        <v>2024</v>
      </c>
      <c r="D3161" t="s">
        <v>195</v>
      </c>
      <c r="E3161" t="s">
        <v>67</v>
      </c>
      <c r="F3161" t="s">
        <v>68</v>
      </c>
      <c r="G3161" t="s">
        <v>36</v>
      </c>
      <c r="H3161">
        <v>3</v>
      </c>
      <c r="I3161" s="2">
        <v>385.84</v>
      </c>
      <c r="J3161" s="2">
        <v>1157.52</v>
      </c>
      <c r="K3161" s="2">
        <f t="shared" si="148"/>
        <v>1157.52</v>
      </c>
      <c r="L3161" s="2">
        <f t="shared" si="149"/>
        <v>0</v>
      </c>
      <c r="M3161" t="s">
        <v>57</v>
      </c>
      <c r="N3161" t="s">
        <v>26</v>
      </c>
    </row>
    <row r="3162" spans="1:14" x14ac:dyDescent="0.3">
      <c r="A3162">
        <v>2024004160</v>
      </c>
      <c r="B3162" s="1">
        <v>45326</v>
      </c>
      <c r="C3162" s="11">
        <f t="shared" si="147"/>
        <v>2024</v>
      </c>
      <c r="D3162" t="s">
        <v>259</v>
      </c>
      <c r="E3162" t="s">
        <v>40</v>
      </c>
      <c r="F3162" t="s">
        <v>41</v>
      </c>
      <c r="G3162" t="s">
        <v>36</v>
      </c>
      <c r="H3162">
        <v>2</v>
      </c>
      <c r="I3162" s="2">
        <v>44.88</v>
      </c>
      <c r="J3162" s="2">
        <v>89.76</v>
      </c>
      <c r="K3162" s="2">
        <f t="shared" si="148"/>
        <v>89.76</v>
      </c>
      <c r="L3162" s="2">
        <f t="shared" si="149"/>
        <v>0</v>
      </c>
      <c r="M3162" t="s">
        <v>64</v>
      </c>
      <c r="N3162" t="s">
        <v>26</v>
      </c>
    </row>
    <row r="3163" spans="1:14" x14ac:dyDescent="0.3">
      <c r="A3163">
        <v>2024004161</v>
      </c>
      <c r="B3163" s="1">
        <v>45358</v>
      </c>
      <c r="C3163" s="11">
        <f t="shared" si="147"/>
        <v>2024</v>
      </c>
      <c r="D3163" t="s">
        <v>266</v>
      </c>
      <c r="E3163" t="s">
        <v>34</v>
      </c>
      <c r="F3163" t="s">
        <v>35</v>
      </c>
      <c r="G3163" t="s">
        <v>36</v>
      </c>
      <c r="H3163">
        <v>5</v>
      </c>
      <c r="I3163" s="2">
        <v>14.35</v>
      </c>
      <c r="J3163" s="2">
        <v>71.75</v>
      </c>
      <c r="K3163" s="2">
        <f t="shared" si="148"/>
        <v>71.75</v>
      </c>
      <c r="L3163" s="2">
        <f t="shared" si="149"/>
        <v>0</v>
      </c>
      <c r="M3163" t="s">
        <v>64</v>
      </c>
      <c r="N3163" t="s">
        <v>21</v>
      </c>
    </row>
    <row r="3164" spans="1:14" x14ac:dyDescent="0.3">
      <c r="A3164">
        <v>2024004162</v>
      </c>
      <c r="B3164" s="1">
        <v>45359</v>
      </c>
      <c r="C3164" s="11">
        <f t="shared" si="147"/>
        <v>2024</v>
      </c>
      <c r="D3164" t="s">
        <v>73</v>
      </c>
      <c r="E3164" t="s">
        <v>43</v>
      </c>
      <c r="F3164" t="s">
        <v>44</v>
      </c>
      <c r="G3164" t="s">
        <v>36</v>
      </c>
      <c r="H3164">
        <v>2</v>
      </c>
      <c r="I3164" s="2">
        <v>1177.6199999999999</v>
      </c>
      <c r="J3164" s="2">
        <v>2355.2399999999998</v>
      </c>
      <c r="K3164" s="2">
        <f t="shared" si="148"/>
        <v>2355.2399999999998</v>
      </c>
      <c r="L3164" s="2">
        <f t="shared" si="149"/>
        <v>0</v>
      </c>
      <c r="M3164" t="s">
        <v>20</v>
      </c>
      <c r="N3164" t="s">
        <v>26</v>
      </c>
    </row>
    <row r="3165" spans="1:14" x14ac:dyDescent="0.3">
      <c r="A3165">
        <v>2024004163</v>
      </c>
      <c r="B3165" s="1">
        <v>45577</v>
      </c>
      <c r="C3165" s="11">
        <f t="shared" si="147"/>
        <v>2024</v>
      </c>
      <c r="D3165" t="s">
        <v>100</v>
      </c>
      <c r="E3165" t="s">
        <v>43</v>
      </c>
      <c r="F3165" t="s">
        <v>44</v>
      </c>
      <c r="G3165" t="s">
        <v>36</v>
      </c>
      <c r="H3165">
        <v>4</v>
      </c>
      <c r="I3165" s="2">
        <v>1147.74</v>
      </c>
      <c r="J3165" s="2">
        <v>4590.96</v>
      </c>
      <c r="K3165" s="2">
        <f t="shared" si="148"/>
        <v>4590.96</v>
      </c>
      <c r="L3165" s="2">
        <f t="shared" si="149"/>
        <v>0</v>
      </c>
      <c r="M3165" t="s">
        <v>20</v>
      </c>
      <c r="N3165" t="s">
        <v>21</v>
      </c>
    </row>
    <row r="3166" spans="1:14" x14ac:dyDescent="0.3">
      <c r="A3166">
        <v>2024004164</v>
      </c>
      <c r="B3166" s="1">
        <v>45441</v>
      </c>
      <c r="C3166" s="11">
        <f t="shared" si="147"/>
        <v>2024</v>
      </c>
      <c r="D3166" t="s">
        <v>300</v>
      </c>
      <c r="E3166" t="s">
        <v>34</v>
      </c>
      <c r="F3166" t="s">
        <v>35</v>
      </c>
      <c r="G3166" t="s">
        <v>36</v>
      </c>
      <c r="H3166">
        <v>1</v>
      </c>
      <c r="I3166" s="2">
        <v>14.8</v>
      </c>
      <c r="J3166" s="2">
        <v>14.8</v>
      </c>
      <c r="K3166" s="2">
        <f t="shared" si="148"/>
        <v>14.8</v>
      </c>
      <c r="L3166" s="2">
        <f t="shared" si="149"/>
        <v>0</v>
      </c>
      <c r="M3166" t="s">
        <v>55</v>
      </c>
      <c r="N3166" t="s">
        <v>16</v>
      </c>
    </row>
    <row r="3167" spans="1:14" x14ac:dyDescent="0.3">
      <c r="A3167">
        <v>2024004165</v>
      </c>
      <c r="B3167" s="1">
        <v>45493</v>
      </c>
      <c r="C3167" s="11">
        <f t="shared" si="147"/>
        <v>2024</v>
      </c>
      <c r="D3167" t="s">
        <v>193</v>
      </c>
      <c r="E3167" t="s">
        <v>18</v>
      </c>
      <c r="F3167" t="s">
        <v>19</v>
      </c>
      <c r="G3167" t="s">
        <v>14</v>
      </c>
      <c r="H3167">
        <v>1</v>
      </c>
      <c r="I3167" s="2">
        <v>595.08000000000004</v>
      </c>
      <c r="J3167" s="2">
        <v>595.08000000000004</v>
      </c>
      <c r="K3167" s="2">
        <f t="shared" si="148"/>
        <v>595.08000000000004</v>
      </c>
      <c r="L3167" s="2">
        <f t="shared" si="149"/>
        <v>0</v>
      </c>
      <c r="M3167" t="s">
        <v>15</v>
      </c>
      <c r="N3167" t="s">
        <v>16</v>
      </c>
    </row>
    <row r="3168" spans="1:14" x14ac:dyDescent="0.3">
      <c r="A3168">
        <v>2024004166</v>
      </c>
      <c r="B3168" s="1">
        <v>45618</v>
      </c>
      <c r="C3168" s="11">
        <f t="shared" si="147"/>
        <v>2024</v>
      </c>
      <c r="D3168" t="s">
        <v>191</v>
      </c>
      <c r="E3168" t="s">
        <v>43</v>
      </c>
      <c r="F3168" t="s">
        <v>44</v>
      </c>
      <c r="G3168" t="s">
        <v>36</v>
      </c>
      <c r="H3168">
        <v>1</v>
      </c>
      <c r="I3168" s="2">
        <v>1188.18</v>
      </c>
      <c r="J3168" s="2">
        <v>1188.18</v>
      </c>
      <c r="K3168" s="2">
        <f t="shared" si="148"/>
        <v>1188.18</v>
      </c>
      <c r="L3168" s="2">
        <f t="shared" si="149"/>
        <v>0</v>
      </c>
      <c r="M3168" t="s">
        <v>20</v>
      </c>
      <c r="N3168" t="s">
        <v>26</v>
      </c>
    </row>
    <row r="3169" spans="1:14" x14ac:dyDescent="0.3">
      <c r="A3169">
        <v>2024004167</v>
      </c>
      <c r="B3169" s="1">
        <v>45535</v>
      </c>
      <c r="C3169" s="11">
        <f t="shared" si="147"/>
        <v>2024</v>
      </c>
      <c r="D3169" t="s">
        <v>220</v>
      </c>
      <c r="E3169" t="s">
        <v>67</v>
      </c>
      <c r="F3169" t="s">
        <v>68</v>
      </c>
      <c r="G3169" t="s">
        <v>36</v>
      </c>
      <c r="H3169">
        <v>1</v>
      </c>
      <c r="I3169" s="2">
        <v>381.46</v>
      </c>
      <c r="J3169" s="2">
        <v>381.46</v>
      </c>
      <c r="K3169" s="2">
        <f t="shared" si="148"/>
        <v>381.46</v>
      </c>
      <c r="L3169" s="2">
        <f t="shared" si="149"/>
        <v>0</v>
      </c>
      <c r="M3169" t="s">
        <v>61</v>
      </c>
      <c r="N3169" t="s">
        <v>32</v>
      </c>
    </row>
    <row r="3170" spans="1:14" x14ac:dyDescent="0.3">
      <c r="A3170">
        <v>2024004168</v>
      </c>
      <c r="B3170" s="1">
        <v>45350</v>
      </c>
      <c r="C3170" s="11">
        <f t="shared" si="147"/>
        <v>2024</v>
      </c>
      <c r="D3170" t="s">
        <v>206</v>
      </c>
      <c r="E3170" t="s">
        <v>67</v>
      </c>
      <c r="F3170" t="s">
        <v>68</v>
      </c>
      <c r="G3170" t="s">
        <v>36</v>
      </c>
      <c r="H3170">
        <v>1</v>
      </c>
      <c r="I3170" s="2">
        <v>394.95</v>
      </c>
      <c r="J3170" s="2">
        <v>394.95</v>
      </c>
      <c r="K3170" s="2">
        <f t="shared" si="148"/>
        <v>394.95</v>
      </c>
      <c r="L3170" s="2">
        <f t="shared" si="149"/>
        <v>0</v>
      </c>
      <c r="M3170" t="s">
        <v>48</v>
      </c>
      <c r="N3170" t="s">
        <v>26</v>
      </c>
    </row>
    <row r="3171" spans="1:14" x14ac:dyDescent="0.3">
      <c r="A3171">
        <v>2024004169</v>
      </c>
      <c r="B3171" s="1">
        <v>45611</v>
      </c>
      <c r="C3171" s="11">
        <f t="shared" si="147"/>
        <v>2024</v>
      </c>
      <c r="D3171" t="s">
        <v>297</v>
      </c>
      <c r="E3171" t="s">
        <v>34</v>
      </c>
      <c r="F3171" t="s">
        <v>35</v>
      </c>
      <c r="G3171" t="s">
        <v>36</v>
      </c>
      <c r="H3171">
        <v>1</v>
      </c>
      <c r="I3171" s="2">
        <v>14.58</v>
      </c>
      <c r="J3171" s="2">
        <v>14.58</v>
      </c>
      <c r="K3171" s="2">
        <f t="shared" si="148"/>
        <v>14.58</v>
      </c>
      <c r="L3171" s="2">
        <f t="shared" si="149"/>
        <v>0</v>
      </c>
      <c r="M3171" t="s">
        <v>20</v>
      </c>
      <c r="N3171" t="s">
        <v>26</v>
      </c>
    </row>
    <row r="3172" spans="1:14" x14ac:dyDescent="0.3">
      <c r="A3172">
        <v>2024004170</v>
      </c>
      <c r="B3172" s="1">
        <v>45318</v>
      </c>
      <c r="C3172" s="11">
        <f t="shared" si="147"/>
        <v>2024</v>
      </c>
      <c r="D3172" t="s">
        <v>144</v>
      </c>
      <c r="E3172" t="s">
        <v>53</v>
      </c>
      <c r="F3172" t="s">
        <v>54</v>
      </c>
      <c r="G3172" t="s">
        <v>36</v>
      </c>
      <c r="H3172">
        <v>1</v>
      </c>
      <c r="I3172" s="2">
        <v>125.04</v>
      </c>
      <c r="J3172" s="2">
        <v>125.04</v>
      </c>
      <c r="K3172" s="2">
        <f t="shared" si="148"/>
        <v>125.04</v>
      </c>
      <c r="L3172" s="2">
        <f t="shared" si="149"/>
        <v>0</v>
      </c>
      <c r="M3172" t="s">
        <v>20</v>
      </c>
      <c r="N3172" t="s">
        <v>32</v>
      </c>
    </row>
    <row r="3173" spans="1:14" x14ac:dyDescent="0.3">
      <c r="A3173">
        <v>2024004171</v>
      </c>
      <c r="B3173" s="1">
        <v>45627</v>
      </c>
      <c r="C3173" s="11">
        <f t="shared" si="147"/>
        <v>2024</v>
      </c>
      <c r="D3173" t="s">
        <v>94</v>
      </c>
      <c r="E3173" t="s">
        <v>28</v>
      </c>
      <c r="F3173" t="s">
        <v>29</v>
      </c>
      <c r="G3173" t="s">
        <v>30</v>
      </c>
      <c r="H3173">
        <v>2</v>
      </c>
      <c r="I3173" s="2">
        <v>22.24</v>
      </c>
      <c r="J3173" s="2">
        <v>44.48</v>
      </c>
      <c r="K3173" s="2">
        <f t="shared" si="148"/>
        <v>44.48</v>
      </c>
      <c r="L3173" s="2">
        <f t="shared" si="149"/>
        <v>0</v>
      </c>
      <c r="M3173" t="s">
        <v>48</v>
      </c>
      <c r="N3173" t="s">
        <v>26</v>
      </c>
    </row>
    <row r="3174" spans="1:14" x14ac:dyDescent="0.3">
      <c r="A3174">
        <v>2024004172</v>
      </c>
      <c r="B3174" s="1">
        <v>45625</v>
      </c>
      <c r="C3174" s="11">
        <f t="shared" si="147"/>
        <v>2024</v>
      </c>
      <c r="D3174" t="s">
        <v>259</v>
      </c>
      <c r="E3174" t="s">
        <v>67</v>
      </c>
      <c r="F3174" t="s">
        <v>68</v>
      </c>
      <c r="G3174" t="s">
        <v>36</v>
      </c>
      <c r="H3174">
        <v>1</v>
      </c>
      <c r="I3174" s="2">
        <v>410.78</v>
      </c>
      <c r="J3174" s="2">
        <v>410.78</v>
      </c>
      <c r="K3174" s="2">
        <f t="shared" si="148"/>
        <v>410.78</v>
      </c>
      <c r="L3174" s="2">
        <f t="shared" si="149"/>
        <v>0</v>
      </c>
      <c r="M3174" t="s">
        <v>15</v>
      </c>
      <c r="N3174" t="s">
        <v>26</v>
      </c>
    </row>
    <row r="3175" spans="1:14" x14ac:dyDescent="0.3">
      <c r="A3175">
        <v>2024004173</v>
      </c>
      <c r="B3175" s="1">
        <v>45573</v>
      </c>
      <c r="C3175" s="11">
        <f t="shared" si="147"/>
        <v>2024</v>
      </c>
      <c r="D3175" t="s">
        <v>132</v>
      </c>
      <c r="E3175" t="s">
        <v>34</v>
      </c>
      <c r="F3175" t="s">
        <v>35</v>
      </c>
      <c r="G3175" t="s">
        <v>36</v>
      </c>
      <c r="H3175">
        <v>2</v>
      </c>
      <c r="I3175" s="2">
        <v>14.76</v>
      </c>
      <c r="J3175" s="2">
        <v>29.52</v>
      </c>
      <c r="K3175" s="2">
        <f t="shared" si="148"/>
        <v>29.52</v>
      </c>
      <c r="L3175" s="2">
        <f t="shared" si="149"/>
        <v>0</v>
      </c>
      <c r="M3175" t="s">
        <v>57</v>
      </c>
      <c r="N3175" t="s">
        <v>26</v>
      </c>
    </row>
    <row r="3176" spans="1:14" x14ac:dyDescent="0.3">
      <c r="A3176">
        <v>2024004174</v>
      </c>
      <c r="B3176" s="1">
        <v>45354</v>
      </c>
      <c r="C3176" s="11">
        <f t="shared" si="147"/>
        <v>2024</v>
      </c>
      <c r="D3176" t="s">
        <v>174</v>
      </c>
      <c r="E3176" t="s">
        <v>28</v>
      </c>
      <c r="F3176" t="s">
        <v>29</v>
      </c>
      <c r="G3176" t="s">
        <v>30</v>
      </c>
      <c r="H3176">
        <v>1</v>
      </c>
      <c r="I3176" s="2">
        <v>24.01</v>
      </c>
      <c r="J3176" s="2">
        <v>24.01</v>
      </c>
      <c r="K3176" s="2">
        <f t="shared" si="148"/>
        <v>24.01</v>
      </c>
      <c r="L3176" s="2">
        <f t="shared" si="149"/>
        <v>0</v>
      </c>
      <c r="M3176" t="s">
        <v>48</v>
      </c>
      <c r="N3176" t="s">
        <v>26</v>
      </c>
    </row>
    <row r="3177" spans="1:14" x14ac:dyDescent="0.3">
      <c r="A3177">
        <v>2024004175</v>
      </c>
      <c r="B3177" s="1">
        <v>45456</v>
      </c>
      <c r="C3177" s="11">
        <f t="shared" si="147"/>
        <v>2024</v>
      </c>
      <c r="D3177" t="s">
        <v>340</v>
      </c>
      <c r="E3177" t="s">
        <v>46</v>
      </c>
      <c r="F3177" t="s">
        <v>47</v>
      </c>
      <c r="G3177" t="s">
        <v>36</v>
      </c>
      <c r="H3177">
        <v>1</v>
      </c>
      <c r="I3177" s="2">
        <v>88.73</v>
      </c>
      <c r="J3177" s="2">
        <v>88.73</v>
      </c>
      <c r="K3177" s="2">
        <f t="shared" si="148"/>
        <v>88.73</v>
      </c>
      <c r="L3177" s="2">
        <f t="shared" si="149"/>
        <v>0</v>
      </c>
      <c r="M3177" t="s">
        <v>15</v>
      </c>
      <c r="N3177" t="s">
        <v>32</v>
      </c>
    </row>
    <row r="3178" spans="1:14" x14ac:dyDescent="0.3">
      <c r="A3178">
        <v>2024004176</v>
      </c>
      <c r="B3178" s="1">
        <v>45404</v>
      </c>
      <c r="C3178" s="11">
        <f t="shared" si="147"/>
        <v>2024</v>
      </c>
      <c r="D3178" t="s">
        <v>266</v>
      </c>
      <c r="E3178" t="s">
        <v>46</v>
      </c>
      <c r="F3178" t="s">
        <v>47</v>
      </c>
      <c r="G3178" t="s">
        <v>36</v>
      </c>
      <c r="H3178">
        <v>2</v>
      </c>
      <c r="I3178" s="2">
        <v>97.87</v>
      </c>
      <c r="J3178" s="2">
        <v>195.74</v>
      </c>
      <c r="K3178" s="2">
        <f t="shared" si="148"/>
        <v>195.74</v>
      </c>
      <c r="L3178" s="2">
        <f t="shared" si="149"/>
        <v>0</v>
      </c>
      <c r="M3178" t="s">
        <v>25</v>
      </c>
      <c r="N3178" t="s">
        <v>21</v>
      </c>
    </row>
    <row r="3179" spans="1:14" x14ac:dyDescent="0.3">
      <c r="A3179">
        <v>2024004177</v>
      </c>
      <c r="B3179" s="1">
        <v>45303</v>
      </c>
      <c r="C3179" s="11">
        <f t="shared" si="147"/>
        <v>2024</v>
      </c>
      <c r="D3179" t="s">
        <v>319</v>
      </c>
      <c r="E3179" t="s">
        <v>28</v>
      </c>
      <c r="F3179" t="s">
        <v>29</v>
      </c>
      <c r="G3179" t="s">
        <v>30</v>
      </c>
      <c r="H3179">
        <v>1</v>
      </c>
      <c r="I3179" s="2">
        <v>26.2</v>
      </c>
      <c r="J3179" s="2">
        <v>26.2</v>
      </c>
      <c r="K3179" s="2">
        <f t="shared" si="148"/>
        <v>26.2</v>
      </c>
      <c r="L3179" s="2">
        <f t="shared" si="149"/>
        <v>0</v>
      </c>
      <c r="M3179" t="s">
        <v>57</v>
      </c>
      <c r="N3179" t="s">
        <v>16</v>
      </c>
    </row>
    <row r="3180" spans="1:14" x14ac:dyDescent="0.3">
      <c r="A3180">
        <v>2024004178</v>
      </c>
      <c r="B3180" s="1">
        <v>45413</v>
      </c>
      <c r="C3180" s="11">
        <f t="shared" si="147"/>
        <v>2024</v>
      </c>
      <c r="D3180" t="s">
        <v>262</v>
      </c>
      <c r="E3180" t="s">
        <v>46</v>
      </c>
      <c r="F3180" t="s">
        <v>47</v>
      </c>
      <c r="G3180" t="s">
        <v>36</v>
      </c>
      <c r="H3180">
        <v>3</v>
      </c>
      <c r="I3180" s="2">
        <v>88.57</v>
      </c>
      <c r="J3180" s="2">
        <v>265.70999999999998</v>
      </c>
      <c r="K3180" s="2">
        <f t="shared" si="148"/>
        <v>265.70999999999998</v>
      </c>
      <c r="L3180" s="2">
        <f t="shared" si="149"/>
        <v>0</v>
      </c>
      <c r="M3180" t="s">
        <v>25</v>
      </c>
      <c r="N3180" t="s">
        <v>21</v>
      </c>
    </row>
    <row r="3181" spans="1:14" x14ac:dyDescent="0.3">
      <c r="A3181">
        <v>2024004179</v>
      </c>
      <c r="B3181" s="1">
        <v>45350</v>
      </c>
      <c r="C3181" s="11">
        <f t="shared" si="147"/>
        <v>2024</v>
      </c>
      <c r="D3181" t="s">
        <v>45</v>
      </c>
      <c r="E3181" t="s">
        <v>40</v>
      </c>
      <c r="F3181" t="s">
        <v>41</v>
      </c>
      <c r="G3181" t="s">
        <v>36</v>
      </c>
      <c r="H3181">
        <v>4</v>
      </c>
      <c r="I3181" s="2">
        <v>45.04</v>
      </c>
      <c r="J3181" s="2">
        <v>180.16</v>
      </c>
      <c r="K3181" s="2">
        <f t="shared" si="148"/>
        <v>180.16</v>
      </c>
      <c r="L3181" s="2">
        <f t="shared" si="149"/>
        <v>0</v>
      </c>
      <c r="M3181" t="s">
        <v>25</v>
      </c>
      <c r="N3181" t="s">
        <v>32</v>
      </c>
    </row>
    <row r="3182" spans="1:14" x14ac:dyDescent="0.3">
      <c r="A3182">
        <v>2024004180</v>
      </c>
      <c r="B3182" s="1">
        <v>45307</v>
      </c>
      <c r="C3182" s="11">
        <f t="shared" si="147"/>
        <v>2024</v>
      </c>
      <c r="D3182" t="s">
        <v>162</v>
      </c>
      <c r="E3182" t="s">
        <v>67</v>
      </c>
      <c r="F3182" t="s">
        <v>68</v>
      </c>
      <c r="G3182" t="s">
        <v>36</v>
      </c>
      <c r="H3182">
        <v>2</v>
      </c>
      <c r="I3182" s="2">
        <v>370.2</v>
      </c>
      <c r="J3182" s="2">
        <v>740.4</v>
      </c>
      <c r="K3182" s="2">
        <f t="shared" si="148"/>
        <v>740.4</v>
      </c>
      <c r="L3182" s="2">
        <f t="shared" si="149"/>
        <v>0</v>
      </c>
      <c r="M3182" t="s">
        <v>31</v>
      </c>
      <c r="N3182" t="s">
        <v>16</v>
      </c>
    </row>
    <row r="3183" spans="1:14" x14ac:dyDescent="0.3">
      <c r="A3183">
        <v>2024004181</v>
      </c>
      <c r="B3183" s="1">
        <v>45529</v>
      </c>
      <c r="C3183" s="11">
        <f t="shared" si="147"/>
        <v>2024</v>
      </c>
      <c r="D3183" t="s">
        <v>327</v>
      </c>
      <c r="E3183" t="s">
        <v>67</v>
      </c>
      <c r="F3183" t="s">
        <v>68</v>
      </c>
      <c r="G3183" t="s">
        <v>36</v>
      </c>
      <c r="H3183">
        <v>2</v>
      </c>
      <c r="I3183" s="2">
        <v>374.72</v>
      </c>
      <c r="J3183" s="2">
        <v>749.44</v>
      </c>
      <c r="K3183" s="2">
        <f t="shared" si="148"/>
        <v>749.44</v>
      </c>
      <c r="L3183" s="2">
        <f t="shared" si="149"/>
        <v>0</v>
      </c>
      <c r="M3183" t="s">
        <v>61</v>
      </c>
      <c r="N3183" t="s">
        <v>32</v>
      </c>
    </row>
    <row r="3184" spans="1:14" x14ac:dyDescent="0.3">
      <c r="A3184">
        <v>2024004182</v>
      </c>
      <c r="B3184" s="1">
        <v>45446</v>
      </c>
      <c r="C3184" s="11">
        <f t="shared" si="147"/>
        <v>2024</v>
      </c>
      <c r="D3184" t="s">
        <v>274</v>
      </c>
      <c r="E3184" t="s">
        <v>12</v>
      </c>
      <c r="F3184" t="s">
        <v>13</v>
      </c>
      <c r="G3184" t="s">
        <v>14</v>
      </c>
      <c r="H3184">
        <v>2</v>
      </c>
      <c r="I3184" s="2">
        <v>333</v>
      </c>
      <c r="J3184" s="2">
        <v>666</v>
      </c>
      <c r="K3184" s="2">
        <f t="shared" si="148"/>
        <v>666</v>
      </c>
      <c r="L3184" s="2">
        <f t="shared" si="149"/>
        <v>0</v>
      </c>
      <c r="M3184" t="s">
        <v>38</v>
      </c>
      <c r="N3184" t="s">
        <v>16</v>
      </c>
    </row>
    <row r="3185" spans="1:14" x14ac:dyDescent="0.3">
      <c r="A3185">
        <v>2024004183</v>
      </c>
      <c r="B3185" s="1">
        <v>45359</v>
      </c>
      <c r="C3185" s="11">
        <f t="shared" si="147"/>
        <v>2024</v>
      </c>
      <c r="D3185" t="s">
        <v>93</v>
      </c>
      <c r="E3185" t="s">
        <v>12</v>
      </c>
      <c r="F3185" t="s">
        <v>13</v>
      </c>
      <c r="G3185" t="s">
        <v>14</v>
      </c>
      <c r="H3185">
        <v>1</v>
      </c>
      <c r="I3185" s="2">
        <v>324.41000000000003</v>
      </c>
      <c r="J3185" s="2">
        <v>324.41000000000003</v>
      </c>
      <c r="K3185" s="2">
        <f t="shared" si="148"/>
        <v>324.41000000000003</v>
      </c>
      <c r="L3185" s="2">
        <f t="shared" si="149"/>
        <v>0</v>
      </c>
      <c r="M3185" t="s">
        <v>61</v>
      </c>
      <c r="N3185" t="s">
        <v>26</v>
      </c>
    </row>
    <row r="3186" spans="1:14" x14ac:dyDescent="0.3">
      <c r="A3186">
        <v>2024004184</v>
      </c>
      <c r="B3186" s="1">
        <v>45324</v>
      </c>
      <c r="C3186" s="11">
        <f t="shared" si="147"/>
        <v>2024</v>
      </c>
      <c r="D3186" t="s">
        <v>96</v>
      </c>
      <c r="E3186" t="s">
        <v>18</v>
      </c>
      <c r="F3186" t="s">
        <v>19</v>
      </c>
      <c r="G3186" t="s">
        <v>14</v>
      </c>
      <c r="H3186">
        <v>3</v>
      </c>
      <c r="I3186" s="2">
        <v>575.46</v>
      </c>
      <c r="J3186" s="2">
        <v>1726.38</v>
      </c>
      <c r="K3186" s="2">
        <f t="shared" si="148"/>
        <v>1726.38</v>
      </c>
      <c r="L3186" s="2">
        <f t="shared" si="149"/>
        <v>0</v>
      </c>
      <c r="M3186" t="s">
        <v>20</v>
      </c>
      <c r="N3186" t="s">
        <v>32</v>
      </c>
    </row>
    <row r="3187" spans="1:14" x14ac:dyDescent="0.3">
      <c r="A3187">
        <v>2024004185</v>
      </c>
      <c r="B3187" s="1">
        <v>45443</v>
      </c>
      <c r="C3187" s="11">
        <f t="shared" si="147"/>
        <v>2024</v>
      </c>
      <c r="D3187" t="s">
        <v>11</v>
      </c>
      <c r="E3187" t="s">
        <v>34</v>
      </c>
      <c r="F3187" t="s">
        <v>35</v>
      </c>
      <c r="G3187" t="s">
        <v>36</v>
      </c>
      <c r="H3187">
        <v>2</v>
      </c>
      <c r="I3187" s="2">
        <v>15.11</v>
      </c>
      <c r="J3187" s="2">
        <v>30.22</v>
      </c>
      <c r="K3187" s="2">
        <f t="shared" si="148"/>
        <v>30.22</v>
      </c>
      <c r="L3187" s="2">
        <f t="shared" si="149"/>
        <v>0</v>
      </c>
      <c r="M3187" t="s">
        <v>31</v>
      </c>
      <c r="N3187" t="s">
        <v>32</v>
      </c>
    </row>
    <row r="3188" spans="1:14" x14ac:dyDescent="0.3">
      <c r="A3188">
        <v>2024004186</v>
      </c>
      <c r="B3188" s="1">
        <v>45511</v>
      </c>
      <c r="C3188" s="11">
        <f t="shared" si="147"/>
        <v>2024</v>
      </c>
      <c r="D3188" t="s">
        <v>169</v>
      </c>
      <c r="E3188" t="s">
        <v>28</v>
      </c>
      <c r="F3188" t="s">
        <v>29</v>
      </c>
      <c r="G3188" t="s">
        <v>30</v>
      </c>
      <c r="H3188">
        <v>1</v>
      </c>
      <c r="I3188" s="2">
        <v>24.37</v>
      </c>
      <c r="J3188" s="2">
        <v>24.37</v>
      </c>
      <c r="K3188" s="2">
        <f t="shared" si="148"/>
        <v>24.37</v>
      </c>
      <c r="L3188" s="2">
        <f t="shared" si="149"/>
        <v>0</v>
      </c>
      <c r="M3188" t="s">
        <v>38</v>
      </c>
      <c r="N3188" t="s">
        <v>26</v>
      </c>
    </row>
    <row r="3189" spans="1:14" x14ac:dyDescent="0.3">
      <c r="A3189">
        <v>2024004187</v>
      </c>
      <c r="B3189" s="1">
        <v>45472</v>
      </c>
      <c r="C3189" s="11">
        <f t="shared" si="147"/>
        <v>2024</v>
      </c>
      <c r="D3189" t="s">
        <v>172</v>
      </c>
      <c r="E3189" t="s">
        <v>53</v>
      </c>
      <c r="F3189" t="s">
        <v>54</v>
      </c>
      <c r="G3189" t="s">
        <v>36</v>
      </c>
      <c r="H3189">
        <v>1</v>
      </c>
      <c r="I3189" s="2">
        <v>122.64</v>
      </c>
      <c r="J3189" s="2">
        <v>122.64</v>
      </c>
      <c r="K3189" s="2">
        <f t="shared" si="148"/>
        <v>122.64</v>
      </c>
      <c r="L3189" s="2">
        <f t="shared" si="149"/>
        <v>0</v>
      </c>
      <c r="M3189" t="s">
        <v>48</v>
      </c>
      <c r="N3189" t="s">
        <v>26</v>
      </c>
    </row>
    <row r="3190" spans="1:14" x14ac:dyDescent="0.3">
      <c r="A3190">
        <v>2024004188</v>
      </c>
      <c r="B3190" s="1">
        <v>45420</v>
      </c>
      <c r="C3190" s="11">
        <f t="shared" si="147"/>
        <v>2024</v>
      </c>
      <c r="D3190" t="s">
        <v>237</v>
      </c>
      <c r="E3190" t="s">
        <v>23</v>
      </c>
      <c r="F3190" t="s">
        <v>24</v>
      </c>
      <c r="G3190" t="s">
        <v>14</v>
      </c>
      <c r="H3190">
        <v>1</v>
      </c>
      <c r="I3190" s="2">
        <v>77.11</v>
      </c>
      <c r="J3190" s="2">
        <v>77.11</v>
      </c>
      <c r="K3190" s="2">
        <f t="shared" si="148"/>
        <v>77.11</v>
      </c>
      <c r="L3190" s="2">
        <f t="shared" si="149"/>
        <v>0</v>
      </c>
      <c r="M3190" t="s">
        <v>57</v>
      </c>
      <c r="N3190" t="s">
        <v>21</v>
      </c>
    </row>
    <row r="3191" spans="1:14" x14ac:dyDescent="0.3">
      <c r="A3191">
        <v>2024004189</v>
      </c>
      <c r="B3191" s="1">
        <v>45472</v>
      </c>
      <c r="C3191" s="11">
        <f t="shared" si="147"/>
        <v>2024</v>
      </c>
      <c r="D3191" t="s">
        <v>173</v>
      </c>
      <c r="E3191" t="s">
        <v>18</v>
      </c>
      <c r="F3191" t="s">
        <v>19</v>
      </c>
      <c r="G3191" t="s">
        <v>14</v>
      </c>
      <c r="H3191">
        <v>3</v>
      </c>
      <c r="I3191" s="2">
        <v>613.22</v>
      </c>
      <c r="J3191" s="2">
        <v>1839.66</v>
      </c>
      <c r="K3191" s="2">
        <f t="shared" si="148"/>
        <v>1839.66</v>
      </c>
      <c r="L3191" s="2">
        <f t="shared" si="149"/>
        <v>0</v>
      </c>
      <c r="M3191" t="s">
        <v>55</v>
      </c>
      <c r="N3191" t="s">
        <v>16</v>
      </c>
    </row>
    <row r="3192" spans="1:14" x14ac:dyDescent="0.3">
      <c r="A3192">
        <v>2024004190</v>
      </c>
      <c r="B3192" s="1">
        <v>45361</v>
      </c>
      <c r="C3192" s="11">
        <f t="shared" si="147"/>
        <v>2024</v>
      </c>
      <c r="D3192" t="s">
        <v>176</v>
      </c>
      <c r="E3192" t="s">
        <v>18</v>
      </c>
      <c r="F3192" t="s">
        <v>19</v>
      </c>
      <c r="G3192" t="s">
        <v>14</v>
      </c>
      <c r="H3192">
        <v>3</v>
      </c>
      <c r="I3192" s="2">
        <v>592.69000000000005</v>
      </c>
      <c r="J3192" s="2">
        <v>1778.07</v>
      </c>
      <c r="K3192" s="2">
        <f t="shared" si="148"/>
        <v>1778.0700000000002</v>
      </c>
      <c r="L3192" s="2">
        <f t="shared" si="149"/>
        <v>0</v>
      </c>
      <c r="M3192" t="s">
        <v>57</v>
      </c>
      <c r="N3192" t="s">
        <v>21</v>
      </c>
    </row>
    <row r="3193" spans="1:14" x14ac:dyDescent="0.3">
      <c r="A3193">
        <v>2024004191</v>
      </c>
      <c r="B3193" s="1">
        <v>45491</v>
      </c>
      <c r="C3193" s="11">
        <f t="shared" si="147"/>
        <v>2024</v>
      </c>
      <c r="D3193" t="s">
        <v>85</v>
      </c>
      <c r="E3193" t="s">
        <v>18</v>
      </c>
      <c r="F3193" t="s">
        <v>19</v>
      </c>
      <c r="G3193" t="s">
        <v>14</v>
      </c>
      <c r="H3193">
        <v>1</v>
      </c>
      <c r="I3193" s="2">
        <v>604.37</v>
      </c>
      <c r="J3193" s="2">
        <v>604.37</v>
      </c>
      <c r="K3193" s="2">
        <f t="shared" si="148"/>
        <v>604.37</v>
      </c>
      <c r="L3193" s="2">
        <f t="shared" si="149"/>
        <v>0</v>
      </c>
      <c r="M3193" t="s">
        <v>31</v>
      </c>
      <c r="N3193" t="s">
        <v>16</v>
      </c>
    </row>
    <row r="3194" spans="1:14" x14ac:dyDescent="0.3">
      <c r="A3194">
        <v>2024004192</v>
      </c>
      <c r="B3194" s="1">
        <v>45311</v>
      </c>
      <c r="C3194" s="11">
        <f t="shared" si="147"/>
        <v>2024</v>
      </c>
      <c r="D3194" t="s">
        <v>258</v>
      </c>
      <c r="E3194" t="s">
        <v>23</v>
      </c>
      <c r="F3194" t="s">
        <v>24</v>
      </c>
      <c r="G3194" t="s">
        <v>14</v>
      </c>
      <c r="H3194">
        <v>1</v>
      </c>
      <c r="I3194" s="2">
        <v>82.14</v>
      </c>
      <c r="J3194" s="2">
        <v>82.14</v>
      </c>
      <c r="K3194" s="2">
        <f t="shared" si="148"/>
        <v>82.14</v>
      </c>
      <c r="L3194" s="2">
        <f t="shared" si="149"/>
        <v>0</v>
      </c>
      <c r="M3194" t="s">
        <v>48</v>
      </c>
      <c r="N3194" t="s">
        <v>32</v>
      </c>
    </row>
    <row r="3195" spans="1:14" x14ac:dyDescent="0.3">
      <c r="A3195">
        <v>2024004193</v>
      </c>
      <c r="B3195" s="1">
        <v>45460</v>
      </c>
      <c r="C3195" s="11">
        <f t="shared" si="147"/>
        <v>2024</v>
      </c>
      <c r="D3195" t="s">
        <v>340</v>
      </c>
      <c r="E3195" t="s">
        <v>40</v>
      </c>
      <c r="F3195" t="s">
        <v>41</v>
      </c>
      <c r="G3195" t="s">
        <v>36</v>
      </c>
      <c r="H3195">
        <v>1</v>
      </c>
      <c r="I3195" s="2">
        <v>44.47</v>
      </c>
      <c r="J3195" s="2">
        <v>44.47</v>
      </c>
      <c r="K3195" s="2">
        <f t="shared" si="148"/>
        <v>44.47</v>
      </c>
      <c r="L3195" s="2">
        <f t="shared" si="149"/>
        <v>0</v>
      </c>
      <c r="M3195" t="s">
        <v>55</v>
      </c>
      <c r="N3195" t="s">
        <v>32</v>
      </c>
    </row>
    <row r="3196" spans="1:14" x14ac:dyDescent="0.3">
      <c r="A3196">
        <v>2024004194</v>
      </c>
      <c r="B3196" s="1">
        <v>45432</v>
      </c>
      <c r="C3196" s="11">
        <f t="shared" si="147"/>
        <v>2024</v>
      </c>
      <c r="D3196" t="s">
        <v>204</v>
      </c>
      <c r="E3196" t="s">
        <v>12</v>
      </c>
      <c r="F3196" t="s">
        <v>13</v>
      </c>
      <c r="G3196" t="s">
        <v>14</v>
      </c>
      <c r="H3196">
        <v>4</v>
      </c>
      <c r="I3196" s="2">
        <v>379.04</v>
      </c>
      <c r="J3196" s="2">
        <v>1516.16</v>
      </c>
      <c r="K3196" s="2">
        <f t="shared" si="148"/>
        <v>1516.16</v>
      </c>
      <c r="L3196" s="2">
        <f t="shared" si="149"/>
        <v>0</v>
      </c>
      <c r="M3196" t="s">
        <v>38</v>
      </c>
      <c r="N3196" t="s">
        <v>26</v>
      </c>
    </row>
    <row r="3197" spans="1:14" x14ac:dyDescent="0.3">
      <c r="A3197">
        <v>2024004195</v>
      </c>
      <c r="B3197" s="1">
        <v>45647</v>
      </c>
      <c r="C3197" s="11">
        <f t="shared" si="147"/>
        <v>2024</v>
      </c>
      <c r="D3197" t="s">
        <v>242</v>
      </c>
      <c r="E3197" t="s">
        <v>53</v>
      </c>
      <c r="F3197" t="s">
        <v>54</v>
      </c>
      <c r="G3197" t="s">
        <v>36</v>
      </c>
      <c r="H3197">
        <v>5</v>
      </c>
      <c r="I3197" s="2">
        <v>131.46</v>
      </c>
      <c r="J3197" s="2">
        <v>657.3</v>
      </c>
      <c r="K3197" s="2">
        <f t="shared" si="148"/>
        <v>657.30000000000007</v>
      </c>
      <c r="L3197" s="2">
        <f t="shared" si="149"/>
        <v>0</v>
      </c>
      <c r="M3197" t="s">
        <v>31</v>
      </c>
      <c r="N3197" t="s">
        <v>26</v>
      </c>
    </row>
    <row r="3198" spans="1:14" x14ac:dyDescent="0.3">
      <c r="A3198">
        <v>2024004196</v>
      </c>
      <c r="B3198" s="1">
        <v>45550</v>
      </c>
      <c r="C3198" s="11">
        <f t="shared" si="147"/>
        <v>2024</v>
      </c>
      <c r="D3198" t="s">
        <v>342</v>
      </c>
      <c r="E3198" t="s">
        <v>40</v>
      </c>
      <c r="F3198" t="s">
        <v>41</v>
      </c>
      <c r="G3198" t="s">
        <v>36</v>
      </c>
      <c r="H3198">
        <v>3</v>
      </c>
      <c r="I3198" s="2">
        <v>43.38</v>
      </c>
      <c r="J3198" s="2">
        <v>130.13999999999999</v>
      </c>
      <c r="K3198" s="2">
        <f t="shared" si="148"/>
        <v>130.14000000000001</v>
      </c>
      <c r="L3198" s="2">
        <f t="shared" si="149"/>
        <v>0</v>
      </c>
      <c r="M3198" t="s">
        <v>20</v>
      </c>
      <c r="N3198" t="s">
        <v>16</v>
      </c>
    </row>
    <row r="3199" spans="1:14" x14ac:dyDescent="0.3">
      <c r="A3199">
        <v>2024004197</v>
      </c>
      <c r="B3199" s="1">
        <v>45431</v>
      </c>
      <c r="C3199" s="11">
        <f t="shared" si="147"/>
        <v>2024</v>
      </c>
      <c r="D3199" t="s">
        <v>262</v>
      </c>
      <c r="E3199" t="s">
        <v>40</v>
      </c>
      <c r="F3199" t="s">
        <v>41</v>
      </c>
      <c r="G3199" t="s">
        <v>36</v>
      </c>
      <c r="H3199">
        <v>2</v>
      </c>
      <c r="I3199" s="2">
        <v>44.13</v>
      </c>
      <c r="J3199" s="2">
        <v>88.26</v>
      </c>
      <c r="K3199" s="2">
        <f t="shared" si="148"/>
        <v>88.26</v>
      </c>
      <c r="L3199" s="2">
        <f t="shared" si="149"/>
        <v>0</v>
      </c>
      <c r="M3199" t="s">
        <v>15</v>
      </c>
      <c r="N3199" t="s">
        <v>16</v>
      </c>
    </row>
    <row r="3200" spans="1:14" x14ac:dyDescent="0.3">
      <c r="A3200">
        <v>2024004198</v>
      </c>
      <c r="B3200" s="1">
        <v>45345</v>
      </c>
      <c r="C3200" s="11">
        <f t="shared" si="147"/>
        <v>2024</v>
      </c>
      <c r="D3200" t="s">
        <v>97</v>
      </c>
      <c r="E3200" t="s">
        <v>40</v>
      </c>
      <c r="F3200" t="s">
        <v>41</v>
      </c>
      <c r="G3200" t="s">
        <v>36</v>
      </c>
      <c r="H3200">
        <v>1</v>
      </c>
      <c r="I3200" s="2">
        <v>45.36</v>
      </c>
      <c r="J3200" s="2">
        <v>45.36</v>
      </c>
      <c r="K3200" s="2">
        <f t="shared" si="148"/>
        <v>45.36</v>
      </c>
      <c r="L3200" s="2">
        <f t="shared" si="149"/>
        <v>0</v>
      </c>
      <c r="M3200" t="s">
        <v>15</v>
      </c>
      <c r="N3200" t="s">
        <v>21</v>
      </c>
    </row>
    <row r="3201" spans="1:14" x14ac:dyDescent="0.3">
      <c r="A3201">
        <v>2024004199</v>
      </c>
      <c r="B3201" s="1">
        <v>45391</v>
      </c>
      <c r="C3201" s="11">
        <f t="shared" si="147"/>
        <v>2024</v>
      </c>
      <c r="D3201" t="s">
        <v>308</v>
      </c>
      <c r="E3201" t="s">
        <v>53</v>
      </c>
      <c r="F3201" t="s">
        <v>54</v>
      </c>
      <c r="G3201" t="s">
        <v>36</v>
      </c>
      <c r="H3201">
        <v>3</v>
      </c>
      <c r="I3201" s="2">
        <v>120.35</v>
      </c>
      <c r="J3201" s="2">
        <v>361.05</v>
      </c>
      <c r="K3201" s="2">
        <f t="shared" si="148"/>
        <v>361.04999999999995</v>
      </c>
      <c r="L3201" s="2">
        <f t="shared" si="149"/>
        <v>0</v>
      </c>
      <c r="M3201" t="s">
        <v>15</v>
      </c>
      <c r="N3201" t="s">
        <v>26</v>
      </c>
    </row>
    <row r="3202" spans="1:14" x14ac:dyDescent="0.3">
      <c r="A3202">
        <v>2024004200</v>
      </c>
      <c r="B3202" s="1">
        <v>45596</v>
      </c>
      <c r="C3202" s="11">
        <f t="shared" si="147"/>
        <v>2024</v>
      </c>
      <c r="D3202" t="s">
        <v>309</v>
      </c>
      <c r="E3202" t="s">
        <v>12</v>
      </c>
      <c r="F3202" t="s">
        <v>13</v>
      </c>
      <c r="G3202" t="s">
        <v>14</v>
      </c>
      <c r="H3202">
        <v>2</v>
      </c>
      <c r="I3202" s="2">
        <v>346.93</v>
      </c>
      <c r="J3202" s="2">
        <v>693.86</v>
      </c>
      <c r="K3202" s="2">
        <f t="shared" si="148"/>
        <v>693.86</v>
      </c>
      <c r="L3202" s="2">
        <f t="shared" si="149"/>
        <v>0</v>
      </c>
      <c r="M3202" t="s">
        <v>25</v>
      </c>
      <c r="N3202" t="s">
        <v>26</v>
      </c>
    </row>
    <row r="3203" spans="1:14" x14ac:dyDescent="0.3">
      <c r="A3203">
        <v>2024004201</v>
      </c>
      <c r="B3203" s="1">
        <v>45594</v>
      </c>
      <c r="C3203" s="11">
        <f t="shared" ref="C3203:C3266" si="150">YEAR(B3203)</f>
        <v>2024</v>
      </c>
      <c r="D3203" t="s">
        <v>56</v>
      </c>
      <c r="E3203" t="s">
        <v>40</v>
      </c>
      <c r="F3203" t="s">
        <v>41</v>
      </c>
      <c r="G3203" t="s">
        <v>36</v>
      </c>
      <c r="H3203">
        <v>4</v>
      </c>
      <c r="I3203" s="2">
        <v>43.18</v>
      </c>
      <c r="J3203" s="2">
        <v>172.72</v>
      </c>
      <c r="K3203" s="2">
        <f t="shared" ref="K3203:K3266" si="151">I3203*H3203</f>
        <v>172.72</v>
      </c>
      <c r="L3203" s="2">
        <f t="shared" ref="L3203:L3266" si="152">J3203-K3203</f>
        <v>0</v>
      </c>
      <c r="M3203" t="s">
        <v>38</v>
      </c>
      <c r="N3203" t="s">
        <v>21</v>
      </c>
    </row>
    <row r="3204" spans="1:14" x14ac:dyDescent="0.3">
      <c r="A3204">
        <v>2024004202</v>
      </c>
      <c r="B3204" s="1">
        <v>45505</v>
      </c>
      <c r="C3204" s="11">
        <f t="shared" si="150"/>
        <v>2024</v>
      </c>
      <c r="D3204" t="s">
        <v>248</v>
      </c>
      <c r="E3204" t="s">
        <v>67</v>
      </c>
      <c r="F3204" t="s">
        <v>68</v>
      </c>
      <c r="G3204" t="s">
        <v>36</v>
      </c>
      <c r="H3204">
        <v>1</v>
      </c>
      <c r="I3204" s="2">
        <v>429.84</v>
      </c>
      <c r="J3204" s="2">
        <v>429.84</v>
      </c>
      <c r="K3204" s="2">
        <f t="shared" si="151"/>
        <v>429.84</v>
      </c>
      <c r="L3204" s="2">
        <f t="shared" si="152"/>
        <v>0</v>
      </c>
      <c r="M3204" t="s">
        <v>61</v>
      </c>
      <c r="N3204" t="s">
        <v>21</v>
      </c>
    </row>
    <row r="3205" spans="1:14" x14ac:dyDescent="0.3">
      <c r="A3205">
        <v>2024004203</v>
      </c>
      <c r="B3205" s="1">
        <v>45409</v>
      </c>
      <c r="C3205" s="11">
        <f t="shared" si="150"/>
        <v>2024</v>
      </c>
      <c r="D3205" t="s">
        <v>257</v>
      </c>
      <c r="E3205" t="s">
        <v>12</v>
      </c>
      <c r="F3205" t="s">
        <v>13</v>
      </c>
      <c r="G3205" t="s">
        <v>14</v>
      </c>
      <c r="H3205">
        <v>3</v>
      </c>
      <c r="I3205" s="2">
        <v>339.44</v>
      </c>
      <c r="J3205" s="2">
        <v>1018.32</v>
      </c>
      <c r="K3205" s="2">
        <f t="shared" si="151"/>
        <v>1018.3199999999999</v>
      </c>
      <c r="L3205" s="2">
        <f t="shared" si="152"/>
        <v>0</v>
      </c>
      <c r="M3205" t="s">
        <v>57</v>
      </c>
      <c r="N3205" t="s">
        <v>21</v>
      </c>
    </row>
    <row r="3206" spans="1:14" x14ac:dyDescent="0.3">
      <c r="A3206">
        <v>2024004204</v>
      </c>
      <c r="B3206" s="1">
        <v>45397</v>
      </c>
      <c r="C3206" s="11">
        <f t="shared" si="150"/>
        <v>2024</v>
      </c>
      <c r="D3206" t="s">
        <v>198</v>
      </c>
      <c r="E3206" t="s">
        <v>23</v>
      </c>
      <c r="F3206" t="s">
        <v>24</v>
      </c>
      <c r="G3206" t="s">
        <v>14</v>
      </c>
      <c r="H3206">
        <v>1</v>
      </c>
      <c r="I3206" s="2">
        <v>78.849999999999994</v>
      </c>
      <c r="J3206" s="2">
        <v>78.849999999999994</v>
      </c>
      <c r="K3206" s="2">
        <f t="shared" si="151"/>
        <v>78.849999999999994</v>
      </c>
      <c r="L3206" s="2">
        <f t="shared" si="152"/>
        <v>0</v>
      </c>
      <c r="M3206" t="s">
        <v>25</v>
      </c>
      <c r="N3206" t="s">
        <v>32</v>
      </c>
    </row>
    <row r="3207" spans="1:14" x14ac:dyDescent="0.3">
      <c r="A3207">
        <v>2024004205</v>
      </c>
      <c r="B3207" s="1">
        <v>45623</v>
      </c>
      <c r="C3207" s="11">
        <f t="shared" si="150"/>
        <v>2024</v>
      </c>
      <c r="D3207" t="s">
        <v>204</v>
      </c>
      <c r="E3207" t="s">
        <v>23</v>
      </c>
      <c r="F3207" t="s">
        <v>24</v>
      </c>
      <c r="G3207" t="s">
        <v>14</v>
      </c>
      <c r="H3207">
        <v>1</v>
      </c>
      <c r="I3207" s="2">
        <v>75.72</v>
      </c>
      <c r="J3207" s="2">
        <v>75.72</v>
      </c>
      <c r="K3207" s="2">
        <f t="shared" si="151"/>
        <v>75.72</v>
      </c>
      <c r="L3207" s="2">
        <f t="shared" si="152"/>
        <v>0</v>
      </c>
      <c r="M3207" t="s">
        <v>55</v>
      </c>
      <c r="N3207" t="s">
        <v>32</v>
      </c>
    </row>
    <row r="3208" spans="1:14" x14ac:dyDescent="0.3">
      <c r="A3208">
        <v>2024004206</v>
      </c>
      <c r="B3208" s="1">
        <v>45602</v>
      </c>
      <c r="C3208" s="11">
        <f t="shared" si="150"/>
        <v>2024</v>
      </c>
      <c r="D3208" t="s">
        <v>269</v>
      </c>
      <c r="E3208" t="s">
        <v>43</v>
      </c>
      <c r="F3208" t="s">
        <v>44</v>
      </c>
      <c r="G3208" t="s">
        <v>36</v>
      </c>
      <c r="H3208">
        <v>1</v>
      </c>
      <c r="I3208" s="2">
        <v>1106.4000000000001</v>
      </c>
      <c r="J3208" s="2">
        <v>1106.4000000000001</v>
      </c>
      <c r="K3208" s="2">
        <f t="shared" si="151"/>
        <v>1106.4000000000001</v>
      </c>
      <c r="L3208" s="2">
        <f t="shared" si="152"/>
        <v>0</v>
      </c>
      <c r="M3208" t="s">
        <v>61</v>
      </c>
      <c r="N3208" t="s">
        <v>26</v>
      </c>
    </row>
    <row r="3209" spans="1:14" x14ac:dyDescent="0.3">
      <c r="A3209">
        <v>2024004207</v>
      </c>
      <c r="B3209" s="1">
        <v>45490</v>
      </c>
      <c r="C3209" s="11">
        <f t="shared" si="150"/>
        <v>2024</v>
      </c>
      <c r="D3209" t="s">
        <v>132</v>
      </c>
      <c r="E3209" t="s">
        <v>67</v>
      </c>
      <c r="F3209" t="s">
        <v>68</v>
      </c>
      <c r="G3209" t="s">
        <v>36</v>
      </c>
      <c r="H3209">
        <v>3</v>
      </c>
      <c r="I3209" s="2">
        <v>421.89</v>
      </c>
      <c r="J3209" s="2">
        <v>1265.67</v>
      </c>
      <c r="K3209" s="2">
        <f t="shared" si="151"/>
        <v>1265.67</v>
      </c>
      <c r="L3209" s="2">
        <f t="shared" si="152"/>
        <v>0</v>
      </c>
      <c r="M3209" t="s">
        <v>31</v>
      </c>
      <c r="N3209" t="s">
        <v>21</v>
      </c>
    </row>
    <row r="3210" spans="1:14" x14ac:dyDescent="0.3">
      <c r="A3210">
        <v>2024004208</v>
      </c>
      <c r="B3210" s="1">
        <v>45422</v>
      </c>
      <c r="C3210" s="11">
        <f t="shared" si="150"/>
        <v>2024</v>
      </c>
      <c r="D3210" t="s">
        <v>11</v>
      </c>
      <c r="E3210" t="s">
        <v>28</v>
      </c>
      <c r="F3210" t="s">
        <v>29</v>
      </c>
      <c r="G3210" t="s">
        <v>30</v>
      </c>
      <c r="H3210">
        <v>2</v>
      </c>
      <c r="I3210" s="2">
        <v>24.69</v>
      </c>
      <c r="J3210" s="2">
        <v>49.38</v>
      </c>
      <c r="K3210" s="2">
        <f t="shared" si="151"/>
        <v>49.38</v>
      </c>
      <c r="L3210" s="2">
        <f t="shared" si="152"/>
        <v>0</v>
      </c>
      <c r="M3210" t="s">
        <v>61</v>
      </c>
      <c r="N3210" t="s">
        <v>26</v>
      </c>
    </row>
    <row r="3211" spans="1:14" x14ac:dyDescent="0.3">
      <c r="A3211">
        <v>2024004209</v>
      </c>
      <c r="B3211" s="1">
        <v>45310</v>
      </c>
      <c r="C3211" s="11">
        <f t="shared" si="150"/>
        <v>2024</v>
      </c>
      <c r="D3211" t="s">
        <v>118</v>
      </c>
      <c r="E3211" t="s">
        <v>28</v>
      </c>
      <c r="F3211" t="s">
        <v>29</v>
      </c>
      <c r="G3211" t="s">
        <v>30</v>
      </c>
      <c r="H3211">
        <v>2</v>
      </c>
      <c r="I3211" s="2">
        <v>24.14</v>
      </c>
      <c r="J3211" s="2">
        <v>48.28</v>
      </c>
      <c r="K3211" s="2">
        <f t="shared" si="151"/>
        <v>48.28</v>
      </c>
      <c r="L3211" s="2">
        <f t="shared" si="152"/>
        <v>0</v>
      </c>
      <c r="M3211" t="s">
        <v>20</v>
      </c>
      <c r="N3211" t="s">
        <v>32</v>
      </c>
    </row>
    <row r="3212" spans="1:14" x14ac:dyDescent="0.3">
      <c r="A3212">
        <v>2024004210</v>
      </c>
      <c r="B3212" s="1">
        <v>45432</v>
      </c>
      <c r="C3212" s="11">
        <f t="shared" si="150"/>
        <v>2024</v>
      </c>
      <c r="D3212" t="s">
        <v>314</v>
      </c>
      <c r="E3212" t="s">
        <v>34</v>
      </c>
      <c r="F3212" t="s">
        <v>35</v>
      </c>
      <c r="G3212" t="s">
        <v>36</v>
      </c>
      <c r="H3212">
        <v>1</v>
      </c>
      <c r="I3212" s="2">
        <v>14.27</v>
      </c>
      <c r="J3212" s="2">
        <v>14.27</v>
      </c>
      <c r="K3212" s="2">
        <f t="shared" si="151"/>
        <v>14.27</v>
      </c>
      <c r="L3212" s="2">
        <f t="shared" si="152"/>
        <v>0</v>
      </c>
      <c r="M3212" t="s">
        <v>15</v>
      </c>
      <c r="N3212" t="s">
        <v>26</v>
      </c>
    </row>
    <row r="3213" spans="1:14" x14ac:dyDescent="0.3">
      <c r="A3213">
        <v>2024004211</v>
      </c>
      <c r="B3213" s="1">
        <v>45387</v>
      </c>
      <c r="C3213" s="11">
        <f t="shared" si="150"/>
        <v>2024</v>
      </c>
      <c r="D3213" t="s">
        <v>11</v>
      </c>
      <c r="E3213" t="s">
        <v>23</v>
      </c>
      <c r="F3213" t="s">
        <v>24</v>
      </c>
      <c r="G3213" t="s">
        <v>14</v>
      </c>
      <c r="H3213">
        <v>3</v>
      </c>
      <c r="I3213" s="2">
        <v>78.63</v>
      </c>
      <c r="J3213" s="2">
        <v>235.89</v>
      </c>
      <c r="K3213" s="2">
        <f t="shared" si="151"/>
        <v>235.89</v>
      </c>
      <c r="L3213" s="2">
        <f t="shared" si="152"/>
        <v>0</v>
      </c>
      <c r="M3213" t="s">
        <v>61</v>
      </c>
      <c r="N3213" t="s">
        <v>32</v>
      </c>
    </row>
    <row r="3214" spans="1:14" x14ac:dyDescent="0.3">
      <c r="A3214">
        <v>2024004212</v>
      </c>
      <c r="B3214" s="1">
        <v>45384</v>
      </c>
      <c r="C3214" s="11">
        <f t="shared" si="150"/>
        <v>2024</v>
      </c>
      <c r="D3214" t="s">
        <v>78</v>
      </c>
      <c r="E3214" t="s">
        <v>67</v>
      </c>
      <c r="F3214" t="s">
        <v>68</v>
      </c>
      <c r="G3214" t="s">
        <v>36</v>
      </c>
      <c r="H3214">
        <v>1</v>
      </c>
      <c r="I3214" s="2">
        <v>452.82</v>
      </c>
      <c r="J3214" s="2">
        <v>452.82</v>
      </c>
      <c r="K3214" s="2">
        <f t="shared" si="151"/>
        <v>452.82</v>
      </c>
      <c r="L3214" s="2">
        <f t="shared" si="152"/>
        <v>0</v>
      </c>
      <c r="M3214" t="s">
        <v>48</v>
      </c>
      <c r="N3214" t="s">
        <v>16</v>
      </c>
    </row>
    <row r="3215" spans="1:14" x14ac:dyDescent="0.3">
      <c r="A3215">
        <v>2024004213</v>
      </c>
      <c r="B3215" s="1">
        <v>45584</v>
      </c>
      <c r="C3215" s="11">
        <f t="shared" si="150"/>
        <v>2024</v>
      </c>
      <c r="D3215" t="s">
        <v>259</v>
      </c>
      <c r="E3215" t="s">
        <v>40</v>
      </c>
      <c r="F3215" t="s">
        <v>41</v>
      </c>
      <c r="G3215" t="s">
        <v>36</v>
      </c>
      <c r="H3215">
        <v>1</v>
      </c>
      <c r="I3215" s="2">
        <v>45.14</v>
      </c>
      <c r="J3215" s="2">
        <v>45.14</v>
      </c>
      <c r="K3215" s="2">
        <f t="shared" si="151"/>
        <v>45.14</v>
      </c>
      <c r="L3215" s="2">
        <f t="shared" si="152"/>
        <v>0</v>
      </c>
      <c r="M3215" t="s">
        <v>38</v>
      </c>
      <c r="N3215" t="s">
        <v>26</v>
      </c>
    </row>
    <row r="3216" spans="1:14" x14ac:dyDescent="0.3">
      <c r="A3216">
        <v>2024004214</v>
      </c>
      <c r="B3216" s="1">
        <v>45327</v>
      </c>
      <c r="C3216" s="11">
        <f t="shared" si="150"/>
        <v>2024</v>
      </c>
      <c r="D3216" t="s">
        <v>69</v>
      </c>
      <c r="E3216" t="s">
        <v>40</v>
      </c>
      <c r="F3216" t="s">
        <v>41</v>
      </c>
      <c r="G3216" t="s">
        <v>36</v>
      </c>
      <c r="H3216">
        <v>1</v>
      </c>
      <c r="I3216" s="2">
        <v>41.56</v>
      </c>
      <c r="J3216" s="2">
        <v>41.56</v>
      </c>
      <c r="K3216" s="2">
        <f t="shared" si="151"/>
        <v>41.56</v>
      </c>
      <c r="L3216" s="2">
        <f t="shared" si="152"/>
        <v>0</v>
      </c>
      <c r="M3216" t="s">
        <v>25</v>
      </c>
      <c r="N3216" t="s">
        <v>32</v>
      </c>
    </row>
    <row r="3217" spans="1:14" x14ac:dyDescent="0.3">
      <c r="A3217">
        <v>2024004215</v>
      </c>
      <c r="B3217" s="1">
        <v>45390</v>
      </c>
      <c r="C3217" s="11">
        <f t="shared" si="150"/>
        <v>2024</v>
      </c>
      <c r="D3217" t="s">
        <v>130</v>
      </c>
      <c r="E3217" t="s">
        <v>53</v>
      </c>
      <c r="F3217" t="s">
        <v>54</v>
      </c>
      <c r="G3217" t="s">
        <v>36</v>
      </c>
      <c r="H3217">
        <v>2</v>
      </c>
      <c r="I3217" s="2">
        <v>112.48</v>
      </c>
      <c r="J3217" s="2">
        <v>224.96</v>
      </c>
      <c r="K3217" s="2">
        <f t="shared" si="151"/>
        <v>224.96</v>
      </c>
      <c r="L3217" s="2">
        <f t="shared" si="152"/>
        <v>0</v>
      </c>
      <c r="M3217" t="s">
        <v>20</v>
      </c>
      <c r="N3217" t="s">
        <v>26</v>
      </c>
    </row>
    <row r="3218" spans="1:14" x14ac:dyDescent="0.3">
      <c r="A3218">
        <v>2024004216</v>
      </c>
      <c r="B3218" s="1">
        <v>45480</v>
      </c>
      <c r="C3218" s="11">
        <f t="shared" si="150"/>
        <v>2024</v>
      </c>
      <c r="D3218" t="s">
        <v>227</v>
      </c>
      <c r="E3218" t="s">
        <v>40</v>
      </c>
      <c r="F3218" t="s">
        <v>41</v>
      </c>
      <c r="G3218" t="s">
        <v>36</v>
      </c>
      <c r="H3218">
        <v>2</v>
      </c>
      <c r="I3218" s="2">
        <v>42.92</v>
      </c>
      <c r="J3218" s="2">
        <v>85.84</v>
      </c>
      <c r="K3218" s="2">
        <f t="shared" si="151"/>
        <v>85.84</v>
      </c>
      <c r="L3218" s="2">
        <f t="shared" si="152"/>
        <v>0</v>
      </c>
      <c r="M3218" t="s">
        <v>15</v>
      </c>
      <c r="N3218" t="s">
        <v>16</v>
      </c>
    </row>
    <row r="3219" spans="1:14" x14ac:dyDescent="0.3">
      <c r="A3219">
        <v>2024004217</v>
      </c>
      <c r="B3219" s="1">
        <v>45561</v>
      </c>
      <c r="C3219" s="11">
        <f t="shared" si="150"/>
        <v>2024</v>
      </c>
      <c r="D3219" t="s">
        <v>231</v>
      </c>
      <c r="E3219" t="s">
        <v>43</v>
      </c>
      <c r="F3219" t="s">
        <v>44</v>
      </c>
      <c r="G3219" t="s">
        <v>36</v>
      </c>
      <c r="H3219">
        <v>1</v>
      </c>
      <c r="I3219" s="2">
        <v>1126.0899999999999</v>
      </c>
      <c r="J3219" s="2">
        <v>1126.0899999999999</v>
      </c>
      <c r="K3219" s="2">
        <f t="shared" si="151"/>
        <v>1126.0899999999999</v>
      </c>
      <c r="L3219" s="2">
        <f t="shared" si="152"/>
        <v>0</v>
      </c>
      <c r="M3219" t="s">
        <v>25</v>
      </c>
      <c r="N3219" t="s">
        <v>32</v>
      </c>
    </row>
    <row r="3220" spans="1:14" x14ac:dyDescent="0.3">
      <c r="A3220">
        <v>2024004218</v>
      </c>
      <c r="B3220" s="1">
        <v>45340</v>
      </c>
      <c r="C3220" s="11">
        <f t="shared" si="150"/>
        <v>2024</v>
      </c>
      <c r="D3220" t="s">
        <v>98</v>
      </c>
      <c r="E3220" t="s">
        <v>43</v>
      </c>
      <c r="F3220" t="s">
        <v>44</v>
      </c>
      <c r="G3220" t="s">
        <v>36</v>
      </c>
      <c r="H3220">
        <v>2</v>
      </c>
      <c r="I3220" s="2">
        <v>1108.8900000000001</v>
      </c>
      <c r="J3220" s="2">
        <v>2217.7800000000002</v>
      </c>
      <c r="K3220" s="2">
        <f t="shared" si="151"/>
        <v>2217.7800000000002</v>
      </c>
      <c r="L3220" s="2">
        <f t="shared" si="152"/>
        <v>0</v>
      </c>
      <c r="M3220" t="s">
        <v>25</v>
      </c>
      <c r="N3220" t="s">
        <v>26</v>
      </c>
    </row>
    <row r="3221" spans="1:14" x14ac:dyDescent="0.3">
      <c r="A3221">
        <v>2024004219</v>
      </c>
      <c r="B3221" s="1">
        <v>45467</v>
      </c>
      <c r="C3221" s="11">
        <f t="shared" si="150"/>
        <v>2024</v>
      </c>
      <c r="D3221" t="s">
        <v>11</v>
      </c>
      <c r="E3221" t="s">
        <v>12</v>
      </c>
      <c r="F3221" t="s">
        <v>13</v>
      </c>
      <c r="G3221" t="s">
        <v>14</v>
      </c>
      <c r="H3221">
        <v>4</v>
      </c>
      <c r="I3221" s="2">
        <v>378.91</v>
      </c>
      <c r="J3221" s="2">
        <v>1515.64</v>
      </c>
      <c r="K3221" s="2">
        <f t="shared" si="151"/>
        <v>1515.64</v>
      </c>
      <c r="L3221" s="2">
        <f t="shared" si="152"/>
        <v>0</v>
      </c>
      <c r="M3221" t="s">
        <v>31</v>
      </c>
      <c r="N3221" t="s">
        <v>16</v>
      </c>
    </row>
    <row r="3222" spans="1:14" x14ac:dyDescent="0.3">
      <c r="A3222">
        <v>2024004220</v>
      </c>
      <c r="B3222" s="1">
        <v>45530</v>
      </c>
      <c r="C3222" s="11">
        <f t="shared" si="150"/>
        <v>2024</v>
      </c>
      <c r="D3222" t="s">
        <v>266</v>
      </c>
      <c r="E3222" t="s">
        <v>53</v>
      </c>
      <c r="F3222" t="s">
        <v>54</v>
      </c>
      <c r="G3222" t="s">
        <v>36</v>
      </c>
      <c r="H3222">
        <v>1</v>
      </c>
      <c r="I3222" s="2">
        <v>121.82</v>
      </c>
      <c r="J3222" s="2">
        <v>121.82</v>
      </c>
      <c r="K3222" s="2">
        <f t="shared" si="151"/>
        <v>121.82</v>
      </c>
      <c r="L3222" s="2">
        <f t="shared" si="152"/>
        <v>0</v>
      </c>
      <c r="M3222" t="s">
        <v>20</v>
      </c>
      <c r="N3222" t="s">
        <v>21</v>
      </c>
    </row>
    <row r="3223" spans="1:14" x14ac:dyDescent="0.3">
      <c r="A3223">
        <v>2024004221</v>
      </c>
      <c r="B3223" s="1">
        <v>45577</v>
      </c>
      <c r="C3223" s="11">
        <f t="shared" si="150"/>
        <v>2024</v>
      </c>
      <c r="D3223" t="s">
        <v>202</v>
      </c>
      <c r="E3223" t="s">
        <v>53</v>
      </c>
      <c r="F3223" t="s">
        <v>54</v>
      </c>
      <c r="G3223" t="s">
        <v>36</v>
      </c>
      <c r="H3223">
        <v>3</v>
      </c>
      <c r="I3223" s="2">
        <v>118.18</v>
      </c>
      <c r="J3223" s="2">
        <v>354.54</v>
      </c>
      <c r="K3223" s="2">
        <f t="shared" si="151"/>
        <v>354.54</v>
      </c>
      <c r="L3223" s="2">
        <f t="shared" si="152"/>
        <v>0</v>
      </c>
      <c r="M3223" t="s">
        <v>64</v>
      </c>
      <c r="N3223" t="s">
        <v>21</v>
      </c>
    </row>
    <row r="3224" spans="1:14" x14ac:dyDescent="0.3">
      <c r="A3224">
        <v>2024004222</v>
      </c>
      <c r="B3224" s="1">
        <v>45449</v>
      </c>
      <c r="C3224" s="11">
        <f t="shared" si="150"/>
        <v>2024</v>
      </c>
      <c r="D3224" t="s">
        <v>248</v>
      </c>
      <c r="E3224" t="s">
        <v>34</v>
      </c>
      <c r="F3224" t="s">
        <v>35</v>
      </c>
      <c r="G3224" t="s">
        <v>36</v>
      </c>
      <c r="H3224">
        <v>2</v>
      </c>
      <c r="I3224" s="2">
        <v>16.600000000000001</v>
      </c>
      <c r="J3224" s="2">
        <v>33.200000000000003</v>
      </c>
      <c r="K3224" s="2">
        <f t="shared" si="151"/>
        <v>33.200000000000003</v>
      </c>
      <c r="L3224" s="2">
        <f t="shared" si="152"/>
        <v>0</v>
      </c>
      <c r="M3224" t="s">
        <v>31</v>
      </c>
      <c r="N3224" t="s">
        <v>32</v>
      </c>
    </row>
    <row r="3225" spans="1:14" x14ac:dyDescent="0.3">
      <c r="A3225">
        <v>2024004223</v>
      </c>
      <c r="B3225" s="1">
        <v>45621</v>
      </c>
      <c r="C3225" s="11">
        <f t="shared" si="150"/>
        <v>2024</v>
      </c>
      <c r="D3225" t="s">
        <v>108</v>
      </c>
      <c r="E3225" t="s">
        <v>23</v>
      </c>
      <c r="F3225" t="s">
        <v>24</v>
      </c>
      <c r="G3225" t="s">
        <v>14</v>
      </c>
      <c r="H3225">
        <v>1</v>
      </c>
      <c r="I3225" s="2">
        <v>80.959999999999994</v>
      </c>
      <c r="J3225" s="2">
        <v>80.959999999999994</v>
      </c>
      <c r="K3225" s="2">
        <f t="shared" si="151"/>
        <v>80.959999999999994</v>
      </c>
      <c r="L3225" s="2">
        <f t="shared" si="152"/>
        <v>0</v>
      </c>
      <c r="M3225" t="s">
        <v>55</v>
      </c>
      <c r="N3225" t="s">
        <v>32</v>
      </c>
    </row>
    <row r="3226" spans="1:14" x14ac:dyDescent="0.3">
      <c r="A3226">
        <v>2024004224</v>
      </c>
      <c r="B3226" s="1">
        <v>45469</v>
      </c>
      <c r="C3226" s="11">
        <f t="shared" si="150"/>
        <v>2024</v>
      </c>
      <c r="D3226" t="s">
        <v>11</v>
      </c>
      <c r="E3226" t="s">
        <v>23</v>
      </c>
      <c r="F3226" t="s">
        <v>24</v>
      </c>
      <c r="G3226" t="s">
        <v>14</v>
      </c>
      <c r="H3226">
        <v>2</v>
      </c>
      <c r="I3226" s="2">
        <v>81.72</v>
      </c>
      <c r="J3226" s="2">
        <v>163.44</v>
      </c>
      <c r="K3226" s="2">
        <f t="shared" si="151"/>
        <v>163.44</v>
      </c>
      <c r="L3226" s="2">
        <f t="shared" si="152"/>
        <v>0</v>
      </c>
      <c r="M3226" t="s">
        <v>64</v>
      </c>
      <c r="N3226" t="s">
        <v>26</v>
      </c>
    </row>
    <row r="3227" spans="1:14" x14ac:dyDescent="0.3">
      <c r="A3227">
        <v>2024004225</v>
      </c>
      <c r="B3227" s="1">
        <v>45550</v>
      </c>
      <c r="C3227" s="11">
        <f t="shared" si="150"/>
        <v>2024</v>
      </c>
      <c r="D3227" t="s">
        <v>190</v>
      </c>
      <c r="E3227" t="s">
        <v>34</v>
      </c>
      <c r="F3227" t="s">
        <v>35</v>
      </c>
      <c r="G3227" t="s">
        <v>36</v>
      </c>
      <c r="H3227">
        <v>3</v>
      </c>
      <c r="I3227" s="2">
        <v>14.4</v>
      </c>
      <c r="J3227" s="2">
        <v>43.2</v>
      </c>
      <c r="K3227" s="2">
        <f t="shared" si="151"/>
        <v>43.2</v>
      </c>
      <c r="L3227" s="2">
        <f t="shared" si="152"/>
        <v>0</v>
      </c>
      <c r="M3227" t="s">
        <v>57</v>
      </c>
      <c r="N3227" t="s">
        <v>32</v>
      </c>
    </row>
    <row r="3228" spans="1:14" x14ac:dyDescent="0.3">
      <c r="A3228">
        <v>2024004226</v>
      </c>
      <c r="B3228" s="1">
        <v>45551</v>
      </c>
      <c r="C3228" s="11">
        <f t="shared" si="150"/>
        <v>2024</v>
      </c>
      <c r="D3228" t="s">
        <v>59</v>
      </c>
      <c r="E3228" t="s">
        <v>34</v>
      </c>
      <c r="F3228" t="s">
        <v>35</v>
      </c>
      <c r="G3228" t="s">
        <v>36</v>
      </c>
      <c r="H3228">
        <v>4</v>
      </c>
      <c r="I3228" s="2">
        <v>15.52</v>
      </c>
      <c r="J3228" s="2">
        <v>62.08</v>
      </c>
      <c r="K3228" s="2">
        <f t="shared" si="151"/>
        <v>62.08</v>
      </c>
      <c r="L3228" s="2">
        <f t="shared" si="152"/>
        <v>0</v>
      </c>
      <c r="M3228" t="s">
        <v>61</v>
      </c>
      <c r="N3228" t="s">
        <v>32</v>
      </c>
    </row>
    <row r="3229" spans="1:14" x14ac:dyDescent="0.3">
      <c r="A3229">
        <v>2024004227</v>
      </c>
      <c r="B3229" s="1">
        <v>45372</v>
      </c>
      <c r="C3229" s="11">
        <f t="shared" si="150"/>
        <v>2024</v>
      </c>
      <c r="D3229" t="s">
        <v>96</v>
      </c>
      <c r="E3229" t="s">
        <v>34</v>
      </c>
      <c r="F3229" t="s">
        <v>35</v>
      </c>
      <c r="G3229" t="s">
        <v>36</v>
      </c>
      <c r="H3229">
        <v>3</v>
      </c>
      <c r="I3229" s="2">
        <v>13.19</v>
      </c>
      <c r="J3229" s="2">
        <v>39.57</v>
      </c>
      <c r="K3229" s="2">
        <f t="shared" si="151"/>
        <v>39.57</v>
      </c>
      <c r="L3229" s="2">
        <f t="shared" si="152"/>
        <v>0</v>
      </c>
      <c r="M3229" t="s">
        <v>25</v>
      </c>
      <c r="N3229" t="s">
        <v>26</v>
      </c>
    </row>
    <row r="3230" spans="1:14" x14ac:dyDescent="0.3">
      <c r="A3230">
        <v>2024004228</v>
      </c>
      <c r="B3230" s="1">
        <v>45325</v>
      </c>
      <c r="C3230" s="11">
        <f t="shared" si="150"/>
        <v>2024</v>
      </c>
      <c r="D3230" t="s">
        <v>188</v>
      </c>
      <c r="E3230" t="s">
        <v>43</v>
      </c>
      <c r="F3230" t="s">
        <v>44</v>
      </c>
      <c r="G3230" t="s">
        <v>36</v>
      </c>
      <c r="H3230">
        <v>3</v>
      </c>
      <c r="I3230" s="2">
        <v>1219.32</v>
      </c>
      <c r="J3230" s="2">
        <v>3657.96</v>
      </c>
      <c r="K3230" s="2">
        <f t="shared" si="151"/>
        <v>3657.96</v>
      </c>
      <c r="L3230" s="2">
        <f t="shared" si="152"/>
        <v>0</v>
      </c>
      <c r="M3230" t="s">
        <v>15</v>
      </c>
      <c r="N3230" t="s">
        <v>26</v>
      </c>
    </row>
    <row r="3231" spans="1:14" x14ac:dyDescent="0.3">
      <c r="A3231">
        <v>2024004229</v>
      </c>
      <c r="B3231" s="1">
        <v>45464</v>
      </c>
      <c r="C3231" s="11">
        <f t="shared" si="150"/>
        <v>2024</v>
      </c>
      <c r="D3231" t="s">
        <v>49</v>
      </c>
      <c r="E3231" t="s">
        <v>43</v>
      </c>
      <c r="F3231" t="s">
        <v>44</v>
      </c>
      <c r="G3231" t="s">
        <v>36</v>
      </c>
      <c r="H3231">
        <v>2</v>
      </c>
      <c r="I3231" s="2">
        <v>1172.0999999999999</v>
      </c>
      <c r="J3231" s="2">
        <v>2344.1999999999998</v>
      </c>
      <c r="K3231" s="2">
        <f t="shared" si="151"/>
        <v>2344.1999999999998</v>
      </c>
      <c r="L3231" s="2">
        <f t="shared" si="152"/>
        <v>0</v>
      </c>
      <c r="M3231" t="s">
        <v>57</v>
      </c>
      <c r="N3231" t="s">
        <v>21</v>
      </c>
    </row>
    <row r="3232" spans="1:14" x14ac:dyDescent="0.3">
      <c r="A3232">
        <v>2024004230</v>
      </c>
      <c r="B3232" s="1">
        <v>45594</v>
      </c>
      <c r="C3232" s="11">
        <f t="shared" si="150"/>
        <v>2024</v>
      </c>
      <c r="D3232" t="s">
        <v>255</v>
      </c>
      <c r="E3232" t="s">
        <v>34</v>
      </c>
      <c r="F3232" t="s">
        <v>35</v>
      </c>
      <c r="G3232" t="s">
        <v>36</v>
      </c>
      <c r="H3232">
        <v>1</v>
      </c>
      <c r="I3232" s="2">
        <v>14.48</v>
      </c>
      <c r="J3232" s="2">
        <v>14.48</v>
      </c>
      <c r="K3232" s="2">
        <f t="shared" si="151"/>
        <v>14.48</v>
      </c>
      <c r="L3232" s="2">
        <f t="shared" si="152"/>
        <v>0</v>
      </c>
      <c r="M3232" t="s">
        <v>61</v>
      </c>
      <c r="N3232" t="s">
        <v>21</v>
      </c>
    </row>
    <row r="3233" spans="1:14" x14ac:dyDescent="0.3">
      <c r="A3233">
        <v>2024004231</v>
      </c>
      <c r="B3233" s="1">
        <v>45514</v>
      </c>
      <c r="C3233" s="11">
        <f t="shared" si="150"/>
        <v>2024</v>
      </c>
      <c r="D3233" t="s">
        <v>60</v>
      </c>
      <c r="E3233" t="s">
        <v>23</v>
      </c>
      <c r="F3233" t="s">
        <v>24</v>
      </c>
      <c r="G3233" t="s">
        <v>14</v>
      </c>
      <c r="H3233">
        <v>1</v>
      </c>
      <c r="I3233" s="2">
        <v>81.739999999999995</v>
      </c>
      <c r="J3233" s="2">
        <v>81.739999999999995</v>
      </c>
      <c r="K3233" s="2">
        <f t="shared" si="151"/>
        <v>81.739999999999995</v>
      </c>
      <c r="L3233" s="2">
        <f t="shared" si="152"/>
        <v>0</v>
      </c>
      <c r="M3233" t="s">
        <v>57</v>
      </c>
      <c r="N3233" t="s">
        <v>32</v>
      </c>
    </row>
    <row r="3234" spans="1:14" x14ac:dyDescent="0.3">
      <c r="A3234">
        <v>2024004232</v>
      </c>
      <c r="B3234" s="1">
        <v>45528</v>
      </c>
      <c r="C3234" s="11">
        <f t="shared" si="150"/>
        <v>2024</v>
      </c>
      <c r="D3234" t="s">
        <v>27</v>
      </c>
      <c r="E3234" t="s">
        <v>53</v>
      </c>
      <c r="F3234" t="s">
        <v>54</v>
      </c>
      <c r="G3234" t="s">
        <v>36</v>
      </c>
      <c r="H3234">
        <v>1</v>
      </c>
      <c r="I3234" s="2">
        <v>117.59</v>
      </c>
      <c r="J3234" s="2">
        <v>117.59</v>
      </c>
      <c r="K3234" s="2">
        <f t="shared" si="151"/>
        <v>117.59</v>
      </c>
      <c r="L3234" s="2">
        <f t="shared" si="152"/>
        <v>0</v>
      </c>
      <c r="M3234" t="s">
        <v>55</v>
      </c>
      <c r="N3234" t="s">
        <v>26</v>
      </c>
    </row>
    <row r="3235" spans="1:14" x14ac:dyDescent="0.3">
      <c r="A3235">
        <v>2024004233</v>
      </c>
      <c r="B3235" s="1">
        <v>45612</v>
      </c>
      <c r="C3235" s="11">
        <f t="shared" si="150"/>
        <v>2024</v>
      </c>
      <c r="D3235" t="s">
        <v>230</v>
      </c>
      <c r="E3235" t="s">
        <v>67</v>
      </c>
      <c r="F3235" t="s">
        <v>68</v>
      </c>
      <c r="G3235" t="s">
        <v>36</v>
      </c>
      <c r="H3235">
        <v>3</v>
      </c>
      <c r="I3235" s="2">
        <v>417.17</v>
      </c>
      <c r="J3235" s="2">
        <v>1251.51</v>
      </c>
      <c r="K3235" s="2">
        <f t="shared" si="151"/>
        <v>1251.51</v>
      </c>
      <c r="L3235" s="2">
        <f t="shared" si="152"/>
        <v>0</v>
      </c>
      <c r="M3235" t="s">
        <v>61</v>
      </c>
      <c r="N3235" t="s">
        <v>16</v>
      </c>
    </row>
    <row r="3236" spans="1:14" x14ac:dyDescent="0.3">
      <c r="A3236">
        <v>2024004234</v>
      </c>
      <c r="B3236" s="1">
        <v>45454</v>
      </c>
      <c r="C3236" s="11">
        <f t="shared" si="150"/>
        <v>2024</v>
      </c>
      <c r="D3236" t="s">
        <v>117</v>
      </c>
      <c r="E3236" t="s">
        <v>53</v>
      </c>
      <c r="F3236" t="s">
        <v>54</v>
      </c>
      <c r="G3236" t="s">
        <v>36</v>
      </c>
      <c r="H3236">
        <v>1</v>
      </c>
      <c r="I3236" s="2">
        <v>119.04</v>
      </c>
      <c r="J3236" s="2">
        <v>119.04</v>
      </c>
      <c r="K3236" s="2">
        <f t="shared" si="151"/>
        <v>119.04</v>
      </c>
      <c r="L3236" s="2">
        <f t="shared" si="152"/>
        <v>0</v>
      </c>
      <c r="M3236" t="s">
        <v>25</v>
      </c>
      <c r="N3236" t="s">
        <v>32</v>
      </c>
    </row>
    <row r="3237" spans="1:14" x14ac:dyDescent="0.3">
      <c r="A3237">
        <v>2024004235</v>
      </c>
      <c r="B3237" s="1">
        <v>45415</v>
      </c>
      <c r="C3237" s="11">
        <f t="shared" si="150"/>
        <v>2024</v>
      </c>
      <c r="D3237" t="s">
        <v>241</v>
      </c>
      <c r="E3237" t="s">
        <v>53</v>
      </c>
      <c r="F3237" t="s">
        <v>54</v>
      </c>
      <c r="G3237" t="s">
        <v>36</v>
      </c>
      <c r="H3237">
        <v>1</v>
      </c>
      <c r="I3237" s="2">
        <v>116.89</v>
      </c>
      <c r="J3237" s="2">
        <v>116.89</v>
      </c>
      <c r="K3237" s="2">
        <f t="shared" si="151"/>
        <v>116.89</v>
      </c>
      <c r="L3237" s="2">
        <f t="shared" si="152"/>
        <v>0</v>
      </c>
      <c r="M3237" t="s">
        <v>31</v>
      </c>
      <c r="N3237" t="s">
        <v>26</v>
      </c>
    </row>
    <row r="3238" spans="1:14" x14ac:dyDescent="0.3">
      <c r="A3238">
        <v>2024004236</v>
      </c>
      <c r="B3238" s="1">
        <v>45490</v>
      </c>
      <c r="C3238" s="11">
        <f t="shared" si="150"/>
        <v>2024</v>
      </c>
      <c r="D3238" t="s">
        <v>83</v>
      </c>
      <c r="E3238" t="s">
        <v>23</v>
      </c>
      <c r="F3238" t="s">
        <v>24</v>
      </c>
      <c r="G3238" t="s">
        <v>14</v>
      </c>
      <c r="H3238">
        <v>5</v>
      </c>
      <c r="I3238" s="2">
        <v>79.489999999999995</v>
      </c>
      <c r="J3238" s="2">
        <v>397.45</v>
      </c>
      <c r="K3238" s="2">
        <f t="shared" si="151"/>
        <v>397.45</v>
      </c>
      <c r="L3238" s="2">
        <f t="shared" si="152"/>
        <v>0</v>
      </c>
      <c r="M3238" t="s">
        <v>48</v>
      </c>
      <c r="N3238" t="s">
        <v>21</v>
      </c>
    </row>
    <row r="3239" spans="1:14" x14ac:dyDescent="0.3">
      <c r="A3239">
        <v>2024004237</v>
      </c>
      <c r="B3239" s="1">
        <v>45481</v>
      </c>
      <c r="C3239" s="11">
        <f t="shared" si="150"/>
        <v>2024</v>
      </c>
      <c r="D3239" t="s">
        <v>266</v>
      </c>
      <c r="E3239" t="s">
        <v>40</v>
      </c>
      <c r="F3239" t="s">
        <v>41</v>
      </c>
      <c r="G3239" t="s">
        <v>36</v>
      </c>
      <c r="H3239">
        <v>1</v>
      </c>
      <c r="I3239" s="2">
        <v>44.59</v>
      </c>
      <c r="J3239" s="2">
        <v>44.59</v>
      </c>
      <c r="K3239" s="2">
        <f t="shared" si="151"/>
        <v>44.59</v>
      </c>
      <c r="L3239" s="2">
        <f t="shared" si="152"/>
        <v>0</v>
      </c>
      <c r="M3239" t="s">
        <v>61</v>
      </c>
      <c r="N3239" t="s">
        <v>16</v>
      </c>
    </row>
    <row r="3240" spans="1:14" x14ac:dyDescent="0.3">
      <c r="A3240">
        <v>2024004238</v>
      </c>
      <c r="B3240" s="1">
        <v>45391</v>
      </c>
      <c r="C3240" s="11">
        <f t="shared" si="150"/>
        <v>2024</v>
      </c>
      <c r="D3240" t="s">
        <v>116</v>
      </c>
      <c r="E3240" t="s">
        <v>67</v>
      </c>
      <c r="F3240" t="s">
        <v>68</v>
      </c>
      <c r="G3240" t="s">
        <v>36</v>
      </c>
      <c r="H3240">
        <v>1</v>
      </c>
      <c r="I3240" s="2">
        <v>396</v>
      </c>
      <c r="J3240" s="2">
        <v>396</v>
      </c>
      <c r="K3240" s="2">
        <f t="shared" si="151"/>
        <v>396</v>
      </c>
      <c r="L3240" s="2">
        <f t="shared" si="152"/>
        <v>0</v>
      </c>
      <c r="M3240" t="s">
        <v>55</v>
      </c>
      <c r="N3240" t="s">
        <v>32</v>
      </c>
    </row>
    <row r="3241" spans="1:14" x14ac:dyDescent="0.3">
      <c r="A3241">
        <v>2024004239</v>
      </c>
      <c r="B3241" s="1">
        <v>45372</v>
      </c>
      <c r="C3241" s="11">
        <f t="shared" si="150"/>
        <v>2024</v>
      </c>
      <c r="D3241" t="s">
        <v>233</v>
      </c>
      <c r="E3241" t="s">
        <v>18</v>
      </c>
      <c r="F3241" t="s">
        <v>19</v>
      </c>
      <c r="G3241" t="s">
        <v>14</v>
      </c>
      <c r="H3241">
        <v>2</v>
      </c>
      <c r="I3241" s="2">
        <v>622.29</v>
      </c>
      <c r="J3241" s="2">
        <v>1244.58</v>
      </c>
      <c r="K3241" s="2">
        <f t="shared" si="151"/>
        <v>1244.58</v>
      </c>
      <c r="L3241" s="2">
        <f t="shared" si="152"/>
        <v>0</v>
      </c>
      <c r="M3241" t="s">
        <v>57</v>
      </c>
      <c r="N3241" t="s">
        <v>16</v>
      </c>
    </row>
    <row r="3242" spans="1:14" x14ac:dyDescent="0.3">
      <c r="A3242">
        <v>2024004240</v>
      </c>
      <c r="B3242" s="1">
        <v>45525</v>
      </c>
      <c r="C3242" s="11">
        <f t="shared" si="150"/>
        <v>2024</v>
      </c>
      <c r="D3242" t="s">
        <v>343</v>
      </c>
      <c r="E3242" t="s">
        <v>34</v>
      </c>
      <c r="F3242" t="s">
        <v>35</v>
      </c>
      <c r="G3242" t="s">
        <v>36</v>
      </c>
      <c r="H3242">
        <v>3</v>
      </c>
      <c r="I3242" s="2">
        <v>15.06</v>
      </c>
      <c r="J3242" s="2">
        <v>45.18</v>
      </c>
      <c r="K3242" s="2">
        <f t="shared" si="151"/>
        <v>45.18</v>
      </c>
      <c r="L3242" s="2">
        <f t="shared" si="152"/>
        <v>0</v>
      </c>
      <c r="M3242" t="s">
        <v>57</v>
      </c>
      <c r="N3242" t="s">
        <v>16</v>
      </c>
    </row>
    <row r="3243" spans="1:14" x14ac:dyDescent="0.3">
      <c r="A3243">
        <v>2024004241</v>
      </c>
      <c r="B3243" s="1">
        <v>45471</v>
      </c>
      <c r="C3243" s="11">
        <f t="shared" si="150"/>
        <v>2024</v>
      </c>
      <c r="D3243" t="s">
        <v>156</v>
      </c>
      <c r="E3243" t="s">
        <v>28</v>
      </c>
      <c r="F3243" t="s">
        <v>29</v>
      </c>
      <c r="G3243" t="s">
        <v>30</v>
      </c>
      <c r="H3243">
        <v>0</v>
      </c>
      <c r="I3243" s="2">
        <v>24.22</v>
      </c>
      <c r="J3243" s="2">
        <v>0</v>
      </c>
      <c r="K3243" s="2">
        <f t="shared" si="151"/>
        <v>0</v>
      </c>
      <c r="L3243" s="2">
        <f t="shared" si="152"/>
        <v>0</v>
      </c>
      <c r="M3243" t="s">
        <v>55</v>
      </c>
      <c r="N3243" t="s">
        <v>21</v>
      </c>
    </row>
    <row r="3244" spans="1:14" x14ac:dyDescent="0.3">
      <c r="A3244">
        <v>2024004242</v>
      </c>
      <c r="B3244" s="1">
        <v>45466</v>
      </c>
      <c r="C3244" s="11">
        <f t="shared" si="150"/>
        <v>2024</v>
      </c>
      <c r="D3244" t="s">
        <v>11</v>
      </c>
      <c r="E3244" t="s">
        <v>34</v>
      </c>
      <c r="F3244" t="s">
        <v>35</v>
      </c>
      <c r="G3244" t="s">
        <v>36</v>
      </c>
      <c r="H3244">
        <v>4</v>
      </c>
      <c r="I3244" s="2">
        <v>16.149999999999999</v>
      </c>
      <c r="J3244" s="2">
        <v>64.599999999999994</v>
      </c>
      <c r="K3244" s="2">
        <f t="shared" si="151"/>
        <v>64.599999999999994</v>
      </c>
      <c r="L3244" s="2">
        <f t="shared" si="152"/>
        <v>0</v>
      </c>
      <c r="M3244" t="s">
        <v>61</v>
      </c>
      <c r="N3244" t="s">
        <v>16</v>
      </c>
    </row>
    <row r="3245" spans="1:14" x14ac:dyDescent="0.3">
      <c r="A3245">
        <v>2024004243</v>
      </c>
      <c r="B3245" s="1">
        <v>45569</v>
      </c>
      <c r="C3245" s="11">
        <f t="shared" si="150"/>
        <v>2024</v>
      </c>
      <c r="D3245" t="s">
        <v>144</v>
      </c>
      <c r="E3245" t="s">
        <v>67</v>
      </c>
      <c r="F3245" t="s">
        <v>68</v>
      </c>
      <c r="G3245" t="s">
        <v>36</v>
      </c>
      <c r="H3245">
        <v>3</v>
      </c>
      <c r="I3245" s="2">
        <v>411.66</v>
      </c>
      <c r="J3245" s="2">
        <v>1234.98</v>
      </c>
      <c r="K3245" s="2">
        <f t="shared" si="151"/>
        <v>1234.98</v>
      </c>
      <c r="L3245" s="2">
        <f t="shared" si="152"/>
        <v>0</v>
      </c>
      <c r="M3245" t="s">
        <v>48</v>
      </c>
      <c r="N3245" t="s">
        <v>16</v>
      </c>
    </row>
    <row r="3246" spans="1:14" x14ac:dyDescent="0.3">
      <c r="A3246">
        <v>2024004244</v>
      </c>
      <c r="B3246" s="1">
        <v>45472</v>
      </c>
      <c r="C3246" s="11">
        <f t="shared" si="150"/>
        <v>2024</v>
      </c>
      <c r="D3246" t="s">
        <v>169</v>
      </c>
      <c r="E3246" t="s">
        <v>43</v>
      </c>
      <c r="F3246" t="s">
        <v>44</v>
      </c>
      <c r="G3246" t="s">
        <v>36</v>
      </c>
      <c r="H3246">
        <v>2</v>
      </c>
      <c r="I3246" s="2">
        <v>1241.79</v>
      </c>
      <c r="J3246" s="2">
        <v>2483.58</v>
      </c>
      <c r="K3246" s="2">
        <f t="shared" si="151"/>
        <v>2483.58</v>
      </c>
      <c r="L3246" s="2">
        <f t="shared" si="152"/>
        <v>0</v>
      </c>
      <c r="M3246" t="s">
        <v>38</v>
      </c>
      <c r="N3246" t="s">
        <v>21</v>
      </c>
    </row>
    <row r="3247" spans="1:14" x14ac:dyDescent="0.3">
      <c r="A3247">
        <v>2024004245</v>
      </c>
      <c r="B3247" s="1">
        <v>45625</v>
      </c>
      <c r="C3247" s="11">
        <f t="shared" si="150"/>
        <v>2024</v>
      </c>
      <c r="D3247" t="s">
        <v>207</v>
      </c>
      <c r="E3247" t="s">
        <v>23</v>
      </c>
      <c r="F3247" t="s">
        <v>24</v>
      </c>
      <c r="G3247" t="s">
        <v>14</v>
      </c>
      <c r="H3247">
        <v>1</v>
      </c>
      <c r="I3247" s="2">
        <v>83.18</v>
      </c>
      <c r="J3247" s="2">
        <v>83.18</v>
      </c>
      <c r="K3247" s="2">
        <f t="shared" si="151"/>
        <v>83.18</v>
      </c>
      <c r="L3247" s="2">
        <f t="shared" si="152"/>
        <v>0</v>
      </c>
      <c r="M3247" t="s">
        <v>25</v>
      </c>
      <c r="N3247" t="s">
        <v>21</v>
      </c>
    </row>
    <row r="3248" spans="1:14" x14ac:dyDescent="0.3">
      <c r="A3248">
        <v>2024004246</v>
      </c>
      <c r="B3248" s="1">
        <v>45471</v>
      </c>
      <c r="C3248" s="11">
        <f t="shared" si="150"/>
        <v>2024</v>
      </c>
      <c r="D3248" t="s">
        <v>84</v>
      </c>
      <c r="E3248" t="s">
        <v>40</v>
      </c>
      <c r="F3248" t="s">
        <v>41</v>
      </c>
      <c r="G3248" t="s">
        <v>36</v>
      </c>
      <c r="H3248">
        <v>1</v>
      </c>
      <c r="I3248" s="2">
        <v>46.15</v>
      </c>
      <c r="J3248" s="2">
        <v>46.15</v>
      </c>
      <c r="K3248" s="2">
        <f t="shared" si="151"/>
        <v>46.15</v>
      </c>
      <c r="L3248" s="2">
        <f t="shared" si="152"/>
        <v>0</v>
      </c>
      <c r="M3248" t="s">
        <v>20</v>
      </c>
      <c r="N3248" t="s">
        <v>26</v>
      </c>
    </row>
    <row r="3249" spans="1:14" x14ac:dyDescent="0.3">
      <c r="A3249">
        <v>2024004247</v>
      </c>
      <c r="B3249" s="1">
        <v>45623</v>
      </c>
      <c r="C3249" s="11">
        <f t="shared" si="150"/>
        <v>2024</v>
      </c>
      <c r="D3249" t="s">
        <v>91</v>
      </c>
      <c r="E3249" t="s">
        <v>40</v>
      </c>
      <c r="F3249" t="s">
        <v>41</v>
      </c>
      <c r="G3249" t="s">
        <v>36</v>
      </c>
      <c r="H3249">
        <v>1</v>
      </c>
      <c r="I3249" s="2">
        <v>45.72</v>
      </c>
      <c r="J3249" s="2">
        <v>45.72</v>
      </c>
      <c r="K3249" s="2">
        <f t="shared" si="151"/>
        <v>45.72</v>
      </c>
      <c r="L3249" s="2">
        <f t="shared" si="152"/>
        <v>0</v>
      </c>
      <c r="M3249" t="s">
        <v>55</v>
      </c>
      <c r="N3249" t="s">
        <v>32</v>
      </c>
    </row>
    <row r="3250" spans="1:14" x14ac:dyDescent="0.3">
      <c r="A3250">
        <v>2024004248</v>
      </c>
      <c r="B3250" s="1">
        <v>45510</v>
      </c>
      <c r="C3250" s="11">
        <f t="shared" si="150"/>
        <v>2024</v>
      </c>
      <c r="D3250" t="s">
        <v>11</v>
      </c>
      <c r="E3250" t="s">
        <v>23</v>
      </c>
      <c r="F3250" t="s">
        <v>24</v>
      </c>
      <c r="G3250" t="s">
        <v>14</v>
      </c>
      <c r="H3250">
        <v>2</v>
      </c>
      <c r="I3250" s="2">
        <v>86.9</v>
      </c>
      <c r="J3250" s="2">
        <v>173.8</v>
      </c>
      <c r="K3250" s="2">
        <f t="shared" si="151"/>
        <v>173.8</v>
      </c>
      <c r="L3250" s="2">
        <f t="shared" si="152"/>
        <v>0</v>
      </c>
      <c r="M3250" t="s">
        <v>55</v>
      </c>
      <c r="N3250" t="s">
        <v>26</v>
      </c>
    </row>
    <row r="3251" spans="1:14" x14ac:dyDescent="0.3">
      <c r="A3251">
        <v>2024004249</v>
      </c>
      <c r="B3251" s="1">
        <v>45293</v>
      </c>
      <c r="C3251" s="11">
        <f t="shared" si="150"/>
        <v>2024</v>
      </c>
      <c r="D3251" t="s">
        <v>160</v>
      </c>
      <c r="E3251" t="s">
        <v>34</v>
      </c>
      <c r="F3251" t="s">
        <v>35</v>
      </c>
      <c r="G3251" t="s">
        <v>36</v>
      </c>
      <c r="H3251">
        <v>3</v>
      </c>
      <c r="I3251" s="2">
        <v>15.54</v>
      </c>
      <c r="J3251" s="2">
        <v>46.62</v>
      </c>
      <c r="K3251" s="2">
        <f t="shared" si="151"/>
        <v>46.62</v>
      </c>
      <c r="L3251" s="2">
        <f t="shared" si="152"/>
        <v>0</v>
      </c>
      <c r="M3251" t="s">
        <v>31</v>
      </c>
      <c r="N3251" t="s">
        <v>21</v>
      </c>
    </row>
    <row r="3252" spans="1:14" x14ac:dyDescent="0.3">
      <c r="A3252">
        <v>2024004250</v>
      </c>
      <c r="B3252" s="1">
        <v>45321</v>
      </c>
      <c r="C3252" s="11">
        <f t="shared" si="150"/>
        <v>2024</v>
      </c>
      <c r="D3252" t="s">
        <v>252</v>
      </c>
      <c r="E3252" t="s">
        <v>53</v>
      </c>
      <c r="F3252" t="s">
        <v>54</v>
      </c>
      <c r="G3252" t="s">
        <v>36</v>
      </c>
      <c r="H3252">
        <v>3</v>
      </c>
      <c r="I3252" s="2">
        <v>122.62</v>
      </c>
      <c r="J3252" s="2">
        <v>367.86</v>
      </c>
      <c r="K3252" s="2">
        <f t="shared" si="151"/>
        <v>367.86</v>
      </c>
      <c r="L3252" s="2">
        <f t="shared" si="152"/>
        <v>0</v>
      </c>
      <c r="M3252" t="s">
        <v>15</v>
      </c>
      <c r="N3252" t="s">
        <v>32</v>
      </c>
    </row>
    <row r="3253" spans="1:14" x14ac:dyDescent="0.3">
      <c r="A3253">
        <v>2024004251</v>
      </c>
      <c r="B3253" s="1">
        <v>45359</v>
      </c>
      <c r="C3253" s="11">
        <f t="shared" si="150"/>
        <v>2024</v>
      </c>
      <c r="D3253" t="s">
        <v>267</v>
      </c>
      <c r="E3253" t="s">
        <v>67</v>
      </c>
      <c r="F3253" t="s">
        <v>68</v>
      </c>
      <c r="G3253" t="s">
        <v>36</v>
      </c>
      <c r="H3253">
        <v>1</v>
      </c>
      <c r="I3253" s="2">
        <v>402.28</v>
      </c>
      <c r="J3253" s="2">
        <v>402.28</v>
      </c>
      <c r="K3253" s="2">
        <f t="shared" si="151"/>
        <v>402.28</v>
      </c>
      <c r="L3253" s="2">
        <f t="shared" si="152"/>
        <v>0</v>
      </c>
      <c r="M3253" t="s">
        <v>64</v>
      </c>
      <c r="N3253" t="s">
        <v>26</v>
      </c>
    </row>
    <row r="3254" spans="1:14" x14ac:dyDescent="0.3">
      <c r="A3254">
        <v>2024004252</v>
      </c>
      <c r="B3254" s="1">
        <v>45531</v>
      </c>
      <c r="C3254" s="11">
        <f t="shared" si="150"/>
        <v>2024</v>
      </c>
      <c r="D3254" t="s">
        <v>160</v>
      </c>
      <c r="E3254" t="s">
        <v>43</v>
      </c>
      <c r="F3254" t="s">
        <v>44</v>
      </c>
      <c r="G3254" t="s">
        <v>36</v>
      </c>
      <c r="H3254">
        <v>1</v>
      </c>
      <c r="I3254" s="2">
        <v>1218.01</v>
      </c>
      <c r="J3254" s="2">
        <v>1218.01</v>
      </c>
      <c r="K3254" s="2">
        <f t="shared" si="151"/>
        <v>1218.01</v>
      </c>
      <c r="L3254" s="2">
        <f t="shared" si="152"/>
        <v>0</v>
      </c>
      <c r="M3254" t="s">
        <v>48</v>
      </c>
      <c r="N3254" t="s">
        <v>26</v>
      </c>
    </row>
    <row r="3255" spans="1:14" x14ac:dyDescent="0.3">
      <c r="A3255">
        <v>2024004253</v>
      </c>
      <c r="B3255" s="1">
        <v>45317</v>
      </c>
      <c r="C3255" s="11">
        <f t="shared" si="150"/>
        <v>2024</v>
      </c>
      <c r="D3255" t="s">
        <v>11</v>
      </c>
      <c r="E3255" t="s">
        <v>43</v>
      </c>
      <c r="F3255" t="s">
        <v>44</v>
      </c>
      <c r="G3255" t="s">
        <v>36</v>
      </c>
      <c r="H3255">
        <v>3</v>
      </c>
      <c r="I3255" s="2">
        <v>1240.48</v>
      </c>
      <c r="J3255" s="2">
        <v>3721.44</v>
      </c>
      <c r="K3255" s="2">
        <f t="shared" si="151"/>
        <v>3721.44</v>
      </c>
      <c r="L3255" s="2">
        <f t="shared" si="152"/>
        <v>0</v>
      </c>
      <c r="M3255" t="s">
        <v>61</v>
      </c>
      <c r="N3255" t="s">
        <v>26</v>
      </c>
    </row>
    <row r="3256" spans="1:14" x14ac:dyDescent="0.3">
      <c r="A3256">
        <v>2024004254</v>
      </c>
      <c r="B3256" s="1">
        <v>45359</v>
      </c>
      <c r="C3256" s="11">
        <f t="shared" si="150"/>
        <v>2024</v>
      </c>
      <c r="D3256" t="s">
        <v>175</v>
      </c>
      <c r="E3256" t="s">
        <v>34</v>
      </c>
      <c r="F3256" t="s">
        <v>35</v>
      </c>
      <c r="G3256" t="s">
        <v>36</v>
      </c>
      <c r="H3256">
        <v>2</v>
      </c>
      <c r="I3256" s="2">
        <v>15.92</v>
      </c>
      <c r="J3256" s="2">
        <v>31.84</v>
      </c>
      <c r="K3256" s="2">
        <f t="shared" si="151"/>
        <v>31.84</v>
      </c>
      <c r="L3256" s="2">
        <f t="shared" si="152"/>
        <v>0</v>
      </c>
      <c r="M3256" t="s">
        <v>61</v>
      </c>
      <c r="N3256" t="s">
        <v>26</v>
      </c>
    </row>
    <row r="3257" spans="1:14" x14ac:dyDescent="0.3">
      <c r="A3257">
        <v>2024004255</v>
      </c>
      <c r="B3257" s="1">
        <v>45557</v>
      </c>
      <c r="C3257" s="11">
        <f t="shared" si="150"/>
        <v>2024</v>
      </c>
      <c r="D3257" t="s">
        <v>250</v>
      </c>
      <c r="E3257" t="s">
        <v>23</v>
      </c>
      <c r="F3257" t="s">
        <v>24</v>
      </c>
      <c r="G3257" t="s">
        <v>14</v>
      </c>
      <c r="H3257">
        <v>1</v>
      </c>
      <c r="I3257" s="2">
        <v>75.150000000000006</v>
      </c>
      <c r="J3257" s="2">
        <v>75.150000000000006</v>
      </c>
      <c r="K3257" s="2">
        <f t="shared" si="151"/>
        <v>75.150000000000006</v>
      </c>
      <c r="L3257" s="2">
        <f t="shared" si="152"/>
        <v>0</v>
      </c>
      <c r="M3257" t="s">
        <v>15</v>
      </c>
      <c r="N3257" t="s">
        <v>26</v>
      </c>
    </row>
    <row r="3258" spans="1:14" x14ac:dyDescent="0.3">
      <c r="A3258">
        <v>2024004256</v>
      </c>
      <c r="B3258" s="1">
        <v>45318</v>
      </c>
      <c r="C3258" s="11">
        <f t="shared" si="150"/>
        <v>2024</v>
      </c>
      <c r="D3258" t="s">
        <v>65</v>
      </c>
      <c r="E3258" t="s">
        <v>43</v>
      </c>
      <c r="F3258" t="s">
        <v>44</v>
      </c>
      <c r="G3258" t="s">
        <v>36</v>
      </c>
      <c r="H3258">
        <v>3</v>
      </c>
      <c r="I3258" s="2">
        <v>1235.98</v>
      </c>
      <c r="J3258" s="2">
        <v>3707.94</v>
      </c>
      <c r="K3258" s="2">
        <f t="shared" si="151"/>
        <v>3707.94</v>
      </c>
      <c r="L3258" s="2">
        <f t="shared" si="152"/>
        <v>0</v>
      </c>
      <c r="M3258" t="s">
        <v>25</v>
      </c>
      <c r="N3258" t="s">
        <v>32</v>
      </c>
    </row>
    <row r="3259" spans="1:14" x14ac:dyDescent="0.3">
      <c r="A3259">
        <v>2024004257</v>
      </c>
      <c r="B3259" s="1">
        <v>45567</v>
      </c>
      <c r="C3259" s="11">
        <f t="shared" si="150"/>
        <v>2024</v>
      </c>
      <c r="D3259" t="s">
        <v>254</v>
      </c>
      <c r="E3259" t="s">
        <v>23</v>
      </c>
      <c r="F3259" t="s">
        <v>24</v>
      </c>
      <c r="G3259" t="s">
        <v>14</v>
      </c>
      <c r="H3259">
        <v>2</v>
      </c>
      <c r="I3259" s="2">
        <v>85.09</v>
      </c>
      <c r="J3259" s="2">
        <v>170.18</v>
      </c>
      <c r="K3259" s="2">
        <f t="shared" si="151"/>
        <v>170.18</v>
      </c>
      <c r="L3259" s="2">
        <f t="shared" si="152"/>
        <v>0</v>
      </c>
      <c r="M3259" t="s">
        <v>15</v>
      </c>
      <c r="N3259" t="s">
        <v>26</v>
      </c>
    </row>
    <row r="3260" spans="1:14" x14ac:dyDescent="0.3">
      <c r="A3260">
        <v>2024004258</v>
      </c>
      <c r="B3260" s="1">
        <v>45589</v>
      </c>
      <c r="C3260" s="11">
        <f t="shared" si="150"/>
        <v>2024</v>
      </c>
      <c r="D3260" t="s">
        <v>206</v>
      </c>
      <c r="E3260" t="s">
        <v>12</v>
      </c>
      <c r="F3260" t="s">
        <v>13</v>
      </c>
      <c r="G3260" t="s">
        <v>14</v>
      </c>
      <c r="H3260">
        <v>1</v>
      </c>
      <c r="I3260" s="2">
        <v>340.53</v>
      </c>
      <c r="J3260" s="2">
        <v>340.53</v>
      </c>
      <c r="K3260" s="2">
        <f t="shared" si="151"/>
        <v>340.53</v>
      </c>
      <c r="L3260" s="2">
        <f t="shared" si="152"/>
        <v>0</v>
      </c>
      <c r="M3260" t="s">
        <v>57</v>
      </c>
      <c r="N3260" t="s">
        <v>32</v>
      </c>
    </row>
    <row r="3261" spans="1:14" x14ac:dyDescent="0.3">
      <c r="A3261">
        <v>2024004259</v>
      </c>
      <c r="B3261" s="1">
        <v>45325</v>
      </c>
      <c r="C3261" s="11">
        <f t="shared" si="150"/>
        <v>2024</v>
      </c>
      <c r="D3261" t="s">
        <v>59</v>
      </c>
      <c r="E3261" t="s">
        <v>12</v>
      </c>
      <c r="F3261" t="s">
        <v>13</v>
      </c>
      <c r="G3261" t="s">
        <v>14</v>
      </c>
      <c r="H3261">
        <v>1</v>
      </c>
      <c r="I3261" s="2">
        <v>357.89</v>
      </c>
      <c r="J3261" s="2">
        <v>357.89</v>
      </c>
      <c r="K3261" s="2">
        <f t="shared" si="151"/>
        <v>357.89</v>
      </c>
      <c r="L3261" s="2">
        <f t="shared" si="152"/>
        <v>0</v>
      </c>
      <c r="M3261" t="s">
        <v>55</v>
      </c>
      <c r="N3261" t="s">
        <v>16</v>
      </c>
    </row>
    <row r="3262" spans="1:14" x14ac:dyDescent="0.3">
      <c r="A3262">
        <v>2024004260</v>
      </c>
      <c r="B3262" s="1">
        <v>45652</v>
      </c>
      <c r="C3262" s="11">
        <f t="shared" si="150"/>
        <v>2024</v>
      </c>
      <c r="D3262" t="s">
        <v>250</v>
      </c>
      <c r="E3262" t="s">
        <v>23</v>
      </c>
      <c r="F3262" t="s">
        <v>24</v>
      </c>
      <c r="G3262" t="s">
        <v>14</v>
      </c>
      <c r="H3262">
        <v>2</v>
      </c>
      <c r="I3262" s="2">
        <v>78.72</v>
      </c>
      <c r="J3262" s="2">
        <v>157.44</v>
      </c>
      <c r="K3262" s="2">
        <f t="shared" si="151"/>
        <v>157.44</v>
      </c>
      <c r="L3262" s="2">
        <f t="shared" si="152"/>
        <v>0</v>
      </c>
      <c r="M3262" t="s">
        <v>20</v>
      </c>
      <c r="N3262" t="s">
        <v>21</v>
      </c>
    </row>
    <row r="3263" spans="1:14" x14ac:dyDescent="0.3">
      <c r="A3263">
        <v>2024004261</v>
      </c>
      <c r="B3263" s="1">
        <v>45523</v>
      </c>
      <c r="C3263" s="11">
        <f t="shared" si="150"/>
        <v>2024</v>
      </c>
      <c r="D3263" t="s">
        <v>218</v>
      </c>
      <c r="E3263" t="s">
        <v>40</v>
      </c>
      <c r="F3263" t="s">
        <v>41</v>
      </c>
      <c r="G3263" t="s">
        <v>36</v>
      </c>
      <c r="H3263">
        <v>1</v>
      </c>
      <c r="I3263" s="2">
        <v>45.15</v>
      </c>
      <c r="J3263" s="2">
        <v>45.15</v>
      </c>
      <c r="K3263" s="2">
        <f t="shared" si="151"/>
        <v>45.15</v>
      </c>
      <c r="L3263" s="2">
        <f t="shared" si="152"/>
        <v>0</v>
      </c>
      <c r="M3263" t="s">
        <v>64</v>
      </c>
      <c r="N3263" t="s">
        <v>32</v>
      </c>
    </row>
    <row r="3264" spans="1:14" x14ac:dyDescent="0.3">
      <c r="A3264">
        <v>2024004262</v>
      </c>
      <c r="B3264" s="1">
        <v>45470</v>
      </c>
      <c r="C3264" s="11">
        <f t="shared" si="150"/>
        <v>2024</v>
      </c>
      <c r="D3264" t="s">
        <v>207</v>
      </c>
      <c r="E3264" t="s">
        <v>28</v>
      </c>
      <c r="F3264" t="s">
        <v>29</v>
      </c>
      <c r="G3264" t="s">
        <v>30</v>
      </c>
      <c r="H3264">
        <v>1</v>
      </c>
      <c r="I3264" s="2">
        <v>27.19</v>
      </c>
      <c r="J3264" s="2">
        <v>27.19</v>
      </c>
      <c r="K3264" s="2">
        <f t="shared" si="151"/>
        <v>27.19</v>
      </c>
      <c r="L3264" s="2">
        <f t="shared" si="152"/>
        <v>0</v>
      </c>
      <c r="M3264" t="s">
        <v>55</v>
      </c>
      <c r="N3264" t="s">
        <v>21</v>
      </c>
    </row>
    <row r="3265" spans="1:14" x14ac:dyDescent="0.3">
      <c r="A3265">
        <v>2024004263</v>
      </c>
      <c r="B3265" s="1">
        <v>45587</v>
      </c>
      <c r="C3265" s="11">
        <f t="shared" si="150"/>
        <v>2024</v>
      </c>
      <c r="D3265" t="s">
        <v>17</v>
      </c>
      <c r="E3265" t="s">
        <v>40</v>
      </c>
      <c r="F3265" t="s">
        <v>41</v>
      </c>
      <c r="G3265" t="s">
        <v>36</v>
      </c>
      <c r="H3265">
        <v>1</v>
      </c>
      <c r="I3265" s="2">
        <v>42.22</v>
      </c>
      <c r="J3265" s="2">
        <v>42.22</v>
      </c>
      <c r="K3265" s="2">
        <f t="shared" si="151"/>
        <v>42.22</v>
      </c>
      <c r="L3265" s="2">
        <f t="shared" si="152"/>
        <v>0</v>
      </c>
      <c r="M3265" t="s">
        <v>64</v>
      </c>
      <c r="N3265" t="s">
        <v>26</v>
      </c>
    </row>
    <row r="3266" spans="1:14" x14ac:dyDescent="0.3">
      <c r="A3266">
        <v>2024004264</v>
      </c>
      <c r="B3266" s="1">
        <v>45633</v>
      </c>
      <c r="C3266" s="11">
        <f t="shared" si="150"/>
        <v>2024</v>
      </c>
      <c r="D3266" t="s">
        <v>27</v>
      </c>
      <c r="E3266" t="s">
        <v>46</v>
      </c>
      <c r="F3266" t="s">
        <v>47</v>
      </c>
      <c r="G3266" t="s">
        <v>36</v>
      </c>
      <c r="H3266">
        <v>1</v>
      </c>
      <c r="I3266" s="2">
        <v>90.18</v>
      </c>
      <c r="J3266" s="2">
        <v>90.18</v>
      </c>
      <c r="K3266" s="2">
        <f t="shared" si="151"/>
        <v>90.18</v>
      </c>
      <c r="L3266" s="2">
        <f t="shared" si="152"/>
        <v>0</v>
      </c>
      <c r="M3266" t="s">
        <v>61</v>
      </c>
      <c r="N3266" t="s">
        <v>26</v>
      </c>
    </row>
    <row r="3267" spans="1:14" x14ac:dyDescent="0.3">
      <c r="A3267">
        <v>2024004265</v>
      </c>
      <c r="B3267" s="1">
        <v>45625</v>
      </c>
      <c r="C3267" s="11">
        <f t="shared" ref="C3267:C3330" si="153">YEAR(B3267)</f>
        <v>2024</v>
      </c>
      <c r="D3267" t="s">
        <v>156</v>
      </c>
      <c r="E3267" t="s">
        <v>40</v>
      </c>
      <c r="F3267" t="s">
        <v>41</v>
      </c>
      <c r="G3267" t="s">
        <v>36</v>
      </c>
      <c r="H3267">
        <v>2</v>
      </c>
      <c r="I3267" s="2">
        <v>47.45</v>
      </c>
      <c r="J3267" s="2">
        <v>94.9</v>
      </c>
      <c r="K3267" s="2">
        <f t="shared" ref="K3267:K3330" si="154">I3267*H3267</f>
        <v>94.9</v>
      </c>
      <c r="L3267" s="2">
        <f t="shared" ref="L3267:L3330" si="155">J3267-K3267</f>
        <v>0</v>
      </c>
      <c r="M3267" t="s">
        <v>15</v>
      </c>
      <c r="N3267" t="s">
        <v>16</v>
      </c>
    </row>
    <row r="3268" spans="1:14" x14ac:dyDescent="0.3">
      <c r="A3268">
        <v>2024004266</v>
      </c>
      <c r="B3268" s="1">
        <v>45634</v>
      </c>
      <c r="C3268" s="11">
        <f t="shared" si="153"/>
        <v>2024</v>
      </c>
      <c r="D3268" t="s">
        <v>192</v>
      </c>
      <c r="E3268" t="s">
        <v>40</v>
      </c>
      <c r="F3268" t="s">
        <v>41</v>
      </c>
      <c r="G3268" t="s">
        <v>36</v>
      </c>
      <c r="H3268">
        <v>4</v>
      </c>
      <c r="I3268" s="2">
        <v>44.25</v>
      </c>
      <c r="J3268" s="2">
        <v>177</v>
      </c>
      <c r="K3268" s="2">
        <f t="shared" si="154"/>
        <v>177</v>
      </c>
      <c r="L3268" s="2">
        <f t="shared" si="155"/>
        <v>0</v>
      </c>
      <c r="M3268" t="s">
        <v>57</v>
      </c>
      <c r="N3268" t="s">
        <v>26</v>
      </c>
    </row>
    <row r="3269" spans="1:14" x14ac:dyDescent="0.3">
      <c r="A3269">
        <v>2024004267</v>
      </c>
      <c r="B3269" s="1">
        <v>45269</v>
      </c>
      <c r="C3269" s="11">
        <f t="shared" si="153"/>
        <v>2023</v>
      </c>
      <c r="D3269" t="s">
        <v>199</v>
      </c>
      <c r="E3269" t="s">
        <v>46</v>
      </c>
      <c r="F3269" t="s">
        <v>47</v>
      </c>
      <c r="G3269" t="s">
        <v>36</v>
      </c>
      <c r="H3269">
        <v>1</v>
      </c>
      <c r="I3269" s="2">
        <v>89.94</v>
      </c>
      <c r="J3269" s="2">
        <v>89.94</v>
      </c>
      <c r="K3269" s="2">
        <f t="shared" si="154"/>
        <v>89.94</v>
      </c>
      <c r="L3269" s="2">
        <f t="shared" si="155"/>
        <v>0</v>
      </c>
      <c r="M3269" t="s">
        <v>31</v>
      </c>
      <c r="N3269" t="s">
        <v>16</v>
      </c>
    </row>
    <row r="3270" spans="1:14" x14ac:dyDescent="0.3">
      <c r="A3270">
        <v>2024004268</v>
      </c>
      <c r="B3270" s="1">
        <v>45484</v>
      </c>
      <c r="C3270" s="11">
        <f t="shared" si="153"/>
        <v>2024</v>
      </c>
      <c r="D3270" t="s">
        <v>301</v>
      </c>
      <c r="E3270" t="s">
        <v>67</v>
      </c>
      <c r="F3270" t="s">
        <v>68</v>
      </c>
      <c r="G3270" t="s">
        <v>36</v>
      </c>
      <c r="H3270">
        <v>2</v>
      </c>
      <c r="I3270" s="2">
        <v>355.67</v>
      </c>
      <c r="J3270" s="2">
        <v>711.34</v>
      </c>
      <c r="K3270" s="2">
        <f t="shared" si="154"/>
        <v>711.34</v>
      </c>
      <c r="L3270" s="2">
        <f t="shared" si="155"/>
        <v>0</v>
      </c>
      <c r="M3270" t="s">
        <v>15</v>
      </c>
      <c r="N3270" t="s">
        <v>32</v>
      </c>
    </row>
    <row r="3271" spans="1:14" x14ac:dyDescent="0.3">
      <c r="A3271">
        <v>2024004269</v>
      </c>
      <c r="B3271" s="1">
        <v>45529</v>
      </c>
      <c r="C3271" s="11">
        <f t="shared" si="153"/>
        <v>2024</v>
      </c>
      <c r="D3271" t="s">
        <v>331</v>
      </c>
      <c r="E3271" t="s">
        <v>53</v>
      </c>
      <c r="F3271" t="s">
        <v>54</v>
      </c>
      <c r="G3271" t="s">
        <v>36</v>
      </c>
      <c r="H3271">
        <v>4</v>
      </c>
      <c r="I3271" s="2">
        <v>119.22</v>
      </c>
      <c r="J3271" s="2">
        <v>476.88</v>
      </c>
      <c r="K3271" s="2">
        <f t="shared" si="154"/>
        <v>476.88</v>
      </c>
      <c r="L3271" s="2">
        <f t="shared" si="155"/>
        <v>0</v>
      </c>
      <c r="M3271" t="s">
        <v>15</v>
      </c>
      <c r="N3271" t="s">
        <v>21</v>
      </c>
    </row>
    <row r="3272" spans="1:14" x14ac:dyDescent="0.3">
      <c r="A3272">
        <v>2024004270</v>
      </c>
      <c r="B3272" s="1">
        <v>45300</v>
      </c>
      <c r="C3272" s="11">
        <f t="shared" si="153"/>
        <v>2024</v>
      </c>
      <c r="D3272" t="s">
        <v>197</v>
      </c>
      <c r="E3272" t="s">
        <v>53</v>
      </c>
      <c r="F3272" t="s">
        <v>54</v>
      </c>
      <c r="G3272" t="s">
        <v>36</v>
      </c>
      <c r="H3272">
        <v>2</v>
      </c>
      <c r="I3272" s="2">
        <v>116.58</v>
      </c>
      <c r="J3272" s="2">
        <v>233.16</v>
      </c>
      <c r="K3272" s="2">
        <f t="shared" si="154"/>
        <v>233.16</v>
      </c>
      <c r="L3272" s="2">
        <f t="shared" si="155"/>
        <v>0</v>
      </c>
      <c r="M3272" t="s">
        <v>57</v>
      </c>
      <c r="N3272" t="s">
        <v>26</v>
      </c>
    </row>
    <row r="3273" spans="1:14" x14ac:dyDescent="0.3">
      <c r="A3273">
        <v>2024004271</v>
      </c>
      <c r="B3273" s="1">
        <v>45448</v>
      </c>
      <c r="C3273" s="11">
        <f t="shared" si="153"/>
        <v>2024</v>
      </c>
      <c r="D3273" t="s">
        <v>236</v>
      </c>
      <c r="E3273" t="s">
        <v>53</v>
      </c>
      <c r="F3273" t="s">
        <v>54</v>
      </c>
      <c r="G3273" t="s">
        <v>36</v>
      </c>
      <c r="H3273">
        <v>4</v>
      </c>
      <c r="I3273" s="2">
        <v>122.42</v>
      </c>
      <c r="J3273" s="2">
        <v>489.68</v>
      </c>
      <c r="K3273" s="2">
        <f t="shared" si="154"/>
        <v>489.68</v>
      </c>
      <c r="L3273" s="2">
        <f t="shared" si="155"/>
        <v>0</v>
      </c>
      <c r="M3273" t="s">
        <v>55</v>
      </c>
      <c r="N3273" t="s">
        <v>21</v>
      </c>
    </row>
    <row r="3274" spans="1:14" x14ac:dyDescent="0.3">
      <c r="A3274">
        <v>2024004272</v>
      </c>
      <c r="B3274" s="1">
        <v>45532</v>
      </c>
      <c r="C3274" s="11">
        <f t="shared" si="153"/>
        <v>2024</v>
      </c>
      <c r="D3274" t="s">
        <v>311</v>
      </c>
      <c r="E3274" t="s">
        <v>67</v>
      </c>
      <c r="F3274" t="s">
        <v>68</v>
      </c>
      <c r="G3274" t="s">
        <v>36</v>
      </c>
      <c r="H3274">
        <v>4</v>
      </c>
      <c r="I3274" s="2">
        <v>398.87</v>
      </c>
      <c r="J3274" s="2">
        <v>1595.48</v>
      </c>
      <c r="K3274" s="2">
        <f t="shared" si="154"/>
        <v>1595.48</v>
      </c>
      <c r="L3274" s="2">
        <f t="shared" si="155"/>
        <v>0</v>
      </c>
      <c r="M3274" t="s">
        <v>64</v>
      </c>
      <c r="N3274" t="s">
        <v>26</v>
      </c>
    </row>
    <row r="3275" spans="1:14" x14ac:dyDescent="0.3">
      <c r="A3275">
        <v>2024004273</v>
      </c>
      <c r="B3275" s="1">
        <v>45601</v>
      </c>
      <c r="C3275" s="11">
        <f t="shared" si="153"/>
        <v>2024</v>
      </c>
      <c r="D3275" t="s">
        <v>332</v>
      </c>
      <c r="E3275" t="s">
        <v>67</v>
      </c>
      <c r="F3275" t="s">
        <v>68</v>
      </c>
      <c r="G3275" t="s">
        <v>36</v>
      </c>
      <c r="H3275">
        <v>1</v>
      </c>
      <c r="I3275" s="2">
        <v>389.96</v>
      </c>
      <c r="J3275" s="2">
        <v>389.96</v>
      </c>
      <c r="K3275" s="2">
        <f t="shared" si="154"/>
        <v>389.96</v>
      </c>
      <c r="L3275" s="2">
        <f t="shared" si="155"/>
        <v>0</v>
      </c>
      <c r="M3275" t="s">
        <v>57</v>
      </c>
      <c r="N3275" t="s">
        <v>26</v>
      </c>
    </row>
    <row r="3276" spans="1:14" x14ac:dyDescent="0.3">
      <c r="A3276">
        <v>2024004274</v>
      </c>
      <c r="B3276" s="1">
        <v>45583</v>
      </c>
      <c r="C3276" s="11">
        <f t="shared" si="153"/>
        <v>2024</v>
      </c>
      <c r="D3276" t="s">
        <v>249</v>
      </c>
      <c r="E3276" t="s">
        <v>12</v>
      </c>
      <c r="F3276" t="s">
        <v>13</v>
      </c>
      <c r="G3276" t="s">
        <v>14</v>
      </c>
      <c r="H3276">
        <v>2</v>
      </c>
      <c r="I3276" s="2">
        <v>341.62</v>
      </c>
      <c r="J3276" s="2">
        <v>683.24</v>
      </c>
      <c r="K3276" s="2">
        <f t="shared" si="154"/>
        <v>683.24</v>
      </c>
      <c r="L3276" s="2">
        <f t="shared" si="155"/>
        <v>0</v>
      </c>
      <c r="M3276" t="s">
        <v>64</v>
      </c>
      <c r="N3276" t="s">
        <v>32</v>
      </c>
    </row>
    <row r="3277" spans="1:14" x14ac:dyDescent="0.3">
      <c r="A3277">
        <v>2024004275</v>
      </c>
      <c r="B3277" s="1">
        <v>45626</v>
      </c>
      <c r="C3277" s="11">
        <f t="shared" si="153"/>
        <v>2024</v>
      </c>
      <c r="D3277" t="s">
        <v>190</v>
      </c>
      <c r="E3277" t="s">
        <v>67</v>
      </c>
      <c r="F3277" t="s">
        <v>68</v>
      </c>
      <c r="G3277" t="s">
        <v>36</v>
      </c>
      <c r="H3277">
        <v>2</v>
      </c>
      <c r="I3277" s="2">
        <v>387.56</v>
      </c>
      <c r="J3277" s="2">
        <v>775.12</v>
      </c>
      <c r="K3277" s="2">
        <f t="shared" si="154"/>
        <v>775.12</v>
      </c>
      <c r="L3277" s="2">
        <f t="shared" si="155"/>
        <v>0</v>
      </c>
      <c r="M3277" t="s">
        <v>61</v>
      </c>
      <c r="N3277" t="s">
        <v>21</v>
      </c>
    </row>
    <row r="3278" spans="1:14" x14ac:dyDescent="0.3">
      <c r="A3278">
        <v>2024004276</v>
      </c>
      <c r="B3278" s="1">
        <v>45381</v>
      </c>
      <c r="C3278" s="11">
        <f t="shared" si="153"/>
        <v>2024</v>
      </c>
      <c r="D3278" t="s">
        <v>191</v>
      </c>
      <c r="E3278" t="s">
        <v>46</v>
      </c>
      <c r="F3278" t="s">
        <v>47</v>
      </c>
      <c r="G3278" t="s">
        <v>36</v>
      </c>
      <c r="H3278">
        <v>3</v>
      </c>
      <c r="I3278" s="2">
        <v>85.68</v>
      </c>
      <c r="J3278" s="2">
        <v>257.04000000000002</v>
      </c>
      <c r="K3278" s="2">
        <f t="shared" si="154"/>
        <v>257.04000000000002</v>
      </c>
      <c r="L3278" s="2">
        <f t="shared" si="155"/>
        <v>0</v>
      </c>
      <c r="M3278" t="s">
        <v>25</v>
      </c>
      <c r="N3278" t="s">
        <v>32</v>
      </c>
    </row>
    <row r="3279" spans="1:14" x14ac:dyDescent="0.3">
      <c r="A3279">
        <v>2024004277</v>
      </c>
      <c r="B3279" s="1">
        <v>45545</v>
      </c>
      <c r="C3279" s="11">
        <f t="shared" si="153"/>
        <v>2024</v>
      </c>
      <c r="D3279" t="s">
        <v>11</v>
      </c>
      <c r="E3279" t="s">
        <v>67</v>
      </c>
      <c r="F3279" t="s">
        <v>68</v>
      </c>
      <c r="G3279" t="s">
        <v>36</v>
      </c>
      <c r="H3279">
        <v>1</v>
      </c>
      <c r="I3279" s="2">
        <v>407.31</v>
      </c>
      <c r="J3279" s="2">
        <v>407.31</v>
      </c>
      <c r="K3279" s="2">
        <f t="shared" si="154"/>
        <v>407.31</v>
      </c>
      <c r="L3279" s="2">
        <f t="shared" si="155"/>
        <v>0</v>
      </c>
      <c r="M3279" t="s">
        <v>25</v>
      </c>
      <c r="N3279" t="s">
        <v>26</v>
      </c>
    </row>
    <row r="3280" spans="1:14" x14ac:dyDescent="0.3">
      <c r="A3280">
        <v>2024004278</v>
      </c>
      <c r="B3280" s="1">
        <v>45433</v>
      </c>
      <c r="C3280" s="11">
        <f t="shared" si="153"/>
        <v>2024</v>
      </c>
      <c r="D3280" t="s">
        <v>11</v>
      </c>
      <c r="E3280" t="s">
        <v>12</v>
      </c>
      <c r="F3280" t="s">
        <v>13</v>
      </c>
      <c r="G3280" t="s">
        <v>14</v>
      </c>
      <c r="H3280">
        <v>2</v>
      </c>
      <c r="I3280" s="2">
        <v>355.14</v>
      </c>
      <c r="J3280" s="2">
        <v>710.28</v>
      </c>
      <c r="K3280" s="2">
        <f t="shared" si="154"/>
        <v>710.28</v>
      </c>
      <c r="L3280" s="2">
        <f t="shared" si="155"/>
        <v>0</v>
      </c>
      <c r="M3280" t="s">
        <v>15</v>
      </c>
      <c r="N3280" t="s">
        <v>32</v>
      </c>
    </row>
    <row r="3281" spans="1:14" x14ac:dyDescent="0.3">
      <c r="A3281">
        <v>2024004279</v>
      </c>
      <c r="B3281" s="1">
        <v>45634</v>
      </c>
      <c r="C3281" s="11">
        <f t="shared" si="153"/>
        <v>2024</v>
      </c>
      <c r="D3281" t="s">
        <v>286</v>
      </c>
      <c r="E3281" t="s">
        <v>28</v>
      </c>
      <c r="F3281" t="s">
        <v>29</v>
      </c>
      <c r="G3281" t="s">
        <v>30</v>
      </c>
      <c r="H3281">
        <v>1</v>
      </c>
      <c r="I3281" s="2">
        <v>20.48</v>
      </c>
      <c r="J3281" s="2">
        <v>20.48</v>
      </c>
      <c r="K3281" s="2">
        <f t="shared" si="154"/>
        <v>20.48</v>
      </c>
      <c r="L3281" s="2">
        <f t="shared" si="155"/>
        <v>0</v>
      </c>
      <c r="M3281" t="s">
        <v>64</v>
      </c>
      <c r="N3281" t="s">
        <v>32</v>
      </c>
    </row>
    <row r="3282" spans="1:14" x14ac:dyDescent="0.3">
      <c r="A3282">
        <v>2024004280</v>
      </c>
      <c r="B3282" s="1">
        <v>45539</v>
      </c>
      <c r="C3282" s="11">
        <f t="shared" si="153"/>
        <v>2024</v>
      </c>
      <c r="D3282" t="s">
        <v>82</v>
      </c>
      <c r="E3282" t="s">
        <v>53</v>
      </c>
      <c r="F3282" t="s">
        <v>54</v>
      </c>
      <c r="G3282" t="s">
        <v>36</v>
      </c>
      <c r="H3282">
        <v>1</v>
      </c>
      <c r="I3282" s="2">
        <v>116.8</v>
      </c>
      <c r="J3282" s="2">
        <v>116.8</v>
      </c>
      <c r="K3282" s="2">
        <f t="shared" si="154"/>
        <v>116.8</v>
      </c>
      <c r="L3282" s="2">
        <f t="shared" si="155"/>
        <v>0</v>
      </c>
      <c r="M3282" t="s">
        <v>55</v>
      </c>
      <c r="N3282" t="s">
        <v>21</v>
      </c>
    </row>
    <row r="3283" spans="1:14" x14ac:dyDescent="0.3">
      <c r="A3283">
        <v>2024004281</v>
      </c>
      <c r="B3283" s="1">
        <v>45304</v>
      </c>
      <c r="C3283" s="11">
        <f t="shared" si="153"/>
        <v>2024</v>
      </c>
      <c r="D3283" t="s">
        <v>150</v>
      </c>
      <c r="E3283" t="s">
        <v>53</v>
      </c>
      <c r="F3283" t="s">
        <v>54</v>
      </c>
      <c r="G3283" t="s">
        <v>36</v>
      </c>
      <c r="H3283">
        <v>1</v>
      </c>
      <c r="I3283" s="2">
        <v>111.11</v>
      </c>
      <c r="J3283" s="2">
        <v>111.11</v>
      </c>
      <c r="K3283" s="2">
        <f t="shared" si="154"/>
        <v>111.11</v>
      </c>
      <c r="L3283" s="2">
        <f t="shared" si="155"/>
        <v>0</v>
      </c>
      <c r="M3283" t="s">
        <v>55</v>
      </c>
      <c r="N3283" t="s">
        <v>21</v>
      </c>
    </row>
    <row r="3284" spans="1:14" x14ac:dyDescent="0.3">
      <c r="A3284">
        <v>2024004282</v>
      </c>
      <c r="B3284" s="1">
        <v>45594</v>
      </c>
      <c r="C3284" s="11">
        <f t="shared" si="153"/>
        <v>2024</v>
      </c>
      <c r="D3284" t="s">
        <v>11</v>
      </c>
      <c r="E3284" t="s">
        <v>18</v>
      </c>
      <c r="F3284" t="s">
        <v>19</v>
      </c>
      <c r="G3284" t="s">
        <v>14</v>
      </c>
      <c r="H3284">
        <v>2</v>
      </c>
      <c r="I3284" s="2">
        <v>577.58000000000004</v>
      </c>
      <c r="J3284" s="2">
        <v>1155.1600000000001</v>
      </c>
      <c r="K3284" s="2">
        <f t="shared" si="154"/>
        <v>1155.1600000000001</v>
      </c>
      <c r="L3284" s="2">
        <f t="shared" si="155"/>
        <v>0</v>
      </c>
      <c r="M3284" t="s">
        <v>38</v>
      </c>
      <c r="N3284" t="s">
        <v>32</v>
      </c>
    </row>
    <row r="3285" spans="1:14" x14ac:dyDescent="0.3">
      <c r="A3285">
        <v>2024004283</v>
      </c>
      <c r="B3285" s="1">
        <v>45430</v>
      </c>
      <c r="C3285" s="11">
        <f t="shared" si="153"/>
        <v>2024</v>
      </c>
      <c r="D3285" t="s">
        <v>238</v>
      </c>
      <c r="E3285" t="s">
        <v>43</v>
      </c>
      <c r="F3285" t="s">
        <v>44</v>
      </c>
      <c r="G3285" t="s">
        <v>36</v>
      </c>
      <c r="H3285">
        <v>1</v>
      </c>
      <c r="I3285" s="2">
        <v>1149.22</v>
      </c>
      <c r="J3285" s="2">
        <v>1149.22</v>
      </c>
      <c r="K3285" s="2">
        <f t="shared" si="154"/>
        <v>1149.22</v>
      </c>
      <c r="L3285" s="2">
        <f t="shared" si="155"/>
        <v>0</v>
      </c>
      <c r="M3285" t="s">
        <v>57</v>
      </c>
      <c r="N3285" t="s">
        <v>26</v>
      </c>
    </row>
    <row r="3286" spans="1:14" x14ac:dyDescent="0.3">
      <c r="A3286">
        <v>2024004284</v>
      </c>
      <c r="B3286" s="1">
        <v>45340</v>
      </c>
      <c r="C3286" s="11">
        <f t="shared" si="153"/>
        <v>2024</v>
      </c>
      <c r="D3286" t="s">
        <v>171</v>
      </c>
      <c r="E3286" t="s">
        <v>34</v>
      </c>
      <c r="F3286" t="s">
        <v>35</v>
      </c>
      <c r="G3286" t="s">
        <v>36</v>
      </c>
      <c r="H3286">
        <v>1</v>
      </c>
      <c r="I3286" s="2">
        <v>14.69</v>
      </c>
      <c r="J3286" s="2">
        <v>14.69</v>
      </c>
      <c r="K3286" s="2">
        <f t="shared" si="154"/>
        <v>14.69</v>
      </c>
      <c r="L3286" s="2">
        <f t="shared" si="155"/>
        <v>0</v>
      </c>
      <c r="M3286" t="s">
        <v>15</v>
      </c>
      <c r="N3286" t="s">
        <v>21</v>
      </c>
    </row>
    <row r="3287" spans="1:14" x14ac:dyDescent="0.3">
      <c r="A3287">
        <v>2024004285</v>
      </c>
      <c r="B3287" s="1">
        <v>45638</v>
      </c>
      <c r="C3287" s="11">
        <f t="shared" si="153"/>
        <v>2024</v>
      </c>
      <c r="D3287" t="s">
        <v>11</v>
      </c>
      <c r="E3287" t="s">
        <v>18</v>
      </c>
      <c r="F3287" t="s">
        <v>19</v>
      </c>
      <c r="G3287" t="s">
        <v>14</v>
      </c>
      <c r="H3287">
        <v>1</v>
      </c>
      <c r="I3287" s="2">
        <v>623.66999999999996</v>
      </c>
      <c r="J3287" s="2">
        <v>623.66999999999996</v>
      </c>
      <c r="K3287" s="2">
        <f t="shared" si="154"/>
        <v>623.66999999999996</v>
      </c>
      <c r="L3287" s="2">
        <f t="shared" si="155"/>
        <v>0</v>
      </c>
      <c r="M3287" t="s">
        <v>61</v>
      </c>
      <c r="N3287" t="s">
        <v>16</v>
      </c>
    </row>
    <row r="3288" spans="1:14" x14ac:dyDescent="0.3">
      <c r="A3288">
        <v>2024004286</v>
      </c>
      <c r="B3288" s="1">
        <v>45314</v>
      </c>
      <c r="C3288" s="11">
        <f t="shared" si="153"/>
        <v>2024</v>
      </c>
      <c r="D3288" t="s">
        <v>195</v>
      </c>
      <c r="E3288" t="s">
        <v>40</v>
      </c>
      <c r="F3288" t="s">
        <v>41</v>
      </c>
      <c r="G3288" t="s">
        <v>36</v>
      </c>
      <c r="H3288">
        <v>1</v>
      </c>
      <c r="I3288" s="2">
        <v>42.77</v>
      </c>
      <c r="J3288" s="2">
        <v>42.77</v>
      </c>
      <c r="K3288" s="2">
        <f t="shared" si="154"/>
        <v>42.77</v>
      </c>
      <c r="L3288" s="2">
        <f t="shared" si="155"/>
        <v>0</v>
      </c>
      <c r="M3288" t="s">
        <v>25</v>
      </c>
      <c r="N3288" t="s">
        <v>32</v>
      </c>
    </row>
    <row r="3289" spans="1:14" x14ac:dyDescent="0.3">
      <c r="A3289">
        <v>2024004287</v>
      </c>
      <c r="B3289" s="1">
        <v>45580</v>
      </c>
      <c r="C3289" s="11">
        <f t="shared" si="153"/>
        <v>2024</v>
      </c>
      <c r="D3289" t="s">
        <v>11</v>
      </c>
      <c r="E3289" t="s">
        <v>23</v>
      </c>
      <c r="F3289" t="s">
        <v>24</v>
      </c>
      <c r="G3289" t="s">
        <v>14</v>
      </c>
      <c r="H3289">
        <v>1</v>
      </c>
      <c r="I3289" s="2">
        <v>79.16</v>
      </c>
      <c r="J3289" s="2">
        <v>79.16</v>
      </c>
      <c r="K3289" s="2">
        <f t="shared" si="154"/>
        <v>79.16</v>
      </c>
      <c r="L3289" s="2">
        <f t="shared" si="155"/>
        <v>0</v>
      </c>
      <c r="M3289" t="s">
        <v>57</v>
      </c>
      <c r="N3289" t="s">
        <v>26</v>
      </c>
    </row>
    <row r="3290" spans="1:14" x14ac:dyDescent="0.3">
      <c r="A3290">
        <v>2024004288</v>
      </c>
      <c r="B3290" s="1">
        <v>45551</v>
      </c>
      <c r="C3290" s="11">
        <f t="shared" si="153"/>
        <v>2024</v>
      </c>
      <c r="D3290" t="s">
        <v>247</v>
      </c>
      <c r="E3290" t="s">
        <v>18</v>
      </c>
      <c r="F3290" t="s">
        <v>19</v>
      </c>
      <c r="G3290" t="s">
        <v>14</v>
      </c>
      <c r="H3290">
        <v>1</v>
      </c>
      <c r="I3290" s="2">
        <v>623.03</v>
      </c>
      <c r="J3290" s="2">
        <v>623.03</v>
      </c>
      <c r="K3290" s="2">
        <f t="shared" si="154"/>
        <v>623.03</v>
      </c>
      <c r="L3290" s="2">
        <f t="shared" si="155"/>
        <v>0</v>
      </c>
      <c r="M3290" t="s">
        <v>64</v>
      </c>
      <c r="N3290" t="s">
        <v>21</v>
      </c>
    </row>
    <row r="3291" spans="1:14" x14ac:dyDescent="0.3">
      <c r="A3291">
        <v>2024004289</v>
      </c>
      <c r="B3291" s="1">
        <v>45295</v>
      </c>
      <c r="C3291" s="11">
        <f t="shared" si="153"/>
        <v>2024</v>
      </c>
      <c r="D3291" t="s">
        <v>236</v>
      </c>
      <c r="E3291" t="s">
        <v>46</v>
      </c>
      <c r="F3291" t="s">
        <v>47</v>
      </c>
      <c r="G3291" t="s">
        <v>36</v>
      </c>
      <c r="H3291">
        <v>0</v>
      </c>
      <c r="I3291" s="2">
        <v>90.44</v>
      </c>
      <c r="J3291" s="2">
        <v>0</v>
      </c>
      <c r="K3291" s="2">
        <f t="shared" si="154"/>
        <v>0</v>
      </c>
      <c r="L3291" s="2">
        <f t="shared" si="155"/>
        <v>0</v>
      </c>
      <c r="M3291" t="s">
        <v>61</v>
      </c>
      <c r="N3291" t="s">
        <v>26</v>
      </c>
    </row>
    <row r="3292" spans="1:14" x14ac:dyDescent="0.3">
      <c r="A3292">
        <v>2024004290</v>
      </c>
      <c r="B3292" s="1">
        <v>45333</v>
      </c>
      <c r="C3292" s="11">
        <f t="shared" si="153"/>
        <v>2024</v>
      </c>
      <c r="D3292" t="s">
        <v>11</v>
      </c>
      <c r="E3292" t="s">
        <v>18</v>
      </c>
      <c r="F3292" t="s">
        <v>19</v>
      </c>
      <c r="G3292" t="s">
        <v>14</v>
      </c>
      <c r="H3292">
        <v>4</v>
      </c>
      <c r="I3292" s="2">
        <v>620.96</v>
      </c>
      <c r="J3292" s="2">
        <v>2483.84</v>
      </c>
      <c r="K3292" s="2">
        <f t="shared" si="154"/>
        <v>2483.84</v>
      </c>
      <c r="L3292" s="2">
        <f t="shared" si="155"/>
        <v>0</v>
      </c>
      <c r="M3292" t="s">
        <v>25</v>
      </c>
      <c r="N3292" t="s">
        <v>26</v>
      </c>
    </row>
    <row r="3293" spans="1:14" x14ac:dyDescent="0.3">
      <c r="A3293">
        <v>2024004291</v>
      </c>
      <c r="B3293" s="1">
        <v>45464</v>
      </c>
      <c r="C3293" s="11">
        <f t="shared" si="153"/>
        <v>2024</v>
      </c>
      <c r="D3293" t="s">
        <v>11</v>
      </c>
      <c r="E3293" t="s">
        <v>18</v>
      </c>
      <c r="F3293" t="s">
        <v>19</v>
      </c>
      <c r="G3293" t="s">
        <v>14</v>
      </c>
      <c r="H3293">
        <v>1</v>
      </c>
      <c r="I3293" s="2">
        <v>584.78</v>
      </c>
      <c r="J3293" s="2">
        <v>584.78</v>
      </c>
      <c r="K3293" s="2">
        <f t="shared" si="154"/>
        <v>584.78</v>
      </c>
      <c r="L3293" s="2">
        <f t="shared" si="155"/>
        <v>0</v>
      </c>
      <c r="M3293" t="s">
        <v>64</v>
      </c>
      <c r="N3293" t="s">
        <v>16</v>
      </c>
    </row>
    <row r="3294" spans="1:14" x14ac:dyDescent="0.3">
      <c r="A3294">
        <v>2024004292</v>
      </c>
      <c r="B3294" s="1">
        <v>45314</v>
      </c>
      <c r="C3294" s="11">
        <f t="shared" si="153"/>
        <v>2024</v>
      </c>
      <c r="D3294" t="s">
        <v>122</v>
      </c>
      <c r="E3294" t="s">
        <v>40</v>
      </c>
      <c r="F3294" t="s">
        <v>41</v>
      </c>
      <c r="G3294" t="s">
        <v>36</v>
      </c>
      <c r="H3294">
        <v>5</v>
      </c>
      <c r="I3294" s="2">
        <v>45.17</v>
      </c>
      <c r="J3294" s="2">
        <v>225.85</v>
      </c>
      <c r="K3294" s="2">
        <f t="shared" si="154"/>
        <v>225.85000000000002</v>
      </c>
      <c r="L3294" s="2">
        <f t="shared" si="155"/>
        <v>0</v>
      </c>
      <c r="M3294" t="s">
        <v>61</v>
      </c>
      <c r="N3294" t="s">
        <v>21</v>
      </c>
    </row>
    <row r="3295" spans="1:14" x14ac:dyDescent="0.3">
      <c r="A3295">
        <v>2024004293</v>
      </c>
      <c r="B3295" s="1">
        <v>45618</v>
      </c>
      <c r="C3295" s="11">
        <f t="shared" si="153"/>
        <v>2024</v>
      </c>
      <c r="D3295" t="s">
        <v>33</v>
      </c>
      <c r="E3295" t="s">
        <v>53</v>
      </c>
      <c r="F3295" t="s">
        <v>54</v>
      </c>
      <c r="G3295" t="s">
        <v>36</v>
      </c>
      <c r="H3295">
        <v>2</v>
      </c>
      <c r="I3295" s="2">
        <v>116.82</v>
      </c>
      <c r="J3295" s="2">
        <v>233.64</v>
      </c>
      <c r="K3295" s="2">
        <f t="shared" si="154"/>
        <v>233.64</v>
      </c>
      <c r="L3295" s="2">
        <f t="shared" si="155"/>
        <v>0</v>
      </c>
      <c r="M3295" t="s">
        <v>20</v>
      </c>
      <c r="N3295" t="s">
        <v>16</v>
      </c>
    </row>
    <row r="3296" spans="1:14" x14ac:dyDescent="0.3">
      <c r="A3296">
        <v>2024004294</v>
      </c>
      <c r="B3296" s="1">
        <v>45511</v>
      </c>
      <c r="C3296" s="11">
        <f t="shared" si="153"/>
        <v>2024</v>
      </c>
      <c r="D3296" t="s">
        <v>326</v>
      </c>
      <c r="E3296" t="s">
        <v>43</v>
      </c>
      <c r="F3296" t="s">
        <v>44</v>
      </c>
      <c r="G3296" t="s">
        <v>36</v>
      </c>
      <c r="H3296">
        <v>1</v>
      </c>
      <c r="I3296" s="2">
        <v>1142.4100000000001</v>
      </c>
      <c r="J3296" s="2">
        <v>1142.4100000000001</v>
      </c>
      <c r="K3296" s="2">
        <f t="shared" si="154"/>
        <v>1142.4100000000001</v>
      </c>
      <c r="L3296" s="2">
        <f t="shared" si="155"/>
        <v>0</v>
      </c>
      <c r="M3296" t="s">
        <v>15</v>
      </c>
      <c r="N3296" t="s">
        <v>32</v>
      </c>
    </row>
    <row r="3297" spans="1:14" x14ac:dyDescent="0.3">
      <c r="A3297">
        <v>2024004295</v>
      </c>
      <c r="B3297" s="1">
        <v>45357</v>
      </c>
      <c r="C3297" s="11">
        <f t="shared" si="153"/>
        <v>2024</v>
      </c>
      <c r="D3297" t="s">
        <v>101</v>
      </c>
      <c r="E3297" t="s">
        <v>43</v>
      </c>
      <c r="F3297" t="s">
        <v>44</v>
      </c>
      <c r="G3297" t="s">
        <v>36</v>
      </c>
      <c r="H3297">
        <v>1</v>
      </c>
      <c r="I3297" s="2">
        <v>1186.5</v>
      </c>
      <c r="J3297" s="2">
        <v>1186.5</v>
      </c>
      <c r="K3297" s="2">
        <f t="shared" si="154"/>
        <v>1186.5</v>
      </c>
      <c r="L3297" s="2">
        <f t="shared" si="155"/>
        <v>0</v>
      </c>
      <c r="M3297" t="s">
        <v>15</v>
      </c>
      <c r="N3297" t="s">
        <v>32</v>
      </c>
    </row>
    <row r="3298" spans="1:14" x14ac:dyDescent="0.3">
      <c r="A3298">
        <v>2024004296</v>
      </c>
      <c r="B3298" s="1">
        <v>45493</v>
      </c>
      <c r="C3298" s="11">
        <f t="shared" si="153"/>
        <v>2024</v>
      </c>
      <c r="D3298" t="s">
        <v>59</v>
      </c>
      <c r="E3298" t="s">
        <v>34</v>
      </c>
      <c r="F3298" t="s">
        <v>35</v>
      </c>
      <c r="G3298" t="s">
        <v>36</v>
      </c>
      <c r="H3298">
        <v>1</v>
      </c>
      <c r="I3298" s="2">
        <v>14.99</v>
      </c>
      <c r="J3298" s="2">
        <v>14.99</v>
      </c>
      <c r="K3298" s="2">
        <f t="shared" si="154"/>
        <v>14.99</v>
      </c>
      <c r="L3298" s="2">
        <f t="shared" si="155"/>
        <v>0</v>
      </c>
      <c r="M3298" t="s">
        <v>31</v>
      </c>
      <c r="N3298" t="s">
        <v>26</v>
      </c>
    </row>
    <row r="3299" spans="1:14" x14ac:dyDescent="0.3">
      <c r="A3299">
        <v>2024004297</v>
      </c>
      <c r="B3299" s="1">
        <v>45608</v>
      </c>
      <c r="C3299" s="11">
        <f t="shared" si="153"/>
        <v>2024</v>
      </c>
      <c r="D3299" t="s">
        <v>302</v>
      </c>
      <c r="E3299" t="s">
        <v>40</v>
      </c>
      <c r="F3299" t="s">
        <v>41</v>
      </c>
      <c r="G3299" t="s">
        <v>36</v>
      </c>
      <c r="H3299">
        <v>3</v>
      </c>
      <c r="I3299" s="2">
        <v>45.55</v>
      </c>
      <c r="J3299" s="2">
        <v>136.65</v>
      </c>
      <c r="K3299" s="2">
        <f t="shared" si="154"/>
        <v>136.64999999999998</v>
      </c>
      <c r="L3299" s="2">
        <f t="shared" si="155"/>
        <v>0</v>
      </c>
      <c r="M3299" t="s">
        <v>15</v>
      </c>
      <c r="N3299" t="s">
        <v>26</v>
      </c>
    </row>
    <row r="3300" spans="1:14" x14ac:dyDescent="0.3">
      <c r="A3300">
        <v>2024004298</v>
      </c>
      <c r="B3300" s="1">
        <v>45496</v>
      </c>
      <c r="C3300" s="11">
        <f t="shared" si="153"/>
        <v>2024</v>
      </c>
      <c r="D3300" t="s">
        <v>75</v>
      </c>
      <c r="E3300" t="s">
        <v>43</v>
      </c>
      <c r="F3300" t="s">
        <v>44</v>
      </c>
      <c r="G3300" t="s">
        <v>36</v>
      </c>
      <c r="H3300">
        <v>1</v>
      </c>
      <c r="I3300" s="2">
        <v>1223.8499999999999</v>
      </c>
      <c r="J3300" s="2">
        <v>1223.8499999999999</v>
      </c>
      <c r="K3300" s="2">
        <f t="shared" si="154"/>
        <v>1223.8499999999999</v>
      </c>
      <c r="L3300" s="2">
        <f t="shared" si="155"/>
        <v>0</v>
      </c>
      <c r="M3300" t="s">
        <v>38</v>
      </c>
      <c r="N3300" t="s">
        <v>32</v>
      </c>
    </row>
    <row r="3301" spans="1:14" x14ac:dyDescent="0.3">
      <c r="A3301">
        <v>2024004299</v>
      </c>
      <c r="B3301" s="1">
        <v>45591</v>
      </c>
      <c r="C3301" s="11">
        <f t="shared" si="153"/>
        <v>2024</v>
      </c>
      <c r="D3301" t="s">
        <v>281</v>
      </c>
      <c r="E3301" t="s">
        <v>12</v>
      </c>
      <c r="F3301" t="s">
        <v>13</v>
      </c>
      <c r="G3301" t="s">
        <v>14</v>
      </c>
      <c r="H3301">
        <v>3</v>
      </c>
      <c r="I3301" s="2">
        <v>324.95999999999998</v>
      </c>
      <c r="J3301" s="2">
        <v>974.88</v>
      </c>
      <c r="K3301" s="2">
        <f t="shared" si="154"/>
        <v>974.87999999999988</v>
      </c>
      <c r="L3301" s="2">
        <f t="shared" si="155"/>
        <v>0</v>
      </c>
      <c r="M3301" t="s">
        <v>48</v>
      </c>
      <c r="N3301" t="s">
        <v>32</v>
      </c>
    </row>
    <row r="3302" spans="1:14" x14ac:dyDescent="0.3">
      <c r="A3302">
        <v>2024004300</v>
      </c>
      <c r="B3302" s="1">
        <v>45366</v>
      </c>
      <c r="C3302" s="11">
        <f t="shared" si="153"/>
        <v>2024</v>
      </c>
      <c r="D3302" t="s">
        <v>183</v>
      </c>
      <c r="E3302" t="s">
        <v>12</v>
      </c>
      <c r="F3302" t="s">
        <v>13</v>
      </c>
      <c r="G3302" t="s">
        <v>14</v>
      </c>
      <c r="H3302">
        <v>5</v>
      </c>
      <c r="I3302" s="2">
        <v>324.22000000000003</v>
      </c>
      <c r="J3302" s="2">
        <v>1621.1</v>
      </c>
      <c r="K3302" s="2">
        <f t="shared" si="154"/>
        <v>1621.1000000000001</v>
      </c>
      <c r="L3302" s="2">
        <f t="shared" si="155"/>
        <v>0</v>
      </c>
      <c r="M3302" t="s">
        <v>15</v>
      </c>
      <c r="N3302" t="s">
        <v>32</v>
      </c>
    </row>
    <row r="3303" spans="1:14" x14ac:dyDescent="0.3">
      <c r="A3303">
        <v>2024004301</v>
      </c>
      <c r="B3303" s="1">
        <v>45319</v>
      </c>
      <c r="C3303" s="11">
        <f t="shared" si="153"/>
        <v>2024</v>
      </c>
      <c r="D3303" t="s">
        <v>261</v>
      </c>
      <c r="E3303" t="s">
        <v>23</v>
      </c>
      <c r="F3303" t="s">
        <v>24</v>
      </c>
      <c r="G3303" t="s">
        <v>14</v>
      </c>
      <c r="H3303">
        <v>3</v>
      </c>
      <c r="I3303" s="2">
        <v>78.37</v>
      </c>
      <c r="J3303" s="2">
        <v>235.11</v>
      </c>
      <c r="K3303" s="2">
        <f t="shared" si="154"/>
        <v>235.11</v>
      </c>
      <c r="L3303" s="2">
        <f t="shared" si="155"/>
        <v>0</v>
      </c>
      <c r="M3303" t="s">
        <v>55</v>
      </c>
      <c r="N3303" t="s">
        <v>26</v>
      </c>
    </row>
    <row r="3304" spans="1:14" x14ac:dyDescent="0.3">
      <c r="A3304">
        <v>2024004302</v>
      </c>
      <c r="B3304" s="1">
        <v>45629</v>
      </c>
      <c r="C3304" s="11">
        <f t="shared" si="153"/>
        <v>2024</v>
      </c>
      <c r="D3304" t="s">
        <v>185</v>
      </c>
      <c r="E3304" t="s">
        <v>18</v>
      </c>
      <c r="F3304" t="s">
        <v>19</v>
      </c>
      <c r="G3304" t="s">
        <v>14</v>
      </c>
      <c r="H3304">
        <v>2</v>
      </c>
      <c r="I3304" s="2">
        <v>581.54</v>
      </c>
      <c r="J3304" s="2">
        <v>1163.08</v>
      </c>
      <c r="K3304" s="2">
        <f t="shared" si="154"/>
        <v>1163.08</v>
      </c>
      <c r="L3304" s="2">
        <f t="shared" si="155"/>
        <v>0</v>
      </c>
      <c r="M3304" t="s">
        <v>38</v>
      </c>
      <c r="N3304" t="s">
        <v>21</v>
      </c>
    </row>
    <row r="3305" spans="1:14" x14ac:dyDescent="0.3">
      <c r="A3305">
        <v>2024004303</v>
      </c>
      <c r="B3305" s="1">
        <v>45419</v>
      </c>
      <c r="C3305" s="11">
        <f t="shared" si="153"/>
        <v>2024</v>
      </c>
      <c r="D3305" t="s">
        <v>244</v>
      </c>
      <c r="E3305" t="s">
        <v>40</v>
      </c>
      <c r="F3305" t="s">
        <v>41</v>
      </c>
      <c r="G3305" t="s">
        <v>36</v>
      </c>
      <c r="H3305">
        <v>2</v>
      </c>
      <c r="I3305" s="2">
        <v>45</v>
      </c>
      <c r="J3305" s="2">
        <v>90</v>
      </c>
      <c r="K3305" s="2">
        <f t="shared" si="154"/>
        <v>90</v>
      </c>
      <c r="L3305" s="2">
        <f t="shared" si="155"/>
        <v>0</v>
      </c>
      <c r="M3305" t="s">
        <v>55</v>
      </c>
      <c r="N3305" t="s">
        <v>16</v>
      </c>
    </row>
    <row r="3306" spans="1:14" x14ac:dyDescent="0.3">
      <c r="A3306">
        <v>2024004304</v>
      </c>
      <c r="B3306" s="1">
        <v>45482</v>
      </c>
      <c r="C3306" s="11">
        <f t="shared" si="153"/>
        <v>2024</v>
      </c>
      <c r="D3306" t="s">
        <v>268</v>
      </c>
      <c r="E3306" t="s">
        <v>46</v>
      </c>
      <c r="F3306" t="s">
        <v>47</v>
      </c>
      <c r="G3306" t="s">
        <v>36</v>
      </c>
      <c r="H3306">
        <v>1</v>
      </c>
      <c r="I3306" s="2">
        <v>81.64</v>
      </c>
      <c r="J3306" s="2">
        <v>81.64</v>
      </c>
      <c r="K3306" s="2">
        <f t="shared" si="154"/>
        <v>81.64</v>
      </c>
      <c r="L3306" s="2">
        <f t="shared" si="155"/>
        <v>0</v>
      </c>
      <c r="M3306" t="s">
        <v>57</v>
      </c>
      <c r="N3306" t="s">
        <v>32</v>
      </c>
    </row>
    <row r="3307" spans="1:14" x14ac:dyDescent="0.3">
      <c r="A3307">
        <v>2024004305</v>
      </c>
      <c r="B3307" s="1">
        <v>45555</v>
      </c>
      <c r="C3307" s="11">
        <f t="shared" si="153"/>
        <v>2024</v>
      </c>
      <c r="D3307" t="s">
        <v>322</v>
      </c>
      <c r="E3307" t="s">
        <v>40</v>
      </c>
      <c r="F3307" t="s">
        <v>41</v>
      </c>
      <c r="G3307" t="s">
        <v>36</v>
      </c>
      <c r="H3307">
        <v>2</v>
      </c>
      <c r="I3307" s="2">
        <v>44.26</v>
      </c>
      <c r="J3307" s="2">
        <v>88.52</v>
      </c>
      <c r="K3307" s="2">
        <f t="shared" si="154"/>
        <v>88.52</v>
      </c>
      <c r="L3307" s="2">
        <f t="shared" si="155"/>
        <v>0</v>
      </c>
      <c r="M3307" t="s">
        <v>48</v>
      </c>
      <c r="N3307" t="s">
        <v>21</v>
      </c>
    </row>
    <row r="3308" spans="1:14" x14ac:dyDescent="0.3">
      <c r="A3308">
        <v>2024004306</v>
      </c>
      <c r="B3308" s="1">
        <v>45446</v>
      </c>
      <c r="C3308" s="11">
        <f t="shared" si="153"/>
        <v>2024</v>
      </c>
      <c r="D3308" t="s">
        <v>11</v>
      </c>
      <c r="E3308" t="s">
        <v>18</v>
      </c>
      <c r="F3308" t="s">
        <v>19</v>
      </c>
      <c r="G3308" t="s">
        <v>14</v>
      </c>
      <c r="H3308">
        <v>1</v>
      </c>
      <c r="I3308" s="2">
        <v>618.04</v>
      </c>
      <c r="J3308" s="2">
        <v>618.04</v>
      </c>
      <c r="K3308" s="2">
        <f t="shared" si="154"/>
        <v>618.04</v>
      </c>
      <c r="L3308" s="2">
        <f t="shared" si="155"/>
        <v>0</v>
      </c>
      <c r="M3308" t="s">
        <v>55</v>
      </c>
      <c r="N3308" t="s">
        <v>21</v>
      </c>
    </row>
    <row r="3309" spans="1:14" x14ac:dyDescent="0.3">
      <c r="A3309">
        <v>2024004307</v>
      </c>
      <c r="B3309" s="1">
        <v>45407</v>
      </c>
      <c r="C3309" s="11">
        <f t="shared" si="153"/>
        <v>2024</v>
      </c>
      <c r="D3309" t="s">
        <v>239</v>
      </c>
      <c r="E3309" t="s">
        <v>12</v>
      </c>
      <c r="F3309" t="s">
        <v>13</v>
      </c>
      <c r="G3309" t="s">
        <v>14</v>
      </c>
      <c r="H3309">
        <v>4</v>
      </c>
      <c r="I3309" s="2">
        <v>382.58</v>
      </c>
      <c r="J3309" s="2">
        <v>1530.32</v>
      </c>
      <c r="K3309" s="2">
        <f t="shared" si="154"/>
        <v>1530.32</v>
      </c>
      <c r="L3309" s="2">
        <f t="shared" si="155"/>
        <v>0</v>
      </c>
      <c r="M3309" t="s">
        <v>31</v>
      </c>
      <c r="N3309" t="s">
        <v>21</v>
      </c>
    </row>
    <row r="3310" spans="1:14" x14ac:dyDescent="0.3">
      <c r="A3310">
        <v>2024004308</v>
      </c>
      <c r="B3310" s="1">
        <v>45634</v>
      </c>
      <c r="C3310" s="11">
        <f t="shared" si="153"/>
        <v>2024</v>
      </c>
      <c r="D3310" t="s">
        <v>339</v>
      </c>
      <c r="E3310" t="s">
        <v>40</v>
      </c>
      <c r="F3310" t="s">
        <v>41</v>
      </c>
      <c r="G3310" t="s">
        <v>36</v>
      </c>
      <c r="H3310">
        <v>2</v>
      </c>
      <c r="I3310" s="2">
        <v>45.35</v>
      </c>
      <c r="J3310" s="2">
        <v>90.7</v>
      </c>
      <c r="K3310" s="2">
        <f t="shared" si="154"/>
        <v>90.7</v>
      </c>
      <c r="L3310" s="2">
        <f t="shared" si="155"/>
        <v>0</v>
      </c>
      <c r="M3310" t="s">
        <v>61</v>
      </c>
      <c r="N3310" t="s">
        <v>16</v>
      </c>
    </row>
    <row r="3311" spans="1:14" x14ac:dyDescent="0.3">
      <c r="A3311">
        <v>2024004309</v>
      </c>
      <c r="B3311" s="1">
        <v>45494</v>
      </c>
      <c r="C3311" s="11">
        <f t="shared" si="153"/>
        <v>2024</v>
      </c>
      <c r="D3311" t="s">
        <v>228</v>
      </c>
      <c r="E3311" t="s">
        <v>23</v>
      </c>
      <c r="F3311" t="s">
        <v>24</v>
      </c>
      <c r="G3311" t="s">
        <v>14</v>
      </c>
      <c r="H3311">
        <v>3</v>
      </c>
      <c r="I3311" s="2">
        <v>77.2</v>
      </c>
      <c r="J3311" s="2">
        <v>231.6</v>
      </c>
      <c r="K3311" s="2">
        <f t="shared" si="154"/>
        <v>231.60000000000002</v>
      </c>
      <c r="L3311" s="2">
        <f t="shared" si="155"/>
        <v>0</v>
      </c>
      <c r="M3311" t="s">
        <v>38</v>
      </c>
      <c r="N3311" t="s">
        <v>32</v>
      </c>
    </row>
    <row r="3312" spans="1:14" x14ac:dyDescent="0.3">
      <c r="A3312">
        <v>2024004310</v>
      </c>
      <c r="B3312" s="1">
        <v>45571</v>
      </c>
      <c r="C3312" s="11">
        <f t="shared" si="153"/>
        <v>2024</v>
      </c>
      <c r="D3312" t="s">
        <v>320</v>
      </c>
      <c r="E3312" t="s">
        <v>43</v>
      </c>
      <c r="F3312" t="s">
        <v>44</v>
      </c>
      <c r="G3312" t="s">
        <v>36</v>
      </c>
      <c r="H3312">
        <v>3</v>
      </c>
      <c r="I3312" s="2">
        <v>1227.0899999999999</v>
      </c>
      <c r="J3312" s="2">
        <v>3681.27</v>
      </c>
      <c r="K3312" s="2">
        <f t="shared" si="154"/>
        <v>3681.2699999999995</v>
      </c>
      <c r="L3312" s="2">
        <f t="shared" si="155"/>
        <v>0</v>
      </c>
      <c r="M3312" t="s">
        <v>15</v>
      </c>
      <c r="N3312" t="s">
        <v>32</v>
      </c>
    </row>
    <row r="3313" spans="1:14" x14ac:dyDescent="0.3">
      <c r="A3313">
        <v>2024004311</v>
      </c>
      <c r="B3313" s="1">
        <v>45633</v>
      </c>
      <c r="C3313" s="11">
        <f t="shared" si="153"/>
        <v>2024</v>
      </c>
      <c r="D3313" t="s">
        <v>298</v>
      </c>
      <c r="E3313" t="s">
        <v>18</v>
      </c>
      <c r="F3313" t="s">
        <v>19</v>
      </c>
      <c r="G3313" t="s">
        <v>14</v>
      </c>
      <c r="H3313">
        <v>2</v>
      </c>
      <c r="I3313" s="2">
        <v>608</v>
      </c>
      <c r="J3313" s="2">
        <v>1216</v>
      </c>
      <c r="K3313" s="2">
        <f t="shared" si="154"/>
        <v>1216</v>
      </c>
      <c r="L3313" s="2">
        <f t="shared" si="155"/>
        <v>0</v>
      </c>
      <c r="M3313" t="s">
        <v>20</v>
      </c>
      <c r="N3313" t="s">
        <v>21</v>
      </c>
    </row>
    <row r="3314" spans="1:14" x14ac:dyDescent="0.3">
      <c r="A3314">
        <v>2024004312</v>
      </c>
      <c r="B3314" s="1">
        <v>45398</v>
      </c>
      <c r="C3314" s="11">
        <f t="shared" si="153"/>
        <v>2024</v>
      </c>
      <c r="D3314" t="s">
        <v>259</v>
      </c>
      <c r="E3314" t="s">
        <v>46</v>
      </c>
      <c r="F3314" t="s">
        <v>47</v>
      </c>
      <c r="G3314" t="s">
        <v>36</v>
      </c>
      <c r="H3314">
        <v>1</v>
      </c>
      <c r="I3314" s="2">
        <v>97.49</v>
      </c>
      <c r="J3314" s="2">
        <v>97.49</v>
      </c>
      <c r="K3314" s="2">
        <f t="shared" si="154"/>
        <v>97.49</v>
      </c>
      <c r="L3314" s="2">
        <f t="shared" si="155"/>
        <v>0</v>
      </c>
      <c r="M3314" t="s">
        <v>20</v>
      </c>
      <c r="N3314" t="s">
        <v>16</v>
      </c>
    </row>
    <row r="3315" spans="1:14" x14ac:dyDescent="0.3">
      <c r="A3315">
        <v>2024004313</v>
      </c>
      <c r="B3315" s="1">
        <v>45510</v>
      </c>
      <c r="C3315" s="11">
        <f t="shared" si="153"/>
        <v>2024</v>
      </c>
      <c r="D3315" t="s">
        <v>329</v>
      </c>
      <c r="E3315" t="s">
        <v>18</v>
      </c>
      <c r="F3315" t="s">
        <v>19</v>
      </c>
      <c r="G3315" t="s">
        <v>14</v>
      </c>
      <c r="H3315">
        <v>2</v>
      </c>
      <c r="I3315" s="2">
        <v>555.66</v>
      </c>
      <c r="J3315" s="2">
        <v>1111.32</v>
      </c>
      <c r="K3315" s="2">
        <f t="shared" si="154"/>
        <v>1111.32</v>
      </c>
      <c r="L3315" s="2">
        <f t="shared" si="155"/>
        <v>0</v>
      </c>
      <c r="M3315" t="s">
        <v>64</v>
      </c>
      <c r="N3315" t="s">
        <v>26</v>
      </c>
    </row>
    <row r="3316" spans="1:14" x14ac:dyDescent="0.3">
      <c r="A3316">
        <v>2024004314</v>
      </c>
      <c r="B3316" s="1">
        <v>45438</v>
      </c>
      <c r="C3316" s="11">
        <f t="shared" si="153"/>
        <v>2024</v>
      </c>
      <c r="D3316" t="s">
        <v>195</v>
      </c>
      <c r="E3316" t="s">
        <v>53</v>
      </c>
      <c r="F3316" t="s">
        <v>54</v>
      </c>
      <c r="G3316" t="s">
        <v>36</v>
      </c>
      <c r="H3316">
        <v>5</v>
      </c>
      <c r="I3316" s="2">
        <v>109.66</v>
      </c>
      <c r="J3316" s="2">
        <v>548.29999999999995</v>
      </c>
      <c r="K3316" s="2">
        <f t="shared" si="154"/>
        <v>548.29999999999995</v>
      </c>
      <c r="L3316" s="2">
        <f t="shared" si="155"/>
        <v>0</v>
      </c>
      <c r="M3316" t="s">
        <v>64</v>
      </c>
      <c r="N3316" t="s">
        <v>26</v>
      </c>
    </row>
    <row r="3317" spans="1:14" x14ac:dyDescent="0.3">
      <c r="A3317">
        <v>2024004315</v>
      </c>
      <c r="B3317" s="1">
        <v>45322</v>
      </c>
      <c r="C3317" s="11">
        <f t="shared" si="153"/>
        <v>2024</v>
      </c>
      <c r="D3317" t="s">
        <v>259</v>
      </c>
      <c r="E3317" t="s">
        <v>34</v>
      </c>
      <c r="F3317" t="s">
        <v>35</v>
      </c>
      <c r="G3317" t="s">
        <v>36</v>
      </c>
      <c r="H3317">
        <v>4</v>
      </c>
      <c r="I3317" s="2">
        <v>15.23</v>
      </c>
      <c r="J3317" s="2">
        <v>60.92</v>
      </c>
      <c r="K3317" s="2">
        <f t="shared" si="154"/>
        <v>60.92</v>
      </c>
      <c r="L3317" s="2">
        <f t="shared" si="155"/>
        <v>0</v>
      </c>
      <c r="M3317" t="s">
        <v>55</v>
      </c>
      <c r="N3317" t="s">
        <v>32</v>
      </c>
    </row>
    <row r="3318" spans="1:14" x14ac:dyDescent="0.3">
      <c r="A3318">
        <v>2024004316</v>
      </c>
      <c r="B3318" s="1">
        <v>45582</v>
      </c>
      <c r="C3318" s="11">
        <f t="shared" si="153"/>
        <v>2024</v>
      </c>
      <c r="D3318" t="s">
        <v>157</v>
      </c>
      <c r="E3318" t="s">
        <v>12</v>
      </c>
      <c r="F3318" t="s">
        <v>13</v>
      </c>
      <c r="G3318" t="s">
        <v>14</v>
      </c>
      <c r="H3318">
        <v>1</v>
      </c>
      <c r="I3318" s="2">
        <v>376.38</v>
      </c>
      <c r="J3318" s="2">
        <v>376.38</v>
      </c>
      <c r="K3318" s="2">
        <f t="shared" si="154"/>
        <v>376.38</v>
      </c>
      <c r="L3318" s="2">
        <f t="shared" si="155"/>
        <v>0</v>
      </c>
      <c r="M3318" t="s">
        <v>25</v>
      </c>
      <c r="N3318" t="s">
        <v>32</v>
      </c>
    </row>
    <row r="3319" spans="1:14" x14ac:dyDescent="0.3">
      <c r="A3319">
        <v>2024004317</v>
      </c>
      <c r="B3319" s="1">
        <v>45326</v>
      </c>
      <c r="C3319" s="11">
        <f t="shared" si="153"/>
        <v>2024</v>
      </c>
      <c r="D3319" t="s">
        <v>227</v>
      </c>
      <c r="E3319" t="s">
        <v>34</v>
      </c>
      <c r="F3319" t="s">
        <v>35</v>
      </c>
      <c r="G3319" t="s">
        <v>36</v>
      </c>
      <c r="H3319">
        <v>1</v>
      </c>
      <c r="I3319" s="2">
        <v>14.69</v>
      </c>
      <c r="J3319" s="2">
        <v>14.69</v>
      </c>
      <c r="K3319" s="2">
        <f t="shared" si="154"/>
        <v>14.69</v>
      </c>
      <c r="L3319" s="2">
        <f t="shared" si="155"/>
        <v>0</v>
      </c>
      <c r="M3319" t="s">
        <v>20</v>
      </c>
      <c r="N3319" t="s">
        <v>26</v>
      </c>
    </row>
    <row r="3320" spans="1:14" x14ac:dyDescent="0.3">
      <c r="A3320">
        <v>2024004318</v>
      </c>
      <c r="B3320" s="1">
        <v>45297</v>
      </c>
      <c r="C3320" s="11">
        <f t="shared" si="153"/>
        <v>2024</v>
      </c>
      <c r="D3320" t="s">
        <v>58</v>
      </c>
      <c r="E3320" t="s">
        <v>34</v>
      </c>
      <c r="F3320" t="s">
        <v>35</v>
      </c>
      <c r="G3320" t="s">
        <v>36</v>
      </c>
      <c r="H3320">
        <v>1</v>
      </c>
      <c r="I3320" s="2">
        <v>14.74</v>
      </c>
      <c r="J3320" s="2">
        <v>14.74</v>
      </c>
      <c r="K3320" s="2">
        <f t="shared" si="154"/>
        <v>14.74</v>
      </c>
      <c r="L3320" s="2">
        <f t="shared" si="155"/>
        <v>0</v>
      </c>
      <c r="M3320" t="s">
        <v>48</v>
      </c>
      <c r="N3320" t="s">
        <v>16</v>
      </c>
    </row>
    <row r="3321" spans="1:14" x14ac:dyDescent="0.3">
      <c r="A3321">
        <v>2024004319</v>
      </c>
      <c r="B3321" s="1">
        <v>45496</v>
      </c>
      <c r="C3321" s="11">
        <f t="shared" si="153"/>
        <v>2024</v>
      </c>
      <c r="D3321" t="s">
        <v>279</v>
      </c>
      <c r="E3321" t="s">
        <v>28</v>
      </c>
      <c r="F3321" t="s">
        <v>29</v>
      </c>
      <c r="G3321" t="s">
        <v>30</v>
      </c>
      <c r="H3321">
        <v>5</v>
      </c>
      <c r="I3321" s="2">
        <v>26.12</v>
      </c>
      <c r="J3321" s="2">
        <v>130.6</v>
      </c>
      <c r="K3321" s="2">
        <f t="shared" si="154"/>
        <v>130.6</v>
      </c>
      <c r="L3321" s="2">
        <f t="shared" si="155"/>
        <v>0</v>
      </c>
      <c r="M3321" t="s">
        <v>31</v>
      </c>
      <c r="N3321" t="s">
        <v>16</v>
      </c>
    </row>
    <row r="3322" spans="1:14" x14ac:dyDescent="0.3">
      <c r="A3322">
        <v>2024004320</v>
      </c>
      <c r="B3322" s="1">
        <v>45380</v>
      </c>
      <c r="C3322" s="11">
        <f t="shared" si="153"/>
        <v>2024</v>
      </c>
      <c r="D3322" t="s">
        <v>130</v>
      </c>
      <c r="E3322" t="s">
        <v>12</v>
      </c>
      <c r="F3322" t="s">
        <v>13</v>
      </c>
      <c r="G3322" t="s">
        <v>14</v>
      </c>
      <c r="H3322">
        <v>1</v>
      </c>
      <c r="I3322" s="2">
        <v>286.38</v>
      </c>
      <c r="J3322" s="2">
        <v>286.38</v>
      </c>
      <c r="K3322" s="2">
        <f t="shared" si="154"/>
        <v>286.38</v>
      </c>
      <c r="L3322" s="2">
        <f t="shared" si="155"/>
        <v>0</v>
      </c>
      <c r="M3322" t="s">
        <v>55</v>
      </c>
      <c r="N3322" t="s">
        <v>32</v>
      </c>
    </row>
    <row r="3323" spans="1:14" x14ac:dyDescent="0.3">
      <c r="A3323">
        <v>2024004321</v>
      </c>
      <c r="B3323" s="1">
        <v>45578</v>
      </c>
      <c r="C3323" s="11">
        <f t="shared" si="153"/>
        <v>2024</v>
      </c>
      <c r="D3323" t="s">
        <v>22</v>
      </c>
      <c r="E3323" t="s">
        <v>12</v>
      </c>
      <c r="F3323" t="s">
        <v>13</v>
      </c>
      <c r="G3323" t="s">
        <v>14</v>
      </c>
      <c r="H3323">
        <v>2</v>
      </c>
      <c r="I3323" s="2">
        <v>386.61</v>
      </c>
      <c r="J3323" s="2">
        <v>773.22</v>
      </c>
      <c r="K3323" s="2">
        <f t="shared" si="154"/>
        <v>773.22</v>
      </c>
      <c r="L3323" s="2">
        <f t="shared" si="155"/>
        <v>0</v>
      </c>
      <c r="M3323" t="s">
        <v>15</v>
      </c>
      <c r="N3323" t="s">
        <v>21</v>
      </c>
    </row>
    <row r="3324" spans="1:14" x14ac:dyDescent="0.3">
      <c r="A3324">
        <v>2024004322</v>
      </c>
      <c r="B3324" s="1">
        <v>45538</v>
      </c>
      <c r="C3324" s="11">
        <f t="shared" si="153"/>
        <v>2024</v>
      </c>
      <c r="D3324" t="s">
        <v>146</v>
      </c>
      <c r="E3324" t="s">
        <v>12</v>
      </c>
      <c r="F3324" t="s">
        <v>13</v>
      </c>
      <c r="G3324" t="s">
        <v>14</v>
      </c>
      <c r="H3324">
        <v>1</v>
      </c>
      <c r="I3324" s="2">
        <v>388.56</v>
      </c>
      <c r="J3324" s="2">
        <v>388.56</v>
      </c>
      <c r="K3324" s="2">
        <f t="shared" si="154"/>
        <v>388.56</v>
      </c>
      <c r="L3324" s="2">
        <f t="shared" si="155"/>
        <v>0</v>
      </c>
      <c r="M3324" t="s">
        <v>48</v>
      </c>
      <c r="N3324" t="s">
        <v>16</v>
      </c>
    </row>
    <row r="3325" spans="1:14" x14ac:dyDescent="0.3">
      <c r="A3325">
        <v>2024004323</v>
      </c>
      <c r="B3325" s="1">
        <v>45413</v>
      </c>
      <c r="C3325" s="11">
        <f t="shared" si="153"/>
        <v>2024</v>
      </c>
      <c r="D3325" t="s">
        <v>130</v>
      </c>
      <c r="E3325" t="s">
        <v>18</v>
      </c>
      <c r="F3325" t="s">
        <v>19</v>
      </c>
      <c r="G3325" t="s">
        <v>14</v>
      </c>
      <c r="H3325">
        <v>4</v>
      </c>
      <c r="I3325" s="2">
        <v>618.96</v>
      </c>
      <c r="J3325" s="2">
        <v>2475.84</v>
      </c>
      <c r="K3325" s="2">
        <f t="shared" si="154"/>
        <v>2475.84</v>
      </c>
      <c r="L3325" s="2">
        <f t="shared" si="155"/>
        <v>0</v>
      </c>
      <c r="M3325" t="s">
        <v>15</v>
      </c>
      <c r="N3325" t="s">
        <v>26</v>
      </c>
    </row>
    <row r="3326" spans="1:14" x14ac:dyDescent="0.3">
      <c r="A3326">
        <v>2024004324</v>
      </c>
      <c r="B3326" s="1">
        <v>45364</v>
      </c>
      <c r="C3326" s="11">
        <f t="shared" si="153"/>
        <v>2024</v>
      </c>
      <c r="D3326" t="s">
        <v>17</v>
      </c>
      <c r="E3326" t="s">
        <v>53</v>
      </c>
      <c r="F3326" t="s">
        <v>54</v>
      </c>
      <c r="G3326" t="s">
        <v>36</v>
      </c>
      <c r="H3326">
        <v>1</v>
      </c>
      <c r="I3326" s="2">
        <v>122.58</v>
      </c>
      <c r="J3326" s="2">
        <v>122.58</v>
      </c>
      <c r="K3326" s="2">
        <f t="shared" si="154"/>
        <v>122.58</v>
      </c>
      <c r="L3326" s="2">
        <f t="shared" si="155"/>
        <v>0</v>
      </c>
      <c r="M3326" t="s">
        <v>31</v>
      </c>
      <c r="N3326" t="s">
        <v>21</v>
      </c>
    </row>
    <row r="3327" spans="1:14" x14ac:dyDescent="0.3">
      <c r="A3327">
        <v>2024004325</v>
      </c>
      <c r="B3327" s="1">
        <v>45300</v>
      </c>
      <c r="C3327" s="11">
        <f t="shared" si="153"/>
        <v>2024</v>
      </c>
      <c r="D3327" t="s">
        <v>174</v>
      </c>
      <c r="E3327" t="s">
        <v>53</v>
      </c>
      <c r="F3327" t="s">
        <v>54</v>
      </c>
      <c r="G3327" t="s">
        <v>36</v>
      </c>
      <c r="H3327">
        <v>1</v>
      </c>
      <c r="I3327" s="2">
        <v>115.7</v>
      </c>
      <c r="J3327" s="2">
        <v>115.7</v>
      </c>
      <c r="K3327" s="2">
        <f t="shared" si="154"/>
        <v>115.7</v>
      </c>
      <c r="L3327" s="2">
        <f t="shared" si="155"/>
        <v>0</v>
      </c>
      <c r="M3327" t="s">
        <v>57</v>
      </c>
      <c r="N3327" t="s">
        <v>16</v>
      </c>
    </row>
    <row r="3328" spans="1:14" x14ac:dyDescent="0.3">
      <c r="A3328">
        <v>2024004326</v>
      </c>
      <c r="B3328" s="1">
        <v>45620</v>
      </c>
      <c r="C3328" s="11">
        <f t="shared" si="153"/>
        <v>2024</v>
      </c>
      <c r="D3328" t="s">
        <v>224</v>
      </c>
      <c r="E3328" t="s">
        <v>23</v>
      </c>
      <c r="F3328" t="s">
        <v>24</v>
      </c>
      <c r="G3328" t="s">
        <v>14</v>
      </c>
      <c r="H3328">
        <v>1</v>
      </c>
      <c r="I3328" s="2">
        <v>84.79</v>
      </c>
      <c r="J3328" s="2">
        <v>84.79</v>
      </c>
      <c r="K3328" s="2">
        <f t="shared" si="154"/>
        <v>84.79</v>
      </c>
      <c r="L3328" s="2">
        <f t="shared" si="155"/>
        <v>0</v>
      </c>
      <c r="M3328" t="s">
        <v>48</v>
      </c>
      <c r="N3328" t="s">
        <v>32</v>
      </c>
    </row>
    <row r="3329" spans="1:14" x14ac:dyDescent="0.3">
      <c r="A3329">
        <v>2024002374</v>
      </c>
      <c r="B3329" s="1">
        <v>45505</v>
      </c>
      <c r="C3329" s="11">
        <f t="shared" si="153"/>
        <v>2024</v>
      </c>
      <c r="D3329" t="s">
        <v>127</v>
      </c>
      <c r="E3329" t="s">
        <v>34</v>
      </c>
      <c r="F3329" t="s">
        <v>35</v>
      </c>
      <c r="G3329" t="s">
        <v>36</v>
      </c>
      <c r="H3329">
        <v>1</v>
      </c>
      <c r="I3329" s="2">
        <v>15.52</v>
      </c>
      <c r="J3329" s="2">
        <v>15.52</v>
      </c>
      <c r="K3329" s="2">
        <f t="shared" si="154"/>
        <v>15.52</v>
      </c>
      <c r="L3329" s="2">
        <f t="shared" si="155"/>
        <v>0</v>
      </c>
      <c r="M3329" t="s">
        <v>20</v>
      </c>
      <c r="N3329" t="s">
        <v>16</v>
      </c>
    </row>
    <row r="3330" spans="1:14" x14ac:dyDescent="0.3">
      <c r="A3330">
        <v>2024004328</v>
      </c>
      <c r="B3330" s="1">
        <v>45578</v>
      </c>
      <c r="C3330" s="11">
        <f t="shared" si="153"/>
        <v>2024</v>
      </c>
      <c r="D3330" t="s">
        <v>262</v>
      </c>
      <c r="E3330" t="s">
        <v>43</v>
      </c>
      <c r="F3330" t="s">
        <v>44</v>
      </c>
      <c r="G3330" t="s">
        <v>36</v>
      </c>
      <c r="H3330">
        <v>1</v>
      </c>
      <c r="I3330" s="2">
        <v>1104.94</v>
      </c>
      <c r="J3330" s="2">
        <v>1104.94</v>
      </c>
      <c r="K3330" s="2">
        <f t="shared" si="154"/>
        <v>1104.94</v>
      </c>
      <c r="L3330" s="2">
        <f t="shared" si="155"/>
        <v>0</v>
      </c>
      <c r="M3330" t="s">
        <v>64</v>
      </c>
      <c r="N3330" t="s">
        <v>21</v>
      </c>
    </row>
    <row r="3331" spans="1:14" x14ac:dyDescent="0.3">
      <c r="A3331">
        <v>2024004329</v>
      </c>
      <c r="B3331" s="1">
        <v>45554</v>
      </c>
      <c r="C3331" s="11">
        <f t="shared" ref="C3331:C3394" si="156">YEAR(B3331)</f>
        <v>2024</v>
      </c>
      <c r="D3331" t="s">
        <v>332</v>
      </c>
      <c r="E3331" t="s">
        <v>23</v>
      </c>
      <c r="F3331" t="s">
        <v>24</v>
      </c>
      <c r="G3331" t="s">
        <v>14</v>
      </c>
      <c r="H3331">
        <v>2</v>
      </c>
      <c r="I3331" s="2">
        <v>73.010000000000005</v>
      </c>
      <c r="J3331" s="2">
        <v>146.02000000000001</v>
      </c>
      <c r="K3331" s="2">
        <f t="shared" ref="K3331:K3394" si="157">I3331*H3331</f>
        <v>146.02000000000001</v>
      </c>
      <c r="L3331" s="2">
        <f t="shared" ref="L3331:L3394" si="158">J3331-K3331</f>
        <v>0</v>
      </c>
      <c r="M3331" t="s">
        <v>48</v>
      </c>
      <c r="N3331" t="s">
        <v>21</v>
      </c>
    </row>
    <row r="3332" spans="1:14" x14ac:dyDescent="0.3">
      <c r="A3332">
        <v>2024004330</v>
      </c>
      <c r="B3332" s="1">
        <v>45535</v>
      </c>
      <c r="C3332" s="11">
        <f t="shared" si="156"/>
        <v>2024</v>
      </c>
      <c r="D3332" t="s">
        <v>225</v>
      </c>
      <c r="E3332" t="s">
        <v>53</v>
      </c>
      <c r="F3332" t="s">
        <v>54</v>
      </c>
      <c r="G3332" t="s">
        <v>36</v>
      </c>
      <c r="H3332">
        <v>3</v>
      </c>
      <c r="I3332" s="2">
        <v>125.47</v>
      </c>
      <c r="J3332" s="2">
        <v>376.41</v>
      </c>
      <c r="K3332" s="2">
        <f t="shared" si="157"/>
        <v>376.40999999999997</v>
      </c>
      <c r="L3332" s="2">
        <f t="shared" si="158"/>
        <v>0</v>
      </c>
      <c r="M3332" t="s">
        <v>55</v>
      </c>
      <c r="N3332" t="s">
        <v>21</v>
      </c>
    </row>
    <row r="3333" spans="1:14" x14ac:dyDescent="0.3">
      <c r="A3333">
        <v>2024004331</v>
      </c>
      <c r="B3333" s="1">
        <v>45338</v>
      </c>
      <c r="C3333" s="11">
        <f t="shared" si="156"/>
        <v>2024</v>
      </c>
      <c r="D3333" t="s">
        <v>154</v>
      </c>
      <c r="E3333" t="s">
        <v>53</v>
      </c>
      <c r="F3333" t="s">
        <v>54</v>
      </c>
      <c r="G3333" t="s">
        <v>36</v>
      </c>
      <c r="H3333">
        <v>2</v>
      </c>
      <c r="I3333" s="2">
        <v>125.25</v>
      </c>
      <c r="J3333" s="2">
        <v>250.5</v>
      </c>
      <c r="K3333" s="2">
        <f t="shared" si="157"/>
        <v>250.5</v>
      </c>
      <c r="L3333" s="2">
        <f t="shared" si="158"/>
        <v>0</v>
      </c>
      <c r="M3333" t="s">
        <v>15</v>
      </c>
      <c r="N3333" t="s">
        <v>26</v>
      </c>
    </row>
    <row r="3334" spans="1:14" x14ac:dyDescent="0.3">
      <c r="A3334">
        <v>2024004332</v>
      </c>
      <c r="B3334" s="1">
        <v>45366</v>
      </c>
      <c r="C3334" s="11">
        <f t="shared" si="156"/>
        <v>2024</v>
      </c>
      <c r="D3334" t="s">
        <v>69</v>
      </c>
      <c r="E3334" t="s">
        <v>46</v>
      </c>
      <c r="F3334" t="s">
        <v>47</v>
      </c>
      <c r="G3334" t="s">
        <v>36</v>
      </c>
      <c r="H3334">
        <v>1</v>
      </c>
      <c r="I3334" s="2">
        <v>86.22</v>
      </c>
      <c r="J3334" s="2">
        <v>86.22</v>
      </c>
      <c r="K3334" s="2">
        <f t="shared" si="157"/>
        <v>86.22</v>
      </c>
      <c r="L3334" s="2">
        <f t="shared" si="158"/>
        <v>0</v>
      </c>
      <c r="M3334" t="s">
        <v>61</v>
      </c>
      <c r="N3334" t="s">
        <v>21</v>
      </c>
    </row>
    <row r="3335" spans="1:14" x14ac:dyDescent="0.3">
      <c r="A3335">
        <v>2024004333</v>
      </c>
      <c r="B3335" s="1">
        <v>45618</v>
      </c>
      <c r="C3335" s="11">
        <f t="shared" si="156"/>
        <v>2024</v>
      </c>
      <c r="D3335" t="s">
        <v>320</v>
      </c>
      <c r="E3335" t="s">
        <v>67</v>
      </c>
      <c r="F3335" t="s">
        <v>68</v>
      </c>
      <c r="G3335" t="s">
        <v>36</v>
      </c>
      <c r="H3335">
        <v>2</v>
      </c>
      <c r="I3335" s="2">
        <v>432.4</v>
      </c>
      <c r="J3335" s="2">
        <v>864.8</v>
      </c>
      <c r="K3335" s="2">
        <f t="shared" si="157"/>
        <v>864.8</v>
      </c>
      <c r="L3335" s="2">
        <f t="shared" si="158"/>
        <v>0</v>
      </c>
      <c r="M3335" t="s">
        <v>15</v>
      </c>
      <c r="N3335" t="s">
        <v>32</v>
      </c>
    </row>
    <row r="3336" spans="1:14" x14ac:dyDescent="0.3">
      <c r="A3336">
        <v>2024004334</v>
      </c>
      <c r="B3336" s="1">
        <v>45437</v>
      </c>
      <c r="C3336" s="11">
        <f t="shared" si="156"/>
        <v>2024</v>
      </c>
      <c r="D3336" t="s">
        <v>259</v>
      </c>
      <c r="E3336" t="s">
        <v>28</v>
      </c>
      <c r="F3336" t="s">
        <v>29</v>
      </c>
      <c r="G3336" t="s">
        <v>30</v>
      </c>
      <c r="H3336">
        <v>2</v>
      </c>
      <c r="I3336" s="2">
        <v>25.22</v>
      </c>
      <c r="J3336" s="2">
        <v>50.44</v>
      </c>
      <c r="K3336" s="2">
        <f t="shared" si="157"/>
        <v>50.44</v>
      </c>
      <c r="L3336" s="2">
        <f t="shared" si="158"/>
        <v>0</v>
      </c>
      <c r="M3336" t="s">
        <v>48</v>
      </c>
      <c r="N3336" t="s">
        <v>21</v>
      </c>
    </row>
    <row r="3337" spans="1:14" x14ac:dyDescent="0.3">
      <c r="A3337">
        <v>2024004335</v>
      </c>
      <c r="B3337" s="1">
        <v>45593</v>
      </c>
      <c r="C3337" s="11">
        <f t="shared" si="156"/>
        <v>2024</v>
      </c>
      <c r="D3337" t="s">
        <v>142</v>
      </c>
      <c r="E3337" t="s">
        <v>46</v>
      </c>
      <c r="F3337" t="s">
        <v>47</v>
      </c>
      <c r="G3337" t="s">
        <v>36</v>
      </c>
      <c r="H3337">
        <v>3</v>
      </c>
      <c r="I3337" s="2">
        <v>95.79</v>
      </c>
      <c r="J3337" s="2">
        <v>287.37</v>
      </c>
      <c r="K3337" s="2">
        <f t="shared" si="157"/>
        <v>287.37</v>
      </c>
      <c r="L3337" s="2">
        <f t="shared" si="158"/>
        <v>0</v>
      </c>
      <c r="M3337" t="s">
        <v>31</v>
      </c>
      <c r="N3337" t="s">
        <v>21</v>
      </c>
    </row>
    <row r="3338" spans="1:14" x14ac:dyDescent="0.3">
      <c r="A3338">
        <v>2024004336</v>
      </c>
      <c r="B3338" s="1">
        <v>45419</v>
      </c>
      <c r="C3338" s="11">
        <f t="shared" si="156"/>
        <v>2024</v>
      </c>
      <c r="D3338" t="s">
        <v>90</v>
      </c>
      <c r="E3338" t="s">
        <v>23</v>
      </c>
      <c r="F3338" t="s">
        <v>24</v>
      </c>
      <c r="G3338" t="s">
        <v>14</v>
      </c>
      <c r="H3338">
        <v>2</v>
      </c>
      <c r="I3338" s="2">
        <v>78.83</v>
      </c>
      <c r="J3338" s="2">
        <v>157.66</v>
      </c>
      <c r="K3338" s="2">
        <f t="shared" si="157"/>
        <v>157.66</v>
      </c>
      <c r="L3338" s="2">
        <f t="shared" si="158"/>
        <v>0</v>
      </c>
      <c r="M3338" t="s">
        <v>55</v>
      </c>
      <c r="N3338" t="s">
        <v>21</v>
      </c>
    </row>
    <row r="3339" spans="1:14" x14ac:dyDescent="0.3">
      <c r="A3339">
        <v>2024004337</v>
      </c>
      <c r="B3339" s="1">
        <v>45628</v>
      </c>
      <c r="C3339" s="11">
        <f t="shared" si="156"/>
        <v>2024</v>
      </c>
      <c r="D3339" t="s">
        <v>11</v>
      </c>
      <c r="E3339" t="s">
        <v>46</v>
      </c>
      <c r="F3339" t="s">
        <v>47</v>
      </c>
      <c r="G3339" t="s">
        <v>36</v>
      </c>
      <c r="H3339">
        <v>3</v>
      </c>
      <c r="I3339" s="2">
        <v>85.67</v>
      </c>
      <c r="J3339" s="2">
        <v>257.01</v>
      </c>
      <c r="K3339" s="2">
        <f t="shared" si="157"/>
        <v>257.01</v>
      </c>
      <c r="L3339" s="2">
        <f t="shared" si="158"/>
        <v>0</v>
      </c>
      <c r="M3339" t="s">
        <v>48</v>
      </c>
      <c r="N3339" t="s">
        <v>26</v>
      </c>
    </row>
    <row r="3340" spans="1:14" x14ac:dyDescent="0.3">
      <c r="A3340">
        <v>2024004338</v>
      </c>
      <c r="B3340" s="1">
        <v>45594</v>
      </c>
      <c r="C3340" s="11">
        <f t="shared" si="156"/>
        <v>2024</v>
      </c>
      <c r="D3340" t="s">
        <v>160</v>
      </c>
      <c r="E3340" t="s">
        <v>28</v>
      </c>
      <c r="F3340" t="s">
        <v>29</v>
      </c>
      <c r="G3340" t="s">
        <v>30</v>
      </c>
      <c r="H3340">
        <v>3</v>
      </c>
      <c r="I3340" s="2">
        <v>26.07</v>
      </c>
      <c r="J3340" s="2">
        <v>78.209999999999994</v>
      </c>
      <c r="K3340" s="2">
        <f t="shared" si="157"/>
        <v>78.210000000000008</v>
      </c>
      <c r="L3340" s="2">
        <f t="shared" si="158"/>
        <v>0</v>
      </c>
      <c r="M3340" t="s">
        <v>15</v>
      </c>
      <c r="N3340" t="s">
        <v>26</v>
      </c>
    </row>
    <row r="3341" spans="1:14" x14ac:dyDescent="0.3">
      <c r="A3341">
        <v>2024004339</v>
      </c>
      <c r="B3341" s="1">
        <v>45650</v>
      </c>
      <c r="C3341" s="11">
        <f t="shared" si="156"/>
        <v>2024</v>
      </c>
      <c r="D3341" t="s">
        <v>291</v>
      </c>
      <c r="E3341" t="s">
        <v>23</v>
      </c>
      <c r="F3341" t="s">
        <v>24</v>
      </c>
      <c r="G3341" t="s">
        <v>14</v>
      </c>
      <c r="H3341">
        <v>1</v>
      </c>
      <c r="I3341" s="2">
        <v>80.78</v>
      </c>
      <c r="J3341" s="2">
        <v>80.78</v>
      </c>
      <c r="K3341" s="2">
        <f t="shared" si="157"/>
        <v>80.78</v>
      </c>
      <c r="L3341" s="2">
        <f t="shared" si="158"/>
        <v>0</v>
      </c>
      <c r="M3341" t="s">
        <v>61</v>
      </c>
      <c r="N3341" t="s">
        <v>16</v>
      </c>
    </row>
    <row r="3342" spans="1:14" x14ac:dyDescent="0.3">
      <c r="A3342">
        <v>2024004340</v>
      </c>
      <c r="B3342" s="1">
        <v>45578</v>
      </c>
      <c r="C3342" s="11">
        <f t="shared" si="156"/>
        <v>2024</v>
      </c>
      <c r="D3342" t="s">
        <v>310</v>
      </c>
      <c r="E3342" t="s">
        <v>23</v>
      </c>
      <c r="F3342" t="s">
        <v>24</v>
      </c>
      <c r="G3342" t="s">
        <v>14</v>
      </c>
      <c r="H3342">
        <v>3</v>
      </c>
      <c r="I3342" s="2">
        <v>77.569999999999993</v>
      </c>
      <c r="J3342" s="2">
        <v>232.71</v>
      </c>
      <c r="K3342" s="2">
        <f t="shared" si="157"/>
        <v>232.70999999999998</v>
      </c>
      <c r="L3342" s="2">
        <f t="shared" si="158"/>
        <v>0</v>
      </c>
      <c r="M3342" t="s">
        <v>20</v>
      </c>
      <c r="N3342" t="s">
        <v>16</v>
      </c>
    </row>
    <row r="3343" spans="1:14" x14ac:dyDescent="0.3">
      <c r="A3343">
        <v>2024004341</v>
      </c>
      <c r="B3343" s="1">
        <v>45603</v>
      </c>
      <c r="C3343" s="11">
        <f t="shared" si="156"/>
        <v>2024</v>
      </c>
      <c r="D3343" t="s">
        <v>111</v>
      </c>
      <c r="E3343" t="s">
        <v>40</v>
      </c>
      <c r="F3343" t="s">
        <v>41</v>
      </c>
      <c r="G3343" t="s">
        <v>36</v>
      </c>
      <c r="H3343">
        <v>1</v>
      </c>
      <c r="I3343" s="2">
        <v>46.27</v>
      </c>
      <c r="J3343" s="2">
        <v>46.27</v>
      </c>
      <c r="K3343" s="2">
        <f t="shared" si="157"/>
        <v>46.27</v>
      </c>
      <c r="L3343" s="2">
        <f t="shared" si="158"/>
        <v>0</v>
      </c>
      <c r="M3343" t="s">
        <v>25</v>
      </c>
      <c r="N3343" t="s">
        <v>21</v>
      </c>
    </row>
    <row r="3344" spans="1:14" x14ac:dyDescent="0.3">
      <c r="A3344">
        <v>2024004342</v>
      </c>
      <c r="B3344" s="1">
        <v>45615</v>
      </c>
      <c r="C3344" s="11">
        <f t="shared" si="156"/>
        <v>2024</v>
      </c>
      <c r="D3344" t="s">
        <v>127</v>
      </c>
      <c r="E3344" t="s">
        <v>43</v>
      </c>
      <c r="F3344" t="s">
        <v>44</v>
      </c>
      <c r="G3344" t="s">
        <v>36</v>
      </c>
      <c r="H3344">
        <v>1</v>
      </c>
      <c r="I3344" s="2">
        <v>1221.45</v>
      </c>
      <c r="J3344" s="2">
        <v>1221.45</v>
      </c>
      <c r="K3344" s="2">
        <f t="shared" si="157"/>
        <v>1221.45</v>
      </c>
      <c r="L3344" s="2">
        <f t="shared" si="158"/>
        <v>0</v>
      </c>
      <c r="M3344" t="s">
        <v>48</v>
      </c>
      <c r="N3344" t="s">
        <v>32</v>
      </c>
    </row>
    <row r="3345" spans="1:14" x14ac:dyDescent="0.3">
      <c r="A3345">
        <v>2024004343</v>
      </c>
      <c r="B3345" s="1">
        <v>45584</v>
      </c>
      <c r="C3345" s="11">
        <f t="shared" si="156"/>
        <v>2024</v>
      </c>
      <c r="D3345" t="s">
        <v>96</v>
      </c>
      <c r="E3345" t="s">
        <v>53</v>
      </c>
      <c r="F3345" t="s">
        <v>54</v>
      </c>
      <c r="G3345" t="s">
        <v>36</v>
      </c>
      <c r="H3345">
        <v>1</v>
      </c>
      <c r="I3345" s="2">
        <v>122</v>
      </c>
      <c r="J3345" s="2">
        <v>122</v>
      </c>
      <c r="K3345" s="2">
        <f t="shared" si="157"/>
        <v>122</v>
      </c>
      <c r="L3345" s="2">
        <f t="shared" si="158"/>
        <v>0</v>
      </c>
      <c r="M3345" t="s">
        <v>15</v>
      </c>
      <c r="N3345" t="s">
        <v>21</v>
      </c>
    </row>
    <row r="3346" spans="1:14" x14ac:dyDescent="0.3">
      <c r="A3346">
        <v>2024004344</v>
      </c>
      <c r="B3346" s="1">
        <v>45556</v>
      </c>
      <c r="C3346" s="11">
        <f t="shared" si="156"/>
        <v>2024</v>
      </c>
      <c r="D3346" t="s">
        <v>199</v>
      </c>
      <c r="E3346" t="s">
        <v>40</v>
      </c>
      <c r="F3346" t="s">
        <v>41</v>
      </c>
      <c r="G3346" t="s">
        <v>36</v>
      </c>
      <c r="H3346">
        <v>1</v>
      </c>
      <c r="I3346" s="2">
        <v>46.33</v>
      </c>
      <c r="J3346" s="2">
        <v>46.33</v>
      </c>
      <c r="K3346" s="2">
        <f t="shared" si="157"/>
        <v>46.33</v>
      </c>
      <c r="L3346" s="2">
        <f t="shared" si="158"/>
        <v>0</v>
      </c>
      <c r="M3346" t="s">
        <v>57</v>
      </c>
      <c r="N3346" t="s">
        <v>32</v>
      </c>
    </row>
    <row r="3347" spans="1:14" x14ac:dyDescent="0.3">
      <c r="A3347">
        <v>2024004345</v>
      </c>
      <c r="B3347" s="1">
        <v>45478</v>
      </c>
      <c r="C3347" s="11">
        <f t="shared" si="156"/>
        <v>2024</v>
      </c>
      <c r="D3347" t="s">
        <v>81</v>
      </c>
      <c r="E3347" t="s">
        <v>43</v>
      </c>
      <c r="F3347" t="s">
        <v>44</v>
      </c>
      <c r="G3347" t="s">
        <v>36</v>
      </c>
      <c r="H3347">
        <v>2</v>
      </c>
      <c r="I3347" s="2">
        <v>1232.57</v>
      </c>
      <c r="J3347" s="2">
        <v>2465.14</v>
      </c>
      <c r="K3347" s="2">
        <f t="shared" si="157"/>
        <v>2465.14</v>
      </c>
      <c r="L3347" s="2">
        <f t="shared" si="158"/>
        <v>0</v>
      </c>
      <c r="M3347" t="s">
        <v>20</v>
      </c>
      <c r="N3347" t="s">
        <v>32</v>
      </c>
    </row>
    <row r="3348" spans="1:14" x14ac:dyDescent="0.3">
      <c r="A3348">
        <v>2024004346</v>
      </c>
      <c r="B3348" s="1">
        <v>45469</v>
      </c>
      <c r="C3348" s="11">
        <f t="shared" si="156"/>
        <v>2024</v>
      </c>
      <c r="D3348" t="s">
        <v>103</v>
      </c>
      <c r="E3348" t="s">
        <v>28</v>
      </c>
      <c r="F3348" t="s">
        <v>29</v>
      </c>
      <c r="G3348" t="s">
        <v>30</v>
      </c>
      <c r="H3348">
        <v>2</v>
      </c>
      <c r="I3348" s="2">
        <v>26.25</v>
      </c>
      <c r="J3348" s="2">
        <v>52.5</v>
      </c>
      <c r="K3348" s="2">
        <f t="shared" si="157"/>
        <v>52.5</v>
      </c>
      <c r="L3348" s="2">
        <f t="shared" si="158"/>
        <v>0</v>
      </c>
      <c r="M3348" t="s">
        <v>20</v>
      </c>
      <c r="N3348" t="s">
        <v>16</v>
      </c>
    </row>
    <row r="3349" spans="1:14" x14ac:dyDescent="0.3">
      <c r="A3349">
        <v>2024004347</v>
      </c>
      <c r="B3349" s="1">
        <v>45369</v>
      </c>
      <c r="C3349" s="11">
        <f t="shared" si="156"/>
        <v>2024</v>
      </c>
      <c r="D3349" t="s">
        <v>289</v>
      </c>
      <c r="E3349" t="s">
        <v>53</v>
      </c>
      <c r="F3349" t="s">
        <v>54</v>
      </c>
      <c r="G3349" t="s">
        <v>36</v>
      </c>
      <c r="H3349">
        <v>1</v>
      </c>
      <c r="I3349" s="2">
        <v>114.54</v>
      </c>
      <c r="J3349" s="2">
        <v>114.54</v>
      </c>
      <c r="K3349" s="2">
        <f t="shared" si="157"/>
        <v>114.54</v>
      </c>
      <c r="L3349" s="2">
        <f t="shared" si="158"/>
        <v>0</v>
      </c>
      <c r="M3349" t="s">
        <v>55</v>
      </c>
      <c r="N3349" t="s">
        <v>26</v>
      </c>
    </row>
    <row r="3350" spans="1:14" x14ac:dyDescent="0.3">
      <c r="A3350">
        <v>2024004348</v>
      </c>
      <c r="B3350" s="1">
        <v>45355</v>
      </c>
      <c r="C3350" s="11">
        <f t="shared" si="156"/>
        <v>2024</v>
      </c>
      <c r="D3350" t="s">
        <v>133</v>
      </c>
      <c r="E3350" t="s">
        <v>67</v>
      </c>
      <c r="F3350" t="s">
        <v>68</v>
      </c>
      <c r="G3350" t="s">
        <v>36</v>
      </c>
      <c r="H3350">
        <v>1</v>
      </c>
      <c r="I3350" s="2">
        <v>346.9</v>
      </c>
      <c r="J3350" s="2">
        <v>346.9</v>
      </c>
      <c r="K3350" s="2">
        <f t="shared" si="157"/>
        <v>346.9</v>
      </c>
      <c r="L3350" s="2">
        <f t="shared" si="158"/>
        <v>0</v>
      </c>
      <c r="M3350" t="s">
        <v>57</v>
      </c>
      <c r="N3350" t="s">
        <v>32</v>
      </c>
    </row>
    <row r="3351" spans="1:14" x14ac:dyDescent="0.3">
      <c r="A3351">
        <v>2024004349</v>
      </c>
      <c r="B3351" s="1">
        <v>45595</v>
      </c>
      <c r="C3351" s="11">
        <f t="shared" si="156"/>
        <v>2024</v>
      </c>
      <c r="D3351" t="s">
        <v>245</v>
      </c>
      <c r="E3351" t="s">
        <v>23</v>
      </c>
      <c r="F3351" t="s">
        <v>24</v>
      </c>
      <c r="G3351" t="s">
        <v>14</v>
      </c>
      <c r="H3351">
        <v>1</v>
      </c>
      <c r="I3351" s="2">
        <v>80.97</v>
      </c>
      <c r="J3351" s="2">
        <v>80.97</v>
      </c>
      <c r="K3351" s="2">
        <f t="shared" si="157"/>
        <v>80.97</v>
      </c>
      <c r="L3351" s="2">
        <f t="shared" si="158"/>
        <v>0</v>
      </c>
      <c r="M3351" t="s">
        <v>31</v>
      </c>
      <c r="N3351" t="s">
        <v>32</v>
      </c>
    </row>
    <row r="3352" spans="1:14" x14ac:dyDescent="0.3">
      <c r="A3352">
        <v>2024004350</v>
      </c>
      <c r="B3352" s="1">
        <v>45507</v>
      </c>
      <c r="C3352" s="11">
        <f t="shared" si="156"/>
        <v>2024</v>
      </c>
      <c r="D3352" t="s">
        <v>291</v>
      </c>
      <c r="E3352" t="s">
        <v>28</v>
      </c>
      <c r="F3352" t="s">
        <v>29</v>
      </c>
      <c r="G3352" t="s">
        <v>30</v>
      </c>
      <c r="H3352">
        <v>1</v>
      </c>
      <c r="I3352" s="2">
        <v>26.76</v>
      </c>
      <c r="J3352" s="2">
        <v>26.76</v>
      </c>
      <c r="K3352" s="2">
        <f t="shared" si="157"/>
        <v>26.76</v>
      </c>
      <c r="L3352" s="2">
        <f t="shared" si="158"/>
        <v>0</v>
      </c>
      <c r="M3352" t="s">
        <v>31</v>
      </c>
      <c r="N3352" t="s">
        <v>16</v>
      </c>
    </row>
    <row r="3353" spans="1:14" x14ac:dyDescent="0.3">
      <c r="A3353">
        <v>2024004351</v>
      </c>
      <c r="B3353" s="1">
        <v>45304</v>
      </c>
      <c r="C3353" s="11">
        <f t="shared" si="156"/>
        <v>2024</v>
      </c>
      <c r="D3353" t="s">
        <v>266</v>
      </c>
      <c r="E3353" t="s">
        <v>43</v>
      </c>
      <c r="F3353" t="s">
        <v>44</v>
      </c>
      <c r="G3353" t="s">
        <v>36</v>
      </c>
      <c r="H3353">
        <v>3</v>
      </c>
      <c r="I3353" s="2">
        <v>1151.56</v>
      </c>
      <c r="J3353" s="2">
        <v>3454.68</v>
      </c>
      <c r="K3353" s="2">
        <f t="shared" si="157"/>
        <v>3454.68</v>
      </c>
      <c r="L3353" s="2">
        <f t="shared" si="158"/>
        <v>0</v>
      </c>
      <c r="M3353" t="s">
        <v>61</v>
      </c>
      <c r="N3353" t="s">
        <v>32</v>
      </c>
    </row>
    <row r="3354" spans="1:14" x14ac:dyDescent="0.3">
      <c r="A3354">
        <v>2024004352</v>
      </c>
      <c r="B3354" s="1">
        <v>45301</v>
      </c>
      <c r="C3354" s="11">
        <f t="shared" si="156"/>
        <v>2024</v>
      </c>
      <c r="D3354" t="s">
        <v>178</v>
      </c>
      <c r="E3354" t="s">
        <v>67</v>
      </c>
      <c r="F3354" t="s">
        <v>68</v>
      </c>
      <c r="G3354" t="s">
        <v>36</v>
      </c>
      <c r="H3354">
        <v>1</v>
      </c>
      <c r="I3354" s="2">
        <v>399.79</v>
      </c>
      <c r="J3354" s="2">
        <v>399.79</v>
      </c>
      <c r="K3354" s="2">
        <f t="shared" si="157"/>
        <v>399.79</v>
      </c>
      <c r="L3354" s="2">
        <f t="shared" si="158"/>
        <v>0</v>
      </c>
      <c r="M3354" t="s">
        <v>55</v>
      </c>
      <c r="N3354" t="s">
        <v>21</v>
      </c>
    </row>
    <row r="3355" spans="1:14" x14ac:dyDescent="0.3">
      <c r="A3355">
        <v>2024004353</v>
      </c>
      <c r="B3355" s="1">
        <v>45424</v>
      </c>
      <c r="C3355" s="11">
        <f t="shared" si="156"/>
        <v>2024</v>
      </c>
      <c r="D3355" t="s">
        <v>262</v>
      </c>
      <c r="E3355" t="s">
        <v>12</v>
      </c>
      <c r="F3355" t="s">
        <v>13</v>
      </c>
      <c r="G3355" t="s">
        <v>14</v>
      </c>
      <c r="H3355">
        <v>1</v>
      </c>
      <c r="I3355" s="2">
        <v>360.11</v>
      </c>
      <c r="J3355" s="2">
        <v>360.11</v>
      </c>
      <c r="K3355" s="2">
        <f t="shared" si="157"/>
        <v>360.11</v>
      </c>
      <c r="L3355" s="2">
        <f t="shared" si="158"/>
        <v>0</v>
      </c>
      <c r="M3355" t="s">
        <v>31</v>
      </c>
      <c r="N3355" t="s">
        <v>21</v>
      </c>
    </row>
    <row r="3356" spans="1:14" x14ac:dyDescent="0.3">
      <c r="A3356">
        <v>2024004354</v>
      </c>
      <c r="B3356" s="1">
        <v>45524</v>
      </c>
      <c r="C3356" s="11">
        <f t="shared" si="156"/>
        <v>2024</v>
      </c>
      <c r="D3356" t="s">
        <v>45</v>
      </c>
      <c r="E3356" t="s">
        <v>53</v>
      </c>
      <c r="F3356" t="s">
        <v>54</v>
      </c>
      <c r="G3356" t="s">
        <v>36</v>
      </c>
      <c r="H3356">
        <v>1</v>
      </c>
      <c r="I3356" s="2">
        <v>122.78</v>
      </c>
      <c r="J3356" s="2">
        <v>122.78</v>
      </c>
      <c r="K3356" s="2">
        <f t="shared" si="157"/>
        <v>122.78</v>
      </c>
      <c r="L3356" s="2">
        <f t="shared" si="158"/>
        <v>0</v>
      </c>
      <c r="M3356" t="s">
        <v>61</v>
      </c>
      <c r="N3356" t="s">
        <v>21</v>
      </c>
    </row>
    <row r="3357" spans="1:14" x14ac:dyDescent="0.3">
      <c r="A3357">
        <v>2024004355</v>
      </c>
      <c r="B3357" s="1">
        <v>45482</v>
      </c>
      <c r="C3357" s="11">
        <f t="shared" si="156"/>
        <v>2024</v>
      </c>
      <c r="D3357" t="s">
        <v>181</v>
      </c>
      <c r="E3357" t="s">
        <v>46</v>
      </c>
      <c r="F3357" t="s">
        <v>47</v>
      </c>
      <c r="G3357" t="s">
        <v>36</v>
      </c>
      <c r="H3357">
        <v>1</v>
      </c>
      <c r="I3357" s="2">
        <v>90.81</v>
      </c>
      <c r="J3357" s="2">
        <v>90.81</v>
      </c>
      <c r="K3357" s="2">
        <f t="shared" si="157"/>
        <v>90.81</v>
      </c>
      <c r="L3357" s="2">
        <f t="shared" si="158"/>
        <v>0</v>
      </c>
      <c r="M3357" t="s">
        <v>61</v>
      </c>
      <c r="N3357" t="s">
        <v>21</v>
      </c>
    </row>
    <row r="3358" spans="1:14" x14ac:dyDescent="0.3">
      <c r="A3358">
        <v>2024004356</v>
      </c>
      <c r="B3358" s="1">
        <v>45544</v>
      </c>
      <c r="C3358" s="11">
        <f t="shared" si="156"/>
        <v>2024</v>
      </c>
      <c r="D3358" t="s">
        <v>264</v>
      </c>
      <c r="E3358" t="s">
        <v>28</v>
      </c>
      <c r="F3358" t="s">
        <v>29</v>
      </c>
      <c r="G3358" t="s">
        <v>30</v>
      </c>
      <c r="H3358">
        <v>2</v>
      </c>
      <c r="I3358" s="2">
        <v>23.48</v>
      </c>
      <c r="J3358" s="2">
        <v>46.96</v>
      </c>
      <c r="K3358" s="2">
        <f t="shared" si="157"/>
        <v>46.96</v>
      </c>
      <c r="L3358" s="2">
        <f t="shared" si="158"/>
        <v>0</v>
      </c>
      <c r="M3358" t="s">
        <v>38</v>
      </c>
      <c r="N3358" t="s">
        <v>32</v>
      </c>
    </row>
    <row r="3359" spans="1:14" x14ac:dyDescent="0.3">
      <c r="A3359">
        <v>2024004357</v>
      </c>
      <c r="B3359" s="1">
        <v>45466</v>
      </c>
      <c r="C3359" s="11">
        <f t="shared" si="156"/>
        <v>2024</v>
      </c>
      <c r="D3359" t="s">
        <v>323</v>
      </c>
      <c r="E3359" t="s">
        <v>12</v>
      </c>
      <c r="F3359" t="s">
        <v>13</v>
      </c>
      <c r="G3359" t="s">
        <v>14</v>
      </c>
      <c r="H3359">
        <v>2</v>
      </c>
      <c r="I3359" s="2">
        <v>377.67</v>
      </c>
      <c r="J3359" s="2">
        <v>755.34</v>
      </c>
      <c r="K3359" s="2">
        <f t="shared" si="157"/>
        <v>755.34</v>
      </c>
      <c r="L3359" s="2">
        <f t="shared" si="158"/>
        <v>0</v>
      </c>
      <c r="M3359" t="s">
        <v>55</v>
      </c>
      <c r="N3359" t="s">
        <v>26</v>
      </c>
    </row>
    <row r="3360" spans="1:14" x14ac:dyDescent="0.3">
      <c r="A3360">
        <v>2024004358</v>
      </c>
      <c r="B3360" s="1">
        <v>45425</v>
      </c>
      <c r="C3360" s="11">
        <f t="shared" si="156"/>
        <v>2024</v>
      </c>
      <c r="D3360" t="s">
        <v>264</v>
      </c>
      <c r="E3360" t="s">
        <v>46</v>
      </c>
      <c r="F3360" t="s">
        <v>47</v>
      </c>
      <c r="G3360" t="s">
        <v>36</v>
      </c>
      <c r="H3360">
        <v>1</v>
      </c>
      <c r="I3360" s="2">
        <v>95.46</v>
      </c>
      <c r="J3360" s="2">
        <v>95.46</v>
      </c>
      <c r="K3360" s="2">
        <f t="shared" si="157"/>
        <v>95.46</v>
      </c>
      <c r="L3360" s="2">
        <f t="shared" si="158"/>
        <v>0</v>
      </c>
      <c r="M3360" t="s">
        <v>15</v>
      </c>
      <c r="N3360" t="s">
        <v>26</v>
      </c>
    </row>
    <row r="3361" spans="1:14" x14ac:dyDescent="0.3">
      <c r="A3361">
        <v>2024004359</v>
      </c>
      <c r="B3361" s="1">
        <v>45428</v>
      </c>
      <c r="C3361" s="11">
        <f t="shared" si="156"/>
        <v>2024</v>
      </c>
      <c r="D3361" t="s">
        <v>262</v>
      </c>
      <c r="E3361" t="s">
        <v>34</v>
      </c>
      <c r="F3361" t="s">
        <v>35</v>
      </c>
      <c r="G3361" t="s">
        <v>36</v>
      </c>
      <c r="H3361">
        <v>1</v>
      </c>
      <c r="I3361" s="2">
        <v>13.49</v>
      </c>
      <c r="J3361" s="2">
        <v>13.49</v>
      </c>
      <c r="K3361" s="2">
        <f t="shared" si="157"/>
        <v>13.49</v>
      </c>
      <c r="L3361" s="2">
        <f t="shared" si="158"/>
        <v>0</v>
      </c>
      <c r="M3361" t="s">
        <v>20</v>
      </c>
      <c r="N3361" t="s">
        <v>16</v>
      </c>
    </row>
    <row r="3362" spans="1:14" x14ac:dyDescent="0.3">
      <c r="A3362">
        <v>2024004360</v>
      </c>
      <c r="B3362" s="1">
        <v>45509</v>
      </c>
      <c r="C3362" s="11">
        <f t="shared" si="156"/>
        <v>2024</v>
      </c>
      <c r="D3362" t="s">
        <v>347</v>
      </c>
      <c r="E3362" t="s">
        <v>53</v>
      </c>
      <c r="F3362" t="s">
        <v>54</v>
      </c>
      <c r="G3362" t="s">
        <v>36</v>
      </c>
      <c r="H3362">
        <v>2</v>
      </c>
      <c r="I3362" s="2">
        <v>117.27</v>
      </c>
      <c r="J3362" s="2">
        <v>234.54</v>
      </c>
      <c r="K3362" s="2">
        <f t="shared" si="157"/>
        <v>234.54</v>
      </c>
      <c r="L3362" s="2">
        <f t="shared" si="158"/>
        <v>0</v>
      </c>
      <c r="M3362" t="s">
        <v>61</v>
      </c>
      <c r="N3362" t="s">
        <v>26</v>
      </c>
    </row>
    <row r="3363" spans="1:14" x14ac:dyDescent="0.3">
      <c r="A3363">
        <v>2024004361</v>
      </c>
      <c r="B3363" s="1">
        <v>45534</v>
      </c>
      <c r="C3363" s="11">
        <f t="shared" si="156"/>
        <v>2024</v>
      </c>
      <c r="D3363" t="s">
        <v>203</v>
      </c>
      <c r="E3363" t="s">
        <v>28</v>
      </c>
      <c r="F3363" t="s">
        <v>29</v>
      </c>
      <c r="G3363" t="s">
        <v>30</v>
      </c>
      <c r="H3363">
        <v>2</v>
      </c>
      <c r="I3363" s="2">
        <v>25.92</v>
      </c>
      <c r="J3363" s="2">
        <v>51.84</v>
      </c>
      <c r="K3363" s="2">
        <f t="shared" si="157"/>
        <v>51.84</v>
      </c>
      <c r="L3363" s="2">
        <f t="shared" si="158"/>
        <v>0</v>
      </c>
      <c r="M3363" t="s">
        <v>61</v>
      </c>
      <c r="N3363" t="s">
        <v>16</v>
      </c>
    </row>
    <row r="3364" spans="1:14" x14ac:dyDescent="0.3">
      <c r="A3364">
        <v>2024004362</v>
      </c>
      <c r="B3364" s="1">
        <v>45610</v>
      </c>
      <c r="C3364" s="11">
        <f t="shared" si="156"/>
        <v>2024</v>
      </c>
      <c r="D3364" t="s">
        <v>279</v>
      </c>
      <c r="E3364" t="s">
        <v>12</v>
      </c>
      <c r="F3364" t="s">
        <v>13</v>
      </c>
      <c r="G3364" t="s">
        <v>14</v>
      </c>
      <c r="H3364">
        <v>1</v>
      </c>
      <c r="I3364" s="2">
        <v>374.42</v>
      </c>
      <c r="J3364" s="2">
        <v>374.42</v>
      </c>
      <c r="K3364" s="2">
        <f t="shared" si="157"/>
        <v>374.42</v>
      </c>
      <c r="L3364" s="2">
        <f t="shared" si="158"/>
        <v>0</v>
      </c>
      <c r="M3364" t="s">
        <v>55</v>
      </c>
      <c r="N3364" t="s">
        <v>21</v>
      </c>
    </row>
    <row r="3365" spans="1:14" x14ac:dyDescent="0.3">
      <c r="A3365">
        <v>2024004363</v>
      </c>
      <c r="B3365" s="1">
        <v>45340</v>
      </c>
      <c r="C3365" s="11">
        <f t="shared" si="156"/>
        <v>2024</v>
      </c>
      <c r="D3365" t="s">
        <v>171</v>
      </c>
      <c r="E3365" t="s">
        <v>28</v>
      </c>
      <c r="F3365" t="s">
        <v>29</v>
      </c>
      <c r="G3365" t="s">
        <v>30</v>
      </c>
      <c r="H3365">
        <v>1</v>
      </c>
      <c r="I3365" s="2">
        <v>25.25</v>
      </c>
      <c r="J3365" s="2">
        <v>25.25</v>
      </c>
      <c r="K3365" s="2">
        <f t="shared" si="157"/>
        <v>25.25</v>
      </c>
      <c r="L3365" s="2">
        <f t="shared" si="158"/>
        <v>0</v>
      </c>
      <c r="M3365" t="s">
        <v>55</v>
      </c>
      <c r="N3365" t="s">
        <v>32</v>
      </c>
    </row>
    <row r="3366" spans="1:14" x14ac:dyDescent="0.3">
      <c r="A3366">
        <v>2024004364</v>
      </c>
      <c r="B3366" s="1">
        <v>45515</v>
      </c>
      <c r="C3366" s="11">
        <f t="shared" si="156"/>
        <v>2024</v>
      </c>
      <c r="D3366" t="s">
        <v>72</v>
      </c>
      <c r="E3366" t="s">
        <v>40</v>
      </c>
      <c r="F3366" t="s">
        <v>41</v>
      </c>
      <c r="G3366" t="s">
        <v>36</v>
      </c>
      <c r="H3366">
        <v>1</v>
      </c>
      <c r="I3366" s="2">
        <v>42.66</v>
      </c>
      <c r="J3366" s="2">
        <v>42.66</v>
      </c>
      <c r="K3366" s="2">
        <f t="shared" si="157"/>
        <v>42.66</v>
      </c>
      <c r="L3366" s="2">
        <f t="shared" si="158"/>
        <v>0</v>
      </c>
      <c r="M3366" t="s">
        <v>20</v>
      </c>
      <c r="N3366" t="s">
        <v>21</v>
      </c>
    </row>
    <row r="3367" spans="1:14" x14ac:dyDescent="0.3">
      <c r="A3367">
        <v>2024004365</v>
      </c>
      <c r="B3367" s="1">
        <v>45499</v>
      </c>
      <c r="C3367" s="11">
        <f t="shared" si="156"/>
        <v>2024</v>
      </c>
      <c r="D3367" t="s">
        <v>211</v>
      </c>
      <c r="E3367" t="s">
        <v>28</v>
      </c>
      <c r="F3367" t="s">
        <v>29</v>
      </c>
      <c r="G3367" t="s">
        <v>30</v>
      </c>
      <c r="H3367">
        <v>2</v>
      </c>
      <c r="I3367" s="2">
        <v>25.32</v>
      </c>
      <c r="J3367" s="2">
        <v>50.64</v>
      </c>
      <c r="K3367" s="2">
        <f t="shared" si="157"/>
        <v>50.64</v>
      </c>
      <c r="L3367" s="2">
        <f t="shared" si="158"/>
        <v>0</v>
      </c>
      <c r="M3367" t="s">
        <v>61</v>
      </c>
      <c r="N3367" t="s">
        <v>32</v>
      </c>
    </row>
    <row r="3368" spans="1:14" x14ac:dyDescent="0.3">
      <c r="A3368">
        <v>2024004366</v>
      </c>
      <c r="B3368" s="1">
        <v>45415</v>
      </c>
      <c r="C3368" s="11">
        <f t="shared" si="156"/>
        <v>2024</v>
      </c>
      <c r="D3368" t="s">
        <v>303</v>
      </c>
      <c r="E3368" t="s">
        <v>40</v>
      </c>
      <c r="F3368" t="s">
        <v>41</v>
      </c>
      <c r="G3368" t="s">
        <v>36</v>
      </c>
      <c r="H3368">
        <v>1</v>
      </c>
      <c r="I3368" s="2">
        <v>49.08</v>
      </c>
      <c r="J3368" s="2">
        <v>49.08</v>
      </c>
      <c r="K3368" s="2">
        <f t="shared" si="157"/>
        <v>49.08</v>
      </c>
      <c r="L3368" s="2">
        <f t="shared" si="158"/>
        <v>0</v>
      </c>
      <c r="M3368" t="s">
        <v>38</v>
      </c>
      <c r="N3368" t="s">
        <v>21</v>
      </c>
    </row>
    <row r="3369" spans="1:14" x14ac:dyDescent="0.3">
      <c r="A3369">
        <v>2024004367</v>
      </c>
      <c r="B3369" s="1">
        <v>45350</v>
      </c>
      <c r="C3369" s="11">
        <f t="shared" si="156"/>
        <v>2024</v>
      </c>
      <c r="D3369" t="s">
        <v>90</v>
      </c>
      <c r="E3369" t="s">
        <v>67</v>
      </c>
      <c r="F3369" t="s">
        <v>68</v>
      </c>
      <c r="G3369" t="s">
        <v>36</v>
      </c>
      <c r="H3369">
        <v>1</v>
      </c>
      <c r="I3369" s="2">
        <v>381.21</v>
      </c>
      <c r="J3369" s="2">
        <v>381.21</v>
      </c>
      <c r="K3369" s="2">
        <f t="shared" si="157"/>
        <v>381.21</v>
      </c>
      <c r="L3369" s="2">
        <f t="shared" si="158"/>
        <v>0</v>
      </c>
      <c r="M3369" t="s">
        <v>61</v>
      </c>
      <c r="N3369" t="s">
        <v>16</v>
      </c>
    </row>
    <row r="3370" spans="1:14" x14ac:dyDescent="0.3">
      <c r="A3370">
        <v>2024004368</v>
      </c>
      <c r="B3370" s="1">
        <v>45593</v>
      </c>
      <c r="C3370" s="11">
        <f t="shared" si="156"/>
        <v>2024</v>
      </c>
      <c r="D3370" t="s">
        <v>192</v>
      </c>
      <c r="E3370" t="s">
        <v>23</v>
      </c>
      <c r="F3370" t="s">
        <v>24</v>
      </c>
      <c r="G3370" t="s">
        <v>14</v>
      </c>
      <c r="H3370">
        <v>2</v>
      </c>
      <c r="I3370" s="2">
        <v>77.069999999999993</v>
      </c>
      <c r="J3370" s="2">
        <v>154.13999999999999</v>
      </c>
      <c r="K3370" s="2">
        <f t="shared" si="157"/>
        <v>154.13999999999999</v>
      </c>
      <c r="L3370" s="2">
        <f t="shared" si="158"/>
        <v>0</v>
      </c>
      <c r="M3370" t="s">
        <v>64</v>
      </c>
      <c r="N3370" t="s">
        <v>21</v>
      </c>
    </row>
    <row r="3371" spans="1:14" x14ac:dyDescent="0.3">
      <c r="A3371">
        <v>2024004369</v>
      </c>
      <c r="B3371" s="1">
        <v>45644</v>
      </c>
      <c r="C3371" s="11">
        <f t="shared" si="156"/>
        <v>2024</v>
      </c>
      <c r="D3371" t="s">
        <v>143</v>
      </c>
      <c r="E3371" t="s">
        <v>40</v>
      </c>
      <c r="F3371" t="s">
        <v>41</v>
      </c>
      <c r="G3371" t="s">
        <v>36</v>
      </c>
      <c r="H3371">
        <v>2</v>
      </c>
      <c r="I3371" s="2">
        <v>44.2</v>
      </c>
      <c r="J3371" s="2">
        <v>88.4</v>
      </c>
      <c r="K3371" s="2">
        <f t="shared" si="157"/>
        <v>88.4</v>
      </c>
      <c r="L3371" s="2">
        <f t="shared" si="158"/>
        <v>0</v>
      </c>
      <c r="M3371" t="s">
        <v>64</v>
      </c>
      <c r="N3371" t="s">
        <v>32</v>
      </c>
    </row>
    <row r="3372" spans="1:14" x14ac:dyDescent="0.3">
      <c r="A3372">
        <v>2024004370</v>
      </c>
      <c r="B3372" s="1">
        <v>45472</v>
      </c>
      <c r="C3372" s="11">
        <f t="shared" si="156"/>
        <v>2024</v>
      </c>
      <c r="D3372" t="s">
        <v>257</v>
      </c>
      <c r="E3372" t="s">
        <v>43</v>
      </c>
      <c r="F3372" t="s">
        <v>44</v>
      </c>
      <c r="G3372" t="s">
        <v>36</v>
      </c>
      <c r="H3372">
        <v>1</v>
      </c>
      <c r="I3372" s="2">
        <v>1243.51</v>
      </c>
      <c r="J3372" s="2">
        <v>1243.51</v>
      </c>
      <c r="K3372" s="2">
        <f t="shared" si="157"/>
        <v>1243.51</v>
      </c>
      <c r="L3372" s="2">
        <f t="shared" si="158"/>
        <v>0</v>
      </c>
      <c r="M3372" t="s">
        <v>64</v>
      </c>
      <c r="N3372" t="s">
        <v>21</v>
      </c>
    </row>
    <row r="3373" spans="1:14" x14ac:dyDescent="0.3">
      <c r="A3373">
        <v>2024004371</v>
      </c>
      <c r="B3373" s="1">
        <v>45471</v>
      </c>
      <c r="C3373" s="11">
        <f t="shared" si="156"/>
        <v>2024</v>
      </c>
      <c r="D3373" t="s">
        <v>11</v>
      </c>
      <c r="E3373" t="s">
        <v>34</v>
      </c>
      <c r="F3373" t="s">
        <v>35</v>
      </c>
      <c r="G3373" t="s">
        <v>36</v>
      </c>
      <c r="H3373">
        <v>1</v>
      </c>
      <c r="I3373" s="2">
        <v>15.23</v>
      </c>
      <c r="J3373" s="2">
        <v>15.23</v>
      </c>
      <c r="K3373" s="2">
        <f t="shared" si="157"/>
        <v>15.23</v>
      </c>
      <c r="L3373" s="2">
        <f t="shared" si="158"/>
        <v>0</v>
      </c>
      <c r="M3373" t="s">
        <v>38</v>
      </c>
      <c r="N3373" t="s">
        <v>32</v>
      </c>
    </row>
    <row r="3374" spans="1:14" x14ac:dyDescent="0.3">
      <c r="A3374">
        <v>2024004372</v>
      </c>
      <c r="B3374" s="1">
        <v>45463</v>
      </c>
      <c r="C3374" s="11">
        <f t="shared" si="156"/>
        <v>2024</v>
      </c>
      <c r="D3374" t="s">
        <v>201</v>
      </c>
      <c r="E3374" t="s">
        <v>43</v>
      </c>
      <c r="F3374" t="s">
        <v>44</v>
      </c>
      <c r="G3374" t="s">
        <v>36</v>
      </c>
      <c r="H3374">
        <v>3</v>
      </c>
      <c r="I3374" s="2">
        <v>1280.6300000000001</v>
      </c>
      <c r="J3374" s="2">
        <v>3841.89</v>
      </c>
      <c r="K3374" s="2">
        <f t="shared" si="157"/>
        <v>3841.8900000000003</v>
      </c>
      <c r="L3374" s="2">
        <f t="shared" si="158"/>
        <v>0</v>
      </c>
      <c r="M3374" t="s">
        <v>48</v>
      </c>
      <c r="N3374" t="s">
        <v>16</v>
      </c>
    </row>
    <row r="3375" spans="1:14" x14ac:dyDescent="0.3">
      <c r="A3375">
        <v>2024004373</v>
      </c>
      <c r="B3375" s="1">
        <v>45586</v>
      </c>
      <c r="C3375" s="11">
        <f t="shared" si="156"/>
        <v>2024</v>
      </c>
      <c r="D3375" t="s">
        <v>347</v>
      </c>
      <c r="E3375" t="s">
        <v>18</v>
      </c>
      <c r="F3375" t="s">
        <v>19</v>
      </c>
      <c r="G3375" t="s">
        <v>14</v>
      </c>
      <c r="H3375">
        <v>1</v>
      </c>
      <c r="I3375" s="2">
        <v>627.11</v>
      </c>
      <c r="J3375" s="2">
        <v>627.11</v>
      </c>
      <c r="K3375" s="2">
        <f t="shared" si="157"/>
        <v>627.11</v>
      </c>
      <c r="L3375" s="2">
        <f t="shared" si="158"/>
        <v>0</v>
      </c>
      <c r="M3375" t="s">
        <v>38</v>
      </c>
      <c r="N3375" t="s">
        <v>32</v>
      </c>
    </row>
    <row r="3376" spans="1:14" x14ac:dyDescent="0.3">
      <c r="A3376">
        <v>2024004374</v>
      </c>
      <c r="B3376" s="1">
        <v>45363</v>
      </c>
      <c r="C3376" s="11">
        <f t="shared" si="156"/>
        <v>2024</v>
      </c>
      <c r="D3376" t="s">
        <v>260</v>
      </c>
      <c r="E3376" t="s">
        <v>23</v>
      </c>
      <c r="F3376" t="s">
        <v>24</v>
      </c>
      <c r="G3376" t="s">
        <v>14</v>
      </c>
      <c r="H3376">
        <v>1</v>
      </c>
      <c r="I3376" s="2">
        <v>78.44</v>
      </c>
      <c r="J3376" s="2">
        <v>78.44</v>
      </c>
      <c r="K3376" s="2">
        <f t="shared" si="157"/>
        <v>78.44</v>
      </c>
      <c r="L3376" s="2">
        <f t="shared" si="158"/>
        <v>0</v>
      </c>
      <c r="M3376" t="s">
        <v>31</v>
      </c>
      <c r="N3376" t="s">
        <v>21</v>
      </c>
    </row>
    <row r="3377" spans="1:14" x14ac:dyDescent="0.3">
      <c r="A3377">
        <v>2024004375</v>
      </c>
      <c r="B3377" s="1">
        <v>45353</v>
      </c>
      <c r="C3377" s="11">
        <f t="shared" si="156"/>
        <v>2024</v>
      </c>
      <c r="D3377" t="s">
        <v>324</v>
      </c>
      <c r="E3377" t="s">
        <v>12</v>
      </c>
      <c r="F3377" t="s">
        <v>13</v>
      </c>
      <c r="G3377" t="s">
        <v>14</v>
      </c>
      <c r="H3377">
        <v>1</v>
      </c>
      <c r="I3377" s="2">
        <v>324.01</v>
      </c>
      <c r="J3377" s="2">
        <v>324.01</v>
      </c>
      <c r="K3377" s="2">
        <f t="shared" si="157"/>
        <v>324.01</v>
      </c>
      <c r="L3377" s="2">
        <f t="shared" si="158"/>
        <v>0</v>
      </c>
      <c r="M3377" t="s">
        <v>20</v>
      </c>
      <c r="N3377" t="s">
        <v>16</v>
      </c>
    </row>
    <row r="3378" spans="1:14" x14ac:dyDescent="0.3">
      <c r="A3378">
        <v>2024004376</v>
      </c>
      <c r="B3378" s="1">
        <v>45560</v>
      </c>
      <c r="C3378" s="11">
        <f t="shared" si="156"/>
        <v>2024</v>
      </c>
      <c r="D3378" t="s">
        <v>11</v>
      </c>
      <c r="E3378" t="s">
        <v>34</v>
      </c>
      <c r="F3378" t="s">
        <v>35</v>
      </c>
      <c r="G3378" t="s">
        <v>36</v>
      </c>
      <c r="H3378">
        <v>2</v>
      </c>
      <c r="I3378" s="2">
        <v>16.2</v>
      </c>
      <c r="J3378" s="2">
        <v>32.4</v>
      </c>
      <c r="K3378" s="2">
        <f t="shared" si="157"/>
        <v>32.4</v>
      </c>
      <c r="L3378" s="2">
        <f t="shared" si="158"/>
        <v>0</v>
      </c>
      <c r="M3378" t="s">
        <v>15</v>
      </c>
      <c r="N3378" t="s">
        <v>16</v>
      </c>
    </row>
    <row r="3379" spans="1:14" x14ac:dyDescent="0.3">
      <c r="A3379">
        <v>2024004377</v>
      </c>
      <c r="B3379" s="1">
        <v>45403</v>
      </c>
      <c r="C3379" s="11">
        <f t="shared" si="156"/>
        <v>2024</v>
      </c>
      <c r="D3379" t="s">
        <v>11</v>
      </c>
      <c r="E3379" t="s">
        <v>18</v>
      </c>
      <c r="F3379" t="s">
        <v>19</v>
      </c>
      <c r="G3379" t="s">
        <v>14</v>
      </c>
      <c r="H3379">
        <v>1</v>
      </c>
      <c r="I3379" s="2">
        <v>556.67999999999995</v>
      </c>
      <c r="J3379" s="2">
        <v>556.67999999999995</v>
      </c>
      <c r="K3379" s="2">
        <f t="shared" si="157"/>
        <v>556.67999999999995</v>
      </c>
      <c r="L3379" s="2">
        <f t="shared" si="158"/>
        <v>0</v>
      </c>
      <c r="M3379" t="s">
        <v>57</v>
      </c>
      <c r="N3379" t="s">
        <v>16</v>
      </c>
    </row>
    <row r="3380" spans="1:14" x14ac:dyDescent="0.3">
      <c r="A3380">
        <v>2024004378</v>
      </c>
      <c r="B3380" s="1">
        <v>45389</v>
      </c>
      <c r="C3380" s="11">
        <f t="shared" si="156"/>
        <v>2024</v>
      </c>
      <c r="D3380" t="s">
        <v>80</v>
      </c>
      <c r="E3380" t="s">
        <v>67</v>
      </c>
      <c r="F3380" t="s">
        <v>68</v>
      </c>
      <c r="G3380" t="s">
        <v>36</v>
      </c>
      <c r="H3380">
        <v>2</v>
      </c>
      <c r="I3380" s="2">
        <v>408.42</v>
      </c>
      <c r="J3380" s="2">
        <v>816.84</v>
      </c>
      <c r="K3380" s="2">
        <f t="shared" si="157"/>
        <v>816.84</v>
      </c>
      <c r="L3380" s="2">
        <f t="shared" si="158"/>
        <v>0</v>
      </c>
      <c r="M3380" t="s">
        <v>61</v>
      </c>
      <c r="N3380" t="s">
        <v>16</v>
      </c>
    </row>
    <row r="3381" spans="1:14" x14ac:dyDescent="0.3">
      <c r="A3381">
        <v>2024004379</v>
      </c>
      <c r="B3381" s="1">
        <v>45631</v>
      </c>
      <c r="C3381" s="11">
        <f t="shared" si="156"/>
        <v>2024</v>
      </c>
      <c r="D3381" t="s">
        <v>333</v>
      </c>
      <c r="E3381" t="s">
        <v>46</v>
      </c>
      <c r="F3381" t="s">
        <v>47</v>
      </c>
      <c r="G3381" t="s">
        <v>36</v>
      </c>
      <c r="H3381">
        <v>1</v>
      </c>
      <c r="I3381" s="2">
        <v>89.93</v>
      </c>
      <c r="J3381" s="2">
        <v>89.93</v>
      </c>
      <c r="K3381" s="2">
        <f t="shared" si="157"/>
        <v>89.93</v>
      </c>
      <c r="L3381" s="2">
        <f t="shared" si="158"/>
        <v>0</v>
      </c>
      <c r="M3381" t="s">
        <v>55</v>
      </c>
      <c r="N3381" t="s">
        <v>32</v>
      </c>
    </row>
    <row r="3382" spans="1:14" x14ac:dyDescent="0.3">
      <c r="A3382">
        <v>2024004380</v>
      </c>
      <c r="B3382" s="1">
        <v>45396</v>
      </c>
      <c r="C3382" s="11">
        <f t="shared" si="156"/>
        <v>2024</v>
      </c>
      <c r="D3382" t="s">
        <v>133</v>
      </c>
      <c r="E3382" t="s">
        <v>46</v>
      </c>
      <c r="F3382" t="s">
        <v>47</v>
      </c>
      <c r="G3382" t="s">
        <v>36</v>
      </c>
      <c r="H3382">
        <v>2</v>
      </c>
      <c r="I3382" s="2">
        <v>97.46</v>
      </c>
      <c r="J3382" s="2">
        <v>194.92</v>
      </c>
      <c r="K3382" s="2">
        <f t="shared" si="157"/>
        <v>194.92</v>
      </c>
      <c r="L3382" s="2">
        <f t="shared" si="158"/>
        <v>0</v>
      </c>
      <c r="M3382" t="s">
        <v>48</v>
      </c>
      <c r="N3382" t="s">
        <v>32</v>
      </c>
    </row>
    <row r="3383" spans="1:14" x14ac:dyDescent="0.3">
      <c r="A3383">
        <v>2024004381</v>
      </c>
      <c r="B3383" s="1">
        <v>45346</v>
      </c>
      <c r="C3383" s="11">
        <f t="shared" si="156"/>
        <v>2024</v>
      </c>
      <c r="D3383" t="s">
        <v>123</v>
      </c>
      <c r="E3383" t="s">
        <v>23</v>
      </c>
      <c r="F3383" t="s">
        <v>24</v>
      </c>
      <c r="G3383" t="s">
        <v>14</v>
      </c>
      <c r="H3383">
        <v>2</v>
      </c>
      <c r="I3383" s="2">
        <v>79.739999999999995</v>
      </c>
      <c r="J3383" s="2">
        <v>159.47999999999999</v>
      </c>
      <c r="K3383" s="2">
        <f t="shared" si="157"/>
        <v>159.47999999999999</v>
      </c>
      <c r="L3383" s="2">
        <f t="shared" si="158"/>
        <v>0</v>
      </c>
      <c r="M3383" t="s">
        <v>64</v>
      </c>
      <c r="N3383" t="s">
        <v>21</v>
      </c>
    </row>
    <row r="3384" spans="1:14" x14ac:dyDescent="0.3">
      <c r="A3384">
        <v>2024004382</v>
      </c>
      <c r="B3384" s="1">
        <v>45306</v>
      </c>
      <c r="C3384" s="11">
        <f t="shared" si="156"/>
        <v>2024</v>
      </c>
      <c r="D3384" t="s">
        <v>123</v>
      </c>
      <c r="E3384" t="s">
        <v>18</v>
      </c>
      <c r="F3384" t="s">
        <v>19</v>
      </c>
      <c r="G3384" t="s">
        <v>14</v>
      </c>
      <c r="H3384">
        <v>3</v>
      </c>
      <c r="I3384" s="2">
        <v>591.73</v>
      </c>
      <c r="J3384" s="2">
        <v>1775.19</v>
      </c>
      <c r="K3384" s="2">
        <f t="shared" si="157"/>
        <v>1775.19</v>
      </c>
      <c r="L3384" s="2">
        <f t="shared" si="158"/>
        <v>0</v>
      </c>
      <c r="M3384" t="s">
        <v>20</v>
      </c>
      <c r="N3384" t="s">
        <v>21</v>
      </c>
    </row>
    <row r="3385" spans="1:14" x14ac:dyDescent="0.3">
      <c r="A3385">
        <v>2024002423</v>
      </c>
      <c r="B3385" s="1">
        <v>45354</v>
      </c>
      <c r="C3385" s="11">
        <f t="shared" si="156"/>
        <v>2024</v>
      </c>
      <c r="D3385" t="s">
        <v>226</v>
      </c>
      <c r="E3385" t="s">
        <v>28</v>
      </c>
      <c r="F3385" t="s">
        <v>29</v>
      </c>
      <c r="G3385" t="s">
        <v>30</v>
      </c>
      <c r="H3385">
        <v>1</v>
      </c>
      <c r="I3385" s="2">
        <v>24.65</v>
      </c>
      <c r="J3385" s="2">
        <v>24.65</v>
      </c>
      <c r="K3385" s="2">
        <f t="shared" si="157"/>
        <v>24.65</v>
      </c>
      <c r="L3385" s="2">
        <f t="shared" si="158"/>
        <v>0</v>
      </c>
      <c r="M3385" t="s">
        <v>55</v>
      </c>
      <c r="N3385" t="s">
        <v>21</v>
      </c>
    </row>
    <row r="3386" spans="1:14" x14ac:dyDescent="0.3">
      <c r="A3386">
        <v>2024004384</v>
      </c>
      <c r="B3386" s="1">
        <v>45430</v>
      </c>
      <c r="C3386" s="11">
        <f t="shared" si="156"/>
        <v>2024</v>
      </c>
      <c r="D3386" t="s">
        <v>143</v>
      </c>
      <c r="E3386" t="s">
        <v>23</v>
      </c>
      <c r="F3386" t="s">
        <v>24</v>
      </c>
      <c r="G3386" t="s">
        <v>14</v>
      </c>
      <c r="H3386">
        <v>2</v>
      </c>
      <c r="I3386" s="2">
        <v>79.010000000000005</v>
      </c>
      <c r="J3386" s="2">
        <v>158.02000000000001</v>
      </c>
      <c r="K3386" s="2">
        <f t="shared" si="157"/>
        <v>158.02000000000001</v>
      </c>
      <c r="L3386" s="2">
        <f t="shared" si="158"/>
        <v>0</v>
      </c>
      <c r="M3386" t="s">
        <v>38</v>
      </c>
      <c r="N3386" t="s">
        <v>21</v>
      </c>
    </row>
    <row r="3387" spans="1:14" x14ac:dyDescent="0.3">
      <c r="A3387">
        <v>2024004385</v>
      </c>
      <c r="B3387" s="1">
        <v>45478</v>
      </c>
      <c r="C3387" s="11">
        <f t="shared" si="156"/>
        <v>2024</v>
      </c>
      <c r="D3387" t="s">
        <v>305</v>
      </c>
      <c r="E3387" t="s">
        <v>34</v>
      </c>
      <c r="F3387" t="s">
        <v>35</v>
      </c>
      <c r="G3387" t="s">
        <v>36</v>
      </c>
      <c r="H3387">
        <v>1</v>
      </c>
      <c r="I3387" s="2">
        <v>15.63</v>
      </c>
      <c r="J3387" s="2">
        <v>15.63</v>
      </c>
      <c r="K3387" s="2">
        <f t="shared" si="157"/>
        <v>15.63</v>
      </c>
      <c r="L3387" s="2">
        <f t="shared" si="158"/>
        <v>0</v>
      </c>
      <c r="M3387" t="s">
        <v>55</v>
      </c>
      <c r="N3387" t="s">
        <v>16</v>
      </c>
    </row>
    <row r="3388" spans="1:14" x14ac:dyDescent="0.3">
      <c r="A3388">
        <v>2024004386</v>
      </c>
      <c r="B3388" s="1">
        <v>45601</v>
      </c>
      <c r="C3388" s="11">
        <f t="shared" si="156"/>
        <v>2024</v>
      </c>
      <c r="D3388" t="s">
        <v>169</v>
      </c>
      <c r="E3388" t="s">
        <v>18</v>
      </c>
      <c r="F3388" t="s">
        <v>19</v>
      </c>
      <c r="G3388" t="s">
        <v>14</v>
      </c>
      <c r="H3388">
        <v>2</v>
      </c>
      <c r="I3388" s="2">
        <v>627.5</v>
      </c>
      <c r="J3388" s="2">
        <v>1255</v>
      </c>
      <c r="K3388" s="2">
        <f t="shared" si="157"/>
        <v>1255</v>
      </c>
      <c r="L3388" s="2">
        <f t="shared" si="158"/>
        <v>0</v>
      </c>
      <c r="M3388" t="s">
        <v>48</v>
      </c>
      <c r="N3388" t="s">
        <v>32</v>
      </c>
    </row>
    <row r="3389" spans="1:14" x14ac:dyDescent="0.3">
      <c r="A3389">
        <v>2024004387</v>
      </c>
      <c r="B3389" s="1">
        <v>45491</v>
      </c>
      <c r="C3389" s="11">
        <f t="shared" si="156"/>
        <v>2024</v>
      </c>
      <c r="D3389" t="s">
        <v>11</v>
      </c>
      <c r="E3389" t="s">
        <v>43</v>
      </c>
      <c r="F3389" t="s">
        <v>44</v>
      </c>
      <c r="G3389" t="s">
        <v>36</v>
      </c>
      <c r="H3389">
        <v>2</v>
      </c>
      <c r="I3389" s="2">
        <v>1160.8900000000001</v>
      </c>
      <c r="J3389" s="2">
        <v>2321.7800000000002</v>
      </c>
      <c r="K3389" s="2">
        <f t="shared" si="157"/>
        <v>2321.7800000000002</v>
      </c>
      <c r="L3389" s="2">
        <f t="shared" si="158"/>
        <v>0</v>
      </c>
      <c r="M3389" t="s">
        <v>20</v>
      </c>
      <c r="N3389" t="s">
        <v>16</v>
      </c>
    </row>
    <row r="3390" spans="1:14" x14ac:dyDescent="0.3">
      <c r="A3390">
        <v>2024004388</v>
      </c>
      <c r="B3390" s="1">
        <v>45550</v>
      </c>
      <c r="C3390" s="11">
        <f t="shared" si="156"/>
        <v>2024</v>
      </c>
      <c r="D3390" t="s">
        <v>107</v>
      </c>
      <c r="E3390" t="s">
        <v>23</v>
      </c>
      <c r="F3390" t="s">
        <v>24</v>
      </c>
      <c r="G3390" t="s">
        <v>14</v>
      </c>
      <c r="H3390">
        <v>1</v>
      </c>
      <c r="I3390" s="2">
        <v>80.489999999999995</v>
      </c>
      <c r="J3390" s="2">
        <v>80.489999999999995</v>
      </c>
      <c r="K3390" s="2">
        <f t="shared" si="157"/>
        <v>80.489999999999995</v>
      </c>
      <c r="L3390" s="2">
        <f t="shared" si="158"/>
        <v>0</v>
      </c>
      <c r="M3390" t="s">
        <v>15</v>
      </c>
      <c r="N3390" t="s">
        <v>16</v>
      </c>
    </row>
    <row r="3391" spans="1:14" x14ac:dyDescent="0.3">
      <c r="A3391">
        <v>2024004389</v>
      </c>
      <c r="B3391" s="1">
        <v>45428</v>
      </c>
      <c r="C3391" s="11">
        <f t="shared" si="156"/>
        <v>2024</v>
      </c>
      <c r="D3391" t="s">
        <v>261</v>
      </c>
      <c r="E3391" t="s">
        <v>34</v>
      </c>
      <c r="F3391" t="s">
        <v>35</v>
      </c>
      <c r="G3391" t="s">
        <v>36</v>
      </c>
      <c r="H3391">
        <v>1</v>
      </c>
      <c r="I3391" s="2">
        <v>15.59</v>
      </c>
      <c r="J3391" s="2">
        <v>15.59</v>
      </c>
      <c r="K3391" s="2">
        <f t="shared" si="157"/>
        <v>15.59</v>
      </c>
      <c r="L3391" s="2">
        <f t="shared" si="158"/>
        <v>0</v>
      </c>
      <c r="M3391" t="s">
        <v>25</v>
      </c>
      <c r="N3391" t="s">
        <v>26</v>
      </c>
    </row>
    <row r="3392" spans="1:14" x14ac:dyDescent="0.3">
      <c r="A3392">
        <v>2024004390</v>
      </c>
      <c r="B3392" s="1">
        <v>45398</v>
      </c>
      <c r="C3392" s="11">
        <f t="shared" si="156"/>
        <v>2024</v>
      </c>
      <c r="D3392" t="s">
        <v>322</v>
      </c>
      <c r="E3392" t="s">
        <v>46</v>
      </c>
      <c r="F3392" t="s">
        <v>47</v>
      </c>
      <c r="G3392" t="s">
        <v>36</v>
      </c>
      <c r="H3392">
        <v>1</v>
      </c>
      <c r="I3392" s="2">
        <v>83.7</v>
      </c>
      <c r="J3392" s="2">
        <v>83.7</v>
      </c>
      <c r="K3392" s="2">
        <f t="shared" si="157"/>
        <v>83.7</v>
      </c>
      <c r="L3392" s="2">
        <f t="shared" si="158"/>
        <v>0</v>
      </c>
      <c r="M3392" t="s">
        <v>55</v>
      </c>
      <c r="N3392" t="s">
        <v>16</v>
      </c>
    </row>
    <row r="3393" spans="1:14" x14ac:dyDescent="0.3">
      <c r="A3393">
        <v>2024004391</v>
      </c>
      <c r="B3393" s="1">
        <v>45304</v>
      </c>
      <c r="C3393" s="11">
        <f t="shared" si="156"/>
        <v>2024</v>
      </c>
      <c r="D3393" t="s">
        <v>274</v>
      </c>
      <c r="E3393" t="s">
        <v>18</v>
      </c>
      <c r="F3393" t="s">
        <v>19</v>
      </c>
      <c r="G3393" t="s">
        <v>14</v>
      </c>
      <c r="H3393">
        <v>3</v>
      </c>
      <c r="I3393" s="2">
        <v>585.45000000000005</v>
      </c>
      <c r="J3393" s="2">
        <v>1756.35</v>
      </c>
      <c r="K3393" s="2">
        <f t="shared" si="157"/>
        <v>1756.3500000000001</v>
      </c>
      <c r="L3393" s="2">
        <f t="shared" si="158"/>
        <v>0</v>
      </c>
      <c r="M3393" t="s">
        <v>15</v>
      </c>
      <c r="N3393" t="s">
        <v>21</v>
      </c>
    </row>
    <row r="3394" spans="1:14" x14ac:dyDescent="0.3">
      <c r="A3394">
        <v>2024004392</v>
      </c>
      <c r="B3394" s="1">
        <v>45321</v>
      </c>
      <c r="C3394" s="11">
        <f t="shared" si="156"/>
        <v>2024</v>
      </c>
      <c r="D3394" t="s">
        <v>332</v>
      </c>
      <c r="E3394" t="s">
        <v>12</v>
      </c>
      <c r="F3394" t="s">
        <v>13</v>
      </c>
      <c r="G3394" t="s">
        <v>14</v>
      </c>
      <c r="H3394">
        <v>3</v>
      </c>
      <c r="I3394" s="2">
        <v>330.79</v>
      </c>
      <c r="J3394" s="2">
        <v>992.37</v>
      </c>
      <c r="K3394" s="2">
        <f t="shared" si="157"/>
        <v>992.37000000000012</v>
      </c>
      <c r="L3394" s="2">
        <f t="shared" si="158"/>
        <v>0</v>
      </c>
      <c r="M3394" t="s">
        <v>57</v>
      </c>
      <c r="N3394" t="s">
        <v>16</v>
      </c>
    </row>
    <row r="3395" spans="1:14" x14ac:dyDescent="0.3">
      <c r="A3395">
        <v>2024004393</v>
      </c>
      <c r="B3395" s="1">
        <v>45362</v>
      </c>
      <c r="C3395" s="11">
        <f t="shared" ref="C3395:C3458" si="159">YEAR(B3395)</f>
        <v>2024</v>
      </c>
      <c r="D3395" t="s">
        <v>86</v>
      </c>
      <c r="E3395" t="s">
        <v>23</v>
      </c>
      <c r="F3395" t="s">
        <v>24</v>
      </c>
      <c r="G3395" t="s">
        <v>14</v>
      </c>
      <c r="H3395">
        <v>1</v>
      </c>
      <c r="I3395" s="2">
        <v>81.040000000000006</v>
      </c>
      <c r="J3395" s="2">
        <v>81.040000000000006</v>
      </c>
      <c r="K3395" s="2">
        <f t="shared" ref="K3395:K3458" si="160">I3395*H3395</f>
        <v>81.040000000000006</v>
      </c>
      <c r="L3395" s="2">
        <f t="shared" ref="L3395:L3458" si="161">J3395-K3395</f>
        <v>0</v>
      </c>
      <c r="M3395" t="s">
        <v>31</v>
      </c>
      <c r="N3395" t="s">
        <v>26</v>
      </c>
    </row>
    <row r="3396" spans="1:14" x14ac:dyDescent="0.3">
      <c r="A3396">
        <v>2024004394</v>
      </c>
      <c r="B3396" s="1">
        <v>45339</v>
      </c>
      <c r="C3396" s="11">
        <f t="shared" si="159"/>
        <v>2024</v>
      </c>
      <c r="D3396" t="s">
        <v>318</v>
      </c>
      <c r="E3396" t="s">
        <v>53</v>
      </c>
      <c r="F3396" t="s">
        <v>54</v>
      </c>
      <c r="G3396" t="s">
        <v>36</v>
      </c>
      <c r="H3396">
        <v>3</v>
      </c>
      <c r="I3396" s="2">
        <v>126.13</v>
      </c>
      <c r="J3396" s="2">
        <v>378.39</v>
      </c>
      <c r="K3396" s="2">
        <f t="shared" si="160"/>
        <v>378.39</v>
      </c>
      <c r="L3396" s="2">
        <f t="shared" si="161"/>
        <v>0</v>
      </c>
      <c r="M3396" t="s">
        <v>64</v>
      </c>
      <c r="N3396" t="s">
        <v>32</v>
      </c>
    </row>
    <row r="3397" spans="1:14" x14ac:dyDescent="0.3">
      <c r="A3397">
        <v>2024004395</v>
      </c>
      <c r="B3397" s="1">
        <v>45308</v>
      </c>
      <c r="C3397" s="11">
        <f t="shared" si="159"/>
        <v>2024</v>
      </c>
      <c r="D3397" t="s">
        <v>246</v>
      </c>
      <c r="E3397" t="s">
        <v>67</v>
      </c>
      <c r="F3397" t="s">
        <v>68</v>
      </c>
      <c r="G3397" t="s">
        <v>36</v>
      </c>
      <c r="H3397">
        <v>1</v>
      </c>
      <c r="I3397" s="2">
        <v>399.44</v>
      </c>
      <c r="J3397" s="2">
        <v>399.44</v>
      </c>
      <c r="K3397" s="2">
        <f t="shared" si="160"/>
        <v>399.44</v>
      </c>
      <c r="L3397" s="2">
        <f t="shared" si="161"/>
        <v>0</v>
      </c>
      <c r="M3397" t="s">
        <v>55</v>
      </c>
      <c r="N3397" t="s">
        <v>21</v>
      </c>
    </row>
    <row r="3398" spans="1:14" x14ac:dyDescent="0.3">
      <c r="A3398">
        <v>2024004396</v>
      </c>
      <c r="B3398" s="1">
        <v>45617</v>
      </c>
      <c r="C3398" s="11">
        <f t="shared" si="159"/>
        <v>2024</v>
      </c>
      <c r="D3398" t="s">
        <v>222</v>
      </c>
      <c r="E3398" t="s">
        <v>67</v>
      </c>
      <c r="F3398" t="s">
        <v>68</v>
      </c>
      <c r="G3398" t="s">
        <v>36</v>
      </c>
      <c r="H3398">
        <v>1</v>
      </c>
      <c r="I3398" s="2">
        <v>380.29</v>
      </c>
      <c r="J3398" s="2">
        <v>380.29</v>
      </c>
      <c r="K3398" s="2">
        <f t="shared" si="160"/>
        <v>380.29</v>
      </c>
      <c r="L3398" s="2">
        <f t="shared" si="161"/>
        <v>0</v>
      </c>
      <c r="M3398" t="s">
        <v>25</v>
      </c>
      <c r="N3398" t="s">
        <v>16</v>
      </c>
    </row>
    <row r="3399" spans="1:14" x14ac:dyDescent="0.3">
      <c r="A3399">
        <v>2024004397</v>
      </c>
      <c r="B3399" s="1">
        <v>45489</v>
      </c>
      <c r="C3399" s="11">
        <f t="shared" si="159"/>
        <v>2024</v>
      </c>
      <c r="D3399" t="s">
        <v>306</v>
      </c>
      <c r="E3399" t="s">
        <v>12</v>
      </c>
      <c r="F3399" t="s">
        <v>13</v>
      </c>
      <c r="G3399" t="s">
        <v>14</v>
      </c>
      <c r="H3399">
        <v>4</v>
      </c>
      <c r="I3399" s="2">
        <v>328.54</v>
      </c>
      <c r="J3399" s="2">
        <v>1314.16</v>
      </c>
      <c r="K3399" s="2">
        <f t="shared" si="160"/>
        <v>1314.16</v>
      </c>
      <c r="L3399" s="2">
        <f t="shared" si="161"/>
        <v>0</v>
      </c>
      <c r="M3399" t="s">
        <v>61</v>
      </c>
      <c r="N3399" t="s">
        <v>26</v>
      </c>
    </row>
    <row r="3400" spans="1:14" x14ac:dyDescent="0.3">
      <c r="A3400">
        <v>2024004398</v>
      </c>
      <c r="B3400" s="1">
        <v>45458</v>
      </c>
      <c r="C3400" s="11">
        <f t="shared" si="159"/>
        <v>2024</v>
      </c>
      <c r="D3400" t="s">
        <v>336</v>
      </c>
      <c r="E3400" t="s">
        <v>43</v>
      </c>
      <c r="F3400" t="s">
        <v>44</v>
      </c>
      <c r="G3400" t="s">
        <v>36</v>
      </c>
      <c r="H3400">
        <v>1</v>
      </c>
      <c r="I3400" s="2">
        <v>1262.3699999999999</v>
      </c>
      <c r="J3400" s="2">
        <v>1262.3699999999999</v>
      </c>
      <c r="K3400" s="2">
        <f t="shared" si="160"/>
        <v>1262.3699999999999</v>
      </c>
      <c r="L3400" s="2">
        <f t="shared" si="161"/>
        <v>0</v>
      </c>
      <c r="M3400" t="s">
        <v>20</v>
      </c>
      <c r="N3400" t="s">
        <v>21</v>
      </c>
    </row>
    <row r="3401" spans="1:14" x14ac:dyDescent="0.3">
      <c r="A3401">
        <v>2024004399</v>
      </c>
      <c r="B3401" s="1">
        <v>45657</v>
      </c>
      <c r="C3401" s="11">
        <f t="shared" si="159"/>
        <v>2024</v>
      </c>
      <c r="D3401" t="s">
        <v>66</v>
      </c>
      <c r="E3401" t="s">
        <v>12</v>
      </c>
      <c r="F3401" t="s">
        <v>13</v>
      </c>
      <c r="G3401" t="s">
        <v>14</v>
      </c>
      <c r="H3401">
        <v>1</v>
      </c>
      <c r="I3401" s="2">
        <v>341.28</v>
      </c>
      <c r="J3401" s="2">
        <v>341.28</v>
      </c>
      <c r="K3401" s="2">
        <f t="shared" si="160"/>
        <v>341.28</v>
      </c>
      <c r="L3401" s="2">
        <f t="shared" si="161"/>
        <v>0</v>
      </c>
      <c r="M3401" t="s">
        <v>25</v>
      </c>
      <c r="N3401" t="s">
        <v>26</v>
      </c>
    </row>
    <row r="3402" spans="1:14" x14ac:dyDescent="0.3">
      <c r="A3402">
        <v>2024004400</v>
      </c>
      <c r="B3402" s="1">
        <v>45642</v>
      </c>
      <c r="C3402" s="11">
        <f t="shared" si="159"/>
        <v>2024</v>
      </c>
      <c r="D3402" t="s">
        <v>275</v>
      </c>
      <c r="E3402" t="s">
        <v>23</v>
      </c>
      <c r="F3402" t="s">
        <v>24</v>
      </c>
      <c r="G3402" t="s">
        <v>14</v>
      </c>
      <c r="H3402">
        <v>1</v>
      </c>
      <c r="I3402" s="2">
        <v>86.54</v>
      </c>
      <c r="J3402" s="2">
        <v>86.54</v>
      </c>
      <c r="K3402" s="2">
        <f t="shared" si="160"/>
        <v>86.54</v>
      </c>
      <c r="L3402" s="2">
        <f t="shared" si="161"/>
        <v>0</v>
      </c>
      <c r="M3402" t="s">
        <v>57</v>
      </c>
      <c r="N3402" t="s">
        <v>16</v>
      </c>
    </row>
    <row r="3403" spans="1:14" x14ac:dyDescent="0.3">
      <c r="A3403">
        <v>2024004401</v>
      </c>
      <c r="B3403" s="1">
        <v>45573</v>
      </c>
      <c r="C3403" s="11">
        <f t="shared" si="159"/>
        <v>2024</v>
      </c>
      <c r="D3403" t="s">
        <v>323</v>
      </c>
      <c r="E3403" t="s">
        <v>67</v>
      </c>
      <c r="F3403" t="s">
        <v>68</v>
      </c>
      <c r="G3403" t="s">
        <v>36</v>
      </c>
      <c r="H3403">
        <v>5</v>
      </c>
      <c r="I3403" s="2">
        <v>417.78</v>
      </c>
      <c r="J3403" s="2">
        <v>2088.9</v>
      </c>
      <c r="K3403" s="2">
        <f t="shared" si="160"/>
        <v>2088.8999999999996</v>
      </c>
      <c r="L3403" s="2">
        <f t="shared" si="161"/>
        <v>0</v>
      </c>
      <c r="M3403" t="s">
        <v>55</v>
      </c>
      <c r="N3403" t="s">
        <v>26</v>
      </c>
    </row>
    <row r="3404" spans="1:14" x14ac:dyDescent="0.3">
      <c r="A3404">
        <v>2024004402</v>
      </c>
      <c r="B3404" s="1">
        <v>45369</v>
      </c>
      <c r="C3404" s="11">
        <f t="shared" si="159"/>
        <v>2024</v>
      </c>
      <c r="D3404" t="s">
        <v>318</v>
      </c>
      <c r="E3404" t="s">
        <v>53</v>
      </c>
      <c r="F3404" t="s">
        <v>54</v>
      </c>
      <c r="G3404" t="s">
        <v>36</v>
      </c>
      <c r="H3404">
        <v>3</v>
      </c>
      <c r="I3404" s="2">
        <v>129.79</v>
      </c>
      <c r="J3404" s="2">
        <v>389.37</v>
      </c>
      <c r="K3404" s="2">
        <f t="shared" si="160"/>
        <v>389.37</v>
      </c>
      <c r="L3404" s="2">
        <f t="shared" si="161"/>
        <v>0</v>
      </c>
      <c r="M3404" t="s">
        <v>55</v>
      </c>
      <c r="N3404" t="s">
        <v>32</v>
      </c>
    </row>
    <row r="3405" spans="1:14" x14ac:dyDescent="0.3">
      <c r="A3405">
        <v>2024004403</v>
      </c>
      <c r="B3405" s="1">
        <v>45415</v>
      </c>
      <c r="C3405" s="11">
        <f t="shared" si="159"/>
        <v>2024</v>
      </c>
      <c r="D3405" t="s">
        <v>156</v>
      </c>
      <c r="E3405" t="s">
        <v>53</v>
      </c>
      <c r="F3405" t="s">
        <v>54</v>
      </c>
      <c r="G3405" t="s">
        <v>36</v>
      </c>
      <c r="H3405">
        <v>1</v>
      </c>
      <c r="I3405" s="2">
        <v>128.86000000000001</v>
      </c>
      <c r="J3405" s="2">
        <v>128.86000000000001</v>
      </c>
      <c r="K3405" s="2">
        <f t="shared" si="160"/>
        <v>128.86000000000001</v>
      </c>
      <c r="L3405" s="2">
        <f t="shared" si="161"/>
        <v>0</v>
      </c>
      <c r="M3405" t="s">
        <v>15</v>
      </c>
      <c r="N3405" t="s">
        <v>21</v>
      </c>
    </row>
    <row r="3406" spans="1:14" x14ac:dyDescent="0.3">
      <c r="A3406">
        <v>2024004404</v>
      </c>
      <c r="B3406" s="1">
        <v>45453</v>
      </c>
      <c r="C3406" s="11">
        <f t="shared" si="159"/>
        <v>2024</v>
      </c>
      <c r="D3406" t="s">
        <v>104</v>
      </c>
      <c r="E3406" t="s">
        <v>46</v>
      </c>
      <c r="F3406" t="s">
        <v>47</v>
      </c>
      <c r="G3406" t="s">
        <v>36</v>
      </c>
      <c r="H3406">
        <v>2</v>
      </c>
      <c r="I3406" s="2">
        <v>89.77</v>
      </c>
      <c r="J3406" s="2">
        <v>179.54</v>
      </c>
      <c r="K3406" s="2">
        <f t="shared" si="160"/>
        <v>179.54</v>
      </c>
      <c r="L3406" s="2">
        <f t="shared" si="161"/>
        <v>0</v>
      </c>
      <c r="M3406" t="s">
        <v>57</v>
      </c>
      <c r="N3406" t="s">
        <v>16</v>
      </c>
    </row>
    <row r="3407" spans="1:14" x14ac:dyDescent="0.3">
      <c r="A3407">
        <v>2024004405</v>
      </c>
      <c r="B3407" s="1">
        <v>45600</v>
      </c>
      <c r="C3407" s="11">
        <f t="shared" si="159"/>
        <v>2024</v>
      </c>
      <c r="D3407" t="s">
        <v>11</v>
      </c>
      <c r="E3407" t="s">
        <v>12</v>
      </c>
      <c r="F3407" t="s">
        <v>13</v>
      </c>
      <c r="G3407" t="s">
        <v>14</v>
      </c>
      <c r="H3407">
        <v>4</v>
      </c>
      <c r="I3407" s="2">
        <v>318.49</v>
      </c>
      <c r="J3407" s="2">
        <v>1273.96</v>
      </c>
      <c r="K3407" s="2">
        <f t="shared" si="160"/>
        <v>1273.96</v>
      </c>
      <c r="L3407" s="2">
        <f t="shared" si="161"/>
        <v>0</v>
      </c>
      <c r="M3407" t="s">
        <v>20</v>
      </c>
      <c r="N3407" t="s">
        <v>32</v>
      </c>
    </row>
    <row r="3408" spans="1:14" x14ac:dyDescent="0.3">
      <c r="A3408">
        <v>2024004406</v>
      </c>
      <c r="B3408" s="1">
        <v>45394</v>
      </c>
      <c r="C3408" s="11">
        <f t="shared" si="159"/>
        <v>2024</v>
      </c>
      <c r="D3408" t="s">
        <v>232</v>
      </c>
      <c r="E3408" t="s">
        <v>43</v>
      </c>
      <c r="F3408" t="s">
        <v>44</v>
      </c>
      <c r="G3408" t="s">
        <v>36</v>
      </c>
      <c r="H3408">
        <v>1</v>
      </c>
      <c r="I3408" s="2">
        <v>1225.5899999999999</v>
      </c>
      <c r="J3408" s="2">
        <v>1225.5899999999999</v>
      </c>
      <c r="K3408" s="2">
        <f t="shared" si="160"/>
        <v>1225.5899999999999</v>
      </c>
      <c r="L3408" s="2">
        <f t="shared" si="161"/>
        <v>0</v>
      </c>
      <c r="M3408" t="s">
        <v>57</v>
      </c>
      <c r="N3408" t="s">
        <v>26</v>
      </c>
    </row>
    <row r="3409" spans="1:14" x14ac:dyDescent="0.3">
      <c r="A3409">
        <v>2024004407</v>
      </c>
      <c r="B3409" s="1">
        <v>45602</v>
      </c>
      <c r="C3409" s="11">
        <f t="shared" si="159"/>
        <v>2024</v>
      </c>
      <c r="D3409" t="s">
        <v>196</v>
      </c>
      <c r="E3409" t="s">
        <v>43</v>
      </c>
      <c r="F3409" t="s">
        <v>44</v>
      </c>
      <c r="G3409" t="s">
        <v>36</v>
      </c>
      <c r="H3409">
        <v>2</v>
      </c>
      <c r="I3409" s="2">
        <v>1110.48</v>
      </c>
      <c r="J3409" s="2">
        <v>2220.96</v>
      </c>
      <c r="K3409" s="2">
        <f t="shared" si="160"/>
        <v>2220.96</v>
      </c>
      <c r="L3409" s="2">
        <f t="shared" si="161"/>
        <v>0</v>
      </c>
      <c r="M3409" t="s">
        <v>15</v>
      </c>
      <c r="N3409" t="s">
        <v>26</v>
      </c>
    </row>
    <row r="3410" spans="1:14" x14ac:dyDescent="0.3">
      <c r="A3410">
        <v>2024004408</v>
      </c>
      <c r="B3410" s="1">
        <v>45480</v>
      </c>
      <c r="C3410" s="11">
        <f t="shared" si="159"/>
        <v>2024</v>
      </c>
      <c r="D3410" t="s">
        <v>11</v>
      </c>
      <c r="E3410" t="s">
        <v>18</v>
      </c>
      <c r="F3410" t="s">
        <v>19</v>
      </c>
      <c r="G3410" t="s">
        <v>14</v>
      </c>
      <c r="H3410">
        <v>3</v>
      </c>
      <c r="I3410" s="2">
        <v>558.37</v>
      </c>
      <c r="J3410" s="2">
        <v>1675.11</v>
      </c>
      <c r="K3410" s="2">
        <f t="shared" si="160"/>
        <v>1675.1100000000001</v>
      </c>
      <c r="L3410" s="2">
        <f t="shared" si="161"/>
        <v>0</v>
      </c>
      <c r="M3410" t="s">
        <v>25</v>
      </c>
      <c r="N3410" t="s">
        <v>32</v>
      </c>
    </row>
    <row r="3411" spans="1:14" x14ac:dyDescent="0.3">
      <c r="A3411">
        <v>2024004409</v>
      </c>
      <c r="B3411" s="1">
        <v>45412</v>
      </c>
      <c r="C3411" s="11">
        <f t="shared" si="159"/>
        <v>2024</v>
      </c>
      <c r="D3411" t="s">
        <v>265</v>
      </c>
      <c r="E3411" t="s">
        <v>12</v>
      </c>
      <c r="F3411" t="s">
        <v>13</v>
      </c>
      <c r="G3411" t="s">
        <v>14</v>
      </c>
      <c r="H3411">
        <v>2</v>
      </c>
      <c r="I3411" s="2">
        <v>329.91</v>
      </c>
      <c r="J3411" s="2">
        <v>659.82</v>
      </c>
      <c r="K3411" s="2">
        <f t="shared" si="160"/>
        <v>659.82</v>
      </c>
      <c r="L3411" s="2">
        <f t="shared" si="161"/>
        <v>0</v>
      </c>
      <c r="M3411" t="s">
        <v>57</v>
      </c>
      <c r="N3411" t="s">
        <v>16</v>
      </c>
    </row>
    <row r="3412" spans="1:14" x14ac:dyDescent="0.3">
      <c r="A3412">
        <v>2024004410</v>
      </c>
      <c r="B3412" s="1">
        <v>45568</v>
      </c>
      <c r="C3412" s="11">
        <f t="shared" si="159"/>
        <v>2024</v>
      </c>
      <c r="D3412" t="s">
        <v>334</v>
      </c>
      <c r="E3412" t="s">
        <v>46</v>
      </c>
      <c r="F3412" t="s">
        <v>47</v>
      </c>
      <c r="G3412" t="s">
        <v>36</v>
      </c>
      <c r="H3412">
        <v>1</v>
      </c>
      <c r="I3412" s="2">
        <v>84.63</v>
      </c>
      <c r="J3412" s="2">
        <v>84.63</v>
      </c>
      <c r="K3412" s="2">
        <f t="shared" si="160"/>
        <v>84.63</v>
      </c>
      <c r="L3412" s="2">
        <f t="shared" si="161"/>
        <v>0</v>
      </c>
      <c r="M3412" t="s">
        <v>31</v>
      </c>
      <c r="N3412" t="s">
        <v>16</v>
      </c>
    </row>
    <row r="3413" spans="1:14" x14ac:dyDescent="0.3">
      <c r="A3413">
        <v>2024004411</v>
      </c>
      <c r="B3413" s="1">
        <v>45442</v>
      </c>
      <c r="C3413" s="11">
        <f t="shared" si="159"/>
        <v>2024</v>
      </c>
      <c r="D3413" t="s">
        <v>140</v>
      </c>
      <c r="E3413" t="s">
        <v>67</v>
      </c>
      <c r="F3413" t="s">
        <v>68</v>
      </c>
      <c r="G3413" t="s">
        <v>36</v>
      </c>
      <c r="H3413">
        <v>1</v>
      </c>
      <c r="I3413" s="2">
        <v>420.51</v>
      </c>
      <c r="J3413" s="2">
        <v>420.51</v>
      </c>
      <c r="K3413" s="2">
        <f t="shared" si="160"/>
        <v>420.51</v>
      </c>
      <c r="L3413" s="2">
        <f t="shared" si="161"/>
        <v>0</v>
      </c>
      <c r="M3413" t="s">
        <v>31</v>
      </c>
      <c r="N3413" t="s">
        <v>26</v>
      </c>
    </row>
    <row r="3414" spans="1:14" x14ac:dyDescent="0.3">
      <c r="A3414">
        <v>2024004412</v>
      </c>
      <c r="B3414" s="1">
        <v>45357</v>
      </c>
      <c r="C3414" s="11">
        <f t="shared" si="159"/>
        <v>2024</v>
      </c>
      <c r="D3414" t="s">
        <v>150</v>
      </c>
      <c r="E3414" t="s">
        <v>23</v>
      </c>
      <c r="F3414" t="s">
        <v>24</v>
      </c>
      <c r="G3414" t="s">
        <v>14</v>
      </c>
      <c r="H3414">
        <v>1</v>
      </c>
      <c r="I3414" s="2">
        <v>84.93</v>
      </c>
      <c r="J3414" s="2">
        <v>84.93</v>
      </c>
      <c r="K3414" s="2">
        <f t="shared" si="160"/>
        <v>84.93</v>
      </c>
      <c r="L3414" s="2">
        <f t="shared" si="161"/>
        <v>0</v>
      </c>
      <c r="M3414" t="s">
        <v>48</v>
      </c>
      <c r="N3414" t="s">
        <v>32</v>
      </c>
    </row>
    <row r="3415" spans="1:14" x14ac:dyDescent="0.3">
      <c r="A3415">
        <v>2024004413</v>
      </c>
      <c r="B3415" s="1">
        <v>45450</v>
      </c>
      <c r="C3415" s="11">
        <f t="shared" si="159"/>
        <v>2024</v>
      </c>
      <c r="D3415" t="s">
        <v>74</v>
      </c>
      <c r="E3415" t="s">
        <v>40</v>
      </c>
      <c r="F3415" t="s">
        <v>41</v>
      </c>
      <c r="G3415" t="s">
        <v>36</v>
      </c>
      <c r="H3415">
        <v>1</v>
      </c>
      <c r="I3415" s="2">
        <v>44.37</v>
      </c>
      <c r="J3415" s="2">
        <v>44.37</v>
      </c>
      <c r="K3415" s="2">
        <f t="shared" si="160"/>
        <v>44.37</v>
      </c>
      <c r="L3415" s="2">
        <f t="shared" si="161"/>
        <v>0</v>
      </c>
      <c r="M3415" t="s">
        <v>31</v>
      </c>
      <c r="N3415" t="s">
        <v>21</v>
      </c>
    </row>
    <row r="3416" spans="1:14" x14ac:dyDescent="0.3">
      <c r="A3416">
        <v>2024004414</v>
      </c>
      <c r="B3416" s="1">
        <v>45340</v>
      </c>
      <c r="C3416" s="11">
        <f t="shared" si="159"/>
        <v>2024</v>
      </c>
      <c r="D3416" t="s">
        <v>226</v>
      </c>
      <c r="E3416" t="s">
        <v>34</v>
      </c>
      <c r="F3416" t="s">
        <v>35</v>
      </c>
      <c r="G3416" t="s">
        <v>36</v>
      </c>
      <c r="H3416">
        <v>2</v>
      </c>
      <c r="I3416" s="2">
        <v>13.73</v>
      </c>
      <c r="J3416" s="2">
        <v>27.46</v>
      </c>
      <c r="K3416" s="2">
        <f t="shared" si="160"/>
        <v>27.46</v>
      </c>
      <c r="L3416" s="2">
        <f t="shared" si="161"/>
        <v>0</v>
      </c>
      <c r="M3416" t="s">
        <v>38</v>
      </c>
      <c r="N3416" t="s">
        <v>32</v>
      </c>
    </row>
    <row r="3417" spans="1:14" x14ac:dyDescent="0.3">
      <c r="A3417">
        <v>2024004415</v>
      </c>
      <c r="B3417" s="1">
        <v>45458</v>
      </c>
      <c r="C3417" s="11">
        <f t="shared" si="159"/>
        <v>2024</v>
      </c>
      <c r="D3417" t="s">
        <v>143</v>
      </c>
      <c r="E3417" t="s">
        <v>43</v>
      </c>
      <c r="F3417" t="s">
        <v>44</v>
      </c>
      <c r="G3417" t="s">
        <v>36</v>
      </c>
      <c r="H3417">
        <v>2</v>
      </c>
      <c r="I3417" s="2">
        <v>1308.6300000000001</v>
      </c>
      <c r="J3417" s="2">
        <v>2617.2600000000002</v>
      </c>
      <c r="K3417" s="2">
        <f t="shared" si="160"/>
        <v>2617.2600000000002</v>
      </c>
      <c r="L3417" s="2">
        <f t="shared" si="161"/>
        <v>0</v>
      </c>
      <c r="M3417" t="s">
        <v>48</v>
      </c>
      <c r="N3417" t="s">
        <v>16</v>
      </c>
    </row>
    <row r="3418" spans="1:14" x14ac:dyDescent="0.3">
      <c r="A3418">
        <v>2024004416</v>
      </c>
      <c r="B3418" s="1">
        <v>45595</v>
      </c>
      <c r="C3418" s="11">
        <f t="shared" si="159"/>
        <v>2024</v>
      </c>
      <c r="D3418" t="s">
        <v>260</v>
      </c>
      <c r="E3418" t="s">
        <v>53</v>
      </c>
      <c r="F3418" t="s">
        <v>54</v>
      </c>
      <c r="G3418" t="s">
        <v>36</v>
      </c>
      <c r="H3418">
        <v>3</v>
      </c>
      <c r="I3418" s="2">
        <v>115.36</v>
      </c>
      <c r="J3418" s="2">
        <v>346.08</v>
      </c>
      <c r="K3418" s="2">
        <f t="shared" si="160"/>
        <v>346.08</v>
      </c>
      <c r="L3418" s="2">
        <f t="shared" si="161"/>
        <v>0</v>
      </c>
      <c r="M3418" t="s">
        <v>25</v>
      </c>
      <c r="N3418" t="s">
        <v>16</v>
      </c>
    </row>
    <row r="3419" spans="1:14" x14ac:dyDescent="0.3">
      <c r="A3419">
        <v>2024004417</v>
      </c>
      <c r="B3419" s="1">
        <v>45572</v>
      </c>
      <c r="C3419" s="11">
        <f t="shared" si="159"/>
        <v>2024</v>
      </c>
      <c r="D3419" t="s">
        <v>284</v>
      </c>
      <c r="E3419" t="s">
        <v>43</v>
      </c>
      <c r="F3419" t="s">
        <v>44</v>
      </c>
      <c r="G3419" t="s">
        <v>36</v>
      </c>
      <c r="H3419">
        <v>2</v>
      </c>
      <c r="I3419" s="2">
        <v>1238.9000000000001</v>
      </c>
      <c r="J3419" s="2">
        <v>2477.8000000000002</v>
      </c>
      <c r="K3419" s="2">
        <f t="shared" si="160"/>
        <v>2477.8000000000002</v>
      </c>
      <c r="L3419" s="2">
        <f t="shared" si="161"/>
        <v>0</v>
      </c>
      <c r="M3419" t="s">
        <v>48</v>
      </c>
      <c r="N3419" t="s">
        <v>26</v>
      </c>
    </row>
    <row r="3420" spans="1:14" x14ac:dyDescent="0.3">
      <c r="A3420">
        <v>2024004418</v>
      </c>
      <c r="B3420" s="1">
        <v>45295</v>
      </c>
      <c r="C3420" s="11">
        <f t="shared" si="159"/>
        <v>2024</v>
      </c>
      <c r="D3420" t="s">
        <v>306</v>
      </c>
      <c r="E3420" t="s">
        <v>28</v>
      </c>
      <c r="F3420" t="s">
        <v>29</v>
      </c>
      <c r="G3420" t="s">
        <v>30</v>
      </c>
      <c r="H3420">
        <v>1</v>
      </c>
      <c r="I3420" s="2">
        <v>24.76</v>
      </c>
      <c r="J3420" s="2">
        <v>24.76</v>
      </c>
      <c r="K3420" s="2">
        <f t="shared" si="160"/>
        <v>24.76</v>
      </c>
      <c r="L3420" s="2">
        <f t="shared" si="161"/>
        <v>0</v>
      </c>
      <c r="M3420" t="s">
        <v>25</v>
      </c>
      <c r="N3420" t="s">
        <v>32</v>
      </c>
    </row>
    <row r="3421" spans="1:14" x14ac:dyDescent="0.3">
      <c r="A3421">
        <v>2024004419</v>
      </c>
      <c r="B3421" s="1">
        <v>45571</v>
      </c>
      <c r="C3421" s="11">
        <f t="shared" si="159"/>
        <v>2024</v>
      </c>
      <c r="D3421" t="s">
        <v>322</v>
      </c>
      <c r="E3421" t="s">
        <v>40</v>
      </c>
      <c r="F3421" t="s">
        <v>41</v>
      </c>
      <c r="G3421" t="s">
        <v>36</v>
      </c>
      <c r="H3421">
        <v>1</v>
      </c>
      <c r="I3421" s="2">
        <v>50.54</v>
      </c>
      <c r="J3421" s="2">
        <v>50.54</v>
      </c>
      <c r="K3421" s="2">
        <f t="shared" si="160"/>
        <v>50.54</v>
      </c>
      <c r="L3421" s="2">
        <f t="shared" si="161"/>
        <v>0</v>
      </c>
      <c r="M3421" t="s">
        <v>25</v>
      </c>
      <c r="N3421" t="s">
        <v>16</v>
      </c>
    </row>
    <row r="3422" spans="1:14" x14ac:dyDescent="0.3">
      <c r="A3422">
        <v>2024004420</v>
      </c>
      <c r="B3422" s="1">
        <v>45502</v>
      </c>
      <c r="C3422" s="11">
        <f t="shared" si="159"/>
        <v>2024</v>
      </c>
      <c r="D3422" t="s">
        <v>11</v>
      </c>
      <c r="E3422" t="s">
        <v>53</v>
      </c>
      <c r="F3422" t="s">
        <v>54</v>
      </c>
      <c r="G3422" t="s">
        <v>36</v>
      </c>
      <c r="H3422">
        <v>3</v>
      </c>
      <c r="I3422" s="2">
        <v>118.82</v>
      </c>
      <c r="J3422" s="2">
        <v>356.46</v>
      </c>
      <c r="K3422" s="2">
        <f t="shared" si="160"/>
        <v>356.46</v>
      </c>
      <c r="L3422" s="2">
        <f t="shared" si="161"/>
        <v>0</v>
      </c>
      <c r="M3422" t="s">
        <v>20</v>
      </c>
      <c r="N3422" t="s">
        <v>26</v>
      </c>
    </row>
    <row r="3423" spans="1:14" x14ac:dyDescent="0.3">
      <c r="A3423">
        <v>2024004421</v>
      </c>
      <c r="B3423" s="1">
        <v>45577</v>
      </c>
      <c r="C3423" s="11">
        <f t="shared" si="159"/>
        <v>2024</v>
      </c>
      <c r="D3423" t="s">
        <v>124</v>
      </c>
      <c r="E3423" t="s">
        <v>23</v>
      </c>
      <c r="F3423" t="s">
        <v>24</v>
      </c>
      <c r="G3423" t="s">
        <v>14</v>
      </c>
      <c r="H3423">
        <v>4</v>
      </c>
      <c r="I3423" s="2">
        <v>82.39</v>
      </c>
      <c r="J3423" s="2">
        <v>329.56</v>
      </c>
      <c r="K3423" s="2">
        <f t="shared" si="160"/>
        <v>329.56</v>
      </c>
      <c r="L3423" s="2">
        <f t="shared" si="161"/>
        <v>0</v>
      </c>
      <c r="M3423" t="s">
        <v>61</v>
      </c>
      <c r="N3423" t="s">
        <v>26</v>
      </c>
    </row>
    <row r="3424" spans="1:14" x14ac:dyDescent="0.3">
      <c r="A3424">
        <v>2024004422</v>
      </c>
      <c r="B3424" s="1">
        <v>45543</v>
      </c>
      <c r="C3424" s="11">
        <f t="shared" si="159"/>
        <v>2024</v>
      </c>
      <c r="D3424" t="s">
        <v>11</v>
      </c>
      <c r="E3424" t="s">
        <v>67</v>
      </c>
      <c r="F3424" t="s">
        <v>68</v>
      </c>
      <c r="G3424" t="s">
        <v>36</v>
      </c>
      <c r="H3424">
        <v>2</v>
      </c>
      <c r="I3424" s="2">
        <v>382.87</v>
      </c>
      <c r="J3424" s="2">
        <v>765.74</v>
      </c>
      <c r="K3424" s="2">
        <f t="shared" si="160"/>
        <v>765.74</v>
      </c>
      <c r="L3424" s="2">
        <f t="shared" si="161"/>
        <v>0</v>
      </c>
      <c r="M3424" t="s">
        <v>38</v>
      </c>
      <c r="N3424" t="s">
        <v>26</v>
      </c>
    </row>
    <row r="3425" spans="1:14" x14ac:dyDescent="0.3">
      <c r="A3425">
        <v>2024004423</v>
      </c>
      <c r="B3425" s="1">
        <v>45554</v>
      </c>
      <c r="C3425" s="11">
        <f t="shared" si="159"/>
        <v>2024</v>
      </c>
      <c r="D3425" t="s">
        <v>63</v>
      </c>
      <c r="E3425" t="s">
        <v>12</v>
      </c>
      <c r="F3425" t="s">
        <v>13</v>
      </c>
      <c r="G3425" t="s">
        <v>14</v>
      </c>
      <c r="H3425">
        <v>3</v>
      </c>
      <c r="I3425" s="2">
        <v>329.58</v>
      </c>
      <c r="J3425" s="2">
        <v>988.74</v>
      </c>
      <c r="K3425" s="2">
        <f t="shared" si="160"/>
        <v>988.74</v>
      </c>
      <c r="L3425" s="2">
        <f t="shared" si="161"/>
        <v>0</v>
      </c>
      <c r="M3425" t="s">
        <v>25</v>
      </c>
      <c r="N3425" t="s">
        <v>16</v>
      </c>
    </row>
    <row r="3426" spans="1:14" x14ac:dyDescent="0.3">
      <c r="A3426">
        <v>2024004424</v>
      </c>
      <c r="B3426" s="1">
        <v>45438</v>
      </c>
      <c r="C3426" s="11">
        <f t="shared" si="159"/>
        <v>2024</v>
      </c>
      <c r="D3426" t="s">
        <v>221</v>
      </c>
      <c r="E3426" t="s">
        <v>53</v>
      </c>
      <c r="F3426" t="s">
        <v>54</v>
      </c>
      <c r="G3426" t="s">
        <v>36</v>
      </c>
      <c r="H3426">
        <v>1</v>
      </c>
      <c r="I3426" s="2">
        <v>120.16</v>
      </c>
      <c r="J3426" s="2">
        <v>120.16</v>
      </c>
      <c r="K3426" s="2">
        <f t="shared" si="160"/>
        <v>120.16</v>
      </c>
      <c r="L3426" s="2">
        <f t="shared" si="161"/>
        <v>0</v>
      </c>
      <c r="M3426" t="s">
        <v>61</v>
      </c>
      <c r="N3426" t="s">
        <v>26</v>
      </c>
    </row>
    <row r="3427" spans="1:14" x14ac:dyDescent="0.3">
      <c r="A3427">
        <v>2024004425</v>
      </c>
      <c r="B3427" s="1">
        <v>45383</v>
      </c>
      <c r="C3427" s="11">
        <f t="shared" si="159"/>
        <v>2024</v>
      </c>
      <c r="D3427" t="s">
        <v>217</v>
      </c>
      <c r="E3427" t="s">
        <v>40</v>
      </c>
      <c r="F3427" t="s">
        <v>41</v>
      </c>
      <c r="G3427" t="s">
        <v>36</v>
      </c>
      <c r="H3427">
        <v>1</v>
      </c>
      <c r="I3427" s="2">
        <v>45.42</v>
      </c>
      <c r="J3427" s="2">
        <v>45.42</v>
      </c>
      <c r="K3427" s="2">
        <f t="shared" si="160"/>
        <v>45.42</v>
      </c>
      <c r="L3427" s="2">
        <f t="shared" si="161"/>
        <v>0</v>
      </c>
      <c r="M3427" t="s">
        <v>57</v>
      </c>
      <c r="N3427" t="s">
        <v>26</v>
      </c>
    </row>
    <row r="3428" spans="1:14" x14ac:dyDescent="0.3">
      <c r="A3428">
        <v>2024004426</v>
      </c>
      <c r="B3428" s="1">
        <v>45400</v>
      </c>
      <c r="C3428" s="11">
        <f t="shared" si="159"/>
        <v>2024</v>
      </c>
      <c r="D3428" t="s">
        <v>235</v>
      </c>
      <c r="E3428" t="s">
        <v>46</v>
      </c>
      <c r="F3428" t="s">
        <v>47</v>
      </c>
      <c r="G3428" t="s">
        <v>36</v>
      </c>
      <c r="H3428">
        <v>1</v>
      </c>
      <c r="I3428" s="2">
        <v>90.23</v>
      </c>
      <c r="J3428" s="2">
        <v>90.23</v>
      </c>
      <c r="K3428" s="2">
        <f t="shared" si="160"/>
        <v>90.23</v>
      </c>
      <c r="L3428" s="2">
        <f t="shared" si="161"/>
        <v>0</v>
      </c>
      <c r="M3428" t="s">
        <v>57</v>
      </c>
      <c r="N3428" t="s">
        <v>16</v>
      </c>
    </row>
    <row r="3429" spans="1:14" x14ac:dyDescent="0.3">
      <c r="A3429">
        <v>2024004427</v>
      </c>
      <c r="B3429" s="1">
        <v>45628</v>
      </c>
      <c r="C3429" s="11">
        <f t="shared" si="159"/>
        <v>2024</v>
      </c>
      <c r="D3429" t="s">
        <v>278</v>
      </c>
      <c r="E3429" t="s">
        <v>18</v>
      </c>
      <c r="F3429" t="s">
        <v>19</v>
      </c>
      <c r="G3429" t="s">
        <v>14</v>
      </c>
      <c r="H3429">
        <v>3</v>
      </c>
      <c r="I3429" s="2">
        <v>577.91999999999996</v>
      </c>
      <c r="J3429" s="2">
        <v>1733.76</v>
      </c>
      <c r="K3429" s="2">
        <f t="shared" si="160"/>
        <v>1733.7599999999998</v>
      </c>
      <c r="L3429" s="2">
        <f t="shared" si="161"/>
        <v>0</v>
      </c>
      <c r="M3429" t="s">
        <v>20</v>
      </c>
      <c r="N3429" t="s">
        <v>32</v>
      </c>
    </row>
    <row r="3430" spans="1:14" x14ac:dyDescent="0.3">
      <c r="A3430">
        <v>2024004428</v>
      </c>
      <c r="B3430" s="1">
        <v>45461</v>
      </c>
      <c r="C3430" s="11">
        <f t="shared" si="159"/>
        <v>2024</v>
      </c>
      <c r="D3430" t="s">
        <v>319</v>
      </c>
      <c r="E3430" t="s">
        <v>46</v>
      </c>
      <c r="F3430" t="s">
        <v>47</v>
      </c>
      <c r="G3430" t="s">
        <v>36</v>
      </c>
      <c r="H3430">
        <v>1</v>
      </c>
      <c r="I3430" s="2">
        <v>93.42</v>
      </c>
      <c r="J3430" s="2">
        <v>93.42</v>
      </c>
      <c r="K3430" s="2">
        <f t="shared" si="160"/>
        <v>93.42</v>
      </c>
      <c r="L3430" s="2">
        <f t="shared" si="161"/>
        <v>0</v>
      </c>
      <c r="M3430" t="s">
        <v>61</v>
      </c>
      <c r="N3430" t="s">
        <v>26</v>
      </c>
    </row>
    <row r="3431" spans="1:14" x14ac:dyDescent="0.3">
      <c r="A3431">
        <v>2024004429</v>
      </c>
      <c r="B3431" s="1">
        <v>45558</v>
      </c>
      <c r="C3431" s="11">
        <f t="shared" si="159"/>
        <v>2024</v>
      </c>
      <c r="D3431" t="s">
        <v>232</v>
      </c>
      <c r="E3431" t="s">
        <v>46</v>
      </c>
      <c r="F3431" t="s">
        <v>47</v>
      </c>
      <c r="G3431" t="s">
        <v>36</v>
      </c>
      <c r="H3431">
        <v>2</v>
      </c>
      <c r="I3431" s="2">
        <v>94.52</v>
      </c>
      <c r="J3431" s="2">
        <v>189.04</v>
      </c>
      <c r="K3431" s="2">
        <f t="shared" si="160"/>
        <v>189.04</v>
      </c>
      <c r="L3431" s="2">
        <f t="shared" si="161"/>
        <v>0</v>
      </c>
      <c r="M3431" t="s">
        <v>48</v>
      </c>
      <c r="N3431" t="s">
        <v>32</v>
      </c>
    </row>
    <row r="3432" spans="1:14" x14ac:dyDescent="0.3">
      <c r="A3432">
        <v>2024004430</v>
      </c>
      <c r="B3432" s="1">
        <v>45297</v>
      </c>
      <c r="C3432" s="11">
        <f t="shared" si="159"/>
        <v>2024</v>
      </c>
      <c r="D3432" t="s">
        <v>167</v>
      </c>
      <c r="E3432" t="s">
        <v>43</v>
      </c>
      <c r="F3432" t="s">
        <v>44</v>
      </c>
      <c r="G3432" t="s">
        <v>36</v>
      </c>
      <c r="H3432">
        <v>1</v>
      </c>
      <c r="I3432" s="2">
        <v>1238.8499999999999</v>
      </c>
      <c r="J3432" s="2">
        <v>1238.8499999999999</v>
      </c>
      <c r="K3432" s="2">
        <f t="shared" si="160"/>
        <v>1238.8499999999999</v>
      </c>
      <c r="L3432" s="2">
        <f t="shared" si="161"/>
        <v>0</v>
      </c>
      <c r="M3432" t="s">
        <v>48</v>
      </c>
      <c r="N3432" t="s">
        <v>21</v>
      </c>
    </row>
    <row r="3433" spans="1:14" x14ac:dyDescent="0.3">
      <c r="A3433">
        <v>2024004431</v>
      </c>
      <c r="B3433" s="1">
        <v>45422</v>
      </c>
      <c r="C3433" s="11">
        <f t="shared" si="159"/>
        <v>2024</v>
      </c>
      <c r="D3433" t="s">
        <v>313</v>
      </c>
      <c r="E3433" t="s">
        <v>28</v>
      </c>
      <c r="F3433" t="s">
        <v>29</v>
      </c>
      <c r="G3433" t="s">
        <v>30</v>
      </c>
      <c r="H3433">
        <v>4</v>
      </c>
      <c r="I3433" s="2">
        <v>24.97</v>
      </c>
      <c r="J3433" s="2">
        <v>99.88</v>
      </c>
      <c r="K3433" s="2">
        <f t="shared" si="160"/>
        <v>99.88</v>
      </c>
      <c r="L3433" s="2">
        <f t="shared" si="161"/>
        <v>0</v>
      </c>
      <c r="M3433" t="s">
        <v>57</v>
      </c>
      <c r="N3433" t="s">
        <v>21</v>
      </c>
    </row>
    <row r="3434" spans="1:14" x14ac:dyDescent="0.3">
      <c r="A3434">
        <v>2024004432</v>
      </c>
      <c r="B3434" s="1">
        <v>45641</v>
      </c>
      <c r="C3434" s="11">
        <f t="shared" si="159"/>
        <v>2024</v>
      </c>
      <c r="D3434" t="s">
        <v>144</v>
      </c>
      <c r="E3434" t="s">
        <v>40</v>
      </c>
      <c r="F3434" t="s">
        <v>41</v>
      </c>
      <c r="G3434" t="s">
        <v>36</v>
      </c>
      <c r="H3434">
        <v>2</v>
      </c>
      <c r="I3434" s="2">
        <v>47.53</v>
      </c>
      <c r="J3434" s="2">
        <v>95.06</v>
      </c>
      <c r="K3434" s="2">
        <f t="shared" si="160"/>
        <v>95.06</v>
      </c>
      <c r="L3434" s="2">
        <f t="shared" si="161"/>
        <v>0</v>
      </c>
      <c r="M3434" t="s">
        <v>38</v>
      </c>
      <c r="N3434" t="s">
        <v>16</v>
      </c>
    </row>
    <row r="3435" spans="1:14" x14ac:dyDescent="0.3">
      <c r="A3435">
        <v>2024004433</v>
      </c>
      <c r="B3435" s="1">
        <v>45424</v>
      </c>
      <c r="C3435" s="11">
        <f t="shared" si="159"/>
        <v>2024</v>
      </c>
      <c r="D3435" t="s">
        <v>11</v>
      </c>
      <c r="E3435" t="s">
        <v>28</v>
      </c>
      <c r="F3435" t="s">
        <v>29</v>
      </c>
      <c r="G3435" t="s">
        <v>30</v>
      </c>
      <c r="H3435">
        <v>3</v>
      </c>
      <c r="I3435" s="2">
        <v>25.3</v>
      </c>
      <c r="J3435" s="2">
        <v>75.900000000000006</v>
      </c>
      <c r="K3435" s="2">
        <f t="shared" si="160"/>
        <v>75.900000000000006</v>
      </c>
      <c r="L3435" s="2">
        <f t="shared" si="161"/>
        <v>0</v>
      </c>
      <c r="M3435" t="s">
        <v>15</v>
      </c>
      <c r="N3435" t="s">
        <v>32</v>
      </c>
    </row>
    <row r="3436" spans="1:14" x14ac:dyDescent="0.3">
      <c r="A3436">
        <v>2024004434</v>
      </c>
      <c r="B3436" s="1">
        <v>45395</v>
      </c>
      <c r="C3436" s="11">
        <f t="shared" si="159"/>
        <v>2024</v>
      </c>
      <c r="D3436" t="s">
        <v>56</v>
      </c>
      <c r="E3436" t="s">
        <v>18</v>
      </c>
      <c r="F3436" t="s">
        <v>19</v>
      </c>
      <c r="G3436" t="s">
        <v>14</v>
      </c>
      <c r="H3436">
        <v>1</v>
      </c>
      <c r="I3436" s="2">
        <v>609.54999999999995</v>
      </c>
      <c r="J3436" s="2">
        <v>609.54999999999995</v>
      </c>
      <c r="K3436" s="2">
        <f t="shared" si="160"/>
        <v>609.54999999999995</v>
      </c>
      <c r="L3436" s="2">
        <f t="shared" si="161"/>
        <v>0</v>
      </c>
      <c r="M3436" t="s">
        <v>55</v>
      </c>
      <c r="N3436" t="s">
        <v>21</v>
      </c>
    </row>
    <row r="3437" spans="1:14" x14ac:dyDescent="0.3">
      <c r="A3437">
        <v>2024004435</v>
      </c>
      <c r="B3437" s="1">
        <v>45327</v>
      </c>
      <c r="C3437" s="11">
        <f t="shared" si="159"/>
        <v>2024</v>
      </c>
      <c r="D3437" t="s">
        <v>86</v>
      </c>
      <c r="E3437" t="s">
        <v>23</v>
      </c>
      <c r="F3437" t="s">
        <v>24</v>
      </c>
      <c r="G3437" t="s">
        <v>14</v>
      </c>
      <c r="H3437">
        <v>1</v>
      </c>
      <c r="I3437" s="2">
        <v>89.85</v>
      </c>
      <c r="J3437" s="2">
        <v>89.85</v>
      </c>
      <c r="K3437" s="2">
        <f t="shared" si="160"/>
        <v>89.85</v>
      </c>
      <c r="L3437" s="2">
        <f t="shared" si="161"/>
        <v>0</v>
      </c>
      <c r="M3437" t="s">
        <v>15</v>
      </c>
      <c r="N3437" t="s">
        <v>32</v>
      </c>
    </row>
    <row r="3438" spans="1:14" x14ac:dyDescent="0.3">
      <c r="A3438">
        <v>2024004436</v>
      </c>
      <c r="B3438" s="1">
        <v>45303</v>
      </c>
      <c r="C3438" s="11">
        <f t="shared" si="159"/>
        <v>2024</v>
      </c>
      <c r="D3438" t="s">
        <v>260</v>
      </c>
      <c r="E3438" t="s">
        <v>23</v>
      </c>
      <c r="F3438" t="s">
        <v>24</v>
      </c>
      <c r="G3438" t="s">
        <v>14</v>
      </c>
      <c r="H3438">
        <v>1</v>
      </c>
      <c r="I3438" s="2">
        <v>78.56</v>
      </c>
      <c r="J3438" s="2">
        <v>78.56</v>
      </c>
      <c r="K3438" s="2">
        <f t="shared" si="160"/>
        <v>78.56</v>
      </c>
      <c r="L3438" s="2">
        <f t="shared" si="161"/>
        <v>0</v>
      </c>
      <c r="M3438" t="s">
        <v>61</v>
      </c>
      <c r="N3438" t="s">
        <v>26</v>
      </c>
    </row>
    <row r="3439" spans="1:14" x14ac:dyDescent="0.3">
      <c r="A3439">
        <v>2024004437</v>
      </c>
      <c r="B3439" s="1">
        <v>45487</v>
      </c>
      <c r="C3439" s="11">
        <f t="shared" si="159"/>
        <v>2024</v>
      </c>
      <c r="D3439" t="s">
        <v>319</v>
      </c>
      <c r="E3439" t="s">
        <v>43</v>
      </c>
      <c r="F3439" t="s">
        <v>44</v>
      </c>
      <c r="G3439" t="s">
        <v>36</v>
      </c>
      <c r="H3439">
        <v>1</v>
      </c>
      <c r="I3439" s="2">
        <v>1187.47</v>
      </c>
      <c r="J3439" s="2">
        <v>1187.47</v>
      </c>
      <c r="K3439" s="2">
        <f t="shared" si="160"/>
        <v>1187.47</v>
      </c>
      <c r="L3439" s="2">
        <f t="shared" si="161"/>
        <v>0</v>
      </c>
      <c r="M3439" t="s">
        <v>15</v>
      </c>
      <c r="N3439" t="s">
        <v>16</v>
      </c>
    </row>
    <row r="3440" spans="1:14" x14ac:dyDescent="0.3">
      <c r="A3440">
        <v>2024004438</v>
      </c>
      <c r="B3440" s="1">
        <v>45640</v>
      </c>
      <c r="C3440" s="11">
        <f t="shared" si="159"/>
        <v>2024</v>
      </c>
      <c r="D3440" t="s">
        <v>134</v>
      </c>
      <c r="E3440" t="s">
        <v>53</v>
      </c>
      <c r="F3440" t="s">
        <v>54</v>
      </c>
      <c r="G3440" t="s">
        <v>36</v>
      </c>
      <c r="H3440">
        <v>4</v>
      </c>
      <c r="I3440" s="2">
        <v>122.44</v>
      </c>
      <c r="J3440" s="2">
        <v>489.76</v>
      </c>
      <c r="K3440" s="2">
        <f t="shared" si="160"/>
        <v>489.76</v>
      </c>
      <c r="L3440" s="2">
        <f t="shared" si="161"/>
        <v>0</v>
      </c>
      <c r="M3440" t="s">
        <v>25</v>
      </c>
      <c r="N3440" t="s">
        <v>21</v>
      </c>
    </row>
    <row r="3441" spans="1:14" x14ac:dyDescent="0.3">
      <c r="A3441">
        <v>2024004439</v>
      </c>
      <c r="B3441" s="1">
        <v>45506</v>
      </c>
      <c r="C3441" s="11">
        <f t="shared" si="159"/>
        <v>2024</v>
      </c>
      <c r="D3441" t="s">
        <v>75</v>
      </c>
      <c r="E3441" t="s">
        <v>40</v>
      </c>
      <c r="F3441" t="s">
        <v>41</v>
      </c>
      <c r="G3441" t="s">
        <v>36</v>
      </c>
      <c r="H3441">
        <v>1</v>
      </c>
      <c r="I3441" s="2">
        <v>44.47</v>
      </c>
      <c r="J3441" s="2">
        <v>44.47</v>
      </c>
      <c r="K3441" s="2">
        <f t="shared" si="160"/>
        <v>44.47</v>
      </c>
      <c r="L3441" s="2">
        <f t="shared" si="161"/>
        <v>0</v>
      </c>
      <c r="M3441" t="s">
        <v>64</v>
      </c>
      <c r="N3441" t="s">
        <v>21</v>
      </c>
    </row>
    <row r="3442" spans="1:14" x14ac:dyDescent="0.3">
      <c r="A3442">
        <v>2024004440</v>
      </c>
      <c r="B3442" s="1">
        <v>45591</v>
      </c>
      <c r="C3442" s="11">
        <f t="shared" si="159"/>
        <v>2024</v>
      </c>
      <c r="D3442" t="s">
        <v>177</v>
      </c>
      <c r="E3442" t="s">
        <v>43</v>
      </c>
      <c r="F3442" t="s">
        <v>44</v>
      </c>
      <c r="G3442" t="s">
        <v>36</v>
      </c>
      <c r="H3442">
        <v>1</v>
      </c>
      <c r="I3442" s="2">
        <v>1356.92</v>
      </c>
      <c r="J3442" s="2">
        <v>1356.92</v>
      </c>
      <c r="K3442" s="2">
        <f t="shared" si="160"/>
        <v>1356.92</v>
      </c>
      <c r="L3442" s="2">
        <f t="shared" si="161"/>
        <v>0</v>
      </c>
      <c r="M3442" t="s">
        <v>38</v>
      </c>
      <c r="N3442" t="s">
        <v>16</v>
      </c>
    </row>
    <row r="3443" spans="1:14" x14ac:dyDescent="0.3">
      <c r="A3443">
        <v>2024004441</v>
      </c>
      <c r="B3443" s="1">
        <v>45454</v>
      </c>
      <c r="C3443" s="11">
        <f t="shared" si="159"/>
        <v>2024</v>
      </c>
      <c r="D3443" t="s">
        <v>11</v>
      </c>
      <c r="E3443" t="s">
        <v>34</v>
      </c>
      <c r="F3443" t="s">
        <v>35</v>
      </c>
      <c r="G3443" t="s">
        <v>36</v>
      </c>
      <c r="H3443">
        <v>1</v>
      </c>
      <c r="I3443" s="2">
        <v>15.62</v>
      </c>
      <c r="J3443" s="2">
        <v>15.62</v>
      </c>
      <c r="K3443" s="2">
        <f t="shared" si="160"/>
        <v>15.62</v>
      </c>
      <c r="L3443" s="2">
        <f t="shared" si="161"/>
        <v>0</v>
      </c>
      <c r="M3443" t="s">
        <v>48</v>
      </c>
      <c r="N3443" t="s">
        <v>32</v>
      </c>
    </row>
    <row r="3444" spans="1:14" x14ac:dyDescent="0.3">
      <c r="A3444">
        <v>2024004442</v>
      </c>
      <c r="B3444" s="1">
        <v>45656</v>
      </c>
      <c r="C3444" s="11">
        <f t="shared" si="159"/>
        <v>2024</v>
      </c>
      <c r="D3444" t="s">
        <v>11</v>
      </c>
      <c r="E3444" t="s">
        <v>12</v>
      </c>
      <c r="F3444" t="s">
        <v>13</v>
      </c>
      <c r="G3444" t="s">
        <v>14</v>
      </c>
      <c r="H3444">
        <v>1</v>
      </c>
      <c r="I3444" s="2">
        <v>341.2</v>
      </c>
      <c r="J3444" s="2">
        <v>341.2</v>
      </c>
      <c r="K3444" s="2">
        <f t="shared" si="160"/>
        <v>341.2</v>
      </c>
      <c r="L3444" s="2">
        <f t="shared" si="161"/>
        <v>0</v>
      </c>
      <c r="M3444" t="s">
        <v>15</v>
      </c>
      <c r="N3444" t="s">
        <v>21</v>
      </c>
    </row>
    <row r="3445" spans="1:14" x14ac:dyDescent="0.3">
      <c r="A3445">
        <v>2024004443</v>
      </c>
      <c r="B3445" s="1">
        <v>45556</v>
      </c>
      <c r="C3445" s="11">
        <f t="shared" si="159"/>
        <v>2024</v>
      </c>
      <c r="D3445" t="s">
        <v>131</v>
      </c>
      <c r="E3445" t="s">
        <v>46</v>
      </c>
      <c r="F3445" t="s">
        <v>47</v>
      </c>
      <c r="G3445" t="s">
        <v>36</v>
      </c>
      <c r="H3445">
        <v>1</v>
      </c>
      <c r="I3445" s="2">
        <v>91.67</v>
      </c>
      <c r="J3445" s="2">
        <v>91.67</v>
      </c>
      <c r="K3445" s="2">
        <f t="shared" si="160"/>
        <v>91.67</v>
      </c>
      <c r="L3445" s="2">
        <f t="shared" si="161"/>
        <v>0</v>
      </c>
      <c r="M3445" t="s">
        <v>61</v>
      </c>
      <c r="N3445" t="s">
        <v>26</v>
      </c>
    </row>
    <row r="3446" spans="1:14" x14ac:dyDescent="0.3">
      <c r="A3446">
        <v>2024004444</v>
      </c>
      <c r="B3446" s="1">
        <v>45431</v>
      </c>
      <c r="C3446" s="11">
        <f t="shared" si="159"/>
        <v>2024</v>
      </c>
      <c r="D3446" t="s">
        <v>88</v>
      </c>
      <c r="E3446" t="s">
        <v>23</v>
      </c>
      <c r="F3446" t="s">
        <v>24</v>
      </c>
      <c r="G3446" t="s">
        <v>14</v>
      </c>
      <c r="H3446">
        <v>5</v>
      </c>
      <c r="I3446" s="2">
        <v>82.24</v>
      </c>
      <c r="J3446" s="2">
        <v>411.2</v>
      </c>
      <c r="K3446" s="2">
        <f t="shared" si="160"/>
        <v>411.2</v>
      </c>
      <c r="L3446" s="2">
        <f t="shared" si="161"/>
        <v>0</v>
      </c>
      <c r="M3446" t="s">
        <v>64</v>
      </c>
      <c r="N3446" t="s">
        <v>16</v>
      </c>
    </row>
    <row r="3447" spans="1:14" x14ac:dyDescent="0.3">
      <c r="A3447">
        <v>2024004445</v>
      </c>
      <c r="B3447" s="1">
        <v>45439</v>
      </c>
      <c r="C3447" s="11">
        <f t="shared" si="159"/>
        <v>2024</v>
      </c>
      <c r="D3447" t="s">
        <v>148</v>
      </c>
      <c r="E3447" t="s">
        <v>34</v>
      </c>
      <c r="F3447" t="s">
        <v>35</v>
      </c>
      <c r="G3447" t="s">
        <v>36</v>
      </c>
      <c r="H3447">
        <v>2</v>
      </c>
      <c r="I3447" s="2">
        <v>14.3</v>
      </c>
      <c r="J3447" s="2">
        <v>28.6</v>
      </c>
      <c r="K3447" s="2">
        <f t="shared" si="160"/>
        <v>28.6</v>
      </c>
      <c r="L3447" s="2">
        <f t="shared" si="161"/>
        <v>0</v>
      </c>
      <c r="M3447" t="s">
        <v>15</v>
      </c>
      <c r="N3447" t="s">
        <v>26</v>
      </c>
    </row>
    <row r="3448" spans="1:14" x14ac:dyDescent="0.3">
      <c r="A3448">
        <v>2024004446</v>
      </c>
      <c r="B3448" s="1">
        <v>45424</v>
      </c>
      <c r="C3448" s="11">
        <f t="shared" si="159"/>
        <v>2024</v>
      </c>
      <c r="D3448" t="s">
        <v>267</v>
      </c>
      <c r="E3448" t="s">
        <v>34</v>
      </c>
      <c r="F3448" t="s">
        <v>35</v>
      </c>
      <c r="G3448" t="s">
        <v>36</v>
      </c>
      <c r="H3448">
        <v>1</v>
      </c>
      <c r="I3448" s="2">
        <v>15.23</v>
      </c>
      <c r="J3448" s="2">
        <v>15.23</v>
      </c>
      <c r="K3448" s="2">
        <f t="shared" si="160"/>
        <v>15.23</v>
      </c>
      <c r="L3448" s="2">
        <f t="shared" si="161"/>
        <v>0</v>
      </c>
      <c r="M3448" t="s">
        <v>25</v>
      </c>
      <c r="N3448" t="s">
        <v>21</v>
      </c>
    </row>
    <row r="3449" spans="1:14" x14ac:dyDescent="0.3">
      <c r="A3449">
        <v>2024004447</v>
      </c>
      <c r="B3449" s="1">
        <v>45596</v>
      </c>
      <c r="C3449" s="11">
        <f t="shared" si="159"/>
        <v>2024</v>
      </c>
      <c r="D3449" t="s">
        <v>11</v>
      </c>
      <c r="E3449" t="s">
        <v>34</v>
      </c>
      <c r="F3449" t="s">
        <v>35</v>
      </c>
      <c r="G3449" t="s">
        <v>36</v>
      </c>
      <c r="H3449">
        <v>4</v>
      </c>
      <c r="I3449" s="2">
        <v>15.78</v>
      </c>
      <c r="J3449" s="2">
        <v>63.12</v>
      </c>
      <c r="K3449" s="2">
        <f t="shared" si="160"/>
        <v>63.12</v>
      </c>
      <c r="L3449" s="2">
        <f t="shared" si="161"/>
        <v>0</v>
      </c>
      <c r="M3449" t="s">
        <v>31</v>
      </c>
      <c r="N3449" t="s">
        <v>26</v>
      </c>
    </row>
    <row r="3450" spans="1:14" x14ac:dyDescent="0.3">
      <c r="A3450">
        <v>2024004448</v>
      </c>
      <c r="B3450" s="1">
        <v>45608</v>
      </c>
      <c r="C3450" s="11">
        <f t="shared" si="159"/>
        <v>2024</v>
      </c>
      <c r="D3450" t="s">
        <v>225</v>
      </c>
      <c r="E3450" t="s">
        <v>12</v>
      </c>
      <c r="F3450" t="s">
        <v>13</v>
      </c>
      <c r="G3450" t="s">
        <v>14</v>
      </c>
      <c r="H3450">
        <v>1</v>
      </c>
      <c r="I3450" s="2">
        <v>348.56</v>
      </c>
      <c r="J3450" s="2">
        <v>348.56</v>
      </c>
      <c r="K3450" s="2">
        <f t="shared" si="160"/>
        <v>348.56</v>
      </c>
      <c r="L3450" s="2">
        <f t="shared" si="161"/>
        <v>0</v>
      </c>
      <c r="M3450" t="s">
        <v>38</v>
      </c>
      <c r="N3450" t="s">
        <v>16</v>
      </c>
    </row>
    <row r="3451" spans="1:14" x14ac:dyDescent="0.3">
      <c r="A3451">
        <v>2024004449</v>
      </c>
      <c r="B3451" s="1">
        <v>45419</v>
      </c>
      <c r="C3451" s="11">
        <f t="shared" si="159"/>
        <v>2024</v>
      </c>
      <c r="D3451" t="s">
        <v>63</v>
      </c>
      <c r="E3451" t="s">
        <v>12</v>
      </c>
      <c r="F3451" t="s">
        <v>13</v>
      </c>
      <c r="G3451" t="s">
        <v>14</v>
      </c>
      <c r="H3451">
        <v>4</v>
      </c>
      <c r="I3451" s="2">
        <v>367.27</v>
      </c>
      <c r="J3451" s="2">
        <v>1469.08</v>
      </c>
      <c r="K3451" s="2">
        <f t="shared" si="160"/>
        <v>1469.08</v>
      </c>
      <c r="L3451" s="2">
        <f t="shared" si="161"/>
        <v>0</v>
      </c>
      <c r="M3451" t="s">
        <v>64</v>
      </c>
      <c r="N3451" t="s">
        <v>32</v>
      </c>
    </row>
    <row r="3452" spans="1:14" x14ac:dyDescent="0.3">
      <c r="A3452">
        <v>2024004450</v>
      </c>
      <c r="B3452" s="1">
        <v>45415</v>
      </c>
      <c r="C3452" s="11">
        <f t="shared" si="159"/>
        <v>2024</v>
      </c>
      <c r="D3452" t="s">
        <v>17</v>
      </c>
      <c r="E3452" t="s">
        <v>43</v>
      </c>
      <c r="F3452" t="s">
        <v>44</v>
      </c>
      <c r="G3452" t="s">
        <v>36</v>
      </c>
      <c r="H3452">
        <v>3</v>
      </c>
      <c r="I3452" s="2">
        <v>1224.44</v>
      </c>
      <c r="J3452" s="2">
        <v>3673.32</v>
      </c>
      <c r="K3452" s="2">
        <f t="shared" si="160"/>
        <v>3673.32</v>
      </c>
      <c r="L3452" s="2">
        <f t="shared" si="161"/>
        <v>0</v>
      </c>
      <c r="M3452" t="s">
        <v>61</v>
      </c>
      <c r="N3452" t="s">
        <v>26</v>
      </c>
    </row>
    <row r="3453" spans="1:14" x14ac:dyDescent="0.3">
      <c r="A3453">
        <v>2024004451</v>
      </c>
      <c r="B3453" s="1">
        <v>45628</v>
      </c>
      <c r="C3453" s="11">
        <f t="shared" si="159"/>
        <v>2024</v>
      </c>
      <c r="D3453" t="s">
        <v>189</v>
      </c>
      <c r="E3453" t="s">
        <v>28</v>
      </c>
      <c r="F3453" t="s">
        <v>29</v>
      </c>
      <c r="G3453" t="s">
        <v>30</v>
      </c>
      <c r="H3453">
        <v>1</v>
      </c>
      <c r="I3453" s="2">
        <v>24.55</v>
      </c>
      <c r="J3453" s="2">
        <v>24.55</v>
      </c>
      <c r="K3453" s="2">
        <f t="shared" si="160"/>
        <v>24.55</v>
      </c>
      <c r="L3453" s="2">
        <f t="shared" si="161"/>
        <v>0</v>
      </c>
      <c r="M3453" t="s">
        <v>64</v>
      </c>
      <c r="N3453" t="s">
        <v>32</v>
      </c>
    </row>
    <row r="3454" spans="1:14" x14ac:dyDescent="0.3">
      <c r="A3454">
        <v>2024004452</v>
      </c>
      <c r="B3454" s="1">
        <v>45633</v>
      </c>
      <c r="C3454" s="11">
        <f t="shared" si="159"/>
        <v>2024</v>
      </c>
      <c r="D3454" t="s">
        <v>22</v>
      </c>
      <c r="E3454" t="s">
        <v>12</v>
      </c>
      <c r="F3454" t="s">
        <v>13</v>
      </c>
      <c r="G3454" t="s">
        <v>14</v>
      </c>
      <c r="H3454">
        <v>3</v>
      </c>
      <c r="I3454" s="2">
        <v>345.58</v>
      </c>
      <c r="J3454" s="2">
        <v>1036.74</v>
      </c>
      <c r="K3454" s="2">
        <f t="shared" si="160"/>
        <v>1036.74</v>
      </c>
      <c r="L3454" s="2">
        <f t="shared" si="161"/>
        <v>0</v>
      </c>
      <c r="M3454" t="s">
        <v>48</v>
      </c>
      <c r="N3454" t="s">
        <v>21</v>
      </c>
    </row>
    <row r="3455" spans="1:14" x14ac:dyDescent="0.3">
      <c r="A3455">
        <v>2024004453</v>
      </c>
      <c r="B3455" s="1">
        <v>45346</v>
      </c>
      <c r="C3455" s="11">
        <f t="shared" si="159"/>
        <v>2024</v>
      </c>
      <c r="D3455" t="s">
        <v>169</v>
      </c>
      <c r="E3455" t="s">
        <v>67</v>
      </c>
      <c r="F3455" t="s">
        <v>68</v>
      </c>
      <c r="G3455" t="s">
        <v>36</v>
      </c>
      <c r="H3455">
        <v>1</v>
      </c>
      <c r="I3455" s="2">
        <v>396.32</v>
      </c>
      <c r="J3455" s="2">
        <v>396.32</v>
      </c>
      <c r="K3455" s="2">
        <f t="shared" si="160"/>
        <v>396.32</v>
      </c>
      <c r="L3455" s="2">
        <f t="shared" si="161"/>
        <v>0</v>
      </c>
      <c r="M3455" t="s">
        <v>20</v>
      </c>
      <c r="N3455" t="s">
        <v>26</v>
      </c>
    </row>
    <row r="3456" spans="1:14" x14ac:dyDescent="0.3">
      <c r="A3456">
        <v>2024004454</v>
      </c>
      <c r="B3456" s="1">
        <v>45644</v>
      </c>
      <c r="C3456" s="11">
        <f t="shared" si="159"/>
        <v>2024</v>
      </c>
      <c r="D3456" t="s">
        <v>85</v>
      </c>
      <c r="E3456" t="s">
        <v>34</v>
      </c>
      <c r="F3456" t="s">
        <v>35</v>
      </c>
      <c r="G3456" t="s">
        <v>36</v>
      </c>
      <c r="H3456">
        <v>1</v>
      </c>
      <c r="I3456" s="2">
        <v>15.54</v>
      </c>
      <c r="J3456" s="2">
        <v>15.54</v>
      </c>
      <c r="K3456" s="2">
        <f t="shared" si="160"/>
        <v>15.54</v>
      </c>
      <c r="L3456" s="2">
        <f t="shared" si="161"/>
        <v>0</v>
      </c>
      <c r="M3456" t="s">
        <v>20</v>
      </c>
      <c r="N3456" t="s">
        <v>21</v>
      </c>
    </row>
    <row r="3457" spans="1:14" x14ac:dyDescent="0.3">
      <c r="A3457">
        <v>2024004455</v>
      </c>
      <c r="B3457" s="1">
        <v>45425</v>
      </c>
      <c r="C3457" s="11">
        <f t="shared" si="159"/>
        <v>2024</v>
      </c>
      <c r="D3457" t="s">
        <v>335</v>
      </c>
      <c r="E3457" t="s">
        <v>43</v>
      </c>
      <c r="F3457" t="s">
        <v>44</v>
      </c>
      <c r="G3457" t="s">
        <v>36</v>
      </c>
      <c r="H3457">
        <v>1</v>
      </c>
      <c r="I3457" s="2">
        <v>1182.82</v>
      </c>
      <c r="J3457" s="2">
        <v>1182.82</v>
      </c>
      <c r="K3457" s="2">
        <f t="shared" si="160"/>
        <v>1182.82</v>
      </c>
      <c r="L3457" s="2">
        <f t="shared" si="161"/>
        <v>0</v>
      </c>
      <c r="M3457" t="s">
        <v>15</v>
      </c>
      <c r="N3457" t="s">
        <v>16</v>
      </c>
    </row>
    <row r="3458" spans="1:14" x14ac:dyDescent="0.3">
      <c r="A3458">
        <v>2024004456</v>
      </c>
      <c r="B3458" s="1">
        <v>45372</v>
      </c>
      <c r="C3458" s="11">
        <f t="shared" si="159"/>
        <v>2024</v>
      </c>
      <c r="D3458" t="s">
        <v>11</v>
      </c>
      <c r="E3458" t="s">
        <v>40</v>
      </c>
      <c r="F3458" t="s">
        <v>41</v>
      </c>
      <c r="G3458" t="s">
        <v>36</v>
      </c>
      <c r="H3458">
        <v>1</v>
      </c>
      <c r="I3458" s="2">
        <v>44.99</v>
      </c>
      <c r="J3458" s="2">
        <v>44.99</v>
      </c>
      <c r="K3458" s="2">
        <f t="shared" si="160"/>
        <v>44.99</v>
      </c>
      <c r="L3458" s="2">
        <f t="shared" si="161"/>
        <v>0</v>
      </c>
      <c r="M3458" t="s">
        <v>48</v>
      </c>
      <c r="N3458" t="s">
        <v>32</v>
      </c>
    </row>
    <row r="3459" spans="1:14" x14ac:dyDescent="0.3">
      <c r="A3459">
        <v>2024004457</v>
      </c>
      <c r="B3459" s="1">
        <v>45460</v>
      </c>
      <c r="C3459" s="11">
        <f t="shared" ref="C3459:C3522" si="162">YEAR(B3459)</f>
        <v>2024</v>
      </c>
      <c r="D3459" t="s">
        <v>116</v>
      </c>
      <c r="E3459" t="s">
        <v>23</v>
      </c>
      <c r="F3459" t="s">
        <v>24</v>
      </c>
      <c r="G3459" t="s">
        <v>14</v>
      </c>
      <c r="H3459">
        <v>3</v>
      </c>
      <c r="I3459" s="2">
        <v>75.959999999999994</v>
      </c>
      <c r="J3459" s="2">
        <v>227.88</v>
      </c>
      <c r="K3459" s="2">
        <f t="shared" ref="K3459:K3522" si="163">I3459*H3459</f>
        <v>227.88</v>
      </c>
      <c r="L3459" s="2">
        <f t="shared" ref="L3459:L3522" si="164">J3459-K3459</f>
        <v>0</v>
      </c>
      <c r="M3459" t="s">
        <v>20</v>
      </c>
      <c r="N3459" t="s">
        <v>16</v>
      </c>
    </row>
    <row r="3460" spans="1:14" x14ac:dyDescent="0.3">
      <c r="A3460">
        <v>2024004458</v>
      </c>
      <c r="B3460" s="1">
        <v>45588</v>
      </c>
      <c r="C3460" s="11">
        <f t="shared" si="162"/>
        <v>2024</v>
      </c>
      <c r="D3460" t="s">
        <v>11</v>
      </c>
      <c r="E3460" t="s">
        <v>28</v>
      </c>
      <c r="F3460" t="s">
        <v>29</v>
      </c>
      <c r="G3460" t="s">
        <v>30</v>
      </c>
      <c r="H3460">
        <v>1</v>
      </c>
      <c r="I3460" s="2">
        <v>25.41</v>
      </c>
      <c r="J3460" s="2">
        <v>25.41</v>
      </c>
      <c r="K3460" s="2">
        <f t="shared" si="163"/>
        <v>25.41</v>
      </c>
      <c r="L3460" s="2">
        <f t="shared" si="164"/>
        <v>0</v>
      </c>
      <c r="M3460" t="s">
        <v>57</v>
      </c>
      <c r="N3460" t="s">
        <v>32</v>
      </c>
    </row>
    <row r="3461" spans="1:14" x14ac:dyDescent="0.3">
      <c r="A3461">
        <v>2024004459</v>
      </c>
      <c r="B3461" s="1">
        <v>45641</v>
      </c>
      <c r="C3461" s="11">
        <f t="shared" si="162"/>
        <v>2024</v>
      </c>
      <c r="D3461" t="s">
        <v>189</v>
      </c>
      <c r="E3461" t="s">
        <v>12</v>
      </c>
      <c r="F3461" t="s">
        <v>13</v>
      </c>
      <c r="G3461" t="s">
        <v>14</v>
      </c>
      <c r="H3461">
        <v>1</v>
      </c>
      <c r="I3461" s="2">
        <v>372.44</v>
      </c>
      <c r="J3461" s="2">
        <v>372.44</v>
      </c>
      <c r="K3461" s="2">
        <f t="shared" si="163"/>
        <v>372.44</v>
      </c>
      <c r="L3461" s="2">
        <f t="shared" si="164"/>
        <v>0</v>
      </c>
      <c r="M3461" t="s">
        <v>64</v>
      </c>
      <c r="N3461" t="s">
        <v>16</v>
      </c>
    </row>
    <row r="3462" spans="1:14" x14ac:dyDescent="0.3">
      <c r="A3462">
        <v>2024001962</v>
      </c>
      <c r="B3462" s="1">
        <v>45633</v>
      </c>
      <c r="C3462" s="11">
        <f t="shared" si="162"/>
        <v>2024</v>
      </c>
      <c r="D3462" t="s">
        <v>184</v>
      </c>
      <c r="E3462" t="s">
        <v>40</v>
      </c>
      <c r="F3462" t="s">
        <v>41</v>
      </c>
      <c r="G3462" t="s">
        <v>36</v>
      </c>
      <c r="H3462">
        <v>1</v>
      </c>
      <c r="I3462" s="2">
        <v>46.13</v>
      </c>
      <c r="J3462" s="2">
        <v>46.13</v>
      </c>
      <c r="K3462" s="2">
        <f t="shared" si="163"/>
        <v>46.13</v>
      </c>
      <c r="L3462" s="2">
        <f t="shared" si="164"/>
        <v>0</v>
      </c>
      <c r="M3462" t="s">
        <v>38</v>
      </c>
      <c r="N3462" t="s">
        <v>21</v>
      </c>
    </row>
    <row r="3463" spans="1:14" x14ac:dyDescent="0.3">
      <c r="A3463">
        <v>2024004461</v>
      </c>
      <c r="B3463" s="1">
        <v>45376</v>
      </c>
      <c r="C3463" s="11">
        <f t="shared" si="162"/>
        <v>2024</v>
      </c>
      <c r="D3463" t="s">
        <v>323</v>
      </c>
      <c r="E3463" t="s">
        <v>12</v>
      </c>
      <c r="F3463" t="s">
        <v>13</v>
      </c>
      <c r="G3463" t="s">
        <v>14</v>
      </c>
      <c r="H3463">
        <v>3</v>
      </c>
      <c r="I3463" s="2">
        <v>344.6</v>
      </c>
      <c r="J3463" s="2">
        <v>1033.8</v>
      </c>
      <c r="K3463" s="2">
        <f t="shared" si="163"/>
        <v>1033.8000000000002</v>
      </c>
      <c r="L3463" s="2">
        <f t="shared" si="164"/>
        <v>0</v>
      </c>
      <c r="M3463" t="s">
        <v>61</v>
      </c>
      <c r="N3463" t="s">
        <v>32</v>
      </c>
    </row>
    <row r="3464" spans="1:14" x14ac:dyDescent="0.3">
      <c r="A3464">
        <v>2024004462</v>
      </c>
      <c r="B3464" s="1">
        <v>45514</v>
      </c>
      <c r="C3464" s="11">
        <f t="shared" si="162"/>
        <v>2024</v>
      </c>
      <c r="D3464" t="s">
        <v>298</v>
      </c>
      <c r="E3464" t="s">
        <v>46</v>
      </c>
      <c r="F3464" t="s">
        <v>47</v>
      </c>
      <c r="G3464" t="s">
        <v>36</v>
      </c>
      <c r="H3464">
        <v>1</v>
      </c>
      <c r="I3464" s="2">
        <v>86.87</v>
      </c>
      <c r="J3464" s="2">
        <v>86.87</v>
      </c>
      <c r="K3464" s="2">
        <f t="shared" si="163"/>
        <v>86.87</v>
      </c>
      <c r="L3464" s="2">
        <f t="shared" si="164"/>
        <v>0</v>
      </c>
      <c r="M3464" t="s">
        <v>57</v>
      </c>
      <c r="N3464" t="s">
        <v>32</v>
      </c>
    </row>
    <row r="3465" spans="1:14" x14ac:dyDescent="0.3">
      <c r="A3465">
        <v>2024004463</v>
      </c>
      <c r="B3465" s="1">
        <v>45466</v>
      </c>
      <c r="C3465" s="11">
        <f t="shared" si="162"/>
        <v>2024</v>
      </c>
      <c r="D3465" t="s">
        <v>123</v>
      </c>
      <c r="E3465" t="s">
        <v>23</v>
      </c>
      <c r="F3465" t="s">
        <v>24</v>
      </c>
      <c r="G3465" t="s">
        <v>14</v>
      </c>
      <c r="H3465">
        <v>1</v>
      </c>
      <c r="I3465" s="2">
        <v>87.59</v>
      </c>
      <c r="J3465" s="2">
        <v>87.59</v>
      </c>
      <c r="K3465" s="2">
        <f t="shared" si="163"/>
        <v>87.59</v>
      </c>
      <c r="L3465" s="2">
        <f t="shared" si="164"/>
        <v>0</v>
      </c>
      <c r="M3465" t="s">
        <v>20</v>
      </c>
      <c r="N3465" t="s">
        <v>32</v>
      </c>
    </row>
    <row r="3466" spans="1:14" x14ac:dyDescent="0.3">
      <c r="A3466">
        <v>2024004464</v>
      </c>
      <c r="B3466" s="1">
        <v>45504</v>
      </c>
      <c r="C3466" s="11">
        <f t="shared" si="162"/>
        <v>2024</v>
      </c>
      <c r="D3466" t="s">
        <v>280</v>
      </c>
      <c r="E3466" t="s">
        <v>40</v>
      </c>
      <c r="F3466" t="s">
        <v>41</v>
      </c>
      <c r="G3466" t="s">
        <v>36</v>
      </c>
      <c r="H3466">
        <v>3</v>
      </c>
      <c r="I3466" s="2">
        <v>44.57</v>
      </c>
      <c r="J3466" s="2">
        <v>133.71</v>
      </c>
      <c r="K3466" s="2">
        <f t="shared" si="163"/>
        <v>133.71</v>
      </c>
      <c r="L3466" s="2">
        <f t="shared" si="164"/>
        <v>0</v>
      </c>
      <c r="M3466" t="s">
        <v>57</v>
      </c>
      <c r="N3466" t="s">
        <v>32</v>
      </c>
    </row>
    <row r="3467" spans="1:14" x14ac:dyDescent="0.3">
      <c r="A3467">
        <v>2024004465</v>
      </c>
      <c r="B3467" s="1">
        <v>45637</v>
      </c>
      <c r="C3467" s="11">
        <f t="shared" si="162"/>
        <v>2024</v>
      </c>
      <c r="D3467" t="s">
        <v>270</v>
      </c>
      <c r="E3467" t="s">
        <v>23</v>
      </c>
      <c r="F3467" t="s">
        <v>24</v>
      </c>
      <c r="G3467" t="s">
        <v>14</v>
      </c>
      <c r="H3467">
        <v>1</v>
      </c>
      <c r="I3467" s="2">
        <v>78.400000000000006</v>
      </c>
      <c r="J3467" s="2">
        <v>78.400000000000006</v>
      </c>
      <c r="K3467" s="2">
        <f t="shared" si="163"/>
        <v>78.400000000000006</v>
      </c>
      <c r="L3467" s="2">
        <f t="shared" si="164"/>
        <v>0</v>
      </c>
      <c r="M3467" t="s">
        <v>48</v>
      </c>
      <c r="N3467" t="s">
        <v>16</v>
      </c>
    </row>
    <row r="3468" spans="1:14" x14ac:dyDescent="0.3">
      <c r="A3468">
        <v>2024004466</v>
      </c>
      <c r="B3468" s="1">
        <v>45644</v>
      </c>
      <c r="C3468" s="11">
        <f t="shared" si="162"/>
        <v>2024</v>
      </c>
      <c r="D3468" t="s">
        <v>104</v>
      </c>
      <c r="E3468" t="s">
        <v>53</v>
      </c>
      <c r="F3468" t="s">
        <v>54</v>
      </c>
      <c r="G3468" t="s">
        <v>36</v>
      </c>
      <c r="H3468">
        <v>3</v>
      </c>
      <c r="I3468" s="2">
        <v>120.31</v>
      </c>
      <c r="J3468" s="2">
        <v>360.93</v>
      </c>
      <c r="K3468" s="2">
        <f t="shared" si="163"/>
        <v>360.93</v>
      </c>
      <c r="L3468" s="2">
        <f t="shared" si="164"/>
        <v>0</v>
      </c>
      <c r="M3468" t="s">
        <v>15</v>
      </c>
      <c r="N3468" t="s">
        <v>16</v>
      </c>
    </row>
    <row r="3469" spans="1:14" x14ac:dyDescent="0.3">
      <c r="A3469">
        <v>2024004467</v>
      </c>
      <c r="B3469" s="1">
        <v>45338</v>
      </c>
      <c r="C3469" s="11">
        <f t="shared" si="162"/>
        <v>2024</v>
      </c>
      <c r="D3469" t="s">
        <v>11</v>
      </c>
      <c r="E3469" t="s">
        <v>53</v>
      </c>
      <c r="F3469" t="s">
        <v>54</v>
      </c>
      <c r="G3469" t="s">
        <v>36</v>
      </c>
      <c r="H3469">
        <v>2</v>
      </c>
      <c r="I3469" s="2">
        <v>114.88</v>
      </c>
      <c r="J3469" s="2">
        <v>229.76</v>
      </c>
      <c r="K3469" s="2">
        <f t="shared" si="163"/>
        <v>229.76</v>
      </c>
      <c r="L3469" s="2">
        <f t="shared" si="164"/>
        <v>0</v>
      </c>
      <c r="M3469" t="s">
        <v>31</v>
      </c>
      <c r="N3469" t="s">
        <v>16</v>
      </c>
    </row>
    <row r="3470" spans="1:14" x14ac:dyDescent="0.3">
      <c r="A3470">
        <v>2024004468</v>
      </c>
      <c r="B3470" s="1">
        <v>45551</v>
      </c>
      <c r="C3470" s="11">
        <f t="shared" si="162"/>
        <v>2024</v>
      </c>
      <c r="D3470" t="s">
        <v>145</v>
      </c>
      <c r="E3470" t="s">
        <v>67</v>
      </c>
      <c r="F3470" t="s">
        <v>68</v>
      </c>
      <c r="G3470" t="s">
        <v>36</v>
      </c>
      <c r="H3470">
        <v>1</v>
      </c>
      <c r="I3470" s="2">
        <v>383.38</v>
      </c>
      <c r="J3470" s="2">
        <v>383.38</v>
      </c>
      <c r="K3470" s="2">
        <f t="shared" si="163"/>
        <v>383.38</v>
      </c>
      <c r="L3470" s="2">
        <f t="shared" si="164"/>
        <v>0</v>
      </c>
      <c r="M3470" t="s">
        <v>57</v>
      </c>
      <c r="N3470" t="s">
        <v>26</v>
      </c>
    </row>
    <row r="3471" spans="1:14" x14ac:dyDescent="0.3">
      <c r="A3471">
        <v>2024004469</v>
      </c>
      <c r="B3471" s="1">
        <v>45484</v>
      </c>
      <c r="C3471" s="11">
        <f t="shared" si="162"/>
        <v>2024</v>
      </c>
      <c r="D3471" t="s">
        <v>174</v>
      </c>
      <c r="E3471" t="s">
        <v>23</v>
      </c>
      <c r="F3471" t="s">
        <v>24</v>
      </c>
      <c r="G3471" t="s">
        <v>14</v>
      </c>
      <c r="H3471">
        <v>4</v>
      </c>
      <c r="I3471" s="2">
        <v>81.290000000000006</v>
      </c>
      <c r="J3471" s="2">
        <v>325.16000000000003</v>
      </c>
      <c r="K3471" s="2">
        <f t="shared" si="163"/>
        <v>325.16000000000003</v>
      </c>
      <c r="L3471" s="2">
        <f t="shared" si="164"/>
        <v>0</v>
      </c>
      <c r="M3471" t="s">
        <v>57</v>
      </c>
      <c r="N3471" t="s">
        <v>21</v>
      </c>
    </row>
    <row r="3472" spans="1:14" x14ac:dyDescent="0.3">
      <c r="A3472">
        <v>2024004470</v>
      </c>
      <c r="B3472" s="1">
        <v>45405</v>
      </c>
      <c r="C3472" s="11">
        <f t="shared" si="162"/>
        <v>2024</v>
      </c>
      <c r="D3472" t="s">
        <v>193</v>
      </c>
      <c r="E3472" t="s">
        <v>28</v>
      </c>
      <c r="F3472" t="s">
        <v>29</v>
      </c>
      <c r="G3472" t="s">
        <v>30</v>
      </c>
      <c r="H3472">
        <v>2</v>
      </c>
      <c r="I3472" s="2">
        <v>25.6</v>
      </c>
      <c r="J3472" s="2">
        <v>51.2</v>
      </c>
      <c r="K3472" s="2">
        <f t="shared" si="163"/>
        <v>51.2</v>
      </c>
      <c r="L3472" s="2">
        <f t="shared" si="164"/>
        <v>0</v>
      </c>
      <c r="M3472" t="s">
        <v>55</v>
      </c>
      <c r="N3472" t="s">
        <v>21</v>
      </c>
    </row>
    <row r="3473" spans="1:14" x14ac:dyDescent="0.3">
      <c r="A3473">
        <v>2024004471</v>
      </c>
      <c r="B3473" s="1">
        <v>45574</v>
      </c>
      <c r="C3473" s="11">
        <f t="shared" si="162"/>
        <v>2024</v>
      </c>
      <c r="D3473" t="s">
        <v>11</v>
      </c>
      <c r="E3473" t="s">
        <v>18</v>
      </c>
      <c r="F3473" t="s">
        <v>19</v>
      </c>
      <c r="G3473" t="s">
        <v>14</v>
      </c>
      <c r="H3473">
        <v>1</v>
      </c>
      <c r="I3473" s="2">
        <v>630.94000000000005</v>
      </c>
      <c r="J3473" s="2">
        <v>630.94000000000005</v>
      </c>
      <c r="K3473" s="2">
        <f t="shared" si="163"/>
        <v>630.94000000000005</v>
      </c>
      <c r="L3473" s="2">
        <f t="shared" si="164"/>
        <v>0</v>
      </c>
      <c r="M3473" t="s">
        <v>20</v>
      </c>
      <c r="N3473" t="s">
        <v>16</v>
      </c>
    </row>
    <row r="3474" spans="1:14" x14ac:dyDescent="0.3">
      <c r="A3474">
        <v>2024004472</v>
      </c>
      <c r="B3474" s="1">
        <v>45385</v>
      </c>
      <c r="C3474" s="11">
        <f t="shared" si="162"/>
        <v>2024</v>
      </c>
      <c r="D3474" t="s">
        <v>258</v>
      </c>
      <c r="E3474" t="s">
        <v>12</v>
      </c>
      <c r="F3474" t="s">
        <v>13</v>
      </c>
      <c r="G3474" t="s">
        <v>14</v>
      </c>
      <c r="H3474">
        <v>1</v>
      </c>
      <c r="I3474" s="2">
        <v>335.8</v>
      </c>
      <c r="J3474" s="2">
        <v>335.8</v>
      </c>
      <c r="K3474" s="2">
        <f t="shared" si="163"/>
        <v>335.8</v>
      </c>
      <c r="L3474" s="2">
        <f t="shared" si="164"/>
        <v>0</v>
      </c>
      <c r="M3474" t="s">
        <v>31</v>
      </c>
      <c r="N3474" t="s">
        <v>32</v>
      </c>
    </row>
    <row r="3475" spans="1:14" x14ac:dyDescent="0.3">
      <c r="A3475">
        <v>2024004473</v>
      </c>
      <c r="B3475" s="1">
        <v>45460</v>
      </c>
      <c r="C3475" s="11">
        <f t="shared" si="162"/>
        <v>2024</v>
      </c>
      <c r="D3475" t="s">
        <v>161</v>
      </c>
      <c r="E3475" t="s">
        <v>12</v>
      </c>
      <c r="F3475" t="s">
        <v>13</v>
      </c>
      <c r="G3475" t="s">
        <v>14</v>
      </c>
      <c r="H3475">
        <v>1</v>
      </c>
      <c r="I3475" s="2">
        <v>348.72</v>
      </c>
      <c r="J3475" s="2">
        <v>348.72</v>
      </c>
      <c r="K3475" s="2">
        <f t="shared" si="163"/>
        <v>348.72</v>
      </c>
      <c r="L3475" s="2">
        <f t="shared" si="164"/>
        <v>0</v>
      </c>
      <c r="M3475" t="s">
        <v>25</v>
      </c>
      <c r="N3475" t="s">
        <v>21</v>
      </c>
    </row>
    <row r="3476" spans="1:14" x14ac:dyDescent="0.3">
      <c r="A3476">
        <v>2024004474</v>
      </c>
      <c r="B3476" s="1">
        <v>45455</v>
      </c>
      <c r="C3476" s="11">
        <f t="shared" si="162"/>
        <v>2024</v>
      </c>
      <c r="D3476" t="s">
        <v>241</v>
      </c>
      <c r="E3476" t="s">
        <v>43</v>
      </c>
      <c r="F3476" t="s">
        <v>44</v>
      </c>
      <c r="G3476" t="s">
        <v>36</v>
      </c>
      <c r="H3476">
        <v>1</v>
      </c>
      <c r="I3476" s="2">
        <v>1126.06</v>
      </c>
      <c r="J3476" s="2">
        <v>1126.06</v>
      </c>
      <c r="K3476" s="2">
        <f t="shared" si="163"/>
        <v>1126.06</v>
      </c>
      <c r="L3476" s="2">
        <f t="shared" si="164"/>
        <v>0</v>
      </c>
      <c r="M3476" t="s">
        <v>48</v>
      </c>
      <c r="N3476" t="s">
        <v>16</v>
      </c>
    </row>
    <row r="3477" spans="1:14" x14ac:dyDescent="0.3">
      <c r="A3477">
        <v>2024004475</v>
      </c>
      <c r="B3477" s="1">
        <v>45648</v>
      </c>
      <c r="C3477" s="11">
        <f t="shared" si="162"/>
        <v>2024</v>
      </c>
      <c r="D3477" t="s">
        <v>153</v>
      </c>
      <c r="E3477" t="s">
        <v>43</v>
      </c>
      <c r="F3477" t="s">
        <v>44</v>
      </c>
      <c r="G3477" t="s">
        <v>36</v>
      </c>
      <c r="H3477">
        <v>4</v>
      </c>
      <c r="I3477" s="2">
        <v>1265.6300000000001</v>
      </c>
      <c r="J3477" s="2">
        <v>5062.5200000000004</v>
      </c>
      <c r="K3477" s="2">
        <f t="shared" si="163"/>
        <v>5062.5200000000004</v>
      </c>
      <c r="L3477" s="2">
        <f t="shared" si="164"/>
        <v>0</v>
      </c>
      <c r="M3477" t="s">
        <v>64</v>
      </c>
      <c r="N3477" t="s">
        <v>32</v>
      </c>
    </row>
    <row r="3478" spans="1:14" x14ac:dyDescent="0.3">
      <c r="A3478">
        <v>2024004476</v>
      </c>
      <c r="B3478" s="1">
        <v>45615</v>
      </c>
      <c r="C3478" s="11">
        <f t="shared" si="162"/>
        <v>2024</v>
      </c>
      <c r="D3478" t="s">
        <v>187</v>
      </c>
      <c r="E3478" t="s">
        <v>53</v>
      </c>
      <c r="F3478" t="s">
        <v>54</v>
      </c>
      <c r="G3478" t="s">
        <v>36</v>
      </c>
      <c r="H3478">
        <v>1</v>
      </c>
      <c r="I3478" s="2">
        <v>117.05</v>
      </c>
      <c r="J3478" s="2">
        <v>117.05</v>
      </c>
      <c r="K3478" s="2">
        <f t="shared" si="163"/>
        <v>117.05</v>
      </c>
      <c r="L3478" s="2">
        <f t="shared" si="164"/>
        <v>0</v>
      </c>
      <c r="M3478" t="s">
        <v>64</v>
      </c>
      <c r="N3478" t="s">
        <v>16</v>
      </c>
    </row>
    <row r="3479" spans="1:14" x14ac:dyDescent="0.3">
      <c r="A3479">
        <v>2024004477</v>
      </c>
      <c r="B3479" s="1">
        <v>45373</v>
      </c>
      <c r="C3479" s="11">
        <f t="shared" si="162"/>
        <v>2024</v>
      </c>
      <c r="D3479" t="s">
        <v>66</v>
      </c>
      <c r="E3479" t="s">
        <v>46</v>
      </c>
      <c r="F3479" t="s">
        <v>47</v>
      </c>
      <c r="G3479" t="s">
        <v>36</v>
      </c>
      <c r="H3479">
        <v>1</v>
      </c>
      <c r="I3479" s="2">
        <v>92.07</v>
      </c>
      <c r="J3479" s="2">
        <v>92.07</v>
      </c>
      <c r="K3479" s="2">
        <f t="shared" si="163"/>
        <v>92.07</v>
      </c>
      <c r="L3479" s="2">
        <f t="shared" si="164"/>
        <v>0</v>
      </c>
      <c r="M3479" t="s">
        <v>55</v>
      </c>
      <c r="N3479" t="s">
        <v>26</v>
      </c>
    </row>
    <row r="3480" spans="1:14" x14ac:dyDescent="0.3">
      <c r="A3480">
        <v>2024004478</v>
      </c>
      <c r="B3480" s="1">
        <v>45444</v>
      </c>
      <c r="C3480" s="11">
        <f t="shared" si="162"/>
        <v>2024</v>
      </c>
      <c r="D3480" t="s">
        <v>277</v>
      </c>
      <c r="E3480" t="s">
        <v>23</v>
      </c>
      <c r="F3480" t="s">
        <v>24</v>
      </c>
      <c r="G3480" t="s">
        <v>14</v>
      </c>
      <c r="H3480">
        <v>1</v>
      </c>
      <c r="I3480" s="2">
        <v>85.76</v>
      </c>
      <c r="J3480" s="2">
        <v>85.76</v>
      </c>
      <c r="K3480" s="2">
        <f t="shared" si="163"/>
        <v>85.76</v>
      </c>
      <c r="L3480" s="2">
        <f t="shared" si="164"/>
        <v>0</v>
      </c>
      <c r="M3480" t="s">
        <v>31</v>
      </c>
      <c r="N3480" t="s">
        <v>32</v>
      </c>
    </row>
    <row r="3481" spans="1:14" x14ac:dyDescent="0.3">
      <c r="A3481">
        <v>2024004479</v>
      </c>
      <c r="B3481" s="1">
        <v>45523</v>
      </c>
      <c r="C3481" s="11">
        <f t="shared" si="162"/>
        <v>2024</v>
      </c>
      <c r="D3481" t="s">
        <v>51</v>
      </c>
      <c r="E3481" t="s">
        <v>34</v>
      </c>
      <c r="F3481" t="s">
        <v>35</v>
      </c>
      <c r="G3481" t="s">
        <v>36</v>
      </c>
      <c r="H3481">
        <v>2</v>
      </c>
      <c r="I3481" s="2">
        <v>14.27</v>
      </c>
      <c r="J3481" s="2">
        <v>28.54</v>
      </c>
      <c r="K3481" s="2">
        <f t="shared" si="163"/>
        <v>28.54</v>
      </c>
      <c r="L3481" s="2">
        <f t="shared" si="164"/>
        <v>0</v>
      </c>
      <c r="M3481" t="s">
        <v>61</v>
      </c>
      <c r="N3481" t="s">
        <v>26</v>
      </c>
    </row>
    <row r="3482" spans="1:14" x14ac:dyDescent="0.3">
      <c r="A3482">
        <v>2024004480</v>
      </c>
      <c r="B3482" s="1">
        <v>45351</v>
      </c>
      <c r="C3482" s="11">
        <f t="shared" si="162"/>
        <v>2024</v>
      </c>
      <c r="D3482" t="s">
        <v>282</v>
      </c>
      <c r="E3482" t="s">
        <v>40</v>
      </c>
      <c r="F3482" t="s">
        <v>41</v>
      </c>
      <c r="G3482" t="s">
        <v>36</v>
      </c>
      <c r="H3482">
        <v>1</v>
      </c>
      <c r="I3482" s="2">
        <v>46.07</v>
      </c>
      <c r="J3482" s="2">
        <v>46.07</v>
      </c>
      <c r="K3482" s="2">
        <f t="shared" si="163"/>
        <v>46.07</v>
      </c>
      <c r="L3482" s="2">
        <f t="shared" si="164"/>
        <v>0</v>
      </c>
      <c r="M3482" t="s">
        <v>64</v>
      </c>
      <c r="N3482" t="s">
        <v>21</v>
      </c>
    </row>
    <row r="3483" spans="1:14" x14ac:dyDescent="0.3">
      <c r="A3483">
        <v>2024004481</v>
      </c>
      <c r="B3483" s="1">
        <v>45576</v>
      </c>
      <c r="C3483" s="11">
        <f t="shared" si="162"/>
        <v>2024</v>
      </c>
      <c r="D3483" t="s">
        <v>254</v>
      </c>
      <c r="E3483" t="s">
        <v>46</v>
      </c>
      <c r="F3483" t="s">
        <v>47</v>
      </c>
      <c r="G3483" t="s">
        <v>36</v>
      </c>
      <c r="H3483">
        <v>1</v>
      </c>
      <c r="I3483" s="2">
        <v>84.18</v>
      </c>
      <c r="J3483" s="2">
        <v>84.18</v>
      </c>
      <c r="K3483" s="2">
        <f t="shared" si="163"/>
        <v>84.18</v>
      </c>
      <c r="L3483" s="2">
        <f t="shared" si="164"/>
        <v>0</v>
      </c>
      <c r="M3483" t="s">
        <v>15</v>
      </c>
      <c r="N3483" t="s">
        <v>21</v>
      </c>
    </row>
    <row r="3484" spans="1:14" x14ac:dyDescent="0.3">
      <c r="A3484">
        <v>2024004482</v>
      </c>
      <c r="B3484" s="1">
        <v>45294</v>
      </c>
      <c r="C3484" s="11">
        <f t="shared" si="162"/>
        <v>2024</v>
      </c>
      <c r="D3484" t="s">
        <v>194</v>
      </c>
      <c r="E3484" t="s">
        <v>67</v>
      </c>
      <c r="F3484" t="s">
        <v>68</v>
      </c>
      <c r="G3484" t="s">
        <v>36</v>
      </c>
      <c r="H3484">
        <v>1</v>
      </c>
      <c r="I3484" s="2">
        <v>401.97</v>
      </c>
      <c r="J3484" s="2">
        <v>401.97</v>
      </c>
      <c r="K3484" s="2">
        <f t="shared" si="163"/>
        <v>401.97</v>
      </c>
      <c r="L3484" s="2">
        <f t="shared" si="164"/>
        <v>0</v>
      </c>
      <c r="M3484" t="s">
        <v>64</v>
      </c>
      <c r="N3484" t="s">
        <v>32</v>
      </c>
    </row>
    <row r="3485" spans="1:14" x14ac:dyDescent="0.3">
      <c r="A3485">
        <v>2024004483</v>
      </c>
      <c r="B3485" s="1">
        <v>45426</v>
      </c>
      <c r="C3485" s="11">
        <f t="shared" si="162"/>
        <v>2024</v>
      </c>
      <c r="D3485" t="s">
        <v>333</v>
      </c>
      <c r="E3485" t="s">
        <v>40</v>
      </c>
      <c r="F3485" t="s">
        <v>41</v>
      </c>
      <c r="G3485" t="s">
        <v>36</v>
      </c>
      <c r="H3485">
        <v>3</v>
      </c>
      <c r="I3485" s="2">
        <v>47.02</v>
      </c>
      <c r="J3485" s="2">
        <v>141.06</v>
      </c>
      <c r="K3485" s="2">
        <f t="shared" si="163"/>
        <v>141.06</v>
      </c>
      <c r="L3485" s="2">
        <f t="shared" si="164"/>
        <v>0</v>
      </c>
      <c r="M3485" t="s">
        <v>57</v>
      </c>
      <c r="N3485" t="s">
        <v>26</v>
      </c>
    </row>
    <row r="3486" spans="1:14" x14ac:dyDescent="0.3">
      <c r="A3486">
        <v>2024004484</v>
      </c>
      <c r="B3486" s="1">
        <v>45589</v>
      </c>
      <c r="C3486" s="11">
        <f t="shared" si="162"/>
        <v>2024</v>
      </c>
      <c r="D3486" t="s">
        <v>11</v>
      </c>
      <c r="E3486" t="s">
        <v>23</v>
      </c>
      <c r="F3486" t="s">
        <v>24</v>
      </c>
      <c r="G3486" t="s">
        <v>14</v>
      </c>
      <c r="H3486">
        <v>1</v>
      </c>
      <c r="I3486" s="2">
        <v>82.2</v>
      </c>
      <c r="J3486" s="2">
        <v>82.2</v>
      </c>
      <c r="K3486" s="2">
        <f t="shared" si="163"/>
        <v>82.2</v>
      </c>
      <c r="L3486" s="2">
        <f t="shared" si="164"/>
        <v>0</v>
      </c>
      <c r="M3486" t="s">
        <v>15</v>
      </c>
      <c r="N3486" t="s">
        <v>26</v>
      </c>
    </row>
    <row r="3487" spans="1:14" x14ac:dyDescent="0.3">
      <c r="A3487">
        <v>2024004485</v>
      </c>
      <c r="B3487" s="1">
        <v>45338</v>
      </c>
      <c r="C3487" s="11">
        <f t="shared" si="162"/>
        <v>2024</v>
      </c>
      <c r="D3487" t="s">
        <v>151</v>
      </c>
      <c r="E3487" t="s">
        <v>23</v>
      </c>
      <c r="F3487" t="s">
        <v>24</v>
      </c>
      <c r="G3487" t="s">
        <v>14</v>
      </c>
      <c r="H3487">
        <v>1</v>
      </c>
      <c r="I3487" s="2">
        <v>83.03</v>
      </c>
      <c r="J3487" s="2">
        <v>83.03</v>
      </c>
      <c r="K3487" s="2">
        <f t="shared" si="163"/>
        <v>83.03</v>
      </c>
      <c r="L3487" s="2">
        <f t="shared" si="164"/>
        <v>0</v>
      </c>
      <c r="M3487" t="s">
        <v>55</v>
      </c>
      <c r="N3487" t="s">
        <v>16</v>
      </c>
    </row>
    <row r="3488" spans="1:14" x14ac:dyDescent="0.3">
      <c r="A3488">
        <v>2024004486</v>
      </c>
      <c r="B3488" s="1">
        <v>45539</v>
      </c>
      <c r="C3488" s="11">
        <f t="shared" si="162"/>
        <v>2024</v>
      </c>
      <c r="D3488" t="s">
        <v>11</v>
      </c>
      <c r="E3488" t="s">
        <v>43</v>
      </c>
      <c r="F3488" t="s">
        <v>44</v>
      </c>
      <c r="G3488" t="s">
        <v>36</v>
      </c>
      <c r="H3488">
        <v>5</v>
      </c>
      <c r="I3488" s="2">
        <v>1203.93</v>
      </c>
      <c r="J3488" s="2">
        <v>6019.65</v>
      </c>
      <c r="K3488" s="2">
        <f t="shared" si="163"/>
        <v>6019.6500000000005</v>
      </c>
      <c r="L3488" s="2">
        <f t="shared" si="164"/>
        <v>0</v>
      </c>
      <c r="M3488" t="s">
        <v>57</v>
      </c>
      <c r="N3488" t="s">
        <v>16</v>
      </c>
    </row>
    <row r="3489" spans="1:14" x14ac:dyDescent="0.3">
      <c r="A3489">
        <v>2024004487</v>
      </c>
      <c r="B3489" s="1">
        <v>45490</v>
      </c>
      <c r="C3489" s="11">
        <f t="shared" si="162"/>
        <v>2024</v>
      </c>
      <c r="D3489" t="s">
        <v>60</v>
      </c>
      <c r="E3489" t="s">
        <v>23</v>
      </c>
      <c r="F3489" t="s">
        <v>24</v>
      </c>
      <c r="G3489" t="s">
        <v>14</v>
      </c>
      <c r="H3489">
        <v>1</v>
      </c>
      <c r="I3489" s="2">
        <v>83.68</v>
      </c>
      <c r="J3489" s="2">
        <v>83.68</v>
      </c>
      <c r="K3489" s="2">
        <f t="shared" si="163"/>
        <v>83.68</v>
      </c>
      <c r="L3489" s="2">
        <f t="shared" si="164"/>
        <v>0</v>
      </c>
      <c r="M3489" t="s">
        <v>61</v>
      </c>
      <c r="N3489" t="s">
        <v>21</v>
      </c>
    </row>
    <row r="3490" spans="1:14" x14ac:dyDescent="0.3">
      <c r="A3490">
        <v>2024004488</v>
      </c>
      <c r="B3490" s="1">
        <v>45630</v>
      </c>
      <c r="C3490" s="11">
        <f t="shared" si="162"/>
        <v>2024</v>
      </c>
      <c r="D3490" t="s">
        <v>260</v>
      </c>
      <c r="E3490" t="s">
        <v>53</v>
      </c>
      <c r="F3490" t="s">
        <v>54</v>
      </c>
      <c r="G3490" t="s">
        <v>36</v>
      </c>
      <c r="H3490">
        <v>2</v>
      </c>
      <c r="I3490" s="2">
        <v>118.4</v>
      </c>
      <c r="J3490" s="2">
        <v>236.8</v>
      </c>
      <c r="K3490" s="2">
        <f t="shared" si="163"/>
        <v>236.8</v>
      </c>
      <c r="L3490" s="2">
        <f t="shared" si="164"/>
        <v>0</v>
      </c>
      <c r="M3490" t="s">
        <v>57</v>
      </c>
      <c r="N3490" t="s">
        <v>21</v>
      </c>
    </row>
    <row r="3491" spans="1:14" x14ac:dyDescent="0.3">
      <c r="A3491">
        <v>2024004489</v>
      </c>
      <c r="B3491" s="1">
        <v>45653</v>
      </c>
      <c r="C3491" s="11">
        <f t="shared" si="162"/>
        <v>2024</v>
      </c>
      <c r="D3491" t="s">
        <v>225</v>
      </c>
      <c r="E3491" t="s">
        <v>53</v>
      </c>
      <c r="F3491" t="s">
        <v>54</v>
      </c>
      <c r="G3491" t="s">
        <v>36</v>
      </c>
      <c r="H3491">
        <v>1</v>
      </c>
      <c r="I3491" s="2">
        <v>116.55</v>
      </c>
      <c r="J3491" s="2">
        <v>116.55</v>
      </c>
      <c r="K3491" s="2">
        <f t="shared" si="163"/>
        <v>116.55</v>
      </c>
      <c r="L3491" s="2">
        <f t="shared" si="164"/>
        <v>0</v>
      </c>
      <c r="M3491" t="s">
        <v>55</v>
      </c>
      <c r="N3491" t="s">
        <v>21</v>
      </c>
    </row>
    <row r="3492" spans="1:14" x14ac:dyDescent="0.3">
      <c r="A3492">
        <v>2024004490</v>
      </c>
      <c r="B3492" s="1">
        <v>45649</v>
      </c>
      <c r="C3492" s="11">
        <f t="shared" si="162"/>
        <v>2024</v>
      </c>
      <c r="D3492" t="s">
        <v>247</v>
      </c>
      <c r="E3492" t="s">
        <v>18</v>
      </c>
      <c r="F3492" t="s">
        <v>19</v>
      </c>
      <c r="G3492" t="s">
        <v>14</v>
      </c>
      <c r="H3492">
        <v>1</v>
      </c>
      <c r="I3492" s="2">
        <v>609.91</v>
      </c>
      <c r="J3492" s="2">
        <v>609.91</v>
      </c>
      <c r="K3492" s="2">
        <f t="shared" si="163"/>
        <v>609.91</v>
      </c>
      <c r="L3492" s="2">
        <f t="shared" si="164"/>
        <v>0</v>
      </c>
      <c r="M3492" t="s">
        <v>64</v>
      </c>
      <c r="N3492" t="s">
        <v>21</v>
      </c>
    </row>
    <row r="3493" spans="1:14" x14ac:dyDescent="0.3">
      <c r="A3493">
        <v>2024004491</v>
      </c>
      <c r="B3493" s="1">
        <v>45651</v>
      </c>
      <c r="C3493" s="11">
        <f t="shared" si="162"/>
        <v>2024</v>
      </c>
      <c r="D3493" t="s">
        <v>81</v>
      </c>
      <c r="E3493" t="s">
        <v>23</v>
      </c>
      <c r="F3493" t="s">
        <v>24</v>
      </c>
      <c r="G3493" t="s">
        <v>14</v>
      </c>
      <c r="H3493">
        <v>1</v>
      </c>
      <c r="I3493" s="2">
        <v>83.93</v>
      </c>
      <c r="J3493" s="2">
        <v>83.93</v>
      </c>
      <c r="K3493" s="2">
        <f t="shared" si="163"/>
        <v>83.93</v>
      </c>
      <c r="L3493" s="2">
        <f t="shared" si="164"/>
        <v>0</v>
      </c>
      <c r="M3493" t="s">
        <v>64</v>
      </c>
      <c r="N3493" t="s">
        <v>16</v>
      </c>
    </row>
    <row r="3494" spans="1:14" x14ac:dyDescent="0.3">
      <c r="A3494">
        <v>2024004492</v>
      </c>
      <c r="B3494" s="1">
        <v>45630</v>
      </c>
      <c r="C3494" s="11">
        <f t="shared" si="162"/>
        <v>2024</v>
      </c>
      <c r="D3494" t="s">
        <v>297</v>
      </c>
      <c r="E3494" t="s">
        <v>18</v>
      </c>
      <c r="F3494" t="s">
        <v>19</v>
      </c>
      <c r="G3494" t="s">
        <v>14</v>
      </c>
      <c r="H3494">
        <v>1</v>
      </c>
      <c r="I3494" s="2">
        <v>615.52</v>
      </c>
      <c r="J3494" s="2">
        <v>615.52</v>
      </c>
      <c r="K3494" s="2">
        <f t="shared" si="163"/>
        <v>615.52</v>
      </c>
      <c r="L3494" s="2">
        <f t="shared" si="164"/>
        <v>0</v>
      </c>
      <c r="M3494" t="s">
        <v>57</v>
      </c>
      <c r="N3494" t="s">
        <v>16</v>
      </c>
    </row>
    <row r="3495" spans="1:14" x14ac:dyDescent="0.3">
      <c r="A3495">
        <v>2024004493</v>
      </c>
      <c r="B3495" s="1">
        <v>45302</v>
      </c>
      <c r="C3495" s="11">
        <f t="shared" si="162"/>
        <v>2024</v>
      </c>
      <c r="D3495" t="s">
        <v>247</v>
      </c>
      <c r="E3495" t="s">
        <v>67</v>
      </c>
      <c r="F3495" t="s">
        <v>68</v>
      </c>
      <c r="G3495" t="s">
        <v>36</v>
      </c>
      <c r="H3495">
        <v>2</v>
      </c>
      <c r="I3495" s="2">
        <v>412.58</v>
      </c>
      <c r="J3495" s="2">
        <v>825.16</v>
      </c>
      <c r="K3495" s="2">
        <f t="shared" si="163"/>
        <v>825.16</v>
      </c>
      <c r="L3495" s="2">
        <f t="shared" si="164"/>
        <v>0</v>
      </c>
      <c r="M3495" t="s">
        <v>38</v>
      </c>
      <c r="N3495" t="s">
        <v>21</v>
      </c>
    </row>
    <row r="3496" spans="1:14" x14ac:dyDescent="0.3">
      <c r="A3496">
        <v>2024004494</v>
      </c>
      <c r="B3496" s="1">
        <v>45495</v>
      </c>
      <c r="C3496" s="11">
        <f t="shared" si="162"/>
        <v>2024</v>
      </c>
      <c r="D3496" t="s">
        <v>11</v>
      </c>
      <c r="E3496" t="s">
        <v>28</v>
      </c>
      <c r="F3496" t="s">
        <v>29</v>
      </c>
      <c r="G3496" t="s">
        <v>30</v>
      </c>
      <c r="H3496">
        <v>1</v>
      </c>
      <c r="I3496" s="2">
        <v>25.66</v>
      </c>
      <c r="J3496" s="2">
        <v>25.66</v>
      </c>
      <c r="K3496" s="2">
        <f t="shared" si="163"/>
        <v>25.66</v>
      </c>
      <c r="L3496" s="2">
        <f t="shared" si="164"/>
        <v>0</v>
      </c>
      <c r="M3496" t="s">
        <v>55</v>
      </c>
      <c r="N3496" t="s">
        <v>32</v>
      </c>
    </row>
    <row r="3497" spans="1:14" x14ac:dyDescent="0.3">
      <c r="A3497">
        <v>2024004495</v>
      </c>
      <c r="B3497" s="1">
        <v>45554</v>
      </c>
      <c r="C3497" s="11">
        <f t="shared" si="162"/>
        <v>2024</v>
      </c>
      <c r="D3497" t="s">
        <v>182</v>
      </c>
      <c r="E3497" t="s">
        <v>18</v>
      </c>
      <c r="F3497" t="s">
        <v>19</v>
      </c>
      <c r="G3497" t="s">
        <v>14</v>
      </c>
      <c r="H3497">
        <v>1</v>
      </c>
      <c r="I3497" s="2">
        <v>569.95000000000005</v>
      </c>
      <c r="J3497" s="2">
        <v>569.95000000000005</v>
      </c>
      <c r="K3497" s="2">
        <f t="shared" si="163"/>
        <v>569.95000000000005</v>
      </c>
      <c r="L3497" s="2">
        <f t="shared" si="164"/>
        <v>0</v>
      </c>
      <c r="M3497" t="s">
        <v>64</v>
      </c>
      <c r="N3497" t="s">
        <v>26</v>
      </c>
    </row>
    <row r="3498" spans="1:14" x14ac:dyDescent="0.3">
      <c r="A3498">
        <v>2024004496</v>
      </c>
      <c r="B3498" s="1">
        <v>45380</v>
      </c>
      <c r="C3498" s="11">
        <f t="shared" si="162"/>
        <v>2024</v>
      </c>
      <c r="D3498" t="s">
        <v>107</v>
      </c>
      <c r="E3498" t="s">
        <v>67</v>
      </c>
      <c r="F3498" t="s">
        <v>68</v>
      </c>
      <c r="G3498" t="s">
        <v>36</v>
      </c>
      <c r="H3498">
        <v>3</v>
      </c>
      <c r="I3498" s="2">
        <v>386.23</v>
      </c>
      <c r="J3498" s="2">
        <v>1158.69</v>
      </c>
      <c r="K3498" s="2">
        <f t="shared" si="163"/>
        <v>1158.69</v>
      </c>
      <c r="L3498" s="2">
        <f t="shared" si="164"/>
        <v>0</v>
      </c>
      <c r="M3498" t="s">
        <v>48</v>
      </c>
      <c r="N3498" t="s">
        <v>26</v>
      </c>
    </row>
    <row r="3499" spans="1:14" x14ac:dyDescent="0.3">
      <c r="A3499">
        <v>2024004497</v>
      </c>
      <c r="B3499" s="1">
        <v>45416</v>
      </c>
      <c r="C3499" s="11">
        <f t="shared" si="162"/>
        <v>2024</v>
      </c>
      <c r="D3499" t="s">
        <v>347</v>
      </c>
      <c r="E3499" t="s">
        <v>18</v>
      </c>
      <c r="F3499" t="s">
        <v>19</v>
      </c>
      <c r="G3499" t="s">
        <v>14</v>
      </c>
      <c r="H3499">
        <v>1</v>
      </c>
      <c r="I3499" s="2">
        <v>542.47</v>
      </c>
      <c r="J3499" s="2">
        <v>542.47</v>
      </c>
      <c r="K3499" s="2">
        <f t="shared" si="163"/>
        <v>542.47</v>
      </c>
      <c r="L3499" s="2">
        <f t="shared" si="164"/>
        <v>0</v>
      </c>
      <c r="M3499" t="s">
        <v>55</v>
      </c>
      <c r="N3499" t="s">
        <v>16</v>
      </c>
    </row>
    <row r="3500" spans="1:14" x14ac:dyDescent="0.3">
      <c r="A3500">
        <v>2024004498</v>
      </c>
      <c r="B3500" s="1">
        <v>45297</v>
      </c>
      <c r="C3500" s="11">
        <f t="shared" si="162"/>
        <v>2024</v>
      </c>
      <c r="D3500" t="s">
        <v>256</v>
      </c>
      <c r="E3500" t="s">
        <v>53</v>
      </c>
      <c r="F3500" t="s">
        <v>54</v>
      </c>
      <c r="G3500" t="s">
        <v>36</v>
      </c>
      <c r="H3500">
        <v>1</v>
      </c>
      <c r="I3500" s="2">
        <v>121.39</v>
      </c>
      <c r="J3500" s="2">
        <v>121.39</v>
      </c>
      <c r="K3500" s="2">
        <f t="shared" si="163"/>
        <v>121.39</v>
      </c>
      <c r="L3500" s="2">
        <f t="shared" si="164"/>
        <v>0</v>
      </c>
      <c r="M3500" t="s">
        <v>48</v>
      </c>
      <c r="N3500" t="s">
        <v>21</v>
      </c>
    </row>
    <row r="3501" spans="1:14" x14ac:dyDescent="0.3">
      <c r="A3501">
        <v>2024004499</v>
      </c>
      <c r="B3501" s="1">
        <v>45616</v>
      </c>
      <c r="C3501" s="11">
        <f t="shared" si="162"/>
        <v>2024</v>
      </c>
      <c r="D3501" t="s">
        <v>100</v>
      </c>
      <c r="E3501" t="s">
        <v>23</v>
      </c>
      <c r="F3501" t="s">
        <v>24</v>
      </c>
      <c r="G3501" t="s">
        <v>14</v>
      </c>
      <c r="H3501">
        <v>2</v>
      </c>
      <c r="I3501" s="2">
        <v>76.31</v>
      </c>
      <c r="J3501" s="2">
        <v>152.62</v>
      </c>
      <c r="K3501" s="2">
        <f t="shared" si="163"/>
        <v>152.62</v>
      </c>
      <c r="L3501" s="2">
        <f t="shared" si="164"/>
        <v>0</v>
      </c>
      <c r="M3501" t="s">
        <v>31</v>
      </c>
      <c r="N3501" t="s">
        <v>16</v>
      </c>
    </row>
    <row r="3502" spans="1:14" x14ac:dyDescent="0.3">
      <c r="A3502">
        <v>2024004500</v>
      </c>
      <c r="B3502" s="1">
        <v>45365</v>
      </c>
      <c r="C3502" s="11">
        <f t="shared" si="162"/>
        <v>2024</v>
      </c>
      <c r="D3502" t="s">
        <v>33</v>
      </c>
      <c r="E3502" t="s">
        <v>18</v>
      </c>
      <c r="F3502" t="s">
        <v>19</v>
      </c>
      <c r="G3502" t="s">
        <v>14</v>
      </c>
      <c r="H3502">
        <v>1</v>
      </c>
      <c r="I3502" s="2">
        <v>633.85</v>
      </c>
      <c r="J3502" s="2">
        <v>633.85</v>
      </c>
      <c r="K3502" s="2">
        <f t="shared" si="163"/>
        <v>633.85</v>
      </c>
      <c r="L3502" s="2">
        <f t="shared" si="164"/>
        <v>0</v>
      </c>
      <c r="M3502" t="s">
        <v>25</v>
      </c>
      <c r="N3502" t="s">
        <v>16</v>
      </c>
    </row>
    <row r="3503" spans="1:14" x14ac:dyDescent="0.3">
      <c r="A3503">
        <v>2024004501</v>
      </c>
      <c r="B3503" s="1">
        <v>45468</v>
      </c>
      <c r="C3503" s="11">
        <f t="shared" si="162"/>
        <v>2024</v>
      </c>
      <c r="D3503" t="s">
        <v>11</v>
      </c>
      <c r="E3503" t="s">
        <v>40</v>
      </c>
      <c r="F3503" t="s">
        <v>41</v>
      </c>
      <c r="G3503" t="s">
        <v>36</v>
      </c>
      <c r="H3503">
        <v>1</v>
      </c>
      <c r="I3503" s="2">
        <v>48.66</v>
      </c>
      <c r="J3503" s="2">
        <v>48.66</v>
      </c>
      <c r="K3503" s="2">
        <f t="shared" si="163"/>
        <v>48.66</v>
      </c>
      <c r="L3503" s="2">
        <f t="shared" si="164"/>
        <v>0</v>
      </c>
      <c r="M3503" t="s">
        <v>48</v>
      </c>
      <c r="N3503" t="s">
        <v>26</v>
      </c>
    </row>
    <row r="3504" spans="1:14" x14ac:dyDescent="0.3">
      <c r="A3504">
        <v>2024004502</v>
      </c>
      <c r="B3504" s="1">
        <v>45440</v>
      </c>
      <c r="C3504" s="11">
        <f t="shared" si="162"/>
        <v>2024</v>
      </c>
      <c r="D3504" t="s">
        <v>244</v>
      </c>
      <c r="E3504" t="s">
        <v>12</v>
      </c>
      <c r="F3504" t="s">
        <v>13</v>
      </c>
      <c r="G3504" t="s">
        <v>14</v>
      </c>
      <c r="H3504">
        <v>3</v>
      </c>
      <c r="I3504" s="2">
        <v>361.46</v>
      </c>
      <c r="J3504" s="2">
        <v>1084.3800000000001</v>
      </c>
      <c r="K3504" s="2">
        <f t="shared" si="163"/>
        <v>1084.3799999999999</v>
      </c>
      <c r="L3504" s="2">
        <f t="shared" si="164"/>
        <v>0</v>
      </c>
      <c r="M3504" t="s">
        <v>20</v>
      </c>
      <c r="N3504" t="s">
        <v>16</v>
      </c>
    </row>
    <row r="3505" spans="1:14" x14ac:dyDescent="0.3">
      <c r="A3505">
        <v>2024004503</v>
      </c>
      <c r="B3505" s="1">
        <v>45631</v>
      </c>
      <c r="C3505" s="11">
        <f t="shared" si="162"/>
        <v>2024</v>
      </c>
      <c r="D3505" t="s">
        <v>274</v>
      </c>
      <c r="E3505" t="s">
        <v>53</v>
      </c>
      <c r="F3505" t="s">
        <v>54</v>
      </c>
      <c r="G3505" t="s">
        <v>36</v>
      </c>
      <c r="H3505">
        <v>2</v>
      </c>
      <c r="I3505" s="2">
        <v>123.39</v>
      </c>
      <c r="J3505" s="2">
        <v>246.78</v>
      </c>
      <c r="K3505" s="2">
        <f t="shared" si="163"/>
        <v>246.78</v>
      </c>
      <c r="L3505" s="2">
        <f t="shared" si="164"/>
        <v>0</v>
      </c>
      <c r="M3505" t="s">
        <v>64</v>
      </c>
      <c r="N3505" t="s">
        <v>21</v>
      </c>
    </row>
    <row r="3506" spans="1:14" x14ac:dyDescent="0.3">
      <c r="A3506">
        <v>2024004504</v>
      </c>
      <c r="B3506" s="1">
        <v>45562</v>
      </c>
      <c r="C3506" s="11">
        <f t="shared" si="162"/>
        <v>2024</v>
      </c>
      <c r="D3506" t="s">
        <v>106</v>
      </c>
      <c r="E3506" t="s">
        <v>18</v>
      </c>
      <c r="F3506" t="s">
        <v>19</v>
      </c>
      <c r="G3506" t="s">
        <v>14</v>
      </c>
      <c r="H3506">
        <v>5</v>
      </c>
      <c r="I3506" s="2">
        <v>589.23</v>
      </c>
      <c r="J3506" s="2">
        <v>2946.15</v>
      </c>
      <c r="K3506" s="2">
        <f t="shared" si="163"/>
        <v>2946.15</v>
      </c>
      <c r="L3506" s="2">
        <f t="shared" si="164"/>
        <v>0</v>
      </c>
      <c r="M3506" t="s">
        <v>31</v>
      </c>
      <c r="N3506" t="s">
        <v>32</v>
      </c>
    </row>
    <row r="3507" spans="1:14" x14ac:dyDescent="0.3">
      <c r="A3507">
        <v>2024004505</v>
      </c>
      <c r="B3507" s="1">
        <v>45436</v>
      </c>
      <c r="C3507" s="11">
        <f t="shared" si="162"/>
        <v>2024</v>
      </c>
      <c r="D3507" t="s">
        <v>11</v>
      </c>
      <c r="E3507" t="s">
        <v>12</v>
      </c>
      <c r="F3507" t="s">
        <v>13</v>
      </c>
      <c r="G3507" t="s">
        <v>14</v>
      </c>
      <c r="H3507">
        <v>1</v>
      </c>
      <c r="I3507" s="2">
        <v>391.02</v>
      </c>
      <c r="J3507" s="2">
        <v>391.02</v>
      </c>
      <c r="K3507" s="2">
        <f t="shared" si="163"/>
        <v>391.02</v>
      </c>
      <c r="L3507" s="2">
        <f t="shared" si="164"/>
        <v>0</v>
      </c>
      <c r="M3507" t="s">
        <v>15</v>
      </c>
      <c r="N3507" t="s">
        <v>32</v>
      </c>
    </row>
    <row r="3508" spans="1:14" x14ac:dyDescent="0.3">
      <c r="A3508">
        <v>2024004506</v>
      </c>
      <c r="B3508" s="1">
        <v>45607</v>
      </c>
      <c r="C3508" s="11">
        <f t="shared" si="162"/>
        <v>2024</v>
      </c>
      <c r="D3508" t="s">
        <v>141</v>
      </c>
      <c r="E3508" t="s">
        <v>67</v>
      </c>
      <c r="F3508" t="s">
        <v>68</v>
      </c>
      <c r="G3508" t="s">
        <v>36</v>
      </c>
      <c r="H3508">
        <v>3</v>
      </c>
      <c r="I3508" s="2">
        <v>385.43</v>
      </c>
      <c r="J3508" s="2">
        <v>1156.29</v>
      </c>
      <c r="K3508" s="2">
        <f t="shared" si="163"/>
        <v>1156.29</v>
      </c>
      <c r="L3508" s="2">
        <f t="shared" si="164"/>
        <v>0</v>
      </c>
      <c r="M3508" t="s">
        <v>64</v>
      </c>
      <c r="N3508" t="s">
        <v>21</v>
      </c>
    </row>
    <row r="3509" spans="1:14" x14ac:dyDescent="0.3">
      <c r="A3509">
        <v>2024004507</v>
      </c>
      <c r="B3509" s="1">
        <v>45609</v>
      </c>
      <c r="C3509" s="11">
        <f t="shared" si="162"/>
        <v>2024</v>
      </c>
      <c r="D3509" t="s">
        <v>177</v>
      </c>
      <c r="E3509" t="s">
        <v>67</v>
      </c>
      <c r="F3509" t="s">
        <v>68</v>
      </c>
      <c r="G3509" t="s">
        <v>36</v>
      </c>
      <c r="H3509">
        <v>1</v>
      </c>
      <c r="I3509" s="2">
        <v>407.81</v>
      </c>
      <c r="J3509" s="2">
        <v>407.81</v>
      </c>
      <c r="K3509" s="2">
        <f t="shared" si="163"/>
        <v>407.81</v>
      </c>
      <c r="L3509" s="2">
        <f t="shared" si="164"/>
        <v>0</v>
      </c>
      <c r="M3509" t="s">
        <v>38</v>
      </c>
      <c r="N3509" t="s">
        <v>26</v>
      </c>
    </row>
    <row r="3510" spans="1:14" x14ac:dyDescent="0.3">
      <c r="A3510">
        <v>2024004508</v>
      </c>
      <c r="B3510" s="1">
        <v>45529</v>
      </c>
      <c r="C3510" s="11">
        <f t="shared" si="162"/>
        <v>2024</v>
      </c>
      <c r="D3510" t="s">
        <v>76</v>
      </c>
      <c r="E3510" t="s">
        <v>43</v>
      </c>
      <c r="F3510" t="s">
        <v>44</v>
      </c>
      <c r="G3510" t="s">
        <v>36</v>
      </c>
      <c r="H3510">
        <v>2</v>
      </c>
      <c r="I3510" s="2">
        <v>1237.98</v>
      </c>
      <c r="J3510" s="2">
        <v>2475.96</v>
      </c>
      <c r="K3510" s="2">
        <f t="shared" si="163"/>
        <v>2475.96</v>
      </c>
      <c r="L3510" s="2">
        <f t="shared" si="164"/>
        <v>0</v>
      </c>
      <c r="M3510" t="s">
        <v>55</v>
      </c>
      <c r="N3510" t="s">
        <v>26</v>
      </c>
    </row>
    <row r="3511" spans="1:14" x14ac:dyDescent="0.3">
      <c r="A3511">
        <v>2024004509</v>
      </c>
      <c r="B3511" s="1">
        <v>45387</v>
      </c>
      <c r="C3511" s="11">
        <f t="shared" si="162"/>
        <v>2024</v>
      </c>
      <c r="D3511" t="s">
        <v>279</v>
      </c>
      <c r="E3511" t="s">
        <v>40</v>
      </c>
      <c r="F3511" t="s">
        <v>41</v>
      </c>
      <c r="G3511" t="s">
        <v>36</v>
      </c>
      <c r="H3511">
        <v>1</v>
      </c>
      <c r="I3511" s="2">
        <v>42.35</v>
      </c>
      <c r="J3511" s="2">
        <v>42.35</v>
      </c>
      <c r="K3511" s="2">
        <f t="shared" si="163"/>
        <v>42.35</v>
      </c>
      <c r="L3511" s="2">
        <f t="shared" si="164"/>
        <v>0</v>
      </c>
      <c r="M3511" t="s">
        <v>57</v>
      </c>
      <c r="N3511" t="s">
        <v>21</v>
      </c>
    </row>
    <row r="3512" spans="1:14" x14ac:dyDescent="0.3">
      <c r="A3512">
        <v>2024004510</v>
      </c>
      <c r="B3512" s="1">
        <v>45591</v>
      </c>
      <c r="C3512" s="11">
        <f t="shared" si="162"/>
        <v>2024</v>
      </c>
      <c r="D3512" t="s">
        <v>198</v>
      </c>
      <c r="E3512" t="s">
        <v>28</v>
      </c>
      <c r="F3512" t="s">
        <v>29</v>
      </c>
      <c r="G3512" t="s">
        <v>30</v>
      </c>
      <c r="H3512">
        <v>1</v>
      </c>
      <c r="I3512" s="2">
        <v>25.56</v>
      </c>
      <c r="J3512" s="2">
        <v>25.56</v>
      </c>
      <c r="K3512" s="2">
        <f t="shared" si="163"/>
        <v>25.56</v>
      </c>
      <c r="L3512" s="2">
        <f t="shared" si="164"/>
        <v>0</v>
      </c>
      <c r="M3512" t="s">
        <v>15</v>
      </c>
      <c r="N3512" t="s">
        <v>16</v>
      </c>
    </row>
    <row r="3513" spans="1:14" x14ac:dyDescent="0.3">
      <c r="A3513">
        <v>2024004511</v>
      </c>
      <c r="B3513" s="1">
        <v>45636</v>
      </c>
      <c r="C3513" s="11">
        <f t="shared" si="162"/>
        <v>2024</v>
      </c>
      <c r="D3513" t="s">
        <v>127</v>
      </c>
      <c r="E3513" t="s">
        <v>43</v>
      </c>
      <c r="F3513" t="s">
        <v>44</v>
      </c>
      <c r="G3513" t="s">
        <v>36</v>
      </c>
      <c r="H3513">
        <v>1</v>
      </c>
      <c r="I3513" s="2">
        <v>1157.3599999999999</v>
      </c>
      <c r="J3513" s="2">
        <v>1157.3599999999999</v>
      </c>
      <c r="K3513" s="2">
        <f t="shared" si="163"/>
        <v>1157.3599999999999</v>
      </c>
      <c r="L3513" s="2">
        <f t="shared" si="164"/>
        <v>0</v>
      </c>
      <c r="M3513" t="s">
        <v>57</v>
      </c>
      <c r="N3513" t="s">
        <v>21</v>
      </c>
    </row>
    <row r="3514" spans="1:14" x14ac:dyDescent="0.3">
      <c r="A3514">
        <v>2024004512</v>
      </c>
      <c r="B3514" s="1">
        <v>45525</v>
      </c>
      <c r="C3514" s="11">
        <f t="shared" si="162"/>
        <v>2024</v>
      </c>
      <c r="D3514" t="s">
        <v>253</v>
      </c>
      <c r="E3514" t="s">
        <v>12</v>
      </c>
      <c r="F3514" t="s">
        <v>13</v>
      </c>
      <c r="G3514" t="s">
        <v>14</v>
      </c>
      <c r="H3514">
        <v>1</v>
      </c>
      <c r="I3514" s="2">
        <v>325.41000000000003</v>
      </c>
      <c r="J3514" s="2">
        <v>325.41000000000003</v>
      </c>
      <c r="K3514" s="2">
        <f t="shared" si="163"/>
        <v>325.41000000000003</v>
      </c>
      <c r="L3514" s="2">
        <f t="shared" si="164"/>
        <v>0</v>
      </c>
      <c r="M3514" t="s">
        <v>64</v>
      </c>
      <c r="N3514" t="s">
        <v>16</v>
      </c>
    </row>
    <row r="3515" spans="1:14" x14ac:dyDescent="0.3">
      <c r="A3515">
        <v>2024004513</v>
      </c>
      <c r="B3515" s="1">
        <v>45364</v>
      </c>
      <c r="C3515" s="11">
        <f t="shared" si="162"/>
        <v>2024</v>
      </c>
      <c r="D3515" t="s">
        <v>257</v>
      </c>
      <c r="E3515" t="s">
        <v>12</v>
      </c>
      <c r="F3515" t="s">
        <v>13</v>
      </c>
      <c r="G3515" t="s">
        <v>14</v>
      </c>
      <c r="H3515">
        <v>1</v>
      </c>
      <c r="I3515" s="2">
        <v>359.15</v>
      </c>
      <c r="J3515" s="2">
        <v>359.15</v>
      </c>
      <c r="K3515" s="2">
        <f t="shared" si="163"/>
        <v>359.15</v>
      </c>
      <c r="L3515" s="2">
        <f t="shared" si="164"/>
        <v>0</v>
      </c>
      <c r="M3515" t="s">
        <v>38</v>
      </c>
      <c r="N3515" t="s">
        <v>16</v>
      </c>
    </row>
    <row r="3516" spans="1:14" x14ac:dyDescent="0.3">
      <c r="A3516">
        <v>2024004514</v>
      </c>
      <c r="B3516" s="1">
        <v>45587</v>
      </c>
      <c r="C3516" s="11">
        <f t="shared" si="162"/>
        <v>2024</v>
      </c>
      <c r="D3516" t="s">
        <v>11</v>
      </c>
      <c r="E3516" t="s">
        <v>18</v>
      </c>
      <c r="F3516" t="s">
        <v>19</v>
      </c>
      <c r="G3516" t="s">
        <v>14</v>
      </c>
      <c r="H3516">
        <v>1</v>
      </c>
      <c r="I3516" s="2">
        <v>595.85</v>
      </c>
      <c r="J3516" s="2">
        <v>595.85</v>
      </c>
      <c r="K3516" s="2">
        <f t="shared" si="163"/>
        <v>595.85</v>
      </c>
      <c r="L3516" s="2">
        <f t="shared" si="164"/>
        <v>0</v>
      </c>
      <c r="M3516" t="s">
        <v>57</v>
      </c>
      <c r="N3516" t="s">
        <v>21</v>
      </c>
    </row>
    <row r="3517" spans="1:14" x14ac:dyDescent="0.3">
      <c r="A3517">
        <v>2024004515</v>
      </c>
      <c r="B3517" s="1">
        <v>45553</v>
      </c>
      <c r="C3517" s="11">
        <f t="shared" si="162"/>
        <v>2024</v>
      </c>
      <c r="D3517" t="s">
        <v>325</v>
      </c>
      <c r="E3517" t="s">
        <v>43</v>
      </c>
      <c r="F3517" t="s">
        <v>44</v>
      </c>
      <c r="G3517" t="s">
        <v>36</v>
      </c>
      <c r="H3517">
        <v>1</v>
      </c>
      <c r="I3517" s="2">
        <v>1200.2</v>
      </c>
      <c r="J3517" s="2">
        <v>1200.2</v>
      </c>
      <c r="K3517" s="2">
        <f t="shared" si="163"/>
        <v>1200.2</v>
      </c>
      <c r="L3517" s="2">
        <f t="shared" si="164"/>
        <v>0</v>
      </c>
      <c r="M3517" t="s">
        <v>31</v>
      </c>
      <c r="N3517" t="s">
        <v>26</v>
      </c>
    </row>
    <row r="3518" spans="1:14" x14ac:dyDescent="0.3">
      <c r="A3518">
        <v>2024004516</v>
      </c>
      <c r="B3518" s="1">
        <v>45477</v>
      </c>
      <c r="C3518" s="11">
        <f t="shared" si="162"/>
        <v>2024</v>
      </c>
      <c r="D3518" t="s">
        <v>179</v>
      </c>
      <c r="E3518" t="s">
        <v>53</v>
      </c>
      <c r="F3518" t="s">
        <v>54</v>
      </c>
      <c r="G3518" t="s">
        <v>36</v>
      </c>
      <c r="H3518">
        <v>2</v>
      </c>
      <c r="I3518" s="2">
        <v>126.55</v>
      </c>
      <c r="J3518" s="2">
        <v>253.1</v>
      </c>
      <c r="K3518" s="2">
        <f t="shared" si="163"/>
        <v>253.1</v>
      </c>
      <c r="L3518" s="2">
        <f t="shared" si="164"/>
        <v>0</v>
      </c>
      <c r="M3518" t="s">
        <v>61</v>
      </c>
      <c r="N3518" t="s">
        <v>16</v>
      </c>
    </row>
    <row r="3519" spans="1:14" x14ac:dyDescent="0.3">
      <c r="A3519">
        <v>2024004517</v>
      </c>
      <c r="B3519" s="1">
        <v>45386</v>
      </c>
      <c r="C3519" s="11">
        <f t="shared" si="162"/>
        <v>2024</v>
      </c>
      <c r="D3519" t="s">
        <v>287</v>
      </c>
      <c r="E3519" t="s">
        <v>40</v>
      </c>
      <c r="F3519" t="s">
        <v>41</v>
      </c>
      <c r="G3519" t="s">
        <v>36</v>
      </c>
      <c r="H3519">
        <v>4</v>
      </c>
      <c r="I3519" s="2">
        <v>45.56</v>
      </c>
      <c r="J3519" s="2">
        <v>182.24</v>
      </c>
      <c r="K3519" s="2">
        <f t="shared" si="163"/>
        <v>182.24</v>
      </c>
      <c r="L3519" s="2">
        <f t="shared" si="164"/>
        <v>0</v>
      </c>
      <c r="M3519" t="s">
        <v>38</v>
      </c>
      <c r="N3519" t="s">
        <v>32</v>
      </c>
    </row>
    <row r="3520" spans="1:14" x14ac:dyDescent="0.3">
      <c r="A3520">
        <v>2024004518</v>
      </c>
      <c r="B3520" s="1">
        <v>45343</v>
      </c>
      <c r="C3520" s="11">
        <f t="shared" si="162"/>
        <v>2024</v>
      </c>
      <c r="D3520" t="s">
        <v>340</v>
      </c>
      <c r="E3520" t="s">
        <v>46</v>
      </c>
      <c r="F3520" t="s">
        <v>47</v>
      </c>
      <c r="G3520" t="s">
        <v>36</v>
      </c>
      <c r="H3520">
        <v>1</v>
      </c>
      <c r="I3520" s="2">
        <v>94.37</v>
      </c>
      <c r="J3520" s="2">
        <v>94.37</v>
      </c>
      <c r="K3520" s="2">
        <f t="shared" si="163"/>
        <v>94.37</v>
      </c>
      <c r="L3520" s="2">
        <f t="shared" si="164"/>
        <v>0</v>
      </c>
      <c r="M3520" t="s">
        <v>25</v>
      </c>
      <c r="N3520" t="s">
        <v>21</v>
      </c>
    </row>
    <row r="3521" spans="1:14" x14ac:dyDescent="0.3">
      <c r="A3521">
        <v>2024004519</v>
      </c>
      <c r="B3521" s="1">
        <v>45547</v>
      </c>
      <c r="C3521" s="11">
        <f t="shared" si="162"/>
        <v>2024</v>
      </c>
      <c r="D3521" t="s">
        <v>301</v>
      </c>
      <c r="E3521" t="s">
        <v>12</v>
      </c>
      <c r="F3521" t="s">
        <v>13</v>
      </c>
      <c r="G3521" t="s">
        <v>14</v>
      </c>
      <c r="H3521">
        <v>1</v>
      </c>
      <c r="I3521" s="2">
        <v>357.34</v>
      </c>
      <c r="J3521" s="2">
        <v>357.34</v>
      </c>
      <c r="K3521" s="2">
        <f t="shared" si="163"/>
        <v>357.34</v>
      </c>
      <c r="L3521" s="2">
        <f t="shared" si="164"/>
        <v>0</v>
      </c>
      <c r="M3521" t="s">
        <v>38</v>
      </c>
      <c r="N3521" t="s">
        <v>32</v>
      </c>
    </row>
    <row r="3522" spans="1:14" x14ac:dyDescent="0.3">
      <c r="A3522">
        <v>2024004520</v>
      </c>
      <c r="B3522" s="1">
        <v>45561</v>
      </c>
      <c r="C3522" s="11">
        <f t="shared" si="162"/>
        <v>2024</v>
      </c>
      <c r="D3522" t="s">
        <v>336</v>
      </c>
      <c r="E3522" t="s">
        <v>12</v>
      </c>
      <c r="F3522" t="s">
        <v>13</v>
      </c>
      <c r="G3522" t="s">
        <v>14</v>
      </c>
      <c r="H3522">
        <v>3</v>
      </c>
      <c r="I3522" s="2">
        <v>378.23</v>
      </c>
      <c r="J3522" s="2">
        <v>1134.69</v>
      </c>
      <c r="K3522" s="2">
        <f t="shared" si="163"/>
        <v>1134.69</v>
      </c>
      <c r="L3522" s="2">
        <f t="shared" si="164"/>
        <v>0</v>
      </c>
      <c r="M3522" t="s">
        <v>31</v>
      </c>
      <c r="N3522" t="s">
        <v>26</v>
      </c>
    </row>
    <row r="3523" spans="1:14" x14ac:dyDescent="0.3">
      <c r="A3523">
        <v>2024004521</v>
      </c>
      <c r="B3523" s="1">
        <v>45402</v>
      </c>
      <c r="C3523" s="11">
        <f t="shared" ref="C3523:C3586" si="165">YEAR(B3523)</f>
        <v>2024</v>
      </c>
      <c r="D3523" t="s">
        <v>11</v>
      </c>
      <c r="E3523" t="s">
        <v>23</v>
      </c>
      <c r="F3523" t="s">
        <v>24</v>
      </c>
      <c r="G3523" t="s">
        <v>14</v>
      </c>
      <c r="H3523">
        <v>3</v>
      </c>
      <c r="I3523" s="2">
        <v>79.650000000000006</v>
      </c>
      <c r="J3523" s="2">
        <v>238.95</v>
      </c>
      <c r="K3523" s="2">
        <f t="shared" ref="K3523:K3586" si="166">I3523*H3523</f>
        <v>238.95000000000002</v>
      </c>
      <c r="L3523" s="2">
        <f t="shared" ref="L3523:L3586" si="167">J3523-K3523</f>
        <v>0</v>
      </c>
      <c r="M3523" t="s">
        <v>31</v>
      </c>
      <c r="N3523" t="s">
        <v>32</v>
      </c>
    </row>
    <row r="3524" spans="1:14" x14ac:dyDescent="0.3">
      <c r="A3524">
        <v>2024004522</v>
      </c>
      <c r="B3524" s="1">
        <v>45528</v>
      </c>
      <c r="C3524" s="11">
        <f t="shared" si="165"/>
        <v>2024</v>
      </c>
      <c r="D3524" t="s">
        <v>11</v>
      </c>
      <c r="E3524" t="s">
        <v>28</v>
      </c>
      <c r="F3524" t="s">
        <v>29</v>
      </c>
      <c r="G3524" t="s">
        <v>30</v>
      </c>
      <c r="H3524">
        <v>2</v>
      </c>
      <c r="I3524" s="2">
        <v>23.22</v>
      </c>
      <c r="J3524" s="2">
        <v>46.44</v>
      </c>
      <c r="K3524" s="2">
        <f t="shared" si="166"/>
        <v>46.44</v>
      </c>
      <c r="L3524" s="2">
        <f t="shared" si="167"/>
        <v>0</v>
      </c>
      <c r="M3524" t="s">
        <v>38</v>
      </c>
      <c r="N3524" t="s">
        <v>32</v>
      </c>
    </row>
    <row r="3525" spans="1:14" x14ac:dyDescent="0.3">
      <c r="A3525">
        <v>2024004523</v>
      </c>
      <c r="B3525" s="1">
        <v>45315</v>
      </c>
      <c r="C3525" s="11">
        <f t="shared" si="165"/>
        <v>2024</v>
      </c>
      <c r="D3525" t="s">
        <v>85</v>
      </c>
      <c r="E3525" t="s">
        <v>23</v>
      </c>
      <c r="F3525" t="s">
        <v>24</v>
      </c>
      <c r="G3525" t="s">
        <v>14</v>
      </c>
      <c r="H3525">
        <v>3</v>
      </c>
      <c r="I3525" s="2">
        <v>78.290000000000006</v>
      </c>
      <c r="J3525" s="2">
        <v>234.87</v>
      </c>
      <c r="K3525" s="2">
        <f t="shared" si="166"/>
        <v>234.87</v>
      </c>
      <c r="L3525" s="2">
        <f t="shared" si="167"/>
        <v>0</v>
      </c>
      <c r="M3525" t="s">
        <v>15</v>
      </c>
      <c r="N3525" t="s">
        <v>21</v>
      </c>
    </row>
    <row r="3526" spans="1:14" x14ac:dyDescent="0.3">
      <c r="A3526">
        <v>2024004524</v>
      </c>
      <c r="B3526" s="1">
        <v>45536</v>
      </c>
      <c r="C3526" s="11">
        <f t="shared" si="165"/>
        <v>2024</v>
      </c>
      <c r="D3526" t="s">
        <v>11</v>
      </c>
      <c r="E3526" t="s">
        <v>40</v>
      </c>
      <c r="F3526" t="s">
        <v>41</v>
      </c>
      <c r="G3526" t="s">
        <v>36</v>
      </c>
      <c r="H3526">
        <v>1</v>
      </c>
      <c r="I3526" s="2">
        <v>45.88</v>
      </c>
      <c r="J3526" s="2">
        <v>45.88</v>
      </c>
      <c r="K3526" s="2">
        <f t="shared" si="166"/>
        <v>45.88</v>
      </c>
      <c r="L3526" s="2">
        <f t="shared" si="167"/>
        <v>0</v>
      </c>
      <c r="M3526" t="s">
        <v>31</v>
      </c>
      <c r="N3526" t="s">
        <v>32</v>
      </c>
    </row>
    <row r="3527" spans="1:14" x14ac:dyDescent="0.3">
      <c r="A3527">
        <v>2024004525</v>
      </c>
      <c r="B3527" s="1">
        <v>45395</v>
      </c>
      <c r="C3527" s="11">
        <f t="shared" si="165"/>
        <v>2024</v>
      </c>
      <c r="D3527" t="s">
        <v>287</v>
      </c>
      <c r="E3527" t="s">
        <v>23</v>
      </c>
      <c r="F3527" t="s">
        <v>24</v>
      </c>
      <c r="G3527" t="s">
        <v>14</v>
      </c>
      <c r="H3527">
        <v>2</v>
      </c>
      <c r="I3527" s="2">
        <v>85.06</v>
      </c>
      <c r="J3527" s="2">
        <v>170.12</v>
      </c>
      <c r="K3527" s="2">
        <f t="shared" si="166"/>
        <v>170.12</v>
      </c>
      <c r="L3527" s="2">
        <f t="shared" si="167"/>
        <v>0</v>
      </c>
      <c r="M3527" t="s">
        <v>64</v>
      </c>
      <c r="N3527" t="s">
        <v>32</v>
      </c>
    </row>
    <row r="3528" spans="1:14" x14ac:dyDescent="0.3">
      <c r="A3528">
        <v>2024002739</v>
      </c>
      <c r="B3528" s="1">
        <v>45469</v>
      </c>
      <c r="C3528" s="11">
        <f t="shared" si="165"/>
        <v>2024</v>
      </c>
      <c r="D3528" t="s">
        <v>106</v>
      </c>
      <c r="E3528" t="s">
        <v>28</v>
      </c>
      <c r="F3528" t="s">
        <v>29</v>
      </c>
      <c r="G3528" t="s">
        <v>30</v>
      </c>
      <c r="H3528">
        <v>1</v>
      </c>
      <c r="I3528" s="2">
        <v>23.36</v>
      </c>
      <c r="J3528" s="2">
        <v>23.36</v>
      </c>
      <c r="K3528" s="2">
        <f t="shared" si="166"/>
        <v>23.36</v>
      </c>
      <c r="L3528" s="2">
        <f t="shared" si="167"/>
        <v>0</v>
      </c>
      <c r="M3528" t="s">
        <v>57</v>
      </c>
      <c r="N3528" t="s">
        <v>26</v>
      </c>
    </row>
    <row r="3529" spans="1:14" x14ac:dyDescent="0.3">
      <c r="A3529">
        <v>2024004527</v>
      </c>
      <c r="B3529" s="1">
        <v>45349</v>
      </c>
      <c r="C3529" s="11">
        <f t="shared" si="165"/>
        <v>2024</v>
      </c>
      <c r="D3529" t="s">
        <v>326</v>
      </c>
      <c r="E3529" t="s">
        <v>40</v>
      </c>
      <c r="F3529" t="s">
        <v>41</v>
      </c>
      <c r="G3529" t="s">
        <v>36</v>
      </c>
      <c r="H3529">
        <v>2</v>
      </c>
      <c r="I3529" s="2">
        <v>47.71</v>
      </c>
      <c r="J3529" s="2">
        <v>95.42</v>
      </c>
      <c r="K3529" s="2">
        <f t="shared" si="166"/>
        <v>95.42</v>
      </c>
      <c r="L3529" s="2">
        <f t="shared" si="167"/>
        <v>0</v>
      </c>
      <c r="M3529" t="s">
        <v>15</v>
      </c>
      <c r="N3529" t="s">
        <v>26</v>
      </c>
    </row>
    <row r="3530" spans="1:14" x14ac:dyDescent="0.3">
      <c r="A3530">
        <v>2024004528</v>
      </c>
      <c r="B3530" s="1">
        <v>45566</v>
      </c>
      <c r="C3530" s="11">
        <f t="shared" si="165"/>
        <v>2024</v>
      </c>
      <c r="D3530" t="s">
        <v>250</v>
      </c>
      <c r="E3530" t="s">
        <v>23</v>
      </c>
      <c r="F3530" t="s">
        <v>24</v>
      </c>
      <c r="G3530" t="s">
        <v>14</v>
      </c>
      <c r="H3530">
        <v>1</v>
      </c>
      <c r="I3530" s="2">
        <v>75.58</v>
      </c>
      <c r="J3530" s="2">
        <v>75.58</v>
      </c>
      <c r="K3530" s="2">
        <f t="shared" si="166"/>
        <v>75.58</v>
      </c>
      <c r="L3530" s="2">
        <f t="shared" si="167"/>
        <v>0</v>
      </c>
      <c r="M3530" t="s">
        <v>61</v>
      </c>
      <c r="N3530" t="s">
        <v>26</v>
      </c>
    </row>
    <row r="3531" spans="1:14" x14ac:dyDescent="0.3">
      <c r="A3531">
        <v>2024004529</v>
      </c>
      <c r="B3531" s="1">
        <v>45355</v>
      </c>
      <c r="C3531" s="11">
        <f t="shared" si="165"/>
        <v>2024</v>
      </c>
      <c r="D3531" t="s">
        <v>56</v>
      </c>
      <c r="E3531" t="s">
        <v>12</v>
      </c>
      <c r="F3531" t="s">
        <v>13</v>
      </c>
      <c r="G3531" t="s">
        <v>14</v>
      </c>
      <c r="H3531">
        <v>2</v>
      </c>
      <c r="I3531" s="2">
        <v>361.68</v>
      </c>
      <c r="J3531" s="2">
        <v>723.36</v>
      </c>
      <c r="K3531" s="2">
        <f t="shared" si="166"/>
        <v>723.36</v>
      </c>
      <c r="L3531" s="2">
        <f t="shared" si="167"/>
        <v>0</v>
      </c>
      <c r="M3531" t="s">
        <v>61</v>
      </c>
      <c r="N3531" t="s">
        <v>32</v>
      </c>
    </row>
    <row r="3532" spans="1:14" x14ac:dyDescent="0.3">
      <c r="A3532">
        <v>2024004530</v>
      </c>
      <c r="B3532" s="1">
        <v>45389</v>
      </c>
      <c r="C3532" s="11">
        <f t="shared" si="165"/>
        <v>2024</v>
      </c>
      <c r="D3532" t="s">
        <v>165</v>
      </c>
      <c r="E3532" t="s">
        <v>40</v>
      </c>
      <c r="F3532" t="s">
        <v>41</v>
      </c>
      <c r="G3532" t="s">
        <v>36</v>
      </c>
      <c r="H3532">
        <v>2</v>
      </c>
      <c r="I3532" s="2">
        <v>48.23</v>
      </c>
      <c r="J3532" s="2">
        <v>96.46</v>
      </c>
      <c r="K3532" s="2">
        <f t="shared" si="166"/>
        <v>96.46</v>
      </c>
      <c r="L3532" s="2">
        <f t="shared" si="167"/>
        <v>0</v>
      </c>
      <c r="M3532" t="s">
        <v>48</v>
      </c>
      <c r="N3532" t="s">
        <v>21</v>
      </c>
    </row>
    <row r="3533" spans="1:14" x14ac:dyDescent="0.3">
      <c r="A3533">
        <v>2024004531</v>
      </c>
      <c r="B3533" s="1">
        <v>45561</v>
      </c>
      <c r="C3533" s="11">
        <f t="shared" si="165"/>
        <v>2024</v>
      </c>
      <c r="D3533" t="s">
        <v>229</v>
      </c>
      <c r="E3533" t="s">
        <v>67</v>
      </c>
      <c r="F3533" t="s">
        <v>68</v>
      </c>
      <c r="G3533" t="s">
        <v>36</v>
      </c>
      <c r="H3533">
        <v>2</v>
      </c>
      <c r="I3533" s="2">
        <v>429.22</v>
      </c>
      <c r="J3533" s="2">
        <v>858.44</v>
      </c>
      <c r="K3533" s="2">
        <f t="shared" si="166"/>
        <v>858.44</v>
      </c>
      <c r="L3533" s="2">
        <f t="shared" si="167"/>
        <v>0</v>
      </c>
      <c r="M3533" t="s">
        <v>55</v>
      </c>
      <c r="N3533" t="s">
        <v>16</v>
      </c>
    </row>
    <row r="3534" spans="1:14" x14ac:dyDescent="0.3">
      <c r="A3534">
        <v>2024004532</v>
      </c>
      <c r="B3534" s="1">
        <v>45640</v>
      </c>
      <c r="C3534" s="11">
        <f t="shared" si="165"/>
        <v>2024</v>
      </c>
      <c r="D3534" t="s">
        <v>166</v>
      </c>
      <c r="E3534" t="s">
        <v>18</v>
      </c>
      <c r="F3534" t="s">
        <v>19</v>
      </c>
      <c r="G3534" t="s">
        <v>14</v>
      </c>
      <c r="H3534">
        <v>5</v>
      </c>
      <c r="I3534" s="2">
        <v>589.75</v>
      </c>
      <c r="J3534" s="2">
        <v>2948.75</v>
      </c>
      <c r="K3534" s="2">
        <f t="shared" si="166"/>
        <v>2948.75</v>
      </c>
      <c r="L3534" s="2">
        <f t="shared" si="167"/>
        <v>0</v>
      </c>
      <c r="M3534" t="s">
        <v>31</v>
      </c>
      <c r="N3534" t="s">
        <v>16</v>
      </c>
    </row>
    <row r="3535" spans="1:14" x14ac:dyDescent="0.3">
      <c r="A3535">
        <v>2024004533</v>
      </c>
      <c r="B3535" s="1">
        <v>45584</v>
      </c>
      <c r="C3535" s="11">
        <f t="shared" si="165"/>
        <v>2024</v>
      </c>
      <c r="D3535" t="s">
        <v>94</v>
      </c>
      <c r="E3535" t="s">
        <v>12</v>
      </c>
      <c r="F3535" t="s">
        <v>13</v>
      </c>
      <c r="G3535" t="s">
        <v>14</v>
      </c>
      <c r="H3535">
        <v>1</v>
      </c>
      <c r="I3535" s="2">
        <v>340.55</v>
      </c>
      <c r="J3535" s="2">
        <v>340.55</v>
      </c>
      <c r="K3535" s="2">
        <f t="shared" si="166"/>
        <v>340.55</v>
      </c>
      <c r="L3535" s="2">
        <f t="shared" si="167"/>
        <v>0</v>
      </c>
      <c r="M3535" t="s">
        <v>64</v>
      </c>
      <c r="N3535" t="s">
        <v>26</v>
      </c>
    </row>
    <row r="3536" spans="1:14" x14ac:dyDescent="0.3">
      <c r="A3536">
        <v>2024004534</v>
      </c>
      <c r="B3536" s="1">
        <v>45575</v>
      </c>
      <c r="C3536" s="11">
        <f t="shared" si="165"/>
        <v>2024</v>
      </c>
      <c r="D3536" t="s">
        <v>11</v>
      </c>
      <c r="E3536" t="s">
        <v>23</v>
      </c>
      <c r="F3536" t="s">
        <v>24</v>
      </c>
      <c r="G3536" t="s">
        <v>14</v>
      </c>
      <c r="H3536">
        <v>1</v>
      </c>
      <c r="I3536" s="2">
        <v>85.37</v>
      </c>
      <c r="J3536" s="2">
        <v>85.37</v>
      </c>
      <c r="K3536" s="2">
        <f t="shared" si="166"/>
        <v>85.37</v>
      </c>
      <c r="L3536" s="2">
        <f t="shared" si="167"/>
        <v>0</v>
      </c>
      <c r="M3536" t="s">
        <v>57</v>
      </c>
      <c r="N3536" t="s">
        <v>21</v>
      </c>
    </row>
    <row r="3537" spans="1:14" x14ac:dyDescent="0.3">
      <c r="A3537">
        <v>2024004535</v>
      </c>
      <c r="B3537" s="1">
        <v>45526</v>
      </c>
      <c r="C3537" s="11">
        <f t="shared" si="165"/>
        <v>2024</v>
      </c>
      <c r="D3537" t="s">
        <v>160</v>
      </c>
      <c r="E3537" t="s">
        <v>18</v>
      </c>
      <c r="F3537" t="s">
        <v>19</v>
      </c>
      <c r="G3537" t="s">
        <v>14</v>
      </c>
      <c r="H3537">
        <v>3</v>
      </c>
      <c r="I3537" s="2">
        <v>591.88</v>
      </c>
      <c r="J3537" s="2">
        <v>1775.64</v>
      </c>
      <c r="K3537" s="2">
        <f t="shared" si="166"/>
        <v>1775.6399999999999</v>
      </c>
      <c r="L3537" s="2">
        <f t="shared" si="167"/>
        <v>0</v>
      </c>
      <c r="M3537" t="s">
        <v>38</v>
      </c>
      <c r="N3537" t="s">
        <v>16</v>
      </c>
    </row>
    <row r="3538" spans="1:14" x14ac:dyDescent="0.3">
      <c r="A3538">
        <v>2024004536</v>
      </c>
      <c r="B3538" s="1">
        <v>45415</v>
      </c>
      <c r="C3538" s="11">
        <f t="shared" si="165"/>
        <v>2024</v>
      </c>
      <c r="D3538" t="s">
        <v>123</v>
      </c>
      <c r="E3538" t="s">
        <v>18</v>
      </c>
      <c r="F3538" t="s">
        <v>19</v>
      </c>
      <c r="G3538" t="s">
        <v>14</v>
      </c>
      <c r="H3538">
        <v>4</v>
      </c>
      <c r="I3538" s="2">
        <v>607.36</v>
      </c>
      <c r="J3538" s="2">
        <v>2429.44</v>
      </c>
      <c r="K3538" s="2">
        <f t="shared" si="166"/>
        <v>2429.44</v>
      </c>
      <c r="L3538" s="2">
        <f t="shared" si="167"/>
        <v>0</v>
      </c>
      <c r="M3538" t="s">
        <v>20</v>
      </c>
      <c r="N3538" t="s">
        <v>26</v>
      </c>
    </row>
    <row r="3539" spans="1:14" x14ac:dyDescent="0.3">
      <c r="A3539">
        <v>2024004537</v>
      </c>
      <c r="B3539" s="1">
        <v>45337</v>
      </c>
      <c r="C3539" s="11">
        <f t="shared" si="165"/>
        <v>2024</v>
      </c>
      <c r="D3539" t="s">
        <v>245</v>
      </c>
      <c r="E3539" t="s">
        <v>67</v>
      </c>
      <c r="F3539" t="s">
        <v>68</v>
      </c>
      <c r="G3539" t="s">
        <v>36</v>
      </c>
      <c r="H3539">
        <v>1</v>
      </c>
      <c r="I3539" s="2">
        <v>405.26</v>
      </c>
      <c r="J3539" s="2">
        <v>405.26</v>
      </c>
      <c r="K3539" s="2">
        <f t="shared" si="166"/>
        <v>405.26</v>
      </c>
      <c r="L3539" s="2">
        <f t="shared" si="167"/>
        <v>0</v>
      </c>
      <c r="M3539" t="s">
        <v>61</v>
      </c>
      <c r="N3539" t="s">
        <v>26</v>
      </c>
    </row>
    <row r="3540" spans="1:14" x14ac:dyDescent="0.3">
      <c r="A3540">
        <v>2024004538</v>
      </c>
      <c r="B3540" s="1">
        <v>45617</v>
      </c>
      <c r="C3540" s="11">
        <f t="shared" si="165"/>
        <v>2024</v>
      </c>
      <c r="D3540" t="s">
        <v>225</v>
      </c>
      <c r="E3540" t="s">
        <v>12</v>
      </c>
      <c r="F3540" t="s">
        <v>13</v>
      </c>
      <c r="G3540" t="s">
        <v>14</v>
      </c>
      <c r="H3540">
        <v>1</v>
      </c>
      <c r="I3540" s="2">
        <v>337.01</v>
      </c>
      <c r="J3540" s="2">
        <v>337.01</v>
      </c>
      <c r="K3540" s="2">
        <f t="shared" si="166"/>
        <v>337.01</v>
      </c>
      <c r="L3540" s="2">
        <f t="shared" si="167"/>
        <v>0</v>
      </c>
      <c r="M3540" t="s">
        <v>57</v>
      </c>
      <c r="N3540" t="s">
        <v>26</v>
      </c>
    </row>
    <row r="3541" spans="1:14" x14ac:dyDescent="0.3">
      <c r="A3541">
        <v>2024004539</v>
      </c>
      <c r="B3541" s="1">
        <v>45611</v>
      </c>
      <c r="C3541" s="11">
        <f t="shared" si="165"/>
        <v>2024</v>
      </c>
      <c r="D3541" t="s">
        <v>277</v>
      </c>
      <c r="E3541" t="s">
        <v>40</v>
      </c>
      <c r="F3541" t="s">
        <v>41</v>
      </c>
      <c r="G3541" t="s">
        <v>36</v>
      </c>
      <c r="H3541">
        <v>2</v>
      </c>
      <c r="I3541" s="2">
        <v>44.96</v>
      </c>
      <c r="J3541" s="2">
        <v>89.92</v>
      </c>
      <c r="K3541" s="2">
        <f t="shared" si="166"/>
        <v>89.92</v>
      </c>
      <c r="L3541" s="2">
        <f t="shared" si="167"/>
        <v>0</v>
      </c>
      <c r="M3541" t="s">
        <v>31</v>
      </c>
      <c r="N3541" t="s">
        <v>26</v>
      </c>
    </row>
    <row r="3542" spans="1:14" x14ac:dyDescent="0.3">
      <c r="A3542">
        <v>2024004540</v>
      </c>
      <c r="B3542" s="1">
        <v>45601</v>
      </c>
      <c r="C3542" s="11">
        <f t="shared" si="165"/>
        <v>2024</v>
      </c>
      <c r="D3542" t="s">
        <v>225</v>
      </c>
      <c r="E3542" t="s">
        <v>28</v>
      </c>
      <c r="F3542" t="s">
        <v>29</v>
      </c>
      <c r="G3542" t="s">
        <v>30</v>
      </c>
      <c r="H3542">
        <v>0</v>
      </c>
      <c r="I3542" s="2">
        <v>21.73</v>
      </c>
      <c r="J3542" s="2">
        <v>0</v>
      </c>
      <c r="K3542" s="2">
        <f t="shared" si="166"/>
        <v>0</v>
      </c>
      <c r="L3542" s="2">
        <f t="shared" si="167"/>
        <v>0</v>
      </c>
      <c r="M3542" t="s">
        <v>31</v>
      </c>
      <c r="N3542" t="s">
        <v>16</v>
      </c>
    </row>
    <row r="3543" spans="1:14" x14ac:dyDescent="0.3">
      <c r="A3543">
        <v>2024004541</v>
      </c>
      <c r="B3543" s="1">
        <v>45627</v>
      </c>
      <c r="C3543" s="11">
        <f t="shared" si="165"/>
        <v>2024</v>
      </c>
      <c r="D3543" t="s">
        <v>194</v>
      </c>
      <c r="E3543" t="s">
        <v>28</v>
      </c>
      <c r="F3543" t="s">
        <v>29</v>
      </c>
      <c r="G3543" t="s">
        <v>30</v>
      </c>
      <c r="H3543">
        <v>5</v>
      </c>
      <c r="I3543" s="2">
        <v>27.41</v>
      </c>
      <c r="J3543" s="2">
        <v>137.05000000000001</v>
      </c>
      <c r="K3543" s="2">
        <f t="shared" si="166"/>
        <v>137.05000000000001</v>
      </c>
      <c r="L3543" s="2">
        <f t="shared" si="167"/>
        <v>0</v>
      </c>
      <c r="M3543" t="s">
        <v>57</v>
      </c>
      <c r="N3543" t="s">
        <v>32</v>
      </c>
    </row>
    <row r="3544" spans="1:14" x14ac:dyDescent="0.3">
      <c r="A3544">
        <v>2024004542</v>
      </c>
      <c r="B3544" s="1">
        <v>45547</v>
      </c>
      <c r="C3544" s="11">
        <f t="shared" si="165"/>
        <v>2024</v>
      </c>
      <c r="D3544" t="s">
        <v>256</v>
      </c>
      <c r="E3544" t="s">
        <v>28</v>
      </c>
      <c r="F3544" t="s">
        <v>29</v>
      </c>
      <c r="G3544" t="s">
        <v>30</v>
      </c>
      <c r="H3544">
        <v>3</v>
      </c>
      <c r="I3544" s="2">
        <v>24.76</v>
      </c>
      <c r="J3544" s="2">
        <v>74.28</v>
      </c>
      <c r="K3544" s="2">
        <f t="shared" si="166"/>
        <v>74.28</v>
      </c>
      <c r="L3544" s="2">
        <f t="shared" si="167"/>
        <v>0</v>
      </c>
      <c r="M3544" t="s">
        <v>20</v>
      </c>
      <c r="N3544" t="s">
        <v>21</v>
      </c>
    </row>
    <row r="3545" spans="1:14" x14ac:dyDescent="0.3">
      <c r="A3545">
        <v>2024004543</v>
      </c>
      <c r="B3545" s="1">
        <v>45444</v>
      </c>
      <c r="C3545" s="11">
        <f t="shared" si="165"/>
        <v>2024</v>
      </c>
      <c r="D3545" t="s">
        <v>96</v>
      </c>
      <c r="E3545" t="s">
        <v>12</v>
      </c>
      <c r="F3545" t="s">
        <v>13</v>
      </c>
      <c r="G3545" t="s">
        <v>14</v>
      </c>
      <c r="H3545">
        <v>1</v>
      </c>
      <c r="I3545" s="2">
        <v>352.81</v>
      </c>
      <c r="J3545" s="2">
        <v>352.81</v>
      </c>
      <c r="K3545" s="2">
        <f t="shared" si="166"/>
        <v>352.81</v>
      </c>
      <c r="L3545" s="2">
        <f t="shared" si="167"/>
        <v>0</v>
      </c>
      <c r="M3545" t="s">
        <v>25</v>
      </c>
      <c r="N3545" t="s">
        <v>32</v>
      </c>
    </row>
    <row r="3546" spans="1:14" x14ac:dyDescent="0.3">
      <c r="A3546">
        <v>2024004544</v>
      </c>
      <c r="B3546" s="1">
        <v>45469</v>
      </c>
      <c r="C3546" s="11">
        <f t="shared" si="165"/>
        <v>2024</v>
      </c>
      <c r="D3546" t="s">
        <v>81</v>
      </c>
      <c r="E3546" t="s">
        <v>40</v>
      </c>
      <c r="F3546" t="s">
        <v>41</v>
      </c>
      <c r="G3546" t="s">
        <v>36</v>
      </c>
      <c r="H3546">
        <v>1</v>
      </c>
      <c r="I3546" s="2">
        <v>43.16</v>
      </c>
      <c r="J3546" s="2">
        <v>43.16</v>
      </c>
      <c r="K3546" s="2">
        <f t="shared" si="166"/>
        <v>43.16</v>
      </c>
      <c r="L3546" s="2">
        <f t="shared" si="167"/>
        <v>0</v>
      </c>
      <c r="M3546" t="s">
        <v>20</v>
      </c>
      <c r="N3546" t="s">
        <v>16</v>
      </c>
    </row>
    <row r="3547" spans="1:14" x14ac:dyDescent="0.3">
      <c r="A3547">
        <v>2024004545</v>
      </c>
      <c r="B3547" s="1">
        <v>45328</v>
      </c>
      <c r="C3547" s="11">
        <f t="shared" si="165"/>
        <v>2024</v>
      </c>
      <c r="D3547" t="s">
        <v>170</v>
      </c>
      <c r="E3547" t="s">
        <v>18</v>
      </c>
      <c r="F3547" t="s">
        <v>19</v>
      </c>
      <c r="G3547" t="s">
        <v>14</v>
      </c>
      <c r="H3547">
        <v>2</v>
      </c>
      <c r="I3547" s="2">
        <v>532.76</v>
      </c>
      <c r="J3547" s="2">
        <v>1065.52</v>
      </c>
      <c r="K3547" s="2">
        <f t="shared" si="166"/>
        <v>1065.52</v>
      </c>
      <c r="L3547" s="2">
        <f t="shared" si="167"/>
        <v>0</v>
      </c>
      <c r="M3547" t="s">
        <v>61</v>
      </c>
      <c r="N3547" t="s">
        <v>26</v>
      </c>
    </row>
    <row r="3548" spans="1:14" x14ac:dyDescent="0.3">
      <c r="A3548">
        <v>2024004546</v>
      </c>
      <c r="B3548" s="1">
        <v>45602</v>
      </c>
      <c r="C3548" s="11">
        <f t="shared" si="165"/>
        <v>2024</v>
      </c>
      <c r="D3548" t="s">
        <v>204</v>
      </c>
      <c r="E3548" t="s">
        <v>46</v>
      </c>
      <c r="F3548" t="s">
        <v>47</v>
      </c>
      <c r="G3548" t="s">
        <v>36</v>
      </c>
      <c r="H3548">
        <v>3</v>
      </c>
      <c r="I3548" s="2">
        <v>94.14</v>
      </c>
      <c r="J3548" s="2">
        <v>282.42</v>
      </c>
      <c r="K3548" s="2">
        <f t="shared" si="166"/>
        <v>282.42</v>
      </c>
      <c r="L3548" s="2">
        <f t="shared" si="167"/>
        <v>0</v>
      </c>
      <c r="M3548" t="s">
        <v>61</v>
      </c>
      <c r="N3548" t="s">
        <v>16</v>
      </c>
    </row>
    <row r="3549" spans="1:14" x14ac:dyDescent="0.3">
      <c r="A3549">
        <v>2024004547</v>
      </c>
      <c r="B3549" s="1">
        <v>45298</v>
      </c>
      <c r="C3549" s="11">
        <f t="shared" si="165"/>
        <v>2024</v>
      </c>
      <c r="D3549" t="s">
        <v>179</v>
      </c>
      <c r="E3549" t="s">
        <v>40</v>
      </c>
      <c r="F3549" t="s">
        <v>41</v>
      </c>
      <c r="G3549" t="s">
        <v>36</v>
      </c>
      <c r="H3549">
        <v>1</v>
      </c>
      <c r="I3549" s="2">
        <v>47.56</v>
      </c>
      <c r="J3549" s="2">
        <v>47.56</v>
      </c>
      <c r="K3549" s="2">
        <f t="shared" si="166"/>
        <v>47.56</v>
      </c>
      <c r="L3549" s="2">
        <f t="shared" si="167"/>
        <v>0</v>
      </c>
      <c r="M3549" t="s">
        <v>25</v>
      </c>
      <c r="N3549" t="s">
        <v>21</v>
      </c>
    </row>
    <row r="3550" spans="1:14" x14ac:dyDescent="0.3">
      <c r="A3550">
        <v>2024004548</v>
      </c>
      <c r="B3550" s="1">
        <v>45303</v>
      </c>
      <c r="C3550" s="11">
        <f t="shared" si="165"/>
        <v>2024</v>
      </c>
      <c r="D3550" t="s">
        <v>159</v>
      </c>
      <c r="E3550" t="s">
        <v>46</v>
      </c>
      <c r="F3550" t="s">
        <v>47</v>
      </c>
      <c r="G3550" t="s">
        <v>36</v>
      </c>
      <c r="H3550">
        <v>1</v>
      </c>
      <c r="I3550" s="2">
        <v>96.44</v>
      </c>
      <c r="J3550" s="2">
        <v>96.44</v>
      </c>
      <c r="K3550" s="2">
        <f t="shared" si="166"/>
        <v>96.44</v>
      </c>
      <c r="L3550" s="2">
        <f t="shared" si="167"/>
        <v>0</v>
      </c>
      <c r="M3550" t="s">
        <v>57</v>
      </c>
      <c r="N3550" t="s">
        <v>32</v>
      </c>
    </row>
    <row r="3551" spans="1:14" x14ac:dyDescent="0.3">
      <c r="A3551">
        <v>2024004549</v>
      </c>
      <c r="B3551" s="1">
        <v>45378</v>
      </c>
      <c r="C3551" s="11">
        <f t="shared" si="165"/>
        <v>2024</v>
      </c>
      <c r="D3551" t="s">
        <v>298</v>
      </c>
      <c r="E3551" t="s">
        <v>28</v>
      </c>
      <c r="F3551" t="s">
        <v>29</v>
      </c>
      <c r="G3551" t="s">
        <v>30</v>
      </c>
      <c r="H3551">
        <v>2</v>
      </c>
      <c r="I3551" s="2">
        <v>25.25</v>
      </c>
      <c r="J3551" s="2">
        <v>50.5</v>
      </c>
      <c r="K3551" s="2">
        <f t="shared" si="166"/>
        <v>50.5</v>
      </c>
      <c r="L3551" s="2">
        <f t="shared" si="167"/>
        <v>0</v>
      </c>
      <c r="M3551" t="s">
        <v>38</v>
      </c>
      <c r="N3551" t="s">
        <v>32</v>
      </c>
    </row>
    <row r="3552" spans="1:14" x14ac:dyDescent="0.3">
      <c r="A3552">
        <v>2024004550</v>
      </c>
      <c r="B3552" s="1">
        <v>45644</v>
      </c>
      <c r="C3552" s="11">
        <f t="shared" si="165"/>
        <v>2024</v>
      </c>
      <c r="D3552" t="s">
        <v>318</v>
      </c>
      <c r="E3552" t="s">
        <v>43</v>
      </c>
      <c r="F3552" t="s">
        <v>44</v>
      </c>
      <c r="G3552" t="s">
        <v>36</v>
      </c>
      <c r="H3552">
        <v>2</v>
      </c>
      <c r="I3552" s="2">
        <v>1310.02</v>
      </c>
      <c r="J3552" s="2">
        <v>2620.04</v>
      </c>
      <c r="K3552" s="2">
        <f t="shared" si="166"/>
        <v>2620.04</v>
      </c>
      <c r="L3552" s="2">
        <f t="shared" si="167"/>
        <v>0</v>
      </c>
      <c r="M3552" t="s">
        <v>48</v>
      </c>
      <c r="N3552" t="s">
        <v>32</v>
      </c>
    </row>
    <row r="3553" spans="1:14" x14ac:dyDescent="0.3">
      <c r="A3553">
        <v>2024004551</v>
      </c>
      <c r="B3553" s="1">
        <v>45293</v>
      </c>
      <c r="C3553" s="11">
        <f t="shared" si="165"/>
        <v>2024</v>
      </c>
      <c r="D3553" t="s">
        <v>11</v>
      </c>
      <c r="E3553" t="s">
        <v>67</v>
      </c>
      <c r="F3553" t="s">
        <v>68</v>
      </c>
      <c r="G3553" t="s">
        <v>36</v>
      </c>
      <c r="H3553">
        <v>1</v>
      </c>
      <c r="I3553" s="2">
        <v>453.27</v>
      </c>
      <c r="J3553" s="2">
        <v>453.27</v>
      </c>
      <c r="K3553" s="2">
        <f t="shared" si="166"/>
        <v>453.27</v>
      </c>
      <c r="L3553" s="2">
        <f t="shared" si="167"/>
        <v>0</v>
      </c>
      <c r="M3553" t="s">
        <v>38</v>
      </c>
      <c r="N3553" t="s">
        <v>32</v>
      </c>
    </row>
    <row r="3554" spans="1:14" x14ac:dyDescent="0.3">
      <c r="A3554">
        <v>2024004552</v>
      </c>
      <c r="B3554" s="1">
        <v>45528</v>
      </c>
      <c r="C3554" s="11">
        <f t="shared" si="165"/>
        <v>2024</v>
      </c>
      <c r="D3554" t="s">
        <v>244</v>
      </c>
      <c r="E3554" t="s">
        <v>34</v>
      </c>
      <c r="F3554" t="s">
        <v>35</v>
      </c>
      <c r="G3554" t="s">
        <v>36</v>
      </c>
      <c r="H3554">
        <v>1</v>
      </c>
      <c r="I3554" s="2">
        <v>14.81</v>
      </c>
      <c r="J3554" s="2">
        <v>14.81</v>
      </c>
      <c r="K3554" s="2">
        <f t="shared" si="166"/>
        <v>14.81</v>
      </c>
      <c r="L3554" s="2">
        <f t="shared" si="167"/>
        <v>0</v>
      </c>
      <c r="M3554" t="s">
        <v>20</v>
      </c>
      <c r="N3554" t="s">
        <v>21</v>
      </c>
    </row>
    <row r="3555" spans="1:14" x14ac:dyDescent="0.3">
      <c r="A3555">
        <v>2024004553</v>
      </c>
      <c r="B3555" s="1">
        <v>45301</v>
      </c>
      <c r="C3555" s="11">
        <f t="shared" si="165"/>
        <v>2024</v>
      </c>
      <c r="D3555" t="s">
        <v>307</v>
      </c>
      <c r="E3555" t="s">
        <v>43</v>
      </c>
      <c r="F3555" t="s">
        <v>44</v>
      </c>
      <c r="G3555" t="s">
        <v>36</v>
      </c>
      <c r="H3555">
        <v>1</v>
      </c>
      <c r="I3555" s="2">
        <v>1110.07</v>
      </c>
      <c r="J3555" s="2">
        <v>1110.07</v>
      </c>
      <c r="K3555" s="2">
        <f t="shared" si="166"/>
        <v>1110.07</v>
      </c>
      <c r="L3555" s="2">
        <f t="shared" si="167"/>
        <v>0</v>
      </c>
      <c r="M3555" t="s">
        <v>25</v>
      </c>
      <c r="N3555" t="s">
        <v>26</v>
      </c>
    </row>
    <row r="3556" spans="1:14" x14ac:dyDescent="0.3">
      <c r="A3556">
        <v>2024004554</v>
      </c>
      <c r="B3556" s="1">
        <v>45618</v>
      </c>
      <c r="C3556" s="11">
        <f t="shared" si="165"/>
        <v>2024</v>
      </c>
      <c r="D3556" t="s">
        <v>260</v>
      </c>
      <c r="E3556" t="s">
        <v>12</v>
      </c>
      <c r="F3556" t="s">
        <v>13</v>
      </c>
      <c r="G3556" t="s">
        <v>14</v>
      </c>
      <c r="H3556">
        <v>1</v>
      </c>
      <c r="I3556" s="2">
        <v>347.42</v>
      </c>
      <c r="J3556" s="2">
        <v>347.42</v>
      </c>
      <c r="K3556" s="2">
        <f t="shared" si="166"/>
        <v>347.42</v>
      </c>
      <c r="L3556" s="2">
        <f t="shared" si="167"/>
        <v>0</v>
      </c>
      <c r="M3556" t="s">
        <v>15</v>
      </c>
      <c r="N3556" t="s">
        <v>21</v>
      </c>
    </row>
    <row r="3557" spans="1:14" x14ac:dyDescent="0.3">
      <c r="A3557">
        <v>2024004555</v>
      </c>
      <c r="B3557" s="1">
        <v>45380</v>
      </c>
      <c r="C3557" s="11">
        <f t="shared" si="165"/>
        <v>2024</v>
      </c>
      <c r="D3557" t="s">
        <v>181</v>
      </c>
      <c r="E3557" t="s">
        <v>67</v>
      </c>
      <c r="F3557" t="s">
        <v>68</v>
      </c>
      <c r="G3557" t="s">
        <v>36</v>
      </c>
      <c r="H3557">
        <v>1</v>
      </c>
      <c r="I3557" s="2">
        <v>428.36</v>
      </c>
      <c r="J3557" s="2">
        <v>428.36</v>
      </c>
      <c r="K3557" s="2">
        <f t="shared" si="166"/>
        <v>428.36</v>
      </c>
      <c r="L3557" s="2">
        <f t="shared" si="167"/>
        <v>0</v>
      </c>
      <c r="M3557" t="s">
        <v>20</v>
      </c>
      <c r="N3557" t="s">
        <v>26</v>
      </c>
    </row>
    <row r="3558" spans="1:14" x14ac:dyDescent="0.3">
      <c r="A3558">
        <v>2024004556</v>
      </c>
      <c r="B3558" s="1">
        <v>45312</v>
      </c>
      <c r="C3558" s="11">
        <f t="shared" si="165"/>
        <v>2024</v>
      </c>
      <c r="D3558" t="s">
        <v>204</v>
      </c>
      <c r="E3558" t="s">
        <v>46</v>
      </c>
      <c r="F3558" t="s">
        <v>47</v>
      </c>
      <c r="G3558" t="s">
        <v>36</v>
      </c>
      <c r="H3558">
        <v>2</v>
      </c>
      <c r="I3558" s="2">
        <v>97.04</v>
      </c>
      <c r="J3558" s="2">
        <v>194.08</v>
      </c>
      <c r="K3558" s="2">
        <f t="shared" si="166"/>
        <v>194.08</v>
      </c>
      <c r="L3558" s="2">
        <f t="shared" si="167"/>
        <v>0</v>
      </c>
      <c r="M3558" t="s">
        <v>25</v>
      </c>
      <c r="N3558" t="s">
        <v>21</v>
      </c>
    </row>
    <row r="3559" spans="1:14" x14ac:dyDescent="0.3">
      <c r="A3559">
        <v>2024004557</v>
      </c>
      <c r="B3559" s="1">
        <v>45537</v>
      </c>
      <c r="C3559" s="11">
        <f t="shared" si="165"/>
        <v>2024</v>
      </c>
      <c r="D3559" t="s">
        <v>60</v>
      </c>
      <c r="E3559" t="s">
        <v>67</v>
      </c>
      <c r="F3559" t="s">
        <v>68</v>
      </c>
      <c r="G3559" t="s">
        <v>36</v>
      </c>
      <c r="H3559">
        <v>2</v>
      </c>
      <c r="I3559" s="2">
        <v>383.4</v>
      </c>
      <c r="J3559" s="2">
        <v>766.8</v>
      </c>
      <c r="K3559" s="2">
        <f t="shared" si="166"/>
        <v>766.8</v>
      </c>
      <c r="L3559" s="2">
        <f t="shared" si="167"/>
        <v>0</v>
      </c>
      <c r="M3559" t="s">
        <v>25</v>
      </c>
      <c r="N3559" t="s">
        <v>16</v>
      </c>
    </row>
    <row r="3560" spans="1:14" x14ac:dyDescent="0.3">
      <c r="A3560">
        <v>2024004558</v>
      </c>
      <c r="B3560" s="1">
        <v>45373</v>
      </c>
      <c r="C3560" s="11">
        <f t="shared" si="165"/>
        <v>2024</v>
      </c>
      <c r="D3560" t="s">
        <v>306</v>
      </c>
      <c r="E3560" t="s">
        <v>43</v>
      </c>
      <c r="F3560" t="s">
        <v>44</v>
      </c>
      <c r="G3560" t="s">
        <v>36</v>
      </c>
      <c r="H3560">
        <v>1</v>
      </c>
      <c r="I3560" s="2">
        <v>1091.8399999999999</v>
      </c>
      <c r="J3560" s="2">
        <v>1091.8399999999999</v>
      </c>
      <c r="K3560" s="2">
        <f t="shared" si="166"/>
        <v>1091.8399999999999</v>
      </c>
      <c r="L3560" s="2">
        <f t="shared" si="167"/>
        <v>0</v>
      </c>
      <c r="M3560" t="s">
        <v>31</v>
      </c>
      <c r="N3560" t="s">
        <v>16</v>
      </c>
    </row>
    <row r="3561" spans="1:14" x14ac:dyDescent="0.3">
      <c r="A3561">
        <v>2024004559</v>
      </c>
      <c r="B3561" s="1">
        <v>45322</v>
      </c>
      <c r="C3561" s="11">
        <f t="shared" si="165"/>
        <v>2024</v>
      </c>
      <c r="D3561" t="s">
        <v>98</v>
      </c>
      <c r="E3561" t="s">
        <v>40</v>
      </c>
      <c r="F3561" t="s">
        <v>41</v>
      </c>
      <c r="G3561" t="s">
        <v>36</v>
      </c>
      <c r="H3561">
        <v>1</v>
      </c>
      <c r="I3561" s="2">
        <v>46.67</v>
      </c>
      <c r="J3561" s="2">
        <v>46.67</v>
      </c>
      <c r="K3561" s="2">
        <f t="shared" si="166"/>
        <v>46.67</v>
      </c>
      <c r="L3561" s="2">
        <f t="shared" si="167"/>
        <v>0</v>
      </c>
      <c r="M3561" t="s">
        <v>31</v>
      </c>
      <c r="N3561" t="s">
        <v>26</v>
      </c>
    </row>
    <row r="3562" spans="1:14" x14ac:dyDescent="0.3">
      <c r="A3562">
        <v>2024004560</v>
      </c>
      <c r="B3562" s="1">
        <v>45415</v>
      </c>
      <c r="C3562" s="11">
        <f t="shared" si="165"/>
        <v>2024</v>
      </c>
      <c r="D3562" t="s">
        <v>193</v>
      </c>
      <c r="E3562" t="s">
        <v>43</v>
      </c>
      <c r="F3562" t="s">
        <v>44</v>
      </c>
      <c r="G3562" t="s">
        <v>36</v>
      </c>
      <c r="H3562">
        <v>4</v>
      </c>
      <c r="I3562" s="2">
        <v>1252.49</v>
      </c>
      <c r="J3562" s="2">
        <v>5009.96</v>
      </c>
      <c r="K3562" s="2">
        <f t="shared" si="166"/>
        <v>5009.96</v>
      </c>
      <c r="L3562" s="2">
        <f t="shared" si="167"/>
        <v>0</v>
      </c>
      <c r="M3562" t="s">
        <v>57</v>
      </c>
      <c r="N3562" t="s">
        <v>16</v>
      </c>
    </row>
    <row r="3563" spans="1:14" x14ac:dyDescent="0.3">
      <c r="A3563">
        <v>2024004561</v>
      </c>
      <c r="B3563" s="1">
        <v>45318</v>
      </c>
      <c r="C3563" s="11">
        <f t="shared" si="165"/>
        <v>2024</v>
      </c>
      <c r="D3563" t="s">
        <v>175</v>
      </c>
      <c r="E3563" t="s">
        <v>28</v>
      </c>
      <c r="F3563" t="s">
        <v>29</v>
      </c>
      <c r="G3563" t="s">
        <v>30</v>
      </c>
      <c r="H3563">
        <v>1</v>
      </c>
      <c r="I3563" s="2">
        <v>25.59</v>
      </c>
      <c r="J3563" s="2">
        <v>25.59</v>
      </c>
      <c r="K3563" s="2">
        <f t="shared" si="166"/>
        <v>25.59</v>
      </c>
      <c r="L3563" s="2">
        <f t="shared" si="167"/>
        <v>0</v>
      </c>
      <c r="M3563" t="s">
        <v>38</v>
      </c>
      <c r="N3563" t="s">
        <v>32</v>
      </c>
    </row>
    <row r="3564" spans="1:14" x14ac:dyDescent="0.3">
      <c r="A3564">
        <v>2024004562</v>
      </c>
      <c r="B3564" s="1">
        <v>45624</v>
      </c>
      <c r="C3564" s="11">
        <f t="shared" si="165"/>
        <v>2024</v>
      </c>
      <c r="D3564" t="s">
        <v>272</v>
      </c>
      <c r="E3564" t="s">
        <v>46</v>
      </c>
      <c r="F3564" t="s">
        <v>47</v>
      </c>
      <c r="G3564" t="s">
        <v>36</v>
      </c>
      <c r="H3564">
        <v>1</v>
      </c>
      <c r="I3564" s="2">
        <v>92.01</v>
      </c>
      <c r="J3564" s="2">
        <v>92.01</v>
      </c>
      <c r="K3564" s="2">
        <f t="shared" si="166"/>
        <v>92.01</v>
      </c>
      <c r="L3564" s="2">
        <f t="shared" si="167"/>
        <v>0</v>
      </c>
      <c r="M3564" t="s">
        <v>15</v>
      </c>
      <c r="N3564" t="s">
        <v>21</v>
      </c>
    </row>
    <row r="3565" spans="1:14" x14ac:dyDescent="0.3">
      <c r="A3565">
        <v>2024004563</v>
      </c>
      <c r="B3565" s="1">
        <v>45546</v>
      </c>
      <c r="C3565" s="11">
        <f t="shared" si="165"/>
        <v>2024</v>
      </c>
      <c r="D3565" t="s">
        <v>45</v>
      </c>
      <c r="E3565" t="s">
        <v>34</v>
      </c>
      <c r="F3565" t="s">
        <v>35</v>
      </c>
      <c r="G3565" t="s">
        <v>36</v>
      </c>
      <c r="H3565">
        <v>2</v>
      </c>
      <c r="I3565" s="2">
        <v>14.7</v>
      </c>
      <c r="J3565" s="2">
        <v>29.4</v>
      </c>
      <c r="K3565" s="2">
        <f t="shared" si="166"/>
        <v>29.4</v>
      </c>
      <c r="L3565" s="2">
        <f t="shared" si="167"/>
        <v>0</v>
      </c>
      <c r="M3565" t="s">
        <v>48</v>
      </c>
      <c r="N3565" t="s">
        <v>32</v>
      </c>
    </row>
    <row r="3566" spans="1:14" x14ac:dyDescent="0.3">
      <c r="A3566">
        <v>2024004564</v>
      </c>
      <c r="B3566" s="1">
        <v>45453</v>
      </c>
      <c r="C3566" s="11">
        <f t="shared" si="165"/>
        <v>2024</v>
      </c>
      <c r="D3566" t="s">
        <v>91</v>
      </c>
      <c r="E3566" t="s">
        <v>67</v>
      </c>
      <c r="F3566" t="s">
        <v>68</v>
      </c>
      <c r="G3566" t="s">
        <v>36</v>
      </c>
      <c r="H3566">
        <v>1</v>
      </c>
      <c r="I3566" s="2">
        <v>410.75</v>
      </c>
      <c r="J3566" s="2">
        <v>410.75</v>
      </c>
      <c r="K3566" s="2">
        <f t="shared" si="166"/>
        <v>410.75</v>
      </c>
      <c r="L3566" s="2">
        <f t="shared" si="167"/>
        <v>0</v>
      </c>
      <c r="M3566" t="s">
        <v>48</v>
      </c>
      <c r="N3566" t="s">
        <v>21</v>
      </c>
    </row>
    <row r="3567" spans="1:14" x14ac:dyDescent="0.3">
      <c r="A3567">
        <v>2024004565</v>
      </c>
      <c r="B3567" s="1">
        <v>45412</v>
      </c>
      <c r="C3567" s="11">
        <f t="shared" si="165"/>
        <v>2024</v>
      </c>
      <c r="D3567" t="s">
        <v>92</v>
      </c>
      <c r="E3567" t="s">
        <v>46</v>
      </c>
      <c r="F3567" t="s">
        <v>47</v>
      </c>
      <c r="G3567" t="s">
        <v>36</v>
      </c>
      <c r="H3567">
        <v>1</v>
      </c>
      <c r="I3567" s="2">
        <v>86.71</v>
      </c>
      <c r="J3567" s="2">
        <v>86.71</v>
      </c>
      <c r="K3567" s="2">
        <f t="shared" si="166"/>
        <v>86.71</v>
      </c>
      <c r="L3567" s="2">
        <f t="shared" si="167"/>
        <v>0</v>
      </c>
      <c r="M3567" t="s">
        <v>48</v>
      </c>
      <c r="N3567" t="s">
        <v>21</v>
      </c>
    </row>
    <row r="3568" spans="1:14" x14ac:dyDescent="0.3">
      <c r="A3568">
        <v>2024004566</v>
      </c>
      <c r="B3568" s="1">
        <v>45360</v>
      </c>
      <c r="C3568" s="11">
        <f t="shared" si="165"/>
        <v>2024</v>
      </c>
      <c r="D3568" t="s">
        <v>98</v>
      </c>
      <c r="E3568" t="s">
        <v>28</v>
      </c>
      <c r="F3568" t="s">
        <v>29</v>
      </c>
      <c r="G3568" t="s">
        <v>30</v>
      </c>
      <c r="H3568">
        <v>1</v>
      </c>
      <c r="I3568" s="2">
        <v>23.19</v>
      </c>
      <c r="J3568" s="2">
        <v>23.19</v>
      </c>
      <c r="K3568" s="2">
        <f t="shared" si="166"/>
        <v>23.19</v>
      </c>
      <c r="L3568" s="2">
        <f t="shared" si="167"/>
        <v>0</v>
      </c>
      <c r="M3568" t="s">
        <v>61</v>
      </c>
      <c r="N3568" t="s">
        <v>32</v>
      </c>
    </row>
    <row r="3569" spans="1:14" x14ac:dyDescent="0.3">
      <c r="A3569">
        <v>2024004567</v>
      </c>
      <c r="B3569" s="1">
        <v>45653</v>
      </c>
      <c r="C3569" s="11">
        <f t="shared" si="165"/>
        <v>2024</v>
      </c>
      <c r="D3569" t="s">
        <v>105</v>
      </c>
      <c r="E3569" t="s">
        <v>53</v>
      </c>
      <c r="F3569" t="s">
        <v>54</v>
      </c>
      <c r="G3569" t="s">
        <v>36</v>
      </c>
      <c r="H3569">
        <v>2</v>
      </c>
      <c r="I3569" s="2">
        <v>128.72</v>
      </c>
      <c r="J3569" s="2">
        <v>257.44</v>
      </c>
      <c r="K3569" s="2">
        <f t="shared" si="166"/>
        <v>257.44</v>
      </c>
      <c r="L3569" s="2">
        <f t="shared" si="167"/>
        <v>0</v>
      </c>
      <c r="M3569" t="s">
        <v>61</v>
      </c>
      <c r="N3569" t="s">
        <v>16</v>
      </c>
    </row>
    <row r="3570" spans="1:14" x14ac:dyDescent="0.3">
      <c r="A3570">
        <v>2024004568</v>
      </c>
      <c r="B3570" s="1">
        <v>45580</v>
      </c>
      <c r="C3570" s="11">
        <f t="shared" si="165"/>
        <v>2024</v>
      </c>
      <c r="D3570" t="s">
        <v>154</v>
      </c>
      <c r="E3570" t="s">
        <v>46</v>
      </c>
      <c r="F3570" t="s">
        <v>47</v>
      </c>
      <c r="G3570" t="s">
        <v>36</v>
      </c>
      <c r="H3570">
        <v>1</v>
      </c>
      <c r="I3570" s="2">
        <v>91.95</v>
      </c>
      <c r="J3570" s="2">
        <v>91.95</v>
      </c>
      <c r="K3570" s="2">
        <f t="shared" si="166"/>
        <v>91.95</v>
      </c>
      <c r="L3570" s="2">
        <f t="shared" si="167"/>
        <v>0</v>
      </c>
      <c r="M3570" t="s">
        <v>48</v>
      </c>
      <c r="N3570" t="s">
        <v>32</v>
      </c>
    </row>
    <row r="3571" spans="1:14" x14ac:dyDescent="0.3">
      <c r="A3571">
        <v>2024004569</v>
      </c>
      <c r="B3571" s="1">
        <v>45559</v>
      </c>
      <c r="C3571" s="11">
        <f t="shared" si="165"/>
        <v>2024</v>
      </c>
      <c r="D3571" t="s">
        <v>77</v>
      </c>
      <c r="E3571" t="s">
        <v>18</v>
      </c>
      <c r="F3571" t="s">
        <v>19</v>
      </c>
      <c r="G3571" t="s">
        <v>14</v>
      </c>
      <c r="H3571">
        <v>2</v>
      </c>
      <c r="I3571" s="2">
        <v>554.28</v>
      </c>
      <c r="J3571" s="2">
        <v>1108.56</v>
      </c>
      <c r="K3571" s="2">
        <f t="shared" si="166"/>
        <v>1108.56</v>
      </c>
      <c r="L3571" s="2">
        <f t="shared" si="167"/>
        <v>0</v>
      </c>
      <c r="M3571" t="s">
        <v>25</v>
      </c>
      <c r="N3571" t="s">
        <v>32</v>
      </c>
    </row>
    <row r="3572" spans="1:14" x14ac:dyDescent="0.3">
      <c r="A3572">
        <v>2024004570</v>
      </c>
      <c r="B3572" s="1">
        <v>45656</v>
      </c>
      <c r="C3572" s="11">
        <f t="shared" si="165"/>
        <v>2024</v>
      </c>
      <c r="D3572" t="s">
        <v>11</v>
      </c>
      <c r="E3572" t="s">
        <v>67</v>
      </c>
      <c r="F3572" t="s">
        <v>68</v>
      </c>
      <c r="G3572" t="s">
        <v>36</v>
      </c>
      <c r="H3572">
        <v>3</v>
      </c>
      <c r="I3572" s="2">
        <v>360.33</v>
      </c>
      <c r="J3572" s="2">
        <v>1080.99</v>
      </c>
      <c r="K3572" s="2">
        <f t="shared" si="166"/>
        <v>1080.99</v>
      </c>
      <c r="L3572" s="2">
        <f t="shared" si="167"/>
        <v>0</v>
      </c>
      <c r="M3572" t="s">
        <v>38</v>
      </c>
      <c r="N3572" t="s">
        <v>16</v>
      </c>
    </row>
    <row r="3573" spans="1:14" x14ac:dyDescent="0.3">
      <c r="A3573">
        <v>2024004571</v>
      </c>
      <c r="B3573" s="1">
        <v>45519</v>
      </c>
      <c r="C3573" s="11">
        <f t="shared" si="165"/>
        <v>2024</v>
      </c>
      <c r="D3573" t="s">
        <v>330</v>
      </c>
      <c r="E3573" t="s">
        <v>28</v>
      </c>
      <c r="F3573" t="s">
        <v>29</v>
      </c>
      <c r="G3573" t="s">
        <v>30</v>
      </c>
      <c r="H3573">
        <v>1</v>
      </c>
      <c r="I3573" s="2">
        <v>25.67</v>
      </c>
      <c r="J3573" s="2">
        <v>25.67</v>
      </c>
      <c r="K3573" s="2">
        <f t="shared" si="166"/>
        <v>25.67</v>
      </c>
      <c r="L3573" s="2">
        <f t="shared" si="167"/>
        <v>0</v>
      </c>
      <c r="M3573" t="s">
        <v>64</v>
      </c>
      <c r="N3573" t="s">
        <v>16</v>
      </c>
    </row>
    <row r="3574" spans="1:14" x14ac:dyDescent="0.3">
      <c r="A3574">
        <v>2024004572</v>
      </c>
      <c r="B3574" s="1">
        <v>45444</v>
      </c>
      <c r="C3574" s="11">
        <f t="shared" si="165"/>
        <v>2024</v>
      </c>
      <c r="D3574" t="s">
        <v>212</v>
      </c>
      <c r="E3574" t="s">
        <v>53</v>
      </c>
      <c r="F3574" t="s">
        <v>54</v>
      </c>
      <c r="G3574" t="s">
        <v>36</v>
      </c>
      <c r="H3574">
        <v>3</v>
      </c>
      <c r="I3574" s="2">
        <v>114.43</v>
      </c>
      <c r="J3574" s="2">
        <v>343.29</v>
      </c>
      <c r="K3574" s="2">
        <f t="shared" si="166"/>
        <v>343.29</v>
      </c>
      <c r="L3574" s="2">
        <f t="shared" si="167"/>
        <v>0</v>
      </c>
      <c r="M3574" t="s">
        <v>20</v>
      </c>
      <c r="N3574" t="s">
        <v>16</v>
      </c>
    </row>
    <row r="3575" spans="1:14" x14ac:dyDescent="0.3">
      <c r="A3575">
        <v>2024004573</v>
      </c>
      <c r="B3575" s="1">
        <v>45353</v>
      </c>
      <c r="C3575" s="11">
        <f t="shared" si="165"/>
        <v>2024</v>
      </c>
      <c r="D3575" t="s">
        <v>78</v>
      </c>
      <c r="E3575" t="s">
        <v>53</v>
      </c>
      <c r="F3575" t="s">
        <v>54</v>
      </c>
      <c r="G3575" t="s">
        <v>36</v>
      </c>
      <c r="H3575">
        <v>1</v>
      </c>
      <c r="I3575" s="2">
        <v>109.76</v>
      </c>
      <c r="J3575" s="2">
        <v>109.76</v>
      </c>
      <c r="K3575" s="2">
        <f t="shared" si="166"/>
        <v>109.76</v>
      </c>
      <c r="L3575" s="2">
        <f t="shared" si="167"/>
        <v>0</v>
      </c>
      <c r="M3575" t="s">
        <v>57</v>
      </c>
      <c r="N3575" t="s">
        <v>16</v>
      </c>
    </row>
    <row r="3576" spans="1:14" x14ac:dyDescent="0.3">
      <c r="A3576">
        <v>2024004574</v>
      </c>
      <c r="B3576" s="1">
        <v>45524</v>
      </c>
      <c r="C3576" s="11">
        <f t="shared" si="165"/>
        <v>2024</v>
      </c>
      <c r="D3576" t="s">
        <v>310</v>
      </c>
      <c r="E3576" t="s">
        <v>67</v>
      </c>
      <c r="F3576" t="s">
        <v>68</v>
      </c>
      <c r="G3576" t="s">
        <v>36</v>
      </c>
      <c r="H3576">
        <v>2</v>
      </c>
      <c r="I3576" s="2">
        <v>397.92</v>
      </c>
      <c r="J3576" s="2">
        <v>795.84</v>
      </c>
      <c r="K3576" s="2">
        <f t="shared" si="166"/>
        <v>795.84</v>
      </c>
      <c r="L3576" s="2">
        <f t="shared" si="167"/>
        <v>0</v>
      </c>
      <c r="M3576" t="s">
        <v>64</v>
      </c>
      <c r="N3576" t="s">
        <v>21</v>
      </c>
    </row>
    <row r="3577" spans="1:14" x14ac:dyDescent="0.3">
      <c r="A3577">
        <v>2024004575</v>
      </c>
      <c r="B3577" s="1">
        <v>45630</v>
      </c>
      <c r="C3577" s="11">
        <f t="shared" si="165"/>
        <v>2024</v>
      </c>
      <c r="D3577" t="s">
        <v>98</v>
      </c>
      <c r="E3577" t="s">
        <v>12</v>
      </c>
      <c r="F3577" t="s">
        <v>13</v>
      </c>
      <c r="G3577" t="s">
        <v>14</v>
      </c>
      <c r="H3577">
        <v>1</v>
      </c>
      <c r="I3577" s="2">
        <v>354.38</v>
      </c>
      <c r="J3577" s="2">
        <v>354.38</v>
      </c>
      <c r="K3577" s="2">
        <f t="shared" si="166"/>
        <v>354.38</v>
      </c>
      <c r="L3577" s="2">
        <f t="shared" si="167"/>
        <v>0</v>
      </c>
      <c r="M3577" t="s">
        <v>38</v>
      </c>
      <c r="N3577" t="s">
        <v>16</v>
      </c>
    </row>
    <row r="3578" spans="1:14" x14ac:dyDescent="0.3">
      <c r="A3578">
        <v>2024004576</v>
      </c>
      <c r="B3578" s="1">
        <v>45534</v>
      </c>
      <c r="C3578" s="11">
        <f t="shared" si="165"/>
        <v>2024</v>
      </c>
      <c r="D3578" t="s">
        <v>209</v>
      </c>
      <c r="E3578" t="s">
        <v>53</v>
      </c>
      <c r="F3578" t="s">
        <v>54</v>
      </c>
      <c r="G3578" t="s">
        <v>36</v>
      </c>
      <c r="H3578">
        <v>1</v>
      </c>
      <c r="I3578" s="2">
        <v>113.46</v>
      </c>
      <c r="J3578" s="2">
        <v>113.46</v>
      </c>
      <c r="K3578" s="2">
        <f t="shared" si="166"/>
        <v>113.46</v>
      </c>
      <c r="L3578" s="2">
        <f t="shared" si="167"/>
        <v>0</v>
      </c>
      <c r="M3578" t="s">
        <v>64</v>
      </c>
      <c r="N3578" t="s">
        <v>16</v>
      </c>
    </row>
    <row r="3579" spans="1:14" x14ac:dyDescent="0.3">
      <c r="A3579">
        <v>2024004577</v>
      </c>
      <c r="B3579" s="1">
        <v>45576</v>
      </c>
      <c r="C3579" s="11">
        <f t="shared" si="165"/>
        <v>2024</v>
      </c>
      <c r="D3579" t="s">
        <v>259</v>
      </c>
      <c r="E3579" t="s">
        <v>46</v>
      </c>
      <c r="F3579" t="s">
        <v>47</v>
      </c>
      <c r="G3579" t="s">
        <v>36</v>
      </c>
      <c r="H3579">
        <v>2</v>
      </c>
      <c r="I3579" s="2">
        <v>99.67</v>
      </c>
      <c r="J3579" s="2">
        <v>199.34</v>
      </c>
      <c r="K3579" s="2">
        <f t="shared" si="166"/>
        <v>199.34</v>
      </c>
      <c r="L3579" s="2">
        <f t="shared" si="167"/>
        <v>0</v>
      </c>
      <c r="M3579" t="s">
        <v>15</v>
      </c>
      <c r="N3579" t="s">
        <v>16</v>
      </c>
    </row>
    <row r="3580" spans="1:14" x14ac:dyDescent="0.3">
      <c r="A3580">
        <v>2024004578</v>
      </c>
      <c r="B3580" s="1">
        <v>45511</v>
      </c>
      <c r="C3580" s="11">
        <f t="shared" si="165"/>
        <v>2024</v>
      </c>
      <c r="D3580" t="s">
        <v>69</v>
      </c>
      <c r="E3580" t="s">
        <v>67</v>
      </c>
      <c r="F3580" t="s">
        <v>68</v>
      </c>
      <c r="G3580" t="s">
        <v>36</v>
      </c>
      <c r="H3580">
        <v>1</v>
      </c>
      <c r="I3580" s="2">
        <v>352.18</v>
      </c>
      <c r="J3580" s="2">
        <v>352.18</v>
      </c>
      <c r="K3580" s="2">
        <f t="shared" si="166"/>
        <v>352.18</v>
      </c>
      <c r="L3580" s="2">
        <f t="shared" si="167"/>
        <v>0</v>
      </c>
      <c r="M3580" t="s">
        <v>15</v>
      </c>
      <c r="N3580" t="s">
        <v>16</v>
      </c>
    </row>
    <row r="3581" spans="1:14" x14ac:dyDescent="0.3">
      <c r="A3581">
        <v>2024004579</v>
      </c>
      <c r="B3581" s="1">
        <v>45625</v>
      </c>
      <c r="C3581" s="11">
        <f t="shared" si="165"/>
        <v>2024</v>
      </c>
      <c r="D3581" t="s">
        <v>183</v>
      </c>
      <c r="E3581" t="s">
        <v>18</v>
      </c>
      <c r="F3581" t="s">
        <v>19</v>
      </c>
      <c r="G3581" t="s">
        <v>14</v>
      </c>
      <c r="H3581">
        <v>2</v>
      </c>
      <c r="I3581" s="2">
        <v>650.96</v>
      </c>
      <c r="J3581" s="2">
        <v>1301.92</v>
      </c>
      <c r="K3581" s="2">
        <f t="shared" si="166"/>
        <v>1301.92</v>
      </c>
      <c r="L3581" s="2">
        <f t="shared" si="167"/>
        <v>0</v>
      </c>
      <c r="M3581" t="s">
        <v>20</v>
      </c>
      <c r="N3581" t="s">
        <v>32</v>
      </c>
    </row>
    <row r="3582" spans="1:14" x14ac:dyDescent="0.3">
      <c r="A3582">
        <v>2024004580</v>
      </c>
      <c r="B3582" s="1">
        <v>45562</v>
      </c>
      <c r="C3582" s="11">
        <f t="shared" si="165"/>
        <v>2024</v>
      </c>
      <c r="D3582" t="s">
        <v>299</v>
      </c>
      <c r="E3582" t="s">
        <v>28</v>
      </c>
      <c r="F3582" t="s">
        <v>29</v>
      </c>
      <c r="G3582" t="s">
        <v>30</v>
      </c>
      <c r="H3582">
        <v>4</v>
      </c>
      <c r="I3582" s="2">
        <v>27.33</v>
      </c>
      <c r="J3582" s="2">
        <v>109.32</v>
      </c>
      <c r="K3582" s="2">
        <f t="shared" si="166"/>
        <v>109.32</v>
      </c>
      <c r="L3582" s="2">
        <f t="shared" si="167"/>
        <v>0</v>
      </c>
      <c r="M3582" t="s">
        <v>15</v>
      </c>
      <c r="N3582" t="s">
        <v>16</v>
      </c>
    </row>
    <row r="3583" spans="1:14" x14ac:dyDescent="0.3">
      <c r="A3583">
        <v>2024004581</v>
      </c>
      <c r="B3583" s="1">
        <v>45271</v>
      </c>
      <c r="C3583" s="11">
        <f t="shared" si="165"/>
        <v>2023</v>
      </c>
      <c r="D3583" t="s">
        <v>207</v>
      </c>
      <c r="E3583" t="s">
        <v>43</v>
      </c>
      <c r="F3583" t="s">
        <v>44</v>
      </c>
      <c r="G3583" t="s">
        <v>36</v>
      </c>
      <c r="H3583">
        <v>2</v>
      </c>
      <c r="I3583" s="2">
        <v>1234.17</v>
      </c>
      <c r="J3583" s="2">
        <v>2468.34</v>
      </c>
      <c r="K3583" s="2">
        <f t="shared" si="166"/>
        <v>2468.34</v>
      </c>
      <c r="L3583" s="2">
        <f t="shared" si="167"/>
        <v>0</v>
      </c>
      <c r="M3583" t="s">
        <v>61</v>
      </c>
      <c r="N3583" t="s">
        <v>26</v>
      </c>
    </row>
    <row r="3584" spans="1:14" x14ac:dyDescent="0.3">
      <c r="A3584">
        <v>2024004582</v>
      </c>
      <c r="B3584" s="1">
        <v>45648</v>
      </c>
      <c r="C3584" s="11">
        <f t="shared" si="165"/>
        <v>2024</v>
      </c>
      <c r="D3584" t="s">
        <v>313</v>
      </c>
      <c r="E3584" t="s">
        <v>12</v>
      </c>
      <c r="F3584" t="s">
        <v>13</v>
      </c>
      <c r="G3584" t="s">
        <v>14</v>
      </c>
      <c r="H3584">
        <v>1</v>
      </c>
      <c r="I3584" s="2">
        <v>343.29</v>
      </c>
      <c r="J3584" s="2">
        <v>343.29</v>
      </c>
      <c r="K3584" s="2">
        <f t="shared" si="166"/>
        <v>343.29</v>
      </c>
      <c r="L3584" s="2">
        <f t="shared" si="167"/>
        <v>0</v>
      </c>
      <c r="M3584" t="s">
        <v>38</v>
      </c>
      <c r="N3584" t="s">
        <v>26</v>
      </c>
    </row>
    <row r="3585" spans="1:14" x14ac:dyDescent="0.3">
      <c r="A3585">
        <v>2024004583</v>
      </c>
      <c r="B3585" s="1">
        <v>45300</v>
      </c>
      <c r="C3585" s="11">
        <f t="shared" si="165"/>
        <v>2024</v>
      </c>
      <c r="D3585" t="s">
        <v>170</v>
      </c>
      <c r="E3585" t="s">
        <v>46</v>
      </c>
      <c r="F3585" t="s">
        <v>47</v>
      </c>
      <c r="G3585" t="s">
        <v>36</v>
      </c>
      <c r="H3585">
        <v>1</v>
      </c>
      <c r="I3585" s="2">
        <v>89.46</v>
      </c>
      <c r="J3585" s="2">
        <v>89.46</v>
      </c>
      <c r="K3585" s="2">
        <f t="shared" si="166"/>
        <v>89.46</v>
      </c>
      <c r="L3585" s="2">
        <f t="shared" si="167"/>
        <v>0</v>
      </c>
      <c r="M3585" t="s">
        <v>20</v>
      </c>
      <c r="N3585" t="s">
        <v>21</v>
      </c>
    </row>
    <row r="3586" spans="1:14" x14ac:dyDescent="0.3">
      <c r="A3586">
        <v>2024004584</v>
      </c>
      <c r="B3586" s="1">
        <v>45294</v>
      </c>
      <c r="C3586" s="11">
        <f t="shared" si="165"/>
        <v>2024</v>
      </c>
      <c r="D3586" t="s">
        <v>194</v>
      </c>
      <c r="E3586" t="s">
        <v>67</v>
      </c>
      <c r="F3586" t="s">
        <v>68</v>
      </c>
      <c r="G3586" t="s">
        <v>36</v>
      </c>
      <c r="H3586">
        <v>5</v>
      </c>
      <c r="I3586" s="2">
        <v>403.23</v>
      </c>
      <c r="J3586" s="2">
        <v>2016.15</v>
      </c>
      <c r="K3586" s="2">
        <f t="shared" si="166"/>
        <v>2016.15</v>
      </c>
      <c r="L3586" s="2">
        <f t="shared" si="167"/>
        <v>0</v>
      </c>
      <c r="M3586" t="s">
        <v>31</v>
      </c>
      <c r="N3586" t="s">
        <v>21</v>
      </c>
    </row>
    <row r="3587" spans="1:14" x14ac:dyDescent="0.3">
      <c r="A3587">
        <v>2024004585</v>
      </c>
      <c r="B3587" s="1">
        <v>45538</v>
      </c>
      <c r="C3587" s="11">
        <f t="shared" ref="C3587:C3650" si="168">YEAR(B3587)</f>
        <v>2024</v>
      </c>
      <c r="D3587" t="s">
        <v>126</v>
      </c>
      <c r="E3587" t="s">
        <v>12</v>
      </c>
      <c r="F3587" t="s">
        <v>13</v>
      </c>
      <c r="G3587" t="s">
        <v>14</v>
      </c>
      <c r="H3587">
        <v>5</v>
      </c>
      <c r="I3587" s="2">
        <v>372.52</v>
      </c>
      <c r="J3587" s="2">
        <v>1862.6</v>
      </c>
      <c r="K3587" s="2">
        <f t="shared" ref="K3587:K3650" si="169">I3587*H3587</f>
        <v>1862.6</v>
      </c>
      <c r="L3587" s="2">
        <f t="shared" ref="L3587:L3650" si="170">J3587-K3587</f>
        <v>0</v>
      </c>
      <c r="M3587" t="s">
        <v>25</v>
      </c>
      <c r="N3587" t="s">
        <v>32</v>
      </c>
    </row>
    <row r="3588" spans="1:14" x14ac:dyDescent="0.3">
      <c r="A3588">
        <v>2024004586</v>
      </c>
      <c r="B3588" s="1">
        <v>45468</v>
      </c>
      <c r="C3588" s="11">
        <f t="shared" si="168"/>
        <v>2024</v>
      </c>
      <c r="D3588" t="s">
        <v>150</v>
      </c>
      <c r="E3588" t="s">
        <v>28</v>
      </c>
      <c r="F3588" t="s">
        <v>29</v>
      </c>
      <c r="G3588" t="s">
        <v>30</v>
      </c>
      <c r="H3588">
        <v>1</v>
      </c>
      <c r="I3588" s="2">
        <v>24.76</v>
      </c>
      <c r="J3588" s="2">
        <v>24.76</v>
      </c>
      <c r="K3588" s="2">
        <f t="shared" si="169"/>
        <v>24.76</v>
      </c>
      <c r="L3588" s="2">
        <f t="shared" si="170"/>
        <v>0</v>
      </c>
      <c r="M3588" t="s">
        <v>55</v>
      </c>
      <c r="N3588" t="s">
        <v>16</v>
      </c>
    </row>
    <row r="3589" spans="1:14" x14ac:dyDescent="0.3">
      <c r="A3589">
        <v>2024004587</v>
      </c>
      <c r="B3589" s="1">
        <v>45520</v>
      </c>
      <c r="C3589" s="11">
        <f t="shared" si="168"/>
        <v>2024</v>
      </c>
      <c r="D3589" t="s">
        <v>92</v>
      </c>
      <c r="E3589" t="s">
        <v>28</v>
      </c>
      <c r="F3589" t="s">
        <v>29</v>
      </c>
      <c r="G3589" t="s">
        <v>30</v>
      </c>
      <c r="H3589">
        <v>2</v>
      </c>
      <c r="I3589" s="2">
        <v>26.04</v>
      </c>
      <c r="J3589" s="2">
        <v>52.08</v>
      </c>
      <c r="K3589" s="2">
        <f t="shared" si="169"/>
        <v>52.08</v>
      </c>
      <c r="L3589" s="2">
        <f t="shared" si="170"/>
        <v>0</v>
      </c>
      <c r="M3589" t="s">
        <v>57</v>
      </c>
      <c r="N3589" t="s">
        <v>16</v>
      </c>
    </row>
    <row r="3590" spans="1:14" x14ac:dyDescent="0.3">
      <c r="A3590">
        <v>2024004588</v>
      </c>
      <c r="B3590" s="1">
        <v>45602</v>
      </c>
      <c r="C3590" s="11">
        <f t="shared" si="168"/>
        <v>2024</v>
      </c>
      <c r="D3590" t="s">
        <v>183</v>
      </c>
      <c r="E3590" t="s">
        <v>18</v>
      </c>
      <c r="F3590" t="s">
        <v>19</v>
      </c>
      <c r="G3590" t="s">
        <v>14</v>
      </c>
      <c r="H3590">
        <v>1</v>
      </c>
      <c r="I3590" s="2">
        <v>609.70000000000005</v>
      </c>
      <c r="J3590" s="2">
        <v>609.70000000000005</v>
      </c>
      <c r="K3590" s="2">
        <f t="shared" si="169"/>
        <v>609.70000000000005</v>
      </c>
      <c r="L3590" s="2">
        <f t="shared" si="170"/>
        <v>0</v>
      </c>
      <c r="M3590" t="s">
        <v>48</v>
      </c>
      <c r="N3590" t="s">
        <v>32</v>
      </c>
    </row>
    <row r="3591" spans="1:14" x14ac:dyDescent="0.3">
      <c r="A3591">
        <v>2024004589</v>
      </c>
      <c r="B3591" s="1">
        <v>45393</v>
      </c>
      <c r="C3591" s="11">
        <f t="shared" si="168"/>
        <v>2024</v>
      </c>
      <c r="D3591" t="s">
        <v>164</v>
      </c>
      <c r="E3591" t="s">
        <v>34</v>
      </c>
      <c r="F3591" t="s">
        <v>35</v>
      </c>
      <c r="G3591" t="s">
        <v>36</v>
      </c>
      <c r="H3591">
        <v>1</v>
      </c>
      <c r="I3591" s="2">
        <v>14.11</v>
      </c>
      <c r="J3591" s="2">
        <v>14.11</v>
      </c>
      <c r="K3591" s="2">
        <f t="shared" si="169"/>
        <v>14.11</v>
      </c>
      <c r="L3591" s="2">
        <f t="shared" si="170"/>
        <v>0</v>
      </c>
      <c r="M3591" t="s">
        <v>20</v>
      </c>
      <c r="N3591" t="s">
        <v>21</v>
      </c>
    </row>
    <row r="3592" spans="1:14" x14ac:dyDescent="0.3">
      <c r="A3592">
        <v>2024004590</v>
      </c>
      <c r="B3592" s="1">
        <v>45520</v>
      </c>
      <c r="C3592" s="11">
        <f t="shared" si="168"/>
        <v>2024</v>
      </c>
      <c r="D3592" t="s">
        <v>69</v>
      </c>
      <c r="E3592" t="s">
        <v>40</v>
      </c>
      <c r="F3592" t="s">
        <v>41</v>
      </c>
      <c r="G3592" t="s">
        <v>36</v>
      </c>
      <c r="H3592">
        <v>3</v>
      </c>
      <c r="I3592" s="2">
        <v>44.96</v>
      </c>
      <c r="J3592" s="2">
        <v>134.88</v>
      </c>
      <c r="K3592" s="2">
        <f t="shared" si="169"/>
        <v>134.88</v>
      </c>
      <c r="L3592" s="2">
        <f t="shared" si="170"/>
        <v>0</v>
      </c>
      <c r="M3592" t="s">
        <v>38</v>
      </c>
      <c r="N3592" t="s">
        <v>26</v>
      </c>
    </row>
    <row r="3593" spans="1:14" x14ac:dyDescent="0.3">
      <c r="A3593">
        <v>2024004591</v>
      </c>
      <c r="B3593" s="1">
        <v>45373</v>
      </c>
      <c r="C3593" s="11">
        <f t="shared" si="168"/>
        <v>2024</v>
      </c>
      <c r="D3593" t="s">
        <v>294</v>
      </c>
      <c r="E3593" t="s">
        <v>43</v>
      </c>
      <c r="F3593" t="s">
        <v>44</v>
      </c>
      <c r="G3593" t="s">
        <v>36</v>
      </c>
      <c r="H3593">
        <v>3</v>
      </c>
      <c r="I3593" s="2">
        <v>1135.4100000000001</v>
      </c>
      <c r="J3593" s="2">
        <v>3406.23</v>
      </c>
      <c r="K3593" s="2">
        <f t="shared" si="169"/>
        <v>3406.2300000000005</v>
      </c>
      <c r="L3593" s="2">
        <f t="shared" si="170"/>
        <v>0</v>
      </c>
      <c r="M3593" t="s">
        <v>64</v>
      </c>
      <c r="N3593" t="s">
        <v>26</v>
      </c>
    </row>
    <row r="3594" spans="1:14" x14ac:dyDescent="0.3">
      <c r="A3594">
        <v>2024004592</v>
      </c>
      <c r="B3594" s="1">
        <v>45359</v>
      </c>
      <c r="C3594" s="11">
        <f t="shared" si="168"/>
        <v>2024</v>
      </c>
      <c r="D3594" t="s">
        <v>11</v>
      </c>
      <c r="E3594" t="s">
        <v>12</v>
      </c>
      <c r="F3594" t="s">
        <v>13</v>
      </c>
      <c r="G3594" t="s">
        <v>14</v>
      </c>
      <c r="H3594">
        <v>1</v>
      </c>
      <c r="I3594" s="2">
        <v>356.86</v>
      </c>
      <c r="J3594" s="2">
        <v>356.86</v>
      </c>
      <c r="K3594" s="2">
        <f t="shared" si="169"/>
        <v>356.86</v>
      </c>
      <c r="L3594" s="2">
        <f t="shared" si="170"/>
        <v>0</v>
      </c>
      <c r="M3594" t="s">
        <v>38</v>
      </c>
      <c r="N3594" t="s">
        <v>32</v>
      </c>
    </row>
    <row r="3595" spans="1:14" x14ac:dyDescent="0.3">
      <c r="A3595">
        <v>2024004593</v>
      </c>
      <c r="B3595" s="1">
        <v>45344</v>
      </c>
      <c r="C3595" s="11">
        <f t="shared" si="168"/>
        <v>2024</v>
      </c>
      <c r="D3595" t="s">
        <v>109</v>
      </c>
      <c r="E3595" t="s">
        <v>46</v>
      </c>
      <c r="F3595" t="s">
        <v>47</v>
      </c>
      <c r="G3595" t="s">
        <v>36</v>
      </c>
      <c r="H3595">
        <v>1</v>
      </c>
      <c r="I3595" s="2">
        <v>92.63</v>
      </c>
      <c r="J3595" s="2">
        <v>92.63</v>
      </c>
      <c r="K3595" s="2">
        <f t="shared" si="169"/>
        <v>92.63</v>
      </c>
      <c r="L3595" s="2">
        <f t="shared" si="170"/>
        <v>0</v>
      </c>
      <c r="M3595" t="s">
        <v>38</v>
      </c>
      <c r="N3595" t="s">
        <v>26</v>
      </c>
    </row>
    <row r="3596" spans="1:14" x14ac:dyDescent="0.3">
      <c r="A3596">
        <v>2024004594</v>
      </c>
      <c r="B3596" s="1">
        <v>45510</v>
      </c>
      <c r="C3596" s="11">
        <f t="shared" si="168"/>
        <v>2024</v>
      </c>
      <c r="D3596" t="s">
        <v>33</v>
      </c>
      <c r="E3596" t="s">
        <v>46</v>
      </c>
      <c r="F3596" t="s">
        <v>47</v>
      </c>
      <c r="G3596" t="s">
        <v>36</v>
      </c>
      <c r="H3596">
        <v>1</v>
      </c>
      <c r="I3596" s="2">
        <v>90.44</v>
      </c>
      <c r="J3596" s="2">
        <v>90.44</v>
      </c>
      <c r="K3596" s="2">
        <f t="shared" si="169"/>
        <v>90.44</v>
      </c>
      <c r="L3596" s="2">
        <f t="shared" si="170"/>
        <v>0</v>
      </c>
      <c r="M3596" t="s">
        <v>57</v>
      </c>
      <c r="N3596" t="s">
        <v>26</v>
      </c>
    </row>
    <row r="3597" spans="1:14" x14ac:dyDescent="0.3">
      <c r="A3597">
        <v>2024004595</v>
      </c>
      <c r="B3597" s="1">
        <v>45340</v>
      </c>
      <c r="C3597" s="11">
        <f t="shared" si="168"/>
        <v>2024</v>
      </c>
      <c r="D3597" t="s">
        <v>223</v>
      </c>
      <c r="E3597" t="s">
        <v>18</v>
      </c>
      <c r="F3597" t="s">
        <v>19</v>
      </c>
      <c r="G3597" t="s">
        <v>14</v>
      </c>
      <c r="H3597">
        <v>1</v>
      </c>
      <c r="I3597" s="2">
        <v>630.87</v>
      </c>
      <c r="J3597" s="2">
        <v>630.87</v>
      </c>
      <c r="K3597" s="2">
        <f t="shared" si="169"/>
        <v>630.87</v>
      </c>
      <c r="L3597" s="2">
        <f t="shared" si="170"/>
        <v>0</v>
      </c>
      <c r="M3597" t="s">
        <v>55</v>
      </c>
      <c r="N3597" t="s">
        <v>26</v>
      </c>
    </row>
    <row r="3598" spans="1:14" x14ac:dyDescent="0.3">
      <c r="A3598">
        <v>2024004596</v>
      </c>
      <c r="B3598" s="1">
        <v>45389</v>
      </c>
      <c r="C3598" s="11">
        <f t="shared" si="168"/>
        <v>2024</v>
      </c>
      <c r="D3598" t="s">
        <v>246</v>
      </c>
      <c r="E3598" t="s">
        <v>18</v>
      </c>
      <c r="F3598" t="s">
        <v>19</v>
      </c>
      <c r="G3598" t="s">
        <v>14</v>
      </c>
      <c r="H3598">
        <v>1</v>
      </c>
      <c r="I3598" s="2">
        <v>605.28</v>
      </c>
      <c r="J3598" s="2">
        <v>605.28</v>
      </c>
      <c r="K3598" s="2">
        <f t="shared" si="169"/>
        <v>605.28</v>
      </c>
      <c r="L3598" s="2">
        <f t="shared" si="170"/>
        <v>0</v>
      </c>
      <c r="M3598" t="s">
        <v>61</v>
      </c>
      <c r="N3598" t="s">
        <v>32</v>
      </c>
    </row>
    <row r="3599" spans="1:14" x14ac:dyDescent="0.3">
      <c r="A3599">
        <v>2024004597</v>
      </c>
      <c r="B3599" s="1">
        <v>45594</v>
      </c>
      <c r="C3599" s="11">
        <f t="shared" si="168"/>
        <v>2024</v>
      </c>
      <c r="D3599" t="s">
        <v>300</v>
      </c>
      <c r="E3599" t="s">
        <v>34</v>
      </c>
      <c r="F3599" t="s">
        <v>35</v>
      </c>
      <c r="G3599" t="s">
        <v>36</v>
      </c>
      <c r="H3599">
        <v>4</v>
      </c>
      <c r="I3599" s="2">
        <v>13.87</v>
      </c>
      <c r="J3599" s="2">
        <v>55.48</v>
      </c>
      <c r="K3599" s="2">
        <f t="shared" si="169"/>
        <v>55.48</v>
      </c>
      <c r="L3599" s="2">
        <f t="shared" si="170"/>
        <v>0</v>
      </c>
      <c r="M3599" t="s">
        <v>31</v>
      </c>
      <c r="N3599" t="s">
        <v>21</v>
      </c>
    </row>
    <row r="3600" spans="1:14" x14ac:dyDescent="0.3">
      <c r="A3600">
        <v>2024004598</v>
      </c>
      <c r="B3600" s="1">
        <v>45618</v>
      </c>
      <c r="C3600" s="11">
        <f t="shared" si="168"/>
        <v>2024</v>
      </c>
      <c r="D3600" t="s">
        <v>11</v>
      </c>
      <c r="E3600" t="s">
        <v>28</v>
      </c>
      <c r="F3600" t="s">
        <v>29</v>
      </c>
      <c r="G3600" t="s">
        <v>30</v>
      </c>
      <c r="H3600">
        <v>1</v>
      </c>
      <c r="I3600" s="2">
        <v>24.74</v>
      </c>
      <c r="J3600" s="2">
        <v>24.74</v>
      </c>
      <c r="K3600" s="2">
        <f t="shared" si="169"/>
        <v>24.74</v>
      </c>
      <c r="L3600" s="2">
        <f t="shared" si="170"/>
        <v>0</v>
      </c>
      <c r="M3600" t="s">
        <v>20</v>
      </c>
      <c r="N3600" t="s">
        <v>32</v>
      </c>
    </row>
    <row r="3601" spans="1:14" x14ac:dyDescent="0.3">
      <c r="A3601">
        <v>2024004599</v>
      </c>
      <c r="B3601" s="1">
        <v>45503</v>
      </c>
      <c r="C3601" s="11">
        <f t="shared" si="168"/>
        <v>2024</v>
      </c>
      <c r="D3601" t="s">
        <v>335</v>
      </c>
      <c r="E3601" t="s">
        <v>12</v>
      </c>
      <c r="F3601" t="s">
        <v>13</v>
      </c>
      <c r="G3601" t="s">
        <v>14</v>
      </c>
      <c r="H3601">
        <v>1</v>
      </c>
      <c r="I3601" s="2">
        <v>359.61</v>
      </c>
      <c r="J3601" s="2">
        <v>359.61</v>
      </c>
      <c r="K3601" s="2">
        <f t="shared" si="169"/>
        <v>359.61</v>
      </c>
      <c r="L3601" s="2">
        <f t="shared" si="170"/>
        <v>0</v>
      </c>
      <c r="M3601" t="s">
        <v>61</v>
      </c>
      <c r="N3601" t="s">
        <v>21</v>
      </c>
    </row>
    <row r="3602" spans="1:14" x14ac:dyDescent="0.3">
      <c r="A3602">
        <v>2024004600</v>
      </c>
      <c r="B3602" s="1">
        <v>45521</v>
      </c>
      <c r="C3602" s="11">
        <f t="shared" si="168"/>
        <v>2024</v>
      </c>
      <c r="D3602" t="s">
        <v>63</v>
      </c>
      <c r="E3602" t="s">
        <v>43</v>
      </c>
      <c r="F3602" t="s">
        <v>44</v>
      </c>
      <c r="G3602" t="s">
        <v>36</v>
      </c>
      <c r="H3602">
        <v>2</v>
      </c>
      <c r="I3602" s="2">
        <v>1155.77</v>
      </c>
      <c r="J3602" s="2">
        <v>2311.54</v>
      </c>
      <c r="K3602" s="2">
        <f t="shared" si="169"/>
        <v>2311.54</v>
      </c>
      <c r="L3602" s="2">
        <f t="shared" si="170"/>
        <v>0</v>
      </c>
      <c r="M3602" t="s">
        <v>25</v>
      </c>
      <c r="N3602" t="s">
        <v>32</v>
      </c>
    </row>
    <row r="3603" spans="1:14" x14ac:dyDescent="0.3">
      <c r="A3603">
        <v>2024004601</v>
      </c>
      <c r="B3603" s="1">
        <v>45645</v>
      </c>
      <c r="C3603" s="11">
        <f t="shared" si="168"/>
        <v>2024</v>
      </c>
      <c r="D3603" t="s">
        <v>341</v>
      </c>
      <c r="E3603" t="s">
        <v>46</v>
      </c>
      <c r="F3603" t="s">
        <v>47</v>
      </c>
      <c r="G3603" t="s">
        <v>36</v>
      </c>
      <c r="H3603">
        <v>1</v>
      </c>
      <c r="I3603" s="2">
        <v>90.49</v>
      </c>
      <c r="J3603" s="2">
        <v>90.49</v>
      </c>
      <c r="K3603" s="2">
        <f t="shared" si="169"/>
        <v>90.49</v>
      </c>
      <c r="L3603" s="2">
        <f t="shared" si="170"/>
        <v>0</v>
      </c>
      <c r="M3603" t="s">
        <v>57</v>
      </c>
      <c r="N3603" t="s">
        <v>32</v>
      </c>
    </row>
    <row r="3604" spans="1:14" x14ac:dyDescent="0.3">
      <c r="A3604">
        <v>2024004602</v>
      </c>
      <c r="B3604" s="1">
        <v>45303</v>
      </c>
      <c r="C3604" s="11">
        <f t="shared" si="168"/>
        <v>2024</v>
      </c>
      <c r="D3604" t="s">
        <v>278</v>
      </c>
      <c r="E3604" t="s">
        <v>23</v>
      </c>
      <c r="F3604" t="s">
        <v>24</v>
      </c>
      <c r="G3604" t="s">
        <v>14</v>
      </c>
      <c r="H3604">
        <v>2</v>
      </c>
      <c r="I3604" s="2">
        <v>80.03</v>
      </c>
      <c r="J3604" s="2">
        <v>160.06</v>
      </c>
      <c r="K3604" s="2">
        <f t="shared" si="169"/>
        <v>160.06</v>
      </c>
      <c r="L3604" s="2">
        <f t="shared" si="170"/>
        <v>0</v>
      </c>
      <c r="M3604" t="s">
        <v>38</v>
      </c>
      <c r="N3604" t="s">
        <v>21</v>
      </c>
    </row>
    <row r="3605" spans="1:14" x14ac:dyDescent="0.3">
      <c r="A3605">
        <v>2024004603</v>
      </c>
      <c r="B3605" s="1">
        <v>45349</v>
      </c>
      <c r="C3605" s="11">
        <f t="shared" si="168"/>
        <v>2024</v>
      </c>
      <c r="D3605" t="s">
        <v>317</v>
      </c>
      <c r="E3605" t="s">
        <v>18</v>
      </c>
      <c r="F3605" t="s">
        <v>19</v>
      </c>
      <c r="G3605" t="s">
        <v>14</v>
      </c>
      <c r="H3605">
        <v>1</v>
      </c>
      <c r="I3605" s="2">
        <v>648.29</v>
      </c>
      <c r="J3605" s="2">
        <v>648.29</v>
      </c>
      <c r="K3605" s="2">
        <f t="shared" si="169"/>
        <v>648.29</v>
      </c>
      <c r="L3605" s="2">
        <f t="shared" si="170"/>
        <v>0</v>
      </c>
      <c r="M3605" t="s">
        <v>20</v>
      </c>
      <c r="N3605" t="s">
        <v>21</v>
      </c>
    </row>
    <row r="3606" spans="1:14" x14ac:dyDescent="0.3">
      <c r="A3606">
        <v>2024004604</v>
      </c>
      <c r="B3606" s="1">
        <v>45337</v>
      </c>
      <c r="C3606" s="11">
        <f t="shared" si="168"/>
        <v>2024</v>
      </c>
      <c r="D3606" t="s">
        <v>240</v>
      </c>
      <c r="E3606" t="s">
        <v>12</v>
      </c>
      <c r="F3606" t="s">
        <v>13</v>
      </c>
      <c r="G3606" t="s">
        <v>14</v>
      </c>
      <c r="H3606">
        <v>1</v>
      </c>
      <c r="I3606" s="2">
        <v>344.03</v>
      </c>
      <c r="J3606" s="2">
        <v>344.03</v>
      </c>
      <c r="K3606" s="2">
        <f t="shared" si="169"/>
        <v>344.03</v>
      </c>
      <c r="L3606" s="2">
        <f t="shared" si="170"/>
        <v>0</v>
      </c>
      <c r="M3606" t="s">
        <v>64</v>
      </c>
      <c r="N3606" t="s">
        <v>16</v>
      </c>
    </row>
    <row r="3607" spans="1:14" x14ac:dyDescent="0.3">
      <c r="A3607">
        <v>2024004605</v>
      </c>
      <c r="B3607" s="1">
        <v>45382</v>
      </c>
      <c r="C3607" s="11">
        <f t="shared" si="168"/>
        <v>2024</v>
      </c>
      <c r="D3607" t="s">
        <v>336</v>
      </c>
      <c r="E3607" t="s">
        <v>53</v>
      </c>
      <c r="F3607" t="s">
        <v>54</v>
      </c>
      <c r="G3607" t="s">
        <v>36</v>
      </c>
      <c r="H3607">
        <v>1</v>
      </c>
      <c r="I3607" s="2">
        <v>119.26</v>
      </c>
      <c r="J3607" s="2">
        <v>119.26</v>
      </c>
      <c r="K3607" s="2">
        <f t="shared" si="169"/>
        <v>119.26</v>
      </c>
      <c r="L3607" s="2">
        <f t="shared" si="170"/>
        <v>0</v>
      </c>
      <c r="M3607" t="s">
        <v>48</v>
      </c>
      <c r="N3607" t="s">
        <v>21</v>
      </c>
    </row>
    <row r="3608" spans="1:14" x14ac:dyDescent="0.3">
      <c r="A3608">
        <v>2024004606</v>
      </c>
      <c r="B3608" s="1">
        <v>45563</v>
      </c>
      <c r="C3608" s="11">
        <f t="shared" si="168"/>
        <v>2024</v>
      </c>
      <c r="D3608" t="s">
        <v>66</v>
      </c>
      <c r="E3608" t="s">
        <v>28</v>
      </c>
      <c r="F3608" t="s">
        <v>29</v>
      </c>
      <c r="G3608" t="s">
        <v>30</v>
      </c>
      <c r="H3608">
        <v>4</v>
      </c>
      <c r="I3608" s="2">
        <v>25.78</v>
      </c>
      <c r="J3608" s="2">
        <v>103.12</v>
      </c>
      <c r="K3608" s="2">
        <f t="shared" si="169"/>
        <v>103.12</v>
      </c>
      <c r="L3608" s="2">
        <f t="shared" si="170"/>
        <v>0</v>
      </c>
      <c r="M3608" t="s">
        <v>15</v>
      </c>
      <c r="N3608" t="s">
        <v>32</v>
      </c>
    </row>
    <row r="3609" spans="1:14" x14ac:dyDescent="0.3">
      <c r="A3609">
        <v>2024004607</v>
      </c>
      <c r="B3609" s="1">
        <v>45657</v>
      </c>
      <c r="C3609" s="11">
        <f t="shared" si="168"/>
        <v>2024</v>
      </c>
      <c r="D3609" t="s">
        <v>273</v>
      </c>
      <c r="E3609" t="s">
        <v>34</v>
      </c>
      <c r="F3609" t="s">
        <v>35</v>
      </c>
      <c r="G3609" t="s">
        <v>36</v>
      </c>
      <c r="H3609">
        <v>5</v>
      </c>
      <c r="I3609" s="2">
        <v>15.87</v>
      </c>
      <c r="J3609" s="2">
        <v>79.349999999999994</v>
      </c>
      <c r="K3609" s="2">
        <f t="shared" si="169"/>
        <v>79.349999999999994</v>
      </c>
      <c r="L3609" s="2">
        <f t="shared" si="170"/>
        <v>0</v>
      </c>
      <c r="M3609" t="s">
        <v>15</v>
      </c>
      <c r="N3609" t="s">
        <v>26</v>
      </c>
    </row>
    <row r="3610" spans="1:14" x14ac:dyDescent="0.3">
      <c r="A3610">
        <v>2024004608</v>
      </c>
      <c r="B3610" s="1">
        <v>45525</v>
      </c>
      <c r="C3610" s="11">
        <f t="shared" si="168"/>
        <v>2024</v>
      </c>
      <c r="D3610" t="s">
        <v>323</v>
      </c>
      <c r="E3610" t="s">
        <v>43</v>
      </c>
      <c r="F3610" t="s">
        <v>44</v>
      </c>
      <c r="G3610" t="s">
        <v>36</v>
      </c>
      <c r="H3610">
        <v>2</v>
      </c>
      <c r="I3610" s="2">
        <v>1266.99</v>
      </c>
      <c r="J3610" s="2">
        <v>2533.98</v>
      </c>
      <c r="K3610" s="2">
        <f t="shared" si="169"/>
        <v>2533.98</v>
      </c>
      <c r="L3610" s="2">
        <f t="shared" si="170"/>
        <v>0</v>
      </c>
      <c r="M3610" t="s">
        <v>38</v>
      </c>
      <c r="N3610" t="s">
        <v>16</v>
      </c>
    </row>
    <row r="3611" spans="1:14" x14ac:dyDescent="0.3">
      <c r="A3611">
        <v>2024004609</v>
      </c>
      <c r="B3611" s="1">
        <v>45648</v>
      </c>
      <c r="C3611" s="11">
        <f t="shared" si="168"/>
        <v>2024</v>
      </c>
      <c r="D3611" t="s">
        <v>112</v>
      </c>
      <c r="E3611" t="s">
        <v>12</v>
      </c>
      <c r="F3611" t="s">
        <v>13</v>
      </c>
      <c r="G3611" t="s">
        <v>14</v>
      </c>
      <c r="H3611">
        <v>2</v>
      </c>
      <c r="I3611" s="2">
        <v>366.87</v>
      </c>
      <c r="J3611" s="2">
        <v>733.74</v>
      </c>
      <c r="K3611" s="2">
        <f t="shared" si="169"/>
        <v>733.74</v>
      </c>
      <c r="L3611" s="2">
        <f t="shared" si="170"/>
        <v>0</v>
      </c>
      <c r="M3611" t="s">
        <v>38</v>
      </c>
      <c r="N3611" t="s">
        <v>21</v>
      </c>
    </row>
    <row r="3612" spans="1:14" x14ac:dyDescent="0.3">
      <c r="A3612">
        <v>2024004610</v>
      </c>
      <c r="B3612" s="1">
        <v>45631</v>
      </c>
      <c r="C3612" s="11">
        <f t="shared" si="168"/>
        <v>2024</v>
      </c>
      <c r="D3612" t="s">
        <v>178</v>
      </c>
      <c r="E3612" t="s">
        <v>12</v>
      </c>
      <c r="F3612" t="s">
        <v>13</v>
      </c>
      <c r="G3612" t="s">
        <v>14</v>
      </c>
      <c r="H3612">
        <v>1</v>
      </c>
      <c r="I3612" s="2">
        <v>364.87</v>
      </c>
      <c r="J3612" s="2">
        <v>364.87</v>
      </c>
      <c r="K3612" s="2">
        <f t="shared" si="169"/>
        <v>364.87</v>
      </c>
      <c r="L3612" s="2">
        <f t="shared" si="170"/>
        <v>0</v>
      </c>
      <c r="M3612" t="s">
        <v>25</v>
      </c>
      <c r="N3612" t="s">
        <v>16</v>
      </c>
    </row>
    <row r="3613" spans="1:14" x14ac:dyDescent="0.3">
      <c r="A3613">
        <v>2024004611</v>
      </c>
      <c r="B3613" s="1">
        <v>45646</v>
      </c>
      <c r="C3613" s="11">
        <f t="shared" si="168"/>
        <v>2024</v>
      </c>
      <c r="D3613" t="s">
        <v>11</v>
      </c>
      <c r="E3613" t="s">
        <v>40</v>
      </c>
      <c r="F3613" t="s">
        <v>41</v>
      </c>
      <c r="G3613" t="s">
        <v>36</v>
      </c>
      <c r="H3613">
        <v>3</v>
      </c>
      <c r="I3613" s="2">
        <v>41.8</v>
      </c>
      <c r="J3613" s="2">
        <v>125.4</v>
      </c>
      <c r="K3613" s="2">
        <f t="shared" si="169"/>
        <v>125.39999999999999</v>
      </c>
      <c r="L3613" s="2">
        <f t="shared" si="170"/>
        <v>0</v>
      </c>
      <c r="M3613" t="s">
        <v>61</v>
      </c>
      <c r="N3613" t="s">
        <v>21</v>
      </c>
    </row>
    <row r="3614" spans="1:14" x14ac:dyDescent="0.3">
      <c r="A3614">
        <v>2024004612</v>
      </c>
      <c r="B3614" s="1">
        <v>45442</v>
      </c>
      <c r="C3614" s="11">
        <f t="shared" si="168"/>
        <v>2024</v>
      </c>
      <c r="D3614" t="s">
        <v>149</v>
      </c>
      <c r="E3614" t="s">
        <v>18</v>
      </c>
      <c r="F3614" t="s">
        <v>19</v>
      </c>
      <c r="G3614" t="s">
        <v>14</v>
      </c>
      <c r="H3614">
        <v>4</v>
      </c>
      <c r="I3614" s="2">
        <v>604.41999999999996</v>
      </c>
      <c r="J3614" s="2">
        <v>2417.6799999999998</v>
      </c>
      <c r="K3614" s="2">
        <f t="shared" si="169"/>
        <v>2417.6799999999998</v>
      </c>
      <c r="L3614" s="2">
        <f t="shared" si="170"/>
        <v>0</v>
      </c>
      <c r="M3614" t="s">
        <v>64</v>
      </c>
      <c r="N3614" t="s">
        <v>21</v>
      </c>
    </row>
    <row r="3615" spans="1:14" x14ac:dyDescent="0.3">
      <c r="A3615">
        <v>2024004613</v>
      </c>
      <c r="B3615" s="1">
        <v>45553</v>
      </c>
      <c r="C3615" s="11">
        <f t="shared" si="168"/>
        <v>2024</v>
      </c>
      <c r="D3615" t="s">
        <v>282</v>
      </c>
      <c r="E3615" t="s">
        <v>40</v>
      </c>
      <c r="F3615" t="s">
        <v>41</v>
      </c>
      <c r="G3615" t="s">
        <v>36</v>
      </c>
      <c r="H3615">
        <v>2</v>
      </c>
      <c r="I3615" s="2">
        <v>45.04</v>
      </c>
      <c r="J3615" s="2">
        <v>90.08</v>
      </c>
      <c r="K3615" s="2">
        <f t="shared" si="169"/>
        <v>90.08</v>
      </c>
      <c r="L3615" s="2">
        <f t="shared" si="170"/>
        <v>0</v>
      </c>
      <c r="M3615" t="s">
        <v>20</v>
      </c>
      <c r="N3615" t="s">
        <v>26</v>
      </c>
    </row>
    <row r="3616" spans="1:14" x14ac:dyDescent="0.3">
      <c r="A3616">
        <v>2024004614</v>
      </c>
      <c r="B3616" s="1">
        <v>45465</v>
      </c>
      <c r="C3616" s="11">
        <f t="shared" si="168"/>
        <v>2024</v>
      </c>
      <c r="D3616" t="s">
        <v>11</v>
      </c>
      <c r="E3616" t="s">
        <v>43</v>
      </c>
      <c r="F3616" t="s">
        <v>44</v>
      </c>
      <c r="G3616" t="s">
        <v>36</v>
      </c>
      <c r="H3616">
        <v>3</v>
      </c>
      <c r="I3616" s="2">
        <v>1215.0899999999999</v>
      </c>
      <c r="J3616" s="2">
        <v>3645.27</v>
      </c>
      <c r="K3616" s="2">
        <f t="shared" si="169"/>
        <v>3645.2699999999995</v>
      </c>
      <c r="L3616" s="2">
        <f t="shared" si="170"/>
        <v>0</v>
      </c>
      <c r="M3616" t="s">
        <v>55</v>
      </c>
      <c r="N3616" t="s">
        <v>32</v>
      </c>
    </row>
    <row r="3617" spans="1:14" x14ac:dyDescent="0.3">
      <c r="A3617">
        <v>2024004615</v>
      </c>
      <c r="B3617" s="1">
        <v>45549</v>
      </c>
      <c r="C3617" s="11">
        <f t="shared" si="168"/>
        <v>2024</v>
      </c>
      <c r="D3617" t="s">
        <v>114</v>
      </c>
      <c r="E3617" t="s">
        <v>43</v>
      </c>
      <c r="F3617" t="s">
        <v>44</v>
      </c>
      <c r="G3617" t="s">
        <v>36</v>
      </c>
      <c r="H3617">
        <v>4</v>
      </c>
      <c r="I3617" s="2">
        <v>1161</v>
      </c>
      <c r="J3617" s="2">
        <v>4644</v>
      </c>
      <c r="K3617" s="2">
        <f t="shared" si="169"/>
        <v>4644</v>
      </c>
      <c r="L3617" s="2">
        <f t="shared" si="170"/>
        <v>0</v>
      </c>
      <c r="M3617" t="s">
        <v>61</v>
      </c>
      <c r="N3617" t="s">
        <v>16</v>
      </c>
    </row>
    <row r="3618" spans="1:14" x14ac:dyDescent="0.3">
      <c r="A3618">
        <v>2024004616</v>
      </c>
      <c r="B3618" s="1">
        <v>45394</v>
      </c>
      <c r="C3618" s="11">
        <f t="shared" si="168"/>
        <v>2024</v>
      </c>
      <c r="D3618" t="s">
        <v>156</v>
      </c>
      <c r="E3618" t="s">
        <v>18</v>
      </c>
      <c r="F3618" t="s">
        <v>19</v>
      </c>
      <c r="G3618" t="s">
        <v>14</v>
      </c>
      <c r="H3618">
        <v>1</v>
      </c>
      <c r="I3618" s="2">
        <v>600.34</v>
      </c>
      <c r="J3618" s="2">
        <v>600.34</v>
      </c>
      <c r="K3618" s="2">
        <f t="shared" si="169"/>
        <v>600.34</v>
      </c>
      <c r="L3618" s="2">
        <f t="shared" si="170"/>
        <v>0</v>
      </c>
      <c r="M3618" t="s">
        <v>64</v>
      </c>
      <c r="N3618" t="s">
        <v>16</v>
      </c>
    </row>
    <row r="3619" spans="1:14" x14ac:dyDescent="0.3">
      <c r="A3619">
        <v>2024004617</v>
      </c>
      <c r="B3619" s="1">
        <v>45637</v>
      </c>
      <c r="C3619" s="11">
        <f t="shared" si="168"/>
        <v>2024</v>
      </c>
      <c r="D3619" t="s">
        <v>316</v>
      </c>
      <c r="E3619" t="s">
        <v>53</v>
      </c>
      <c r="F3619" t="s">
        <v>54</v>
      </c>
      <c r="G3619" t="s">
        <v>36</v>
      </c>
      <c r="H3619">
        <v>1</v>
      </c>
      <c r="I3619" s="2">
        <v>124.06</v>
      </c>
      <c r="J3619" s="2">
        <v>124.06</v>
      </c>
      <c r="K3619" s="2">
        <f t="shared" si="169"/>
        <v>124.06</v>
      </c>
      <c r="L3619" s="2">
        <f t="shared" si="170"/>
        <v>0</v>
      </c>
      <c r="M3619" t="s">
        <v>15</v>
      </c>
      <c r="N3619" t="s">
        <v>16</v>
      </c>
    </row>
    <row r="3620" spans="1:14" x14ac:dyDescent="0.3">
      <c r="A3620">
        <v>2024004618</v>
      </c>
      <c r="B3620" s="1">
        <v>45367</v>
      </c>
      <c r="C3620" s="11">
        <f t="shared" si="168"/>
        <v>2024</v>
      </c>
      <c r="D3620" t="s">
        <v>199</v>
      </c>
      <c r="E3620" t="s">
        <v>46</v>
      </c>
      <c r="F3620" t="s">
        <v>47</v>
      </c>
      <c r="G3620" t="s">
        <v>36</v>
      </c>
      <c r="H3620">
        <v>2</v>
      </c>
      <c r="I3620" s="2">
        <v>85.13</v>
      </c>
      <c r="J3620" s="2">
        <v>170.26</v>
      </c>
      <c r="K3620" s="2">
        <f t="shared" si="169"/>
        <v>170.26</v>
      </c>
      <c r="L3620" s="2">
        <f t="shared" si="170"/>
        <v>0</v>
      </c>
      <c r="M3620" t="s">
        <v>20</v>
      </c>
      <c r="N3620" t="s">
        <v>21</v>
      </c>
    </row>
    <row r="3621" spans="1:14" x14ac:dyDescent="0.3">
      <c r="A3621">
        <v>2024004619</v>
      </c>
      <c r="B3621" s="1">
        <v>45589</v>
      </c>
      <c r="C3621" s="11">
        <f t="shared" si="168"/>
        <v>2024</v>
      </c>
      <c r="D3621" t="s">
        <v>151</v>
      </c>
      <c r="E3621" t="s">
        <v>18</v>
      </c>
      <c r="F3621" t="s">
        <v>19</v>
      </c>
      <c r="G3621" t="s">
        <v>14</v>
      </c>
      <c r="H3621">
        <v>4</v>
      </c>
      <c r="I3621" s="2">
        <v>592.72</v>
      </c>
      <c r="J3621" s="2">
        <v>2370.88</v>
      </c>
      <c r="K3621" s="2">
        <f t="shared" si="169"/>
        <v>2370.88</v>
      </c>
      <c r="L3621" s="2">
        <f t="shared" si="170"/>
        <v>0</v>
      </c>
      <c r="M3621" t="s">
        <v>15</v>
      </c>
      <c r="N3621" t="s">
        <v>32</v>
      </c>
    </row>
    <row r="3622" spans="1:14" x14ac:dyDescent="0.3">
      <c r="A3622">
        <v>2024004620</v>
      </c>
      <c r="B3622" s="1">
        <v>45588</v>
      </c>
      <c r="C3622" s="11">
        <f t="shared" si="168"/>
        <v>2024</v>
      </c>
      <c r="D3622" t="s">
        <v>99</v>
      </c>
      <c r="E3622" t="s">
        <v>67</v>
      </c>
      <c r="F3622" t="s">
        <v>68</v>
      </c>
      <c r="G3622" t="s">
        <v>36</v>
      </c>
      <c r="H3622">
        <v>1</v>
      </c>
      <c r="I3622" s="2">
        <v>415.51</v>
      </c>
      <c r="J3622" s="2">
        <v>415.51</v>
      </c>
      <c r="K3622" s="2">
        <f t="shared" si="169"/>
        <v>415.51</v>
      </c>
      <c r="L3622" s="2">
        <f t="shared" si="170"/>
        <v>0</v>
      </c>
      <c r="M3622" t="s">
        <v>25</v>
      </c>
      <c r="N3622" t="s">
        <v>26</v>
      </c>
    </row>
    <row r="3623" spans="1:14" x14ac:dyDescent="0.3">
      <c r="A3623">
        <v>2024002144</v>
      </c>
      <c r="B3623" s="1">
        <v>45589</v>
      </c>
      <c r="C3623" s="11">
        <f t="shared" si="168"/>
        <v>2024</v>
      </c>
      <c r="D3623" t="s">
        <v>244</v>
      </c>
      <c r="E3623" t="s">
        <v>40</v>
      </c>
      <c r="F3623" t="s">
        <v>41</v>
      </c>
      <c r="G3623" t="s">
        <v>36</v>
      </c>
      <c r="H3623">
        <v>1</v>
      </c>
      <c r="I3623" s="2">
        <v>48.2</v>
      </c>
      <c r="J3623" s="2">
        <v>48.2</v>
      </c>
      <c r="K3623" s="2">
        <f t="shared" si="169"/>
        <v>48.2</v>
      </c>
      <c r="L3623" s="2">
        <f t="shared" si="170"/>
        <v>0</v>
      </c>
      <c r="M3623" t="s">
        <v>55</v>
      </c>
      <c r="N3623" t="s">
        <v>32</v>
      </c>
    </row>
    <row r="3624" spans="1:14" x14ac:dyDescent="0.3">
      <c r="A3624">
        <v>2024004622</v>
      </c>
      <c r="B3624" s="1">
        <v>45391</v>
      </c>
      <c r="C3624" s="11">
        <f t="shared" si="168"/>
        <v>2024</v>
      </c>
      <c r="D3624" t="s">
        <v>187</v>
      </c>
      <c r="E3624" t="s">
        <v>46</v>
      </c>
      <c r="F3624" t="s">
        <v>47</v>
      </c>
      <c r="G3624" t="s">
        <v>36</v>
      </c>
      <c r="H3624">
        <v>3</v>
      </c>
      <c r="I3624" s="2">
        <v>87.89</v>
      </c>
      <c r="J3624" s="2">
        <v>263.67</v>
      </c>
      <c r="K3624" s="2">
        <f t="shared" si="169"/>
        <v>263.67</v>
      </c>
      <c r="L3624" s="2">
        <f t="shared" si="170"/>
        <v>0</v>
      </c>
      <c r="M3624" t="s">
        <v>38</v>
      </c>
      <c r="N3624" t="s">
        <v>21</v>
      </c>
    </row>
    <row r="3625" spans="1:14" x14ac:dyDescent="0.3">
      <c r="A3625">
        <v>2024004623</v>
      </c>
      <c r="B3625" s="1">
        <v>45385</v>
      </c>
      <c r="C3625" s="11">
        <f t="shared" si="168"/>
        <v>2024</v>
      </c>
      <c r="D3625" t="s">
        <v>89</v>
      </c>
      <c r="E3625" t="s">
        <v>53</v>
      </c>
      <c r="F3625" t="s">
        <v>54</v>
      </c>
      <c r="G3625" t="s">
        <v>36</v>
      </c>
      <c r="H3625">
        <v>3</v>
      </c>
      <c r="I3625" s="2">
        <v>108.6</v>
      </c>
      <c r="J3625" s="2">
        <v>325.8</v>
      </c>
      <c r="K3625" s="2">
        <f t="shared" si="169"/>
        <v>325.79999999999995</v>
      </c>
      <c r="L3625" s="2">
        <f t="shared" si="170"/>
        <v>0</v>
      </c>
      <c r="M3625" t="s">
        <v>38</v>
      </c>
      <c r="N3625" t="s">
        <v>16</v>
      </c>
    </row>
    <row r="3626" spans="1:14" x14ac:dyDescent="0.3">
      <c r="A3626">
        <v>2024004624</v>
      </c>
      <c r="B3626" s="1">
        <v>45648</v>
      </c>
      <c r="C3626" s="11">
        <f t="shared" si="168"/>
        <v>2024</v>
      </c>
      <c r="D3626" t="s">
        <v>293</v>
      </c>
      <c r="E3626" t="s">
        <v>18</v>
      </c>
      <c r="F3626" t="s">
        <v>19</v>
      </c>
      <c r="G3626" t="s">
        <v>14</v>
      </c>
      <c r="H3626">
        <v>1</v>
      </c>
      <c r="I3626" s="2">
        <v>631.70000000000005</v>
      </c>
      <c r="J3626" s="2">
        <v>631.70000000000005</v>
      </c>
      <c r="K3626" s="2">
        <f t="shared" si="169"/>
        <v>631.70000000000005</v>
      </c>
      <c r="L3626" s="2">
        <f t="shared" si="170"/>
        <v>0</v>
      </c>
      <c r="M3626" t="s">
        <v>55</v>
      </c>
      <c r="N3626" t="s">
        <v>32</v>
      </c>
    </row>
    <row r="3627" spans="1:14" x14ac:dyDescent="0.3">
      <c r="A3627">
        <v>2024004625</v>
      </c>
      <c r="B3627" s="1">
        <v>45396</v>
      </c>
      <c r="C3627" s="11">
        <f t="shared" si="168"/>
        <v>2024</v>
      </c>
      <c r="D3627" t="s">
        <v>194</v>
      </c>
      <c r="E3627" t="s">
        <v>43</v>
      </c>
      <c r="F3627" t="s">
        <v>44</v>
      </c>
      <c r="G3627" t="s">
        <v>36</v>
      </c>
      <c r="H3627">
        <v>1</v>
      </c>
      <c r="I3627" s="2">
        <v>1101.9000000000001</v>
      </c>
      <c r="J3627" s="2">
        <v>1101.9000000000001</v>
      </c>
      <c r="K3627" s="2">
        <f t="shared" si="169"/>
        <v>1101.9000000000001</v>
      </c>
      <c r="L3627" s="2">
        <f t="shared" si="170"/>
        <v>0</v>
      </c>
      <c r="M3627" t="s">
        <v>57</v>
      </c>
      <c r="N3627" t="s">
        <v>26</v>
      </c>
    </row>
    <row r="3628" spans="1:14" x14ac:dyDescent="0.3">
      <c r="A3628">
        <v>2024004626</v>
      </c>
      <c r="B3628" s="1">
        <v>45336</v>
      </c>
      <c r="C3628" s="11">
        <f t="shared" si="168"/>
        <v>2024</v>
      </c>
      <c r="D3628" t="s">
        <v>11</v>
      </c>
      <c r="E3628" t="s">
        <v>67</v>
      </c>
      <c r="F3628" t="s">
        <v>68</v>
      </c>
      <c r="G3628" t="s">
        <v>36</v>
      </c>
      <c r="H3628">
        <v>3</v>
      </c>
      <c r="I3628" s="2">
        <v>403.86</v>
      </c>
      <c r="J3628" s="2">
        <v>1211.58</v>
      </c>
      <c r="K3628" s="2">
        <f t="shared" si="169"/>
        <v>1211.58</v>
      </c>
      <c r="L3628" s="2">
        <f t="shared" si="170"/>
        <v>0</v>
      </c>
      <c r="M3628" t="s">
        <v>64</v>
      </c>
      <c r="N3628" t="s">
        <v>26</v>
      </c>
    </row>
    <row r="3629" spans="1:14" x14ac:dyDescent="0.3">
      <c r="A3629">
        <v>2024004627</v>
      </c>
      <c r="B3629" s="1">
        <v>45568</v>
      </c>
      <c r="C3629" s="11">
        <f t="shared" si="168"/>
        <v>2024</v>
      </c>
      <c r="D3629" t="s">
        <v>165</v>
      </c>
      <c r="E3629" t="s">
        <v>53</v>
      </c>
      <c r="F3629" t="s">
        <v>54</v>
      </c>
      <c r="G3629" t="s">
        <v>36</v>
      </c>
      <c r="H3629">
        <v>3</v>
      </c>
      <c r="I3629" s="2">
        <v>122.28</v>
      </c>
      <c r="J3629" s="2">
        <v>366.84</v>
      </c>
      <c r="K3629" s="2">
        <f t="shared" si="169"/>
        <v>366.84000000000003</v>
      </c>
      <c r="L3629" s="2">
        <f t="shared" si="170"/>
        <v>0</v>
      </c>
      <c r="M3629" t="s">
        <v>64</v>
      </c>
      <c r="N3629" t="s">
        <v>26</v>
      </c>
    </row>
    <row r="3630" spans="1:14" x14ac:dyDescent="0.3">
      <c r="A3630">
        <v>2024004628</v>
      </c>
      <c r="B3630" s="1">
        <v>45618</v>
      </c>
      <c r="C3630" s="11">
        <f t="shared" si="168"/>
        <v>2024</v>
      </c>
      <c r="D3630" t="s">
        <v>278</v>
      </c>
      <c r="E3630" t="s">
        <v>18</v>
      </c>
      <c r="F3630" t="s">
        <v>19</v>
      </c>
      <c r="G3630" t="s">
        <v>14</v>
      </c>
      <c r="H3630">
        <v>1</v>
      </c>
      <c r="I3630" s="2">
        <v>587.03</v>
      </c>
      <c r="J3630" s="2">
        <v>587.03</v>
      </c>
      <c r="K3630" s="2">
        <f t="shared" si="169"/>
        <v>587.03</v>
      </c>
      <c r="L3630" s="2">
        <f t="shared" si="170"/>
        <v>0</v>
      </c>
      <c r="M3630" t="s">
        <v>57</v>
      </c>
      <c r="N3630" t="s">
        <v>32</v>
      </c>
    </row>
    <row r="3631" spans="1:14" x14ac:dyDescent="0.3">
      <c r="A3631">
        <v>2024004629</v>
      </c>
      <c r="B3631" s="1">
        <v>45511</v>
      </c>
      <c r="C3631" s="11">
        <f t="shared" si="168"/>
        <v>2024</v>
      </c>
      <c r="D3631" t="s">
        <v>88</v>
      </c>
      <c r="E3631" t="s">
        <v>18</v>
      </c>
      <c r="F3631" t="s">
        <v>19</v>
      </c>
      <c r="G3631" t="s">
        <v>14</v>
      </c>
      <c r="H3631">
        <v>5</v>
      </c>
      <c r="I3631" s="2">
        <v>615.79</v>
      </c>
      <c r="J3631" s="2">
        <v>3078.95</v>
      </c>
      <c r="K3631" s="2">
        <f t="shared" si="169"/>
        <v>3078.95</v>
      </c>
      <c r="L3631" s="2">
        <f t="shared" si="170"/>
        <v>0</v>
      </c>
      <c r="M3631" t="s">
        <v>61</v>
      </c>
      <c r="N3631" t="s">
        <v>21</v>
      </c>
    </row>
    <row r="3632" spans="1:14" x14ac:dyDescent="0.3">
      <c r="A3632">
        <v>2024004630</v>
      </c>
      <c r="B3632" s="1">
        <v>45588</v>
      </c>
      <c r="C3632" s="11">
        <f t="shared" si="168"/>
        <v>2024</v>
      </c>
      <c r="D3632" t="s">
        <v>11</v>
      </c>
      <c r="E3632" t="s">
        <v>46</v>
      </c>
      <c r="F3632" t="s">
        <v>47</v>
      </c>
      <c r="G3632" t="s">
        <v>36</v>
      </c>
      <c r="H3632">
        <v>1</v>
      </c>
      <c r="I3632" s="2">
        <v>89.78</v>
      </c>
      <c r="J3632" s="2">
        <v>89.78</v>
      </c>
      <c r="K3632" s="2">
        <f t="shared" si="169"/>
        <v>89.78</v>
      </c>
      <c r="L3632" s="2">
        <f t="shared" si="170"/>
        <v>0</v>
      </c>
      <c r="M3632" t="s">
        <v>64</v>
      </c>
      <c r="N3632" t="s">
        <v>16</v>
      </c>
    </row>
    <row r="3633" spans="1:14" x14ac:dyDescent="0.3">
      <c r="A3633">
        <v>2024004631</v>
      </c>
      <c r="B3633" s="1">
        <v>45539</v>
      </c>
      <c r="C3633" s="11">
        <f t="shared" si="168"/>
        <v>2024</v>
      </c>
      <c r="D3633" t="s">
        <v>236</v>
      </c>
      <c r="E3633" t="s">
        <v>23</v>
      </c>
      <c r="F3633" t="s">
        <v>24</v>
      </c>
      <c r="G3633" t="s">
        <v>14</v>
      </c>
      <c r="H3633">
        <v>3</v>
      </c>
      <c r="I3633" s="2">
        <v>80.650000000000006</v>
      </c>
      <c r="J3633" s="2">
        <v>241.95</v>
      </c>
      <c r="K3633" s="2">
        <f t="shared" si="169"/>
        <v>241.95000000000002</v>
      </c>
      <c r="L3633" s="2">
        <f t="shared" si="170"/>
        <v>0</v>
      </c>
      <c r="M3633" t="s">
        <v>15</v>
      </c>
      <c r="N3633" t="s">
        <v>26</v>
      </c>
    </row>
    <row r="3634" spans="1:14" x14ac:dyDescent="0.3">
      <c r="A3634">
        <v>2024004632</v>
      </c>
      <c r="B3634" s="1">
        <v>45473</v>
      </c>
      <c r="C3634" s="11">
        <f t="shared" si="168"/>
        <v>2024</v>
      </c>
      <c r="D3634" t="s">
        <v>27</v>
      </c>
      <c r="E3634" t="s">
        <v>28</v>
      </c>
      <c r="F3634" t="s">
        <v>29</v>
      </c>
      <c r="G3634" t="s">
        <v>30</v>
      </c>
      <c r="H3634">
        <v>1</v>
      </c>
      <c r="I3634" s="2">
        <v>23.22</v>
      </c>
      <c r="J3634" s="2">
        <v>23.22</v>
      </c>
      <c r="K3634" s="2">
        <f t="shared" si="169"/>
        <v>23.22</v>
      </c>
      <c r="L3634" s="2">
        <f t="shared" si="170"/>
        <v>0</v>
      </c>
      <c r="M3634" t="s">
        <v>55</v>
      </c>
      <c r="N3634" t="s">
        <v>26</v>
      </c>
    </row>
    <row r="3635" spans="1:14" x14ac:dyDescent="0.3">
      <c r="A3635">
        <v>2024004633</v>
      </c>
      <c r="B3635" s="1">
        <v>45351</v>
      </c>
      <c r="C3635" s="11">
        <f t="shared" si="168"/>
        <v>2024</v>
      </c>
      <c r="D3635" t="s">
        <v>128</v>
      </c>
      <c r="E3635" t="s">
        <v>67</v>
      </c>
      <c r="F3635" t="s">
        <v>68</v>
      </c>
      <c r="G3635" t="s">
        <v>36</v>
      </c>
      <c r="H3635">
        <v>5</v>
      </c>
      <c r="I3635" s="2">
        <v>449.08</v>
      </c>
      <c r="J3635" s="2">
        <v>2245.4</v>
      </c>
      <c r="K3635" s="2">
        <f t="shared" si="169"/>
        <v>2245.4</v>
      </c>
      <c r="L3635" s="2">
        <f t="shared" si="170"/>
        <v>0</v>
      </c>
      <c r="M3635" t="s">
        <v>15</v>
      </c>
      <c r="N3635" t="s">
        <v>32</v>
      </c>
    </row>
    <row r="3636" spans="1:14" x14ac:dyDescent="0.3">
      <c r="A3636">
        <v>2024004634</v>
      </c>
      <c r="B3636" s="1">
        <v>45500</v>
      </c>
      <c r="C3636" s="11">
        <f t="shared" si="168"/>
        <v>2024</v>
      </c>
      <c r="D3636" t="s">
        <v>155</v>
      </c>
      <c r="E3636" t="s">
        <v>12</v>
      </c>
      <c r="F3636" t="s">
        <v>13</v>
      </c>
      <c r="G3636" t="s">
        <v>14</v>
      </c>
      <c r="H3636">
        <v>1</v>
      </c>
      <c r="I3636" s="2">
        <v>375.86</v>
      </c>
      <c r="J3636" s="2">
        <v>375.86</v>
      </c>
      <c r="K3636" s="2">
        <f t="shared" si="169"/>
        <v>375.86</v>
      </c>
      <c r="L3636" s="2">
        <f t="shared" si="170"/>
        <v>0</v>
      </c>
      <c r="M3636" t="s">
        <v>38</v>
      </c>
      <c r="N3636" t="s">
        <v>32</v>
      </c>
    </row>
    <row r="3637" spans="1:14" x14ac:dyDescent="0.3">
      <c r="A3637">
        <v>2024004635</v>
      </c>
      <c r="B3637" s="1">
        <v>45608</v>
      </c>
      <c r="C3637" s="11">
        <f t="shared" si="168"/>
        <v>2024</v>
      </c>
      <c r="D3637" t="s">
        <v>144</v>
      </c>
      <c r="E3637" t="s">
        <v>23</v>
      </c>
      <c r="F3637" t="s">
        <v>24</v>
      </c>
      <c r="G3637" t="s">
        <v>14</v>
      </c>
      <c r="H3637">
        <v>2</v>
      </c>
      <c r="I3637" s="2">
        <v>87.26</v>
      </c>
      <c r="J3637" s="2">
        <v>174.52</v>
      </c>
      <c r="K3637" s="2">
        <f t="shared" si="169"/>
        <v>174.52</v>
      </c>
      <c r="L3637" s="2">
        <f t="shared" si="170"/>
        <v>0</v>
      </c>
      <c r="M3637" t="s">
        <v>25</v>
      </c>
      <c r="N3637" t="s">
        <v>26</v>
      </c>
    </row>
    <row r="3638" spans="1:14" x14ac:dyDescent="0.3">
      <c r="A3638">
        <v>2024004636</v>
      </c>
      <c r="B3638" s="1">
        <v>45573</v>
      </c>
      <c r="C3638" s="11">
        <f t="shared" si="168"/>
        <v>2024</v>
      </c>
      <c r="D3638" t="s">
        <v>204</v>
      </c>
      <c r="E3638" t="s">
        <v>23</v>
      </c>
      <c r="F3638" t="s">
        <v>24</v>
      </c>
      <c r="G3638" t="s">
        <v>14</v>
      </c>
      <c r="H3638">
        <v>1</v>
      </c>
      <c r="I3638" s="2">
        <v>79.78</v>
      </c>
      <c r="J3638" s="2">
        <v>79.78</v>
      </c>
      <c r="K3638" s="2">
        <f t="shared" si="169"/>
        <v>79.78</v>
      </c>
      <c r="L3638" s="2">
        <f t="shared" si="170"/>
        <v>0</v>
      </c>
      <c r="M3638" t="s">
        <v>31</v>
      </c>
      <c r="N3638" t="s">
        <v>26</v>
      </c>
    </row>
    <row r="3639" spans="1:14" x14ac:dyDescent="0.3">
      <c r="A3639">
        <v>2024004637</v>
      </c>
      <c r="B3639" s="1">
        <v>45427</v>
      </c>
      <c r="C3639" s="11">
        <f t="shared" si="168"/>
        <v>2024</v>
      </c>
      <c r="D3639" t="s">
        <v>245</v>
      </c>
      <c r="E3639" t="s">
        <v>43</v>
      </c>
      <c r="F3639" t="s">
        <v>44</v>
      </c>
      <c r="G3639" t="s">
        <v>36</v>
      </c>
      <c r="H3639">
        <v>1</v>
      </c>
      <c r="I3639" s="2">
        <v>1194.3800000000001</v>
      </c>
      <c r="J3639" s="2">
        <v>1194.3800000000001</v>
      </c>
      <c r="K3639" s="2">
        <f t="shared" si="169"/>
        <v>1194.3800000000001</v>
      </c>
      <c r="L3639" s="2">
        <f t="shared" si="170"/>
        <v>0</v>
      </c>
      <c r="M3639" t="s">
        <v>48</v>
      </c>
      <c r="N3639" t="s">
        <v>16</v>
      </c>
    </row>
    <row r="3640" spans="1:14" x14ac:dyDescent="0.3">
      <c r="A3640">
        <v>2024004638</v>
      </c>
      <c r="B3640" s="1">
        <v>45638</v>
      </c>
      <c r="C3640" s="11">
        <f t="shared" si="168"/>
        <v>2024</v>
      </c>
      <c r="D3640" t="s">
        <v>209</v>
      </c>
      <c r="E3640" t="s">
        <v>18</v>
      </c>
      <c r="F3640" t="s">
        <v>19</v>
      </c>
      <c r="G3640" t="s">
        <v>14</v>
      </c>
      <c r="H3640">
        <v>4</v>
      </c>
      <c r="I3640" s="2">
        <v>555.77</v>
      </c>
      <c r="J3640" s="2">
        <v>2223.08</v>
      </c>
      <c r="K3640" s="2">
        <f t="shared" si="169"/>
        <v>2223.08</v>
      </c>
      <c r="L3640" s="2">
        <f t="shared" si="170"/>
        <v>0</v>
      </c>
      <c r="M3640" t="s">
        <v>57</v>
      </c>
      <c r="N3640" t="s">
        <v>26</v>
      </c>
    </row>
    <row r="3641" spans="1:14" x14ac:dyDescent="0.3">
      <c r="A3641">
        <v>2024004639</v>
      </c>
      <c r="B3641" s="1">
        <v>45564</v>
      </c>
      <c r="C3641" s="11">
        <f t="shared" si="168"/>
        <v>2024</v>
      </c>
      <c r="D3641" t="s">
        <v>339</v>
      </c>
      <c r="E3641" t="s">
        <v>18</v>
      </c>
      <c r="F3641" t="s">
        <v>19</v>
      </c>
      <c r="G3641" t="s">
        <v>14</v>
      </c>
      <c r="H3641">
        <v>1</v>
      </c>
      <c r="I3641" s="2">
        <v>619.09</v>
      </c>
      <c r="J3641" s="2">
        <v>619.09</v>
      </c>
      <c r="K3641" s="2">
        <f t="shared" si="169"/>
        <v>619.09</v>
      </c>
      <c r="L3641" s="2">
        <f t="shared" si="170"/>
        <v>0</v>
      </c>
      <c r="M3641" t="s">
        <v>55</v>
      </c>
      <c r="N3641" t="s">
        <v>16</v>
      </c>
    </row>
    <row r="3642" spans="1:14" x14ac:dyDescent="0.3">
      <c r="A3642">
        <v>2024004640</v>
      </c>
      <c r="B3642" s="1">
        <v>45315</v>
      </c>
      <c r="C3642" s="11">
        <f t="shared" si="168"/>
        <v>2024</v>
      </c>
      <c r="D3642" t="s">
        <v>344</v>
      </c>
      <c r="E3642" t="s">
        <v>34</v>
      </c>
      <c r="F3642" t="s">
        <v>35</v>
      </c>
      <c r="G3642" t="s">
        <v>36</v>
      </c>
      <c r="H3642">
        <v>3</v>
      </c>
      <c r="I3642" s="2">
        <v>15.44</v>
      </c>
      <c r="J3642" s="2">
        <v>46.32</v>
      </c>
      <c r="K3642" s="2">
        <f t="shared" si="169"/>
        <v>46.32</v>
      </c>
      <c r="L3642" s="2">
        <f t="shared" si="170"/>
        <v>0</v>
      </c>
      <c r="M3642" t="s">
        <v>15</v>
      </c>
      <c r="N3642" t="s">
        <v>32</v>
      </c>
    </row>
    <row r="3643" spans="1:14" x14ac:dyDescent="0.3">
      <c r="A3643">
        <v>2024004641</v>
      </c>
      <c r="B3643" s="1">
        <v>45293</v>
      </c>
      <c r="C3643" s="11">
        <f t="shared" si="168"/>
        <v>2024</v>
      </c>
      <c r="D3643" t="s">
        <v>268</v>
      </c>
      <c r="E3643" t="s">
        <v>40</v>
      </c>
      <c r="F3643" t="s">
        <v>41</v>
      </c>
      <c r="G3643" t="s">
        <v>36</v>
      </c>
      <c r="H3643">
        <v>2</v>
      </c>
      <c r="I3643" s="2">
        <v>48.21</v>
      </c>
      <c r="J3643" s="2">
        <v>96.42</v>
      </c>
      <c r="K3643" s="2">
        <f t="shared" si="169"/>
        <v>96.42</v>
      </c>
      <c r="L3643" s="2">
        <f t="shared" si="170"/>
        <v>0</v>
      </c>
      <c r="M3643" t="s">
        <v>20</v>
      </c>
      <c r="N3643" t="s">
        <v>16</v>
      </c>
    </row>
    <row r="3644" spans="1:14" x14ac:dyDescent="0.3">
      <c r="A3644">
        <v>2024004642</v>
      </c>
      <c r="B3644" s="1">
        <v>45374</v>
      </c>
      <c r="C3644" s="11">
        <f t="shared" si="168"/>
        <v>2024</v>
      </c>
      <c r="D3644" t="s">
        <v>11</v>
      </c>
      <c r="E3644" t="s">
        <v>18</v>
      </c>
      <c r="F3644" t="s">
        <v>19</v>
      </c>
      <c r="G3644" t="s">
        <v>14</v>
      </c>
      <c r="H3644">
        <v>2</v>
      </c>
      <c r="I3644" s="2">
        <v>562.65</v>
      </c>
      <c r="J3644" s="2">
        <v>1125.3</v>
      </c>
      <c r="K3644" s="2">
        <f t="shared" si="169"/>
        <v>1125.3</v>
      </c>
      <c r="L3644" s="2">
        <f t="shared" si="170"/>
        <v>0</v>
      </c>
      <c r="M3644" t="s">
        <v>25</v>
      </c>
      <c r="N3644" t="s">
        <v>21</v>
      </c>
    </row>
    <row r="3645" spans="1:14" x14ac:dyDescent="0.3">
      <c r="A3645">
        <v>2024004643</v>
      </c>
      <c r="B3645" s="1">
        <v>45401</v>
      </c>
      <c r="C3645" s="11">
        <f t="shared" si="168"/>
        <v>2024</v>
      </c>
      <c r="D3645" t="s">
        <v>245</v>
      </c>
      <c r="E3645" t="s">
        <v>12</v>
      </c>
      <c r="F3645" t="s">
        <v>13</v>
      </c>
      <c r="G3645" t="s">
        <v>14</v>
      </c>
      <c r="H3645">
        <v>1</v>
      </c>
      <c r="I3645" s="2">
        <v>351.39</v>
      </c>
      <c r="J3645" s="2">
        <v>351.39</v>
      </c>
      <c r="K3645" s="2">
        <f t="shared" si="169"/>
        <v>351.39</v>
      </c>
      <c r="L3645" s="2">
        <f t="shared" si="170"/>
        <v>0</v>
      </c>
      <c r="M3645" t="s">
        <v>48</v>
      </c>
      <c r="N3645" t="s">
        <v>32</v>
      </c>
    </row>
    <row r="3646" spans="1:14" x14ac:dyDescent="0.3">
      <c r="A3646">
        <v>2024004644</v>
      </c>
      <c r="B3646" s="1">
        <v>45536</v>
      </c>
      <c r="C3646" s="11">
        <f t="shared" si="168"/>
        <v>2024</v>
      </c>
      <c r="D3646" t="s">
        <v>272</v>
      </c>
      <c r="E3646" t="s">
        <v>18</v>
      </c>
      <c r="F3646" t="s">
        <v>19</v>
      </c>
      <c r="G3646" t="s">
        <v>14</v>
      </c>
      <c r="H3646">
        <v>1</v>
      </c>
      <c r="I3646" s="2">
        <v>562.4</v>
      </c>
      <c r="J3646" s="2">
        <v>562.4</v>
      </c>
      <c r="K3646" s="2">
        <f t="shared" si="169"/>
        <v>562.4</v>
      </c>
      <c r="L3646" s="2">
        <f t="shared" si="170"/>
        <v>0</v>
      </c>
      <c r="M3646" t="s">
        <v>61</v>
      </c>
      <c r="N3646" t="s">
        <v>21</v>
      </c>
    </row>
    <row r="3647" spans="1:14" x14ac:dyDescent="0.3">
      <c r="A3647">
        <v>2024004645</v>
      </c>
      <c r="B3647" s="1">
        <v>45298</v>
      </c>
      <c r="C3647" s="11">
        <f t="shared" si="168"/>
        <v>2024</v>
      </c>
      <c r="D3647" t="s">
        <v>11</v>
      </c>
      <c r="E3647" t="s">
        <v>34</v>
      </c>
      <c r="F3647" t="s">
        <v>35</v>
      </c>
      <c r="G3647" t="s">
        <v>36</v>
      </c>
      <c r="H3647">
        <v>1</v>
      </c>
      <c r="I3647" s="2">
        <v>16.329999999999998</v>
      </c>
      <c r="J3647" s="2">
        <v>16.329999999999998</v>
      </c>
      <c r="K3647" s="2">
        <f t="shared" si="169"/>
        <v>16.329999999999998</v>
      </c>
      <c r="L3647" s="2">
        <f t="shared" si="170"/>
        <v>0</v>
      </c>
      <c r="M3647" t="s">
        <v>55</v>
      </c>
      <c r="N3647" t="s">
        <v>16</v>
      </c>
    </row>
    <row r="3648" spans="1:14" x14ac:dyDescent="0.3">
      <c r="A3648">
        <v>2024004646</v>
      </c>
      <c r="B3648" s="1">
        <v>45542</v>
      </c>
      <c r="C3648" s="11">
        <f t="shared" si="168"/>
        <v>2024</v>
      </c>
      <c r="D3648" t="s">
        <v>175</v>
      </c>
      <c r="E3648" t="s">
        <v>18</v>
      </c>
      <c r="F3648" t="s">
        <v>19</v>
      </c>
      <c r="G3648" t="s">
        <v>14</v>
      </c>
      <c r="H3648">
        <v>4</v>
      </c>
      <c r="I3648" s="2">
        <v>574.21</v>
      </c>
      <c r="J3648" s="2">
        <v>2296.84</v>
      </c>
      <c r="K3648" s="2">
        <f t="shared" si="169"/>
        <v>2296.84</v>
      </c>
      <c r="L3648" s="2">
        <f t="shared" si="170"/>
        <v>0</v>
      </c>
      <c r="M3648" t="s">
        <v>64</v>
      </c>
      <c r="N3648" t="s">
        <v>32</v>
      </c>
    </row>
    <row r="3649" spans="1:14" x14ac:dyDescent="0.3">
      <c r="A3649">
        <v>2024004647</v>
      </c>
      <c r="B3649" s="1">
        <v>45618</v>
      </c>
      <c r="C3649" s="11">
        <f t="shared" si="168"/>
        <v>2024</v>
      </c>
      <c r="D3649" t="s">
        <v>190</v>
      </c>
      <c r="E3649" t="s">
        <v>40</v>
      </c>
      <c r="F3649" t="s">
        <v>41</v>
      </c>
      <c r="G3649" t="s">
        <v>36</v>
      </c>
      <c r="H3649">
        <v>2</v>
      </c>
      <c r="I3649" s="2">
        <v>42.24</v>
      </c>
      <c r="J3649" s="2">
        <v>84.48</v>
      </c>
      <c r="K3649" s="2">
        <f t="shared" si="169"/>
        <v>84.48</v>
      </c>
      <c r="L3649" s="2">
        <f t="shared" si="170"/>
        <v>0</v>
      </c>
      <c r="M3649" t="s">
        <v>20</v>
      </c>
      <c r="N3649" t="s">
        <v>21</v>
      </c>
    </row>
    <row r="3650" spans="1:14" x14ac:dyDescent="0.3">
      <c r="A3650">
        <v>2024004648</v>
      </c>
      <c r="B3650" s="1">
        <v>45425</v>
      </c>
      <c r="C3650" s="11">
        <f t="shared" si="168"/>
        <v>2024</v>
      </c>
      <c r="D3650" t="s">
        <v>347</v>
      </c>
      <c r="E3650" t="s">
        <v>46</v>
      </c>
      <c r="F3650" t="s">
        <v>47</v>
      </c>
      <c r="G3650" t="s">
        <v>36</v>
      </c>
      <c r="H3650">
        <v>1</v>
      </c>
      <c r="I3650" s="2">
        <v>91.02</v>
      </c>
      <c r="J3650" s="2">
        <v>91.02</v>
      </c>
      <c r="K3650" s="2">
        <f t="shared" si="169"/>
        <v>91.02</v>
      </c>
      <c r="L3650" s="2">
        <f t="shared" si="170"/>
        <v>0</v>
      </c>
      <c r="M3650" t="s">
        <v>55</v>
      </c>
      <c r="N3650" t="s">
        <v>16</v>
      </c>
    </row>
    <row r="3651" spans="1:14" x14ac:dyDescent="0.3">
      <c r="A3651">
        <v>2024004649</v>
      </c>
      <c r="B3651" s="1">
        <v>45591</v>
      </c>
      <c r="C3651" s="11">
        <f t="shared" ref="C3651:C3714" si="171">YEAR(B3651)</f>
        <v>2024</v>
      </c>
      <c r="D3651" t="s">
        <v>69</v>
      </c>
      <c r="E3651" t="s">
        <v>28</v>
      </c>
      <c r="F3651" t="s">
        <v>29</v>
      </c>
      <c r="G3651" t="s">
        <v>30</v>
      </c>
      <c r="H3651">
        <v>2</v>
      </c>
      <c r="I3651" s="2">
        <v>23.64</v>
      </c>
      <c r="J3651" s="2">
        <v>47.28</v>
      </c>
      <c r="K3651" s="2">
        <f t="shared" ref="K3651:K3714" si="172">I3651*H3651</f>
        <v>47.28</v>
      </c>
      <c r="L3651" s="2">
        <f t="shared" ref="L3651:L3714" si="173">J3651-K3651</f>
        <v>0</v>
      </c>
      <c r="M3651" t="s">
        <v>25</v>
      </c>
      <c r="N3651" t="s">
        <v>32</v>
      </c>
    </row>
    <row r="3652" spans="1:14" x14ac:dyDescent="0.3">
      <c r="A3652">
        <v>2024004650</v>
      </c>
      <c r="B3652" s="1">
        <v>45618</v>
      </c>
      <c r="C3652" s="11">
        <f t="shared" si="171"/>
        <v>2024</v>
      </c>
      <c r="D3652" t="s">
        <v>276</v>
      </c>
      <c r="E3652" t="s">
        <v>18</v>
      </c>
      <c r="F3652" t="s">
        <v>19</v>
      </c>
      <c r="G3652" t="s">
        <v>14</v>
      </c>
      <c r="H3652">
        <v>1</v>
      </c>
      <c r="I3652" s="2">
        <v>616.89</v>
      </c>
      <c r="J3652" s="2">
        <v>616.89</v>
      </c>
      <c r="K3652" s="2">
        <f t="shared" si="172"/>
        <v>616.89</v>
      </c>
      <c r="L3652" s="2">
        <f t="shared" si="173"/>
        <v>0</v>
      </c>
      <c r="M3652" t="s">
        <v>55</v>
      </c>
      <c r="N3652" t="s">
        <v>32</v>
      </c>
    </row>
    <row r="3653" spans="1:14" x14ac:dyDescent="0.3">
      <c r="A3653">
        <v>2024004651</v>
      </c>
      <c r="B3653" s="1">
        <v>45500</v>
      </c>
      <c r="C3653" s="11">
        <f t="shared" si="171"/>
        <v>2024</v>
      </c>
      <c r="D3653" t="s">
        <v>11</v>
      </c>
      <c r="E3653" t="s">
        <v>23</v>
      </c>
      <c r="F3653" t="s">
        <v>24</v>
      </c>
      <c r="G3653" t="s">
        <v>14</v>
      </c>
      <c r="H3653">
        <v>1</v>
      </c>
      <c r="I3653" s="2">
        <v>84.1</v>
      </c>
      <c r="J3653" s="2">
        <v>84.1</v>
      </c>
      <c r="K3653" s="2">
        <f t="shared" si="172"/>
        <v>84.1</v>
      </c>
      <c r="L3653" s="2">
        <f t="shared" si="173"/>
        <v>0</v>
      </c>
      <c r="M3653" t="s">
        <v>61</v>
      </c>
      <c r="N3653" t="s">
        <v>16</v>
      </c>
    </row>
    <row r="3654" spans="1:14" x14ac:dyDescent="0.3">
      <c r="A3654">
        <v>2024004652</v>
      </c>
      <c r="B3654" s="1">
        <v>45602</v>
      </c>
      <c r="C3654" s="11">
        <f t="shared" si="171"/>
        <v>2024</v>
      </c>
      <c r="D3654" t="s">
        <v>33</v>
      </c>
      <c r="E3654" t="s">
        <v>18</v>
      </c>
      <c r="F3654" t="s">
        <v>19</v>
      </c>
      <c r="G3654" t="s">
        <v>14</v>
      </c>
      <c r="H3654">
        <v>1</v>
      </c>
      <c r="I3654" s="2">
        <v>554.66999999999996</v>
      </c>
      <c r="J3654" s="2">
        <v>554.66999999999996</v>
      </c>
      <c r="K3654" s="2">
        <f t="shared" si="172"/>
        <v>554.66999999999996</v>
      </c>
      <c r="L3654" s="2">
        <f t="shared" si="173"/>
        <v>0</v>
      </c>
      <c r="M3654" t="s">
        <v>38</v>
      </c>
      <c r="N3654" t="s">
        <v>16</v>
      </c>
    </row>
    <row r="3655" spans="1:14" x14ac:dyDescent="0.3">
      <c r="A3655">
        <v>2024004653</v>
      </c>
      <c r="B3655" s="1">
        <v>45428</v>
      </c>
      <c r="C3655" s="11">
        <f t="shared" si="171"/>
        <v>2024</v>
      </c>
      <c r="D3655" t="s">
        <v>74</v>
      </c>
      <c r="E3655" t="s">
        <v>40</v>
      </c>
      <c r="F3655" t="s">
        <v>41</v>
      </c>
      <c r="G3655" t="s">
        <v>36</v>
      </c>
      <c r="H3655">
        <v>2</v>
      </c>
      <c r="I3655" s="2">
        <v>47.37</v>
      </c>
      <c r="J3655" s="2">
        <v>94.74</v>
      </c>
      <c r="K3655" s="2">
        <f t="shared" si="172"/>
        <v>94.74</v>
      </c>
      <c r="L3655" s="2">
        <f t="shared" si="173"/>
        <v>0</v>
      </c>
      <c r="M3655" t="s">
        <v>48</v>
      </c>
      <c r="N3655" t="s">
        <v>32</v>
      </c>
    </row>
    <row r="3656" spans="1:14" x14ac:dyDescent="0.3">
      <c r="A3656">
        <v>2024004654</v>
      </c>
      <c r="B3656" s="1">
        <v>45645</v>
      </c>
      <c r="C3656" s="11">
        <f t="shared" si="171"/>
        <v>2024</v>
      </c>
      <c r="D3656" t="s">
        <v>87</v>
      </c>
      <c r="E3656" t="s">
        <v>12</v>
      </c>
      <c r="F3656" t="s">
        <v>13</v>
      </c>
      <c r="G3656" t="s">
        <v>14</v>
      </c>
      <c r="H3656">
        <v>3</v>
      </c>
      <c r="I3656" s="2">
        <v>367.83</v>
      </c>
      <c r="J3656" s="2">
        <v>1103.49</v>
      </c>
      <c r="K3656" s="2">
        <f t="shared" si="172"/>
        <v>1103.49</v>
      </c>
      <c r="L3656" s="2">
        <f t="shared" si="173"/>
        <v>0</v>
      </c>
      <c r="M3656" t="s">
        <v>38</v>
      </c>
      <c r="N3656" t="s">
        <v>26</v>
      </c>
    </row>
    <row r="3657" spans="1:14" x14ac:dyDescent="0.3">
      <c r="A3657">
        <v>2024004655</v>
      </c>
      <c r="B3657" s="1">
        <v>45471</v>
      </c>
      <c r="C3657" s="11">
        <f t="shared" si="171"/>
        <v>2024</v>
      </c>
      <c r="D3657" t="s">
        <v>254</v>
      </c>
      <c r="E3657" t="s">
        <v>46</v>
      </c>
      <c r="F3657" t="s">
        <v>47</v>
      </c>
      <c r="G3657" t="s">
        <v>36</v>
      </c>
      <c r="H3657">
        <v>1</v>
      </c>
      <c r="I3657" s="2">
        <v>90.06</v>
      </c>
      <c r="J3657" s="2">
        <v>90.06</v>
      </c>
      <c r="K3657" s="2">
        <f t="shared" si="172"/>
        <v>90.06</v>
      </c>
      <c r="L3657" s="2">
        <f t="shared" si="173"/>
        <v>0</v>
      </c>
      <c r="M3657" t="s">
        <v>57</v>
      </c>
      <c r="N3657" t="s">
        <v>32</v>
      </c>
    </row>
    <row r="3658" spans="1:14" x14ac:dyDescent="0.3">
      <c r="A3658">
        <v>2024004656</v>
      </c>
      <c r="B3658" s="1">
        <v>45386</v>
      </c>
      <c r="C3658" s="11">
        <f t="shared" si="171"/>
        <v>2024</v>
      </c>
      <c r="D3658" t="s">
        <v>162</v>
      </c>
      <c r="E3658" t="s">
        <v>23</v>
      </c>
      <c r="F3658" t="s">
        <v>24</v>
      </c>
      <c r="G3658" t="s">
        <v>14</v>
      </c>
      <c r="H3658">
        <v>1</v>
      </c>
      <c r="I3658" s="2">
        <v>76.989999999999995</v>
      </c>
      <c r="J3658" s="2">
        <v>76.989999999999995</v>
      </c>
      <c r="K3658" s="2">
        <f t="shared" si="172"/>
        <v>76.989999999999995</v>
      </c>
      <c r="L3658" s="2">
        <f t="shared" si="173"/>
        <v>0</v>
      </c>
      <c r="M3658" t="s">
        <v>25</v>
      </c>
      <c r="N3658" t="s">
        <v>26</v>
      </c>
    </row>
    <row r="3659" spans="1:14" x14ac:dyDescent="0.3">
      <c r="A3659">
        <v>2024004657</v>
      </c>
      <c r="B3659" s="1">
        <v>45569</v>
      </c>
      <c r="C3659" s="11">
        <f t="shared" si="171"/>
        <v>2024</v>
      </c>
      <c r="D3659" t="s">
        <v>201</v>
      </c>
      <c r="E3659" t="s">
        <v>34</v>
      </c>
      <c r="F3659" t="s">
        <v>35</v>
      </c>
      <c r="G3659" t="s">
        <v>36</v>
      </c>
      <c r="H3659">
        <v>1</v>
      </c>
      <c r="I3659" s="2">
        <v>15.68</v>
      </c>
      <c r="J3659" s="2">
        <v>15.68</v>
      </c>
      <c r="K3659" s="2">
        <f t="shared" si="172"/>
        <v>15.68</v>
      </c>
      <c r="L3659" s="2">
        <f t="shared" si="173"/>
        <v>0</v>
      </c>
      <c r="M3659" t="s">
        <v>48</v>
      </c>
      <c r="N3659" t="s">
        <v>32</v>
      </c>
    </row>
    <row r="3660" spans="1:14" x14ac:dyDescent="0.3">
      <c r="A3660">
        <v>2024004658</v>
      </c>
      <c r="B3660" s="1">
        <v>45490</v>
      </c>
      <c r="C3660" s="11">
        <f t="shared" si="171"/>
        <v>2024</v>
      </c>
      <c r="D3660" t="s">
        <v>246</v>
      </c>
      <c r="E3660" t="s">
        <v>34</v>
      </c>
      <c r="F3660" t="s">
        <v>35</v>
      </c>
      <c r="G3660" t="s">
        <v>36</v>
      </c>
      <c r="H3660">
        <v>2</v>
      </c>
      <c r="I3660" s="2">
        <v>14.65</v>
      </c>
      <c r="J3660" s="2">
        <v>29.3</v>
      </c>
      <c r="K3660" s="2">
        <f t="shared" si="172"/>
        <v>29.3</v>
      </c>
      <c r="L3660" s="2">
        <f t="shared" si="173"/>
        <v>0</v>
      </c>
      <c r="M3660" t="s">
        <v>25</v>
      </c>
      <c r="N3660" t="s">
        <v>16</v>
      </c>
    </row>
    <row r="3661" spans="1:14" x14ac:dyDescent="0.3">
      <c r="A3661">
        <v>2024004659</v>
      </c>
      <c r="B3661" s="1">
        <v>45656</v>
      </c>
      <c r="C3661" s="11">
        <f t="shared" si="171"/>
        <v>2024</v>
      </c>
      <c r="D3661" t="s">
        <v>299</v>
      </c>
      <c r="E3661" t="s">
        <v>53</v>
      </c>
      <c r="F3661" t="s">
        <v>54</v>
      </c>
      <c r="G3661" t="s">
        <v>36</v>
      </c>
      <c r="H3661">
        <v>1</v>
      </c>
      <c r="I3661" s="2">
        <v>118.07</v>
      </c>
      <c r="J3661" s="2">
        <v>118.07</v>
      </c>
      <c r="K3661" s="2">
        <f t="shared" si="172"/>
        <v>118.07</v>
      </c>
      <c r="L3661" s="2">
        <f t="shared" si="173"/>
        <v>0</v>
      </c>
      <c r="M3661" t="s">
        <v>48</v>
      </c>
      <c r="N3661" t="s">
        <v>32</v>
      </c>
    </row>
    <row r="3662" spans="1:14" x14ac:dyDescent="0.3">
      <c r="A3662">
        <v>2024004660</v>
      </c>
      <c r="B3662" s="1">
        <v>45414</v>
      </c>
      <c r="C3662" s="11">
        <f t="shared" si="171"/>
        <v>2024</v>
      </c>
      <c r="D3662" t="s">
        <v>188</v>
      </c>
      <c r="E3662" t="s">
        <v>23</v>
      </c>
      <c r="F3662" t="s">
        <v>24</v>
      </c>
      <c r="G3662" t="s">
        <v>14</v>
      </c>
      <c r="H3662">
        <v>1</v>
      </c>
      <c r="I3662" s="2">
        <v>86.69</v>
      </c>
      <c r="J3662" s="2">
        <v>86.69</v>
      </c>
      <c r="K3662" s="2">
        <f t="shared" si="172"/>
        <v>86.69</v>
      </c>
      <c r="L3662" s="2">
        <f t="shared" si="173"/>
        <v>0</v>
      </c>
      <c r="M3662" t="s">
        <v>38</v>
      </c>
      <c r="N3662" t="s">
        <v>21</v>
      </c>
    </row>
    <row r="3663" spans="1:14" x14ac:dyDescent="0.3">
      <c r="A3663">
        <v>2024004661</v>
      </c>
      <c r="B3663" s="1">
        <v>45373</v>
      </c>
      <c r="C3663" s="11">
        <f t="shared" si="171"/>
        <v>2024</v>
      </c>
      <c r="D3663" t="s">
        <v>342</v>
      </c>
      <c r="E3663" t="s">
        <v>28</v>
      </c>
      <c r="F3663" t="s">
        <v>29</v>
      </c>
      <c r="G3663" t="s">
        <v>30</v>
      </c>
      <c r="H3663">
        <v>1</v>
      </c>
      <c r="I3663" s="2">
        <v>25.84</v>
      </c>
      <c r="J3663" s="2">
        <v>25.84</v>
      </c>
      <c r="K3663" s="2">
        <f t="shared" si="172"/>
        <v>25.84</v>
      </c>
      <c r="L3663" s="2">
        <f t="shared" si="173"/>
        <v>0</v>
      </c>
      <c r="M3663" t="s">
        <v>38</v>
      </c>
      <c r="N3663" t="s">
        <v>21</v>
      </c>
    </row>
    <row r="3664" spans="1:14" x14ac:dyDescent="0.3">
      <c r="A3664">
        <v>2024004662</v>
      </c>
      <c r="B3664" s="1">
        <v>45309</v>
      </c>
      <c r="C3664" s="11">
        <f t="shared" si="171"/>
        <v>2024</v>
      </c>
      <c r="D3664" t="s">
        <v>127</v>
      </c>
      <c r="E3664" t="s">
        <v>23</v>
      </c>
      <c r="F3664" t="s">
        <v>24</v>
      </c>
      <c r="G3664" t="s">
        <v>14</v>
      </c>
      <c r="H3664">
        <v>1</v>
      </c>
      <c r="I3664" s="2">
        <v>83.29</v>
      </c>
      <c r="J3664" s="2">
        <v>83.29</v>
      </c>
      <c r="K3664" s="2">
        <f t="shared" si="172"/>
        <v>83.29</v>
      </c>
      <c r="L3664" s="2">
        <f t="shared" si="173"/>
        <v>0</v>
      </c>
      <c r="M3664" t="s">
        <v>25</v>
      </c>
      <c r="N3664" t="s">
        <v>26</v>
      </c>
    </row>
    <row r="3665" spans="1:14" x14ac:dyDescent="0.3">
      <c r="A3665">
        <v>2024004663</v>
      </c>
      <c r="B3665" s="1">
        <v>45637</v>
      </c>
      <c r="C3665" s="11">
        <f t="shared" si="171"/>
        <v>2024</v>
      </c>
      <c r="D3665" t="s">
        <v>141</v>
      </c>
      <c r="E3665" t="s">
        <v>23</v>
      </c>
      <c r="F3665" t="s">
        <v>24</v>
      </c>
      <c r="G3665" t="s">
        <v>14</v>
      </c>
      <c r="H3665">
        <v>2</v>
      </c>
      <c r="I3665" s="2">
        <v>86.63</v>
      </c>
      <c r="J3665" s="2">
        <v>173.26</v>
      </c>
      <c r="K3665" s="2">
        <f t="shared" si="172"/>
        <v>173.26</v>
      </c>
      <c r="L3665" s="2">
        <f t="shared" si="173"/>
        <v>0</v>
      </c>
      <c r="M3665" t="s">
        <v>15</v>
      </c>
      <c r="N3665" t="s">
        <v>32</v>
      </c>
    </row>
    <row r="3666" spans="1:14" x14ac:dyDescent="0.3">
      <c r="A3666">
        <v>2024004664</v>
      </c>
      <c r="B3666" s="1">
        <v>45477</v>
      </c>
      <c r="C3666" s="11">
        <f t="shared" si="171"/>
        <v>2024</v>
      </c>
      <c r="D3666" t="s">
        <v>172</v>
      </c>
      <c r="E3666" t="s">
        <v>40</v>
      </c>
      <c r="F3666" t="s">
        <v>41</v>
      </c>
      <c r="G3666" t="s">
        <v>36</v>
      </c>
      <c r="H3666">
        <v>2</v>
      </c>
      <c r="I3666" s="2">
        <v>47.57</v>
      </c>
      <c r="J3666" s="2">
        <v>95.14</v>
      </c>
      <c r="K3666" s="2">
        <f t="shared" si="172"/>
        <v>95.14</v>
      </c>
      <c r="L3666" s="2">
        <f t="shared" si="173"/>
        <v>0</v>
      </c>
      <c r="M3666" t="s">
        <v>15</v>
      </c>
      <c r="N3666" t="s">
        <v>26</v>
      </c>
    </row>
    <row r="3667" spans="1:14" x14ac:dyDescent="0.3">
      <c r="A3667">
        <v>2024004665</v>
      </c>
      <c r="B3667" s="1">
        <v>45588</v>
      </c>
      <c r="C3667" s="11">
        <f t="shared" si="171"/>
        <v>2024</v>
      </c>
      <c r="D3667" t="s">
        <v>187</v>
      </c>
      <c r="E3667" t="s">
        <v>67</v>
      </c>
      <c r="F3667" t="s">
        <v>68</v>
      </c>
      <c r="G3667" t="s">
        <v>36</v>
      </c>
      <c r="H3667">
        <v>1</v>
      </c>
      <c r="I3667" s="2">
        <v>393.1</v>
      </c>
      <c r="J3667" s="2">
        <v>393.1</v>
      </c>
      <c r="K3667" s="2">
        <f t="shared" si="172"/>
        <v>393.1</v>
      </c>
      <c r="L3667" s="2">
        <f t="shared" si="173"/>
        <v>0</v>
      </c>
      <c r="M3667" t="s">
        <v>31</v>
      </c>
      <c r="N3667" t="s">
        <v>32</v>
      </c>
    </row>
    <row r="3668" spans="1:14" x14ac:dyDescent="0.3">
      <c r="A3668">
        <v>2024004666</v>
      </c>
      <c r="B3668" s="1">
        <v>45569</v>
      </c>
      <c r="C3668" s="11">
        <f t="shared" si="171"/>
        <v>2024</v>
      </c>
      <c r="D3668" t="s">
        <v>256</v>
      </c>
      <c r="E3668" t="s">
        <v>18</v>
      </c>
      <c r="F3668" t="s">
        <v>19</v>
      </c>
      <c r="G3668" t="s">
        <v>14</v>
      </c>
      <c r="H3668">
        <v>2</v>
      </c>
      <c r="I3668" s="2">
        <v>563.30999999999995</v>
      </c>
      <c r="J3668" s="2">
        <v>1126.6199999999999</v>
      </c>
      <c r="K3668" s="2">
        <f t="shared" si="172"/>
        <v>1126.6199999999999</v>
      </c>
      <c r="L3668" s="2">
        <f t="shared" si="173"/>
        <v>0</v>
      </c>
      <c r="M3668" t="s">
        <v>48</v>
      </c>
      <c r="N3668" t="s">
        <v>21</v>
      </c>
    </row>
    <row r="3669" spans="1:14" x14ac:dyDescent="0.3">
      <c r="A3669">
        <v>2024004667</v>
      </c>
      <c r="B3669" s="1">
        <v>45325</v>
      </c>
      <c r="C3669" s="11">
        <f t="shared" si="171"/>
        <v>2024</v>
      </c>
      <c r="D3669" t="s">
        <v>330</v>
      </c>
      <c r="E3669" t="s">
        <v>40</v>
      </c>
      <c r="F3669" t="s">
        <v>41</v>
      </c>
      <c r="G3669" t="s">
        <v>36</v>
      </c>
      <c r="H3669">
        <v>2</v>
      </c>
      <c r="I3669" s="2">
        <v>45.12</v>
      </c>
      <c r="J3669" s="2">
        <v>90.24</v>
      </c>
      <c r="K3669" s="2">
        <f t="shared" si="172"/>
        <v>90.24</v>
      </c>
      <c r="L3669" s="2">
        <f t="shared" si="173"/>
        <v>0</v>
      </c>
      <c r="M3669" t="s">
        <v>57</v>
      </c>
      <c r="N3669" t="s">
        <v>26</v>
      </c>
    </row>
    <row r="3670" spans="1:14" x14ac:dyDescent="0.3">
      <c r="A3670">
        <v>2024004668</v>
      </c>
      <c r="B3670" s="1">
        <v>45604</v>
      </c>
      <c r="C3670" s="11">
        <f t="shared" si="171"/>
        <v>2024</v>
      </c>
      <c r="D3670" t="s">
        <v>256</v>
      </c>
      <c r="E3670" t="s">
        <v>34</v>
      </c>
      <c r="F3670" t="s">
        <v>35</v>
      </c>
      <c r="G3670" t="s">
        <v>36</v>
      </c>
      <c r="H3670">
        <v>5</v>
      </c>
      <c r="I3670" s="2">
        <v>14.9</v>
      </c>
      <c r="J3670" s="2">
        <v>74.5</v>
      </c>
      <c r="K3670" s="2">
        <f t="shared" si="172"/>
        <v>74.5</v>
      </c>
      <c r="L3670" s="2">
        <f t="shared" si="173"/>
        <v>0</v>
      </c>
      <c r="M3670" t="s">
        <v>20</v>
      </c>
      <c r="N3670" t="s">
        <v>16</v>
      </c>
    </row>
    <row r="3671" spans="1:14" x14ac:dyDescent="0.3">
      <c r="A3671">
        <v>2024004669</v>
      </c>
      <c r="B3671" s="1">
        <v>45534</v>
      </c>
      <c r="C3671" s="11">
        <f t="shared" si="171"/>
        <v>2024</v>
      </c>
      <c r="D3671" t="s">
        <v>11</v>
      </c>
      <c r="E3671" t="s">
        <v>18</v>
      </c>
      <c r="F3671" t="s">
        <v>19</v>
      </c>
      <c r="G3671" t="s">
        <v>14</v>
      </c>
      <c r="H3671">
        <v>2</v>
      </c>
      <c r="I3671" s="2">
        <v>696.48</v>
      </c>
      <c r="J3671" s="2">
        <v>1392.96</v>
      </c>
      <c r="K3671" s="2">
        <f t="shared" si="172"/>
        <v>1392.96</v>
      </c>
      <c r="L3671" s="2">
        <f t="shared" si="173"/>
        <v>0</v>
      </c>
      <c r="M3671" t="s">
        <v>61</v>
      </c>
      <c r="N3671" t="s">
        <v>26</v>
      </c>
    </row>
    <row r="3672" spans="1:14" x14ac:dyDescent="0.3">
      <c r="A3672">
        <v>2024004670</v>
      </c>
      <c r="B3672" s="1">
        <v>45392</v>
      </c>
      <c r="C3672" s="11">
        <f t="shared" si="171"/>
        <v>2024</v>
      </c>
      <c r="D3672" t="s">
        <v>155</v>
      </c>
      <c r="E3672" t="s">
        <v>46</v>
      </c>
      <c r="F3672" t="s">
        <v>47</v>
      </c>
      <c r="G3672" t="s">
        <v>36</v>
      </c>
      <c r="H3672">
        <v>1</v>
      </c>
      <c r="I3672" s="2">
        <v>86.96</v>
      </c>
      <c r="J3672" s="2">
        <v>86.96</v>
      </c>
      <c r="K3672" s="2">
        <f t="shared" si="172"/>
        <v>86.96</v>
      </c>
      <c r="L3672" s="2">
        <f t="shared" si="173"/>
        <v>0</v>
      </c>
      <c r="M3672" t="s">
        <v>31</v>
      </c>
      <c r="N3672" t="s">
        <v>26</v>
      </c>
    </row>
    <row r="3673" spans="1:14" x14ac:dyDescent="0.3">
      <c r="A3673">
        <v>2024004671</v>
      </c>
      <c r="B3673" s="1">
        <v>45625</v>
      </c>
      <c r="C3673" s="11">
        <f t="shared" si="171"/>
        <v>2024</v>
      </c>
      <c r="D3673" t="s">
        <v>138</v>
      </c>
      <c r="E3673" t="s">
        <v>34</v>
      </c>
      <c r="F3673" t="s">
        <v>35</v>
      </c>
      <c r="G3673" t="s">
        <v>36</v>
      </c>
      <c r="H3673">
        <v>1</v>
      </c>
      <c r="I3673" s="2">
        <v>14.34</v>
      </c>
      <c r="J3673" s="2">
        <v>14.34</v>
      </c>
      <c r="K3673" s="2">
        <f t="shared" si="172"/>
        <v>14.34</v>
      </c>
      <c r="L3673" s="2">
        <f t="shared" si="173"/>
        <v>0</v>
      </c>
      <c r="M3673" t="s">
        <v>20</v>
      </c>
      <c r="N3673" t="s">
        <v>16</v>
      </c>
    </row>
    <row r="3674" spans="1:14" x14ac:dyDescent="0.3">
      <c r="A3674">
        <v>2024004672</v>
      </c>
      <c r="B3674" s="1">
        <v>45524</v>
      </c>
      <c r="C3674" s="11">
        <f t="shared" si="171"/>
        <v>2024</v>
      </c>
      <c r="D3674" t="s">
        <v>106</v>
      </c>
      <c r="E3674" t="s">
        <v>34</v>
      </c>
      <c r="F3674" t="s">
        <v>35</v>
      </c>
      <c r="G3674" t="s">
        <v>36</v>
      </c>
      <c r="H3674">
        <v>1</v>
      </c>
      <c r="I3674" s="2">
        <v>14.18</v>
      </c>
      <c r="J3674" s="2">
        <v>14.18</v>
      </c>
      <c r="K3674" s="2">
        <f t="shared" si="172"/>
        <v>14.18</v>
      </c>
      <c r="L3674" s="2">
        <f t="shared" si="173"/>
        <v>0</v>
      </c>
      <c r="M3674" t="s">
        <v>48</v>
      </c>
      <c r="N3674" t="s">
        <v>32</v>
      </c>
    </row>
    <row r="3675" spans="1:14" x14ac:dyDescent="0.3">
      <c r="A3675">
        <v>2024004673</v>
      </c>
      <c r="B3675" s="1">
        <v>45432</v>
      </c>
      <c r="C3675" s="11">
        <f t="shared" si="171"/>
        <v>2024</v>
      </c>
      <c r="D3675" t="s">
        <v>204</v>
      </c>
      <c r="E3675" t="s">
        <v>34</v>
      </c>
      <c r="F3675" t="s">
        <v>35</v>
      </c>
      <c r="G3675" t="s">
        <v>36</v>
      </c>
      <c r="H3675">
        <v>1</v>
      </c>
      <c r="I3675" s="2">
        <v>14.05</v>
      </c>
      <c r="J3675" s="2">
        <v>14.05</v>
      </c>
      <c r="K3675" s="2">
        <f t="shared" si="172"/>
        <v>14.05</v>
      </c>
      <c r="L3675" s="2">
        <f t="shared" si="173"/>
        <v>0</v>
      </c>
      <c r="M3675" t="s">
        <v>64</v>
      </c>
      <c r="N3675" t="s">
        <v>21</v>
      </c>
    </row>
    <row r="3676" spans="1:14" x14ac:dyDescent="0.3">
      <c r="A3676">
        <v>2024004674</v>
      </c>
      <c r="B3676" s="1">
        <v>45579</v>
      </c>
      <c r="C3676" s="11">
        <f t="shared" si="171"/>
        <v>2024</v>
      </c>
      <c r="D3676" t="s">
        <v>303</v>
      </c>
      <c r="E3676" t="s">
        <v>40</v>
      </c>
      <c r="F3676" t="s">
        <v>41</v>
      </c>
      <c r="G3676" t="s">
        <v>36</v>
      </c>
      <c r="H3676">
        <v>1</v>
      </c>
      <c r="I3676" s="2">
        <v>45.83</v>
      </c>
      <c r="J3676" s="2">
        <v>45.83</v>
      </c>
      <c r="K3676" s="2">
        <f t="shared" si="172"/>
        <v>45.83</v>
      </c>
      <c r="L3676" s="2">
        <f t="shared" si="173"/>
        <v>0</v>
      </c>
      <c r="M3676" t="s">
        <v>38</v>
      </c>
      <c r="N3676" t="s">
        <v>26</v>
      </c>
    </row>
    <row r="3677" spans="1:14" x14ac:dyDescent="0.3">
      <c r="A3677">
        <v>2024004675</v>
      </c>
      <c r="B3677" s="1">
        <v>45381</v>
      </c>
      <c r="C3677" s="11">
        <f t="shared" si="171"/>
        <v>2024</v>
      </c>
      <c r="D3677" t="s">
        <v>200</v>
      </c>
      <c r="E3677" t="s">
        <v>18</v>
      </c>
      <c r="F3677" t="s">
        <v>19</v>
      </c>
      <c r="G3677" t="s">
        <v>14</v>
      </c>
      <c r="H3677">
        <v>3</v>
      </c>
      <c r="I3677" s="2">
        <v>583.74</v>
      </c>
      <c r="J3677" s="2">
        <v>1751.22</v>
      </c>
      <c r="K3677" s="2">
        <f t="shared" si="172"/>
        <v>1751.22</v>
      </c>
      <c r="L3677" s="2">
        <f t="shared" si="173"/>
        <v>0</v>
      </c>
      <c r="M3677" t="s">
        <v>15</v>
      </c>
      <c r="N3677" t="s">
        <v>16</v>
      </c>
    </row>
    <row r="3678" spans="1:14" x14ac:dyDescent="0.3">
      <c r="A3678">
        <v>2024004676</v>
      </c>
      <c r="B3678" s="1">
        <v>45542</v>
      </c>
      <c r="C3678" s="11">
        <f t="shared" si="171"/>
        <v>2024</v>
      </c>
      <c r="D3678" t="s">
        <v>11</v>
      </c>
      <c r="E3678" t="s">
        <v>40</v>
      </c>
      <c r="F3678" t="s">
        <v>41</v>
      </c>
      <c r="G3678" t="s">
        <v>36</v>
      </c>
      <c r="H3678">
        <v>3</v>
      </c>
      <c r="I3678" s="2">
        <v>47.11</v>
      </c>
      <c r="J3678" s="2">
        <v>141.33000000000001</v>
      </c>
      <c r="K3678" s="2">
        <f t="shared" si="172"/>
        <v>141.32999999999998</v>
      </c>
      <c r="L3678" s="2">
        <f t="shared" si="173"/>
        <v>0</v>
      </c>
      <c r="M3678" t="s">
        <v>55</v>
      </c>
      <c r="N3678" t="s">
        <v>26</v>
      </c>
    </row>
    <row r="3679" spans="1:14" x14ac:dyDescent="0.3">
      <c r="A3679">
        <v>2024004677</v>
      </c>
      <c r="B3679" s="1">
        <v>45332</v>
      </c>
      <c r="C3679" s="11">
        <f t="shared" si="171"/>
        <v>2024</v>
      </c>
      <c r="D3679" t="s">
        <v>270</v>
      </c>
      <c r="E3679" t="s">
        <v>12</v>
      </c>
      <c r="F3679" t="s">
        <v>13</v>
      </c>
      <c r="G3679" t="s">
        <v>14</v>
      </c>
      <c r="H3679">
        <v>1</v>
      </c>
      <c r="I3679" s="2">
        <v>361.46</v>
      </c>
      <c r="J3679" s="2">
        <v>361.46</v>
      </c>
      <c r="K3679" s="2">
        <f t="shared" si="172"/>
        <v>361.46</v>
      </c>
      <c r="L3679" s="2">
        <f t="shared" si="173"/>
        <v>0</v>
      </c>
      <c r="M3679" t="s">
        <v>25</v>
      </c>
      <c r="N3679" t="s">
        <v>32</v>
      </c>
    </row>
    <row r="3680" spans="1:14" x14ac:dyDescent="0.3">
      <c r="A3680">
        <v>2024004678</v>
      </c>
      <c r="B3680" s="1">
        <v>45520</v>
      </c>
      <c r="C3680" s="11">
        <f t="shared" si="171"/>
        <v>2024</v>
      </c>
      <c r="D3680" t="s">
        <v>60</v>
      </c>
      <c r="E3680" t="s">
        <v>12</v>
      </c>
      <c r="F3680" t="s">
        <v>13</v>
      </c>
      <c r="G3680" t="s">
        <v>14</v>
      </c>
      <c r="H3680">
        <v>2</v>
      </c>
      <c r="I3680" s="2">
        <v>342.92</v>
      </c>
      <c r="J3680" s="2">
        <v>685.84</v>
      </c>
      <c r="K3680" s="2">
        <f t="shared" si="172"/>
        <v>685.84</v>
      </c>
      <c r="L3680" s="2">
        <f t="shared" si="173"/>
        <v>0</v>
      </c>
      <c r="M3680" t="s">
        <v>48</v>
      </c>
      <c r="N3680" t="s">
        <v>21</v>
      </c>
    </row>
    <row r="3681" spans="1:14" x14ac:dyDescent="0.3">
      <c r="A3681">
        <v>2024004679</v>
      </c>
      <c r="B3681" s="1">
        <v>45496</v>
      </c>
      <c r="C3681" s="11">
        <f t="shared" si="171"/>
        <v>2024</v>
      </c>
      <c r="D3681" t="s">
        <v>345</v>
      </c>
      <c r="E3681" t="s">
        <v>53</v>
      </c>
      <c r="F3681" t="s">
        <v>54</v>
      </c>
      <c r="G3681" t="s">
        <v>36</v>
      </c>
      <c r="H3681">
        <v>2</v>
      </c>
      <c r="I3681" s="2">
        <v>127.25</v>
      </c>
      <c r="J3681" s="2">
        <v>254.5</v>
      </c>
      <c r="K3681" s="2">
        <f t="shared" si="172"/>
        <v>254.5</v>
      </c>
      <c r="L3681" s="2">
        <f t="shared" si="173"/>
        <v>0</v>
      </c>
      <c r="M3681" t="s">
        <v>38</v>
      </c>
      <c r="N3681" t="s">
        <v>32</v>
      </c>
    </row>
    <row r="3682" spans="1:14" x14ac:dyDescent="0.3">
      <c r="A3682">
        <v>2024004680</v>
      </c>
      <c r="B3682" s="1">
        <v>45445</v>
      </c>
      <c r="C3682" s="11">
        <f t="shared" si="171"/>
        <v>2024</v>
      </c>
      <c r="D3682" t="s">
        <v>138</v>
      </c>
      <c r="E3682" t="s">
        <v>67</v>
      </c>
      <c r="F3682" t="s">
        <v>68</v>
      </c>
      <c r="G3682" t="s">
        <v>36</v>
      </c>
      <c r="H3682">
        <v>1</v>
      </c>
      <c r="I3682" s="2">
        <v>375.86</v>
      </c>
      <c r="J3682" s="2">
        <v>375.86</v>
      </c>
      <c r="K3682" s="2">
        <f t="shared" si="172"/>
        <v>375.86</v>
      </c>
      <c r="L3682" s="2">
        <f t="shared" si="173"/>
        <v>0</v>
      </c>
      <c r="M3682" t="s">
        <v>55</v>
      </c>
      <c r="N3682" t="s">
        <v>16</v>
      </c>
    </row>
    <row r="3683" spans="1:14" x14ac:dyDescent="0.3">
      <c r="A3683">
        <v>2024004681</v>
      </c>
      <c r="B3683" s="1">
        <v>45642</v>
      </c>
      <c r="C3683" s="11">
        <f t="shared" si="171"/>
        <v>2024</v>
      </c>
      <c r="D3683" t="s">
        <v>336</v>
      </c>
      <c r="E3683" t="s">
        <v>23</v>
      </c>
      <c r="F3683" t="s">
        <v>24</v>
      </c>
      <c r="G3683" t="s">
        <v>14</v>
      </c>
      <c r="H3683">
        <v>3</v>
      </c>
      <c r="I3683" s="2">
        <v>80.69</v>
      </c>
      <c r="J3683" s="2">
        <v>242.07</v>
      </c>
      <c r="K3683" s="2">
        <f t="shared" si="172"/>
        <v>242.07</v>
      </c>
      <c r="L3683" s="2">
        <f t="shared" si="173"/>
        <v>0</v>
      </c>
      <c r="M3683" t="s">
        <v>15</v>
      </c>
      <c r="N3683" t="s">
        <v>32</v>
      </c>
    </row>
    <row r="3684" spans="1:14" x14ac:dyDescent="0.3">
      <c r="A3684">
        <v>2024004682</v>
      </c>
      <c r="B3684" s="1">
        <v>45321</v>
      </c>
      <c r="C3684" s="11">
        <f t="shared" si="171"/>
        <v>2024</v>
      </c>
      <c r="D3684" t="s">
        <v>321</v>
      </c>
      <c r="E3684" t="s">
        <v>12</v>
      </c>
      <c r="F3684" t="s">
        <v>13</v>
      </c>
      <c r="G3684" t="s">
        <v>14</v>
      </c>
      <c r="H3684">
        <v>2</v>
      </c>
      <c r="I3684" s="2">
        <v>366.95</v>
      </c>
      <c r="J3684" s="2">
        <v>733.9</v>
      </c>
      <c r="K3684" s="2">
        <f t="shared" si="172"/>
        <v>733.9</v>
      </c>
      <c r="L3684" s="2">
        <f t="shared" si="173"/>
        <v>0</v>
      </c>
      <c r="M3684" t="s">
        <v>38</v>
      </c>
      <c r="N3684" t="s">
        <v>32</v>
      </c>
    </row>
    <row r="3685" spans="1:14" x14ac:dyDescent="0.3">
      <c r="A3685">
        <v>2024004683</v>
      </c>
      <c r="B3685" s="1">
        <v>45649</v>
      </c>
      <c r="C3685" s="11">
        <f t="shared" si="171"/>
        <v>2024</v>
      </c>
      <c r="D3685" t="s">
        <v>174</v>
      </c>
      <c r="E3685" t="s">
        <v>18</v>
      </c>
      <c r="F3685" t="s">
        <v>19</v>
      </c>
      <c r="G3685" t="s">
        <v>14</v>
      </c>
      <c r="H3685">
        <v>1</v>
      </c>
      <c r="I3685" s="2">
        <v>604.98</v>
      </c>
      <c r="J3685" s="2">
        <v>604.98</v>
      </c>
      <c r="K3685" s="2">
        <f t="shared" si="172"/>
        <v>604.98</v>
      </c>
      <c r="L3685" s="2">
        <f t="shared" si="173"/>
        <v>0</v>
      </c>
      <c r="M3685" t="s">
        <v>15</v>
      </c>
      <c r="N3685" t="s">
        <v>32</v>
      </c>
    </row>
    <row r="3686" spans="1:14" x14ac:dyDescent="0.3">
      <c r="A3686">
        <v>2024004684</v>
      </c>
      <c r="B3686" s="1">
        <v>45418</v>
      </c>
      <c r="C3686" s="11">
        <f t="shared" si="171"/>
        <v>2024</v>
      </c>
      <c r="D3686" t="s">
        <v>294</v>
      </c>
      <c r="E3686" t="s">
        <v>18</v>
      </c>
      <c r="F3686" t="s">
        <v>19</v>
      </c>
      <c r="G3686" t="s">
        <v>14</v>
      </c>
      <c r="H3686">
        <v>1</v>
      </c>
      <c r="I3686" s="2">
        <v>542.37</v>
      </c>
      <c r="J3686" s="2">
        <v>542.37</v>
      </c>
      <c r="K3686" s="2">
        <f t="shared" si="172"/>
        <v>542.37</v>
      </c>
      <c r="L3686" s="2">
        <f t="shared" si="173"/>
        <v>0</v>
      </c>
      <c r="M3686" t="s">
        <v>55</v>
      </c>
      <c r="N3686" t="s">
        <v>32</v>
      </c>
    </row>
    <row r="3687" spans="1:14" x14ac:dyDescent="0.3">
      <c r="A3687">
        <v>2024004685</v>
      </c>
      <c r="B3687" s="1">
        <v>45589</v>
      </c>
      <c r="C3687" s="11">
        <f t="shared" si="171"/>
        <v>2024</v>
      </c>
      <c r="D3687" t="s">
        <v>320</v>
      </c>
      <c r="E3687" t="s">
        <v>40</v>
      </c>
      <c r="F3687" t="s">
        <v>41</v>
      </c>
      <c r="G3687" t="s">
        <v>36</v>
      </c>
      <c r="H3687">
        <v>2</v>
      </c>
      <c r="I3687" s="2">
        <v>46.48</v>
      </c>
      <c r="J3687" s="2">
        <v>92.96</v>
      </c>
      <c r="K3687" s="2">
        <f t="shared" si="172"/>
        <v>92.96</v>
      </c>
      <c r="L3687" s="2">
        <f t="shared" si="173"/>
        <v>0</v>
      </c>
      <c r="M3687" t="s">
        <v>64</v>
      </c>
      <c r="N3687" t="s">
        <v>16</v>
      </c>
    </row>
    <row r="3688" spans="1:14" x14ac:dyDescent="0.3">
      <c r="A3688">
        <v>2024004686</v>
      </c>
      <c r="B3688" s="1">
        <v>45476</v>
      </c>
      <c r="C3688" s="11">
        <f t="shared" si="171"/>
        <v>2024</v>
      </c>
      <c r="D3688" t="s">
        <v>330</v>
      </c>
      <c r="E3688" t="s">
        <v>28</v>
      </c>
      <c r="F3688" t="s">
        <v>29</v>
      </c>
      <c r="G3688" t="s">
        <v>30</v>
      </c>
      <c r="H3688">
        <v>2</v>
      </c>
      <c r="I3688" s="2">
        <v>25.13</v>
      </c>
      <c r="J3688" s="2">
        <v>50.26</v>
      </c>
      <c r="K3688" s="2">
        <f t="shared" si="172"/>
        <v>50.26</v>
      </c>
      <c r="L3688" s="2">
        <f t="shared" si="173"/>
        <v>0</v>
      </c>
      <c r="M3688" t="s">
        <v>25</v>
      </c>
      <c r="N3688" t="s">
        <v>16</v>
      </c>
    </row>
    <row r="3689" spans="1:14" x14ac:dyDescent="0.3">
      <c r="A3689">
        <v>2024004687</v>
      </c>
      <c r="B3689" s="1">
        <v>45644</v>
      </c>
      <c r="C3689" s="11">
        <f t="shared" si="171"/>
        <v>2024</v>
      </c>
      <c r="D3689" t="s">
        <v>33</v>
      </c>
      <c r="E3689" t="s">
        <v>23</v>
      </c>
      <c r="F3689" t="s">
        <v>24</v>
      </c>
      <c r="G3689" t="s">
        <v>14</v>
      </c>
      <c r="H3689">
        <v>2</v>
      </c>
      <c r="I3689" s="2">
        <v>76.81</v>
      </c>
      <c r="J3689" s="2">
        <v>153.62</v>
      </c>
      <c r="K3689" s="2">
        <f t="shared" si="172"/>
        <v>153.62</v>
      </c>
      <c r="L3689" s="2">
        <f t="shared" si="173"/>
        <v>0</v>
      </c>
      <c r="M3689" t="s">
        <v>38</v>
      </c>
      <c r="N3689" t="s">
        <v>16</v>
      </c>
    </row>
    <row r="3690" spans="1:14" x14ac:dyDescent="0.3">
      <c r="A3690">
        <v>2024004688</v>
      </c>
      <c r="B3690" s="1">
        <v>45586</v>
      </c>
      <c r="C3690" s="11">
        <f t="shared" si="171"/>
        <v>2024</v>
      </c>
      <c r="D3690" t="s">
        <v>343</v>
      </c>
      <c r="E3690" t="s">
        <v>67</v>
      </c>
      <c r="F3690" t="s">
        <v>68</v>
      </c>
      <c r="G3690" t="s">
        <v>36</v>
      </c>
      <c r="H3690">
        <v>1</v>
      </c>
      <c r="I3690" s="2">
        <v>433.31</v>
      </c>
      <c r="J3690" s="2">
        <v>433.31</v>
      </c>
      <c r="K3690" s="2">
        <f t="shared" si="172"/>
        <v>433.31</v>
      </c>
      <c r="L3690" s="2">
        <f t="shared" si="173"/>
        <v>0</v>
      </c>
      <c r="M3690" t="s">
        <v>55</v>
      </c>
      <c r="N3690" t="s">
        <v>21</v>
      </c>
    </row>
    <row r="3691" spans="1:14" x14ac:dyDescent="0.3">
      <c r="A3691">
        <v>2024004689</v>
      </c>
      <c r="B3691" s="1">
        <v>45336</v>
      </c>
      <c r="C3691" s="11">
        <f t="shared" si="171"/>
        <v>2024</v>
      </c>
      <c r="D3691" t="s">
        <v>108</v>
      </c>
      <c r="E3691" t="s">
        <v>67</v>
      </c>
      <c r="F3691" t="s">
        <v>68</v>
      </c>
      <c r="G3691" t="s">
        <v>36</v>
      </c>
      <c r="H3691">
        <v>1</v>
      </c>
      <c r="I3691" s="2">
        <v>441.91</v>
      </c>
      <c r="J3691" s="2">
        <v>441.91</v>
      </c>
      <c r="K3691" s="2">
        <f t="shared" si="172"/>
        <v>441.91</v>
      </c>
      <c r="L3691" s="2">
        <f t="shared" si="173"/>
        <v>0</v>
      </c>
      <c r="M3691" t="s">
        <v>25</v>
      </c>
      <c r="N3691" t="s">
        <v>16</v>
      </c>
    </row>
    <row r="3692" spans="1:14" x14ac:dyDescent="0.3">
      <c r="A3692">
        <v>2024004690</v>
      </c>
      <c r="B3692" s="1">
        <v>45529</v>
      </c>
      <c r="C3692" s="11">
        <f t="shared" si="171"/>
        <v>2024</v>
      </c>
      <c r="D3692" t="s">
        <v>303</v>
      </c>
      <c r="E3692" t="s">
        <v>43</v>
      </c>
      <c r="F3692" t="s">
        <v>44</v>
      </c>
      <c r="G3692" t="s">
        <v>36</v>
      </c>
      <c r="H3692">
        <v>3</v>
      </c>
      <c r="I3692" s="2">
        <v>1183.02</v>
      </c>
      <c r="J3692" s="2">
        <v>3549.06</v>
      </c>
      <c r="K3692" s="2">
        <f t="shared" si="172"/>
        <v>3549.06</v>
      </c>
      <c r="L3692" s="2">
        <f t="shared" si="173"/>
        <v>0</v>
      </c>
      <c r="M3692" t="s">
        <v>57</v>
      </c>
      <c r="N3692" t="s">
        <v>16</v>
      </c>
    </row>
    <row r="3693" spans="1:14" x14ac:dyDescent="0.3">
      <c r="A3693">
        <v>2024004691</v>
      </c>
      <c r="B3693" s="1">
        <v>45368</v>
      </c>
      <c r="C3693" s="11">
        <f t="shared" si="171"/>
        <v>2024</v>
      </c>
      <c r="D3693" t="s">
        <v>187</v>
      </c>
      <c r="E3693" t="s">
        <v>53</v>
      </c>
      <c r="F3693" t="s">
        <v>54</v>
      </c>
      <c r="G3693" t="s">
        <v>36</v>
      </c>
      <c r="H3693">
        <v>2</v>
      </c>
      <c r="I3693" s="2">
        <v>121.63</v>
      </c>
      <c r="J3693" s="2">
        <v>243.26</v>
      </c>
      <c r="K3693" s="2">
        <f t="shared" si="172"/>
        <v>243.26</v>
      </c>
      <c r="L3693" s="2">
        <f t="shared" si="173"/>
        <v>0</v>
      </c>
      <c r="M3693" t="s">
        <v>20</v>
      </c>
      <c r="N3693" t="s">
        <v>16</v>
      </c>
    </row>
    <row r="3694" spans="1:14" x14ac:dyDescent="0.3">
      <c r="A3694">
        <v>2024004692</v>
      </c>
      <c r="B3694" s="1">
        <v>45350</v>
      </c>
      <c r="C3694" s="11">
        <f t="shared" si="171"/>
        <v>2024</v>
      </c>
      <c r="D3694" t="s">
        <v>247</v>
      </c>
      <c r="E3694" t="s">
        <v>18</v>
      </c>
      <c r="F3694" t="s">
        <v>19</v>
      </c>
      <c r="G3694" t="s">
        <v>14</v>
      </c>
      <c r="H3694">
        <v>5</v>
      </c>
      <c r="I3694" s="2">
        <v>613.08000000000004</v>
      </c>
      <c r="J3694" s="2">
        <v>3065.4</v>
      </c>
      <c r="K3694" s="2">
        <f t="shared" si="172"/>
        <v>3065.4</v>
      </c>
      <c r="L3694" s="2">
        <f t="shared" si="173"/>
        <v>0</v>
      </c>
      <c r="M3694" t="s">
        <v>25</v>
      </c>
      <c r="N3694" t="s">
        <v>21</v>
      </c>
    </row>
    <row r="3695" spans="1:14" x14ac:dyDescent="0.3">
      <c r="A3695">
        <v>2024004693</v>
      </c>
      <c r="B3695" s="1">
        <v>45315</v>
      </c>
      <c r="C3695" s="11">
        <f t="shared" si="171"/>
        <v>2024</v>
      </c>
      <c r="D3695" t="s">
        <v>280</v>
      </c>
      <c r="E3695" t="s">
        <v>67</v>
      </c>
      <c r="F3695" t="s">
        <v>68</v>
      </c>
      <c r="G3695" t="s">
        <v>36</v>
      </c>
      <c r="H3695">
        <v>3</v>
      </c>
      <c r="I3695" s="2">
        <v>413.35</v>
      </c>
      <c r="J3695" s="2">
        <v>1240.05</v>
      </c>
      <c r="K3695" s="2">
        <f t="shared" si="172"/>
        <v>1240.0500000000002</v>
      </c>
      <c r="L3695" s="2">
        <f t="shared" si="173"/>
        <v>0</v>
      </c>
      <c r="M3695" t="s">
        <v>64</v>
      </c>
      <c r="N3695" t="s">
        <v>26</v>
      </c>
    </row>
    <row r="3696" spans="1:14" x14ac:dyDescent="0.3">
      <c r="A3696">
        <v>2024004694</v>
      </c>
      <c r="B3696" s="1">
        <v>45332</v>
      </c>
      <c r="C3696" s="11">
        <f t="shared" si="171"/>
        <v>2024</v>
      </c>
      <c r="D3696" t="s">
        <v>254</v>
      </c>
      <c r="E3696" t="s">
        <v>12</v>
      </c>
      <c r="F3696" t="s">
        <v>13</v>
      </c>
      <c r="G3696" t="s">
        <v>14</v>
      </c>
      <c r="H3696">
        <v>1</v>
      </c>
      <c r="I3696" s="2">
        <v>338.56</v>
      </c>
      <c r="J3696" s="2">
        <v>338.56</v>
      </c>
      <c r="K3696" s="2">
        <f t="shared" si="172"/>
        <v>338.56</v>
      </c>
      <c r="L3696" s="2">
        <f t="shared" si="173"/>
        <v>0</v>
      </c>
      <c r="M3696" t="s">
        <v>61</v>
      </c>
      <c r="N3696" t="s">
        <v>26</v>
      </c>
    </row>
    <row r="3697" spans="1:14" x14ac:dyDescent="0.3">
      <c r="A3697">
        <v>2024004695</v>
      </c>
      <c r="B3697" s="1">
        <v>45477</v>
      </c>
      <c r="C3697" s="11">
        <f t="shared" si="171"/>
        <v>2024</v>
      </c>
      <c r="D3697" t="s">
        <v>308</v>
      </c>
      <c r="E3697" t="s">
        <v>67</v>
      </c>
      <c r="F3697" t="s">
        <v>68</v>
      </c>
      <c r="G3697" t="s">
        <v>36</v>
      </c>
      <c r="H3697">
        <v>4</v>
      </c>
      <c r="I3697" s="2">
        <v>408.96</v>
      </c>
      <c r="J3697" s="2">
        <v>1635.84</v>
      </c>
      <c r="K3697" s="2">
        <f t="shared" si="172"/>
        <v>1635.84</v>
      </c>
      <c r="L3697" s="2">
        <f t="shared" si="173"/>
        <v>0</v>
      </c>
      <c r="M3697" t="s">
        <v>48</v>
      </c>
      <c r="N3697" t="s">
        <v>21</v>
      </c>
    </row>
    <row r="3698" spans="1:14" x14ac:dyDescent="0.3">
      <c r="A3698">
        <v>2024004696</v>
      </c>
      <c r="B3698" s="1">
        <v>45370</v>
      </c>
      <c r="C3698" s="11">
        <f t="shared" si="171"/>
        <v>2024</v>
      </c>
      <c r="D3698" t="s">
        <v>254</v>
      </c>
      <c r="E3698" t="s">
        <v>12</v>
      </c>
      <c r="F3698" t="s">
        <v>13</v>
      </c>
      <c r="G3698" t="s">
        <v>14</v>
      </c>
      <c r="H3698">
        <v>3</v>
      </c>
      <c r="I3698" s="2">
        <v>310.97000000000003</v>
      </c>
      <c r="J3698" s="2">
        <v>932.91</v>
      </c>
      <c r="K3698" s="2">
        <f t="shared" si="172"/>
        <v>932.91000000000008</v>
      </c>
      <c r="L3698" s="2">
        <f t="shared" si="173"/>
        <v>0</v>
      </c>
      <c r="M3698" t="s">
        <v>57</v>
      </c>
      <c r="N3698" t="s">
        <v>21</v>
      </c>
    </row>
    <row r="3699" spans="1:14" x14ac:dyDescent="0.3">
      <c r="A3699">
        <v>2024004697</v>
      </c>
      <c r="B3699" s="1">
        <v>45467</v>
      </c>
      <c r="C3699" s="11">
        <f t="shared" si="171"/>
        <v>2024</v>
      </c>
      <c r="D3699" t="s">
        <v>171</v>
      </c>
      <c r="E3699" t="s">
        <v>53</v>
      </c>
      <c r="F3699" t="s">
        <v>54</v>
      </c>
      <c r="G3699" t="s">
        <v>36</v>
      </c>
      <c r="H3699">
        <v>2</v>
      </c>
      <c r="I3699" s="2">
        <v>118.42</v>
      </c>
      <c r="J3699" s="2">
        <v>236.84</v>
      </c>
      <c r="K3699" s="2">
        <f t="shared" si="172"/>
        <v>236.84</v>
      </c>
      <c r="L3699" s="2">
        <f t="shared" si="173"/>
        <v>0</v>
      </c>
      <c r="M3699" t="s">
        <v>38</v>
      </c>
      <c r="N3699" t="s">
        <v>16</v>
      </c>
    </row>
    <row r="3700" spans="1:14" x14ac:dyDescent="0.3">
      <c r="A3700">
        <v>2024004698</v>
      </c>
      <c r="B3700" s="1">
        <v>45595</v>
      </c>
      <c r="C3700" s="11">
        <f t="shared" si="171"/>
        <v>2024</v>
      </c>
      <c r="D3700" t="s">
        <v>90</v>
      </c>
      <c r="E3700" t="s">
        <v>53</v>
      </c>
      <c r="F3700" t="s">
        <v>54</v>
      </c>
      <c r="G3700" t="s">
        <v>36</v>
      </c>
      <c r="H3700">
        <v>1</v>
      </c>
      <c r="I3700" s="2">
        <v>121.04</v>
      </c>
      <c r="J3700" s="2">
        <v>121.04</v>
      </c>
      <c r="K3700" s="2">
        <f t="shared" si="172"/>
        <v>121.04</v>
      </c>
      <c r="L3700" s="2">
        <f t="shared" si="173"/>
        <v>0</v>
      </c>
      <c r="M3700" t="s">
        <v>25</v>
      </c>
      <c r="N3700" t="s">
        <v>16</v>
      </c>
    </row>
    <row r="3701" spans="1:14" x14ac:dyDescent="0.3">
      <c r="A3701">
        <v>2024004699</v>
      </c>
      <c r="B3701" s="1">
        <v>45561</v>
      </c>
      <c r="C3701" s="11">
        <f t="shared" si="171"/>
        <v>2024</v>
      </c>
      <c r="D3701" t="s">
        <v>117</v>
      </c>
      <c r="E3701" t="s">
        <v>40</v>
      </c>
      <c r="F3701" t="s">
        <v>41</v>
      </c>
      <c r="G3701" t="s">
        <v>36</v>
      </c>
      <c r="H3701">
        <v>1</v>
      </c>
      <c r="I3701" s="2">
        <v>49.27</v>
      </c>
      <c r="J3701" s="2">
        <v>49.27</v>
      </c>
      <c r="K3701" s="2">
        <f t="shared" si="172"/>
        <v>49.27</v>
      </c>
      <c r="L3701" s="2">
        <f t="shared" si="173"/>
        <v>0</v>
      </c>
      <c r="M3701" t="s">
        <v>55</v>
      </c>
      <c r="N3701" t="s">
        <v>21</v>
      </c>
    </row>
    <row r="3702" spans="1:14" x14ac:dyDescent="0.3">
      <c r="A3702">
        <v>2024004700</v>
      </c>
      <c r="B3702" s="1">
        <v>45529</v>
      </c>
      <c r="C3702" s="11">
        <f t="shared" si="171"/>
        <v>2024</v>
      </c>
      <c r="D3702" t="s">
        <v>224</v>
      </c>
      <c r="E3702" t="s">
        <v>40</v>
      </c>
      <c r="F3702" t="s">
        <v>41</v>
      </c>
      <c r="G3702" t="s">
        <v>36</v>
      </c>
      <c r="H3702">
        <v>2</v>
      </c>
      <c r="I3702" s="2">
        <v>45.78</v>
      </c>
      <c r="J3702" s="2">
        <v>91.56</v>
      </c>
      <c r="K3702" s="2">
        <f t="shared" si="172"/>
        <v>91.56</v>
      </c>
      <c r="L3702" s="2">
        <f t="shared" si="173"/>
        <v>0</v>
      </c>
      <c r="M3702" t="s">
        <v>48</v>
      </c>
      <c r="N3702" t="s">
        <v>16</v>
      </c>
    </row>
    <row r="3703" spans="1:14" x14ac:dyDescent="0.3">
      <c r="A3703">
        <v>2024004701</v>
      </c>
      <c r="B3703" s="1">
        <v>45292</v>
      </c>
      <c r="C3703" s="11">
        <f t="shared" si="171"/>
        <v>2024</v>
      </c>
      <c r="D3703" t="s">
        <v>205</v>
      </c>
      <c r="E3703" t="s">
        <v>53</v>
      </c>
      <c r="F3703" t="s">
        <v>54</v>
      </c>
      <c r="G3703" t="s">
        <v>36</v>
      </c>
      <c r="H3703">
        <v>3</v>
      </c>
      <c r="I3703" s="2">
        <v>114.41</v>
      </c>
      <c r="J3703" s="2">
        <v>343.23</v>
      </c>
      <c r="K3703" s="2">
        <f t="shared" si="172"/>
        <v>343.23</v>
      </c>
      <c r="L3703" s="2">
        <f t="shared" si="173"/>
        <v>0</v>
      </c>
      <c r="M3703" t="s">
        <v>61</v>
      </c>
      <c r="N3703" t="s">
        <v>26</v>
      </c>
    </row>
    <row r="3704" spans="1:14" x14ac:dyDescent="0.3">
      <c r="A3704">
        <v>2024004702</v>
      </c>
      <c r="B3704" s="1">
        <v>45653</v>
      </c>
      <c r="C3704" s="11">
        <f t="shared" si="171"/>
        <v>2024</v>
      </c>
      <c r="D3704" t="s">
        <v>108</v>
      </c>
      <c r="E3704" t="s">
        <v>18</v>
      </c>
      <c r="F3704" t="s">
        <v>19</v>
      </c>
      <c r="G3704" t="s">
        <v>14</v>
      </c>
      <c r="H3704">
        <v>1</v>
      </c>
      <c r="I3704" s="2">
        <v>584.41999999999996</v>
      </c>
      <c r="J3704" s="2">
        <v>584.41999999999996</v>
      </c>
      <c r="K3704" s="2">
        <f t="shared" si="172"/>
        <v>584.41999999999996</v>
      </c>
      <c r="L3704" s="2">
        <f t="shared" si="173"/>
        <v>0</v>
      </c>
      <c r="M3704" t="s">
        <v>48</v>
      </c>
      <c r="N3704" t="s">
        <v>32</v>
      </c>
    </row>
    <row r="3705" spans="1:14" x14ac:dyDescent="0.3">
      <c r="A3705">
        <v>2024004703</v>
      </c>
      <c r="B3705" s="1">
        <v>45598</v>
      </c>
      <c r="C3705" s="11">
        <f t="shared" si="171"/>
        <v>2024</v>
      </c>
      <c r="D3705" t="s">
        <v>260</v>
      </c>
      <c r="E3705" t="s">
        <v>18</v>
      </c>
      <c r="F3705" t="s">
        <v>19</v>
      </c>
      <c r="G3705" t="s">
        <v>14</v>
      </c>
      <c r="H3705">
        <v>1</v>
      </c>
      <c r="I3705" s="2">
        <v>648.96</v>
      </c>
      <c r="J3705" s="2">
        <v>648.96</v>
      </c>
      <c r="K3705" s="2">
        <f t="shared" si="172"/>
        <v>648.96</v>
      </c>
      <c r="L3705" s="2">
        <f t="shared" si="173"/>
        <v>0</v>
      </c>
      <c r="M3705" t="s">
        <v>31</v>
      </c>
      <c r="N3705" t="s">
        <v>16</v>
      </c>
    </row>
    <row r="3706" spans="1:14" x14ac:dyDescent="0.3">
      <c r="A3706">
        <v>2024004704</v>
      </c>
      <c r="B3706" s="1">
        <v>45379</v>
      </c>
      <c r="C3706" s="11">
        <f t="shared" si="171"/>
        <v>2024</v>
      </c>
      <c r="D3706" t="s">
        <v>291</v>
      </c>
      <c r="E3706" t="s">
        <v>12</v>
      </c>
      <c r="F3706" t="s">
        <v>13</v>
      </c>
      <c r="G3706" t="s">
        <v>14</v>
      </c>
      <c r="H3706">
        <v>1</v>
      </c>
      <c r="I3706" s="2">
        <v>359.87</v>
      </c>
      <c r="J3706" s="2">
        <v>359.87</v>
      </c>
      <c r="K3706" s="2">
        <f t="shared" si="172"/>
        <v>359.87</v>
      </c>
      <c r="L3706" s="2">
        <f t="shared" si="173"/>
        <v>0</v>
      </c>
      <c r="M3706" t="s">
        <v>25</v>
      </c>
      <c r="N3706" t="s">
        <v>32</v>
      </c>
    </row>
    <row r="3707" spans="1:14" x14ac:dyDescent="0.3">
      <c r="A3707">
        <v>2024004705</v>
      </c>
      <c r="B3707" s="1">
        <v>45327</v>
      </c>
      <c r="C3707" s="11">
        <f t="shared" si="171"/>
        <v>2024</v>
      </c>
      <c r="D3707" t="s">
        <v>90</v>
      </c>
      <c r="E3707" t="s">
        <v>18</v>
      </c>
      <c r="F3707" t="s">
        <v>19</v>
      </c>
      <c r="G3707" t="s">
        <v>14</v>
      </c>
      <c r="H3707">
        <v>2</v>
      </c>
      <c r="I3707" s="2">
        <v>609.34</v>
      </c>
      <c r="J3707" s="2">
        <v>1218.68</v>
      </c>
      <c r="K3707" s="2">
        <f t="shared" si="172"/>
        <v>1218.68</v>
      </c>
      <c r="L3707" s="2">
        <f t="shared" si="173"/>
        <v>0</v>
      </c>
      <c r="M3707" t="s">
        <v>55</v>
      </c>
      <c r="N3707" t="s">
        <v>16</v>
      </c>
    </row>
    <row r="3708" spans="1:14" x14ac:dyDescent="0.3">
      <c r="A3708">
        <v>2024004706</v>
      </c>
      <c r="B3708" s="1">
        <v>45390</v>
      </c>
      <c r="C3708" s="11">
        <f t="shared" si="171"/>
        <v>2024</v>
      </c>
      <c r="D3708" t="s">
        <v>33</v>
      </c>
      <c r="E3708" t="s">
        <v>40</v>
      </c>
      <c r="F3708" t="s">
        <v>41</v>
      </c>
      <c r="G3708" t="s">
        <v>36</v>
      </c>
      <c r="H3708">
        <v>4</v>
      </c>
      <c r="I3708" s="2">
        <v>46.98</v>
      </c>
      <c r="J3708" s="2">
        <v>187.92</v>
      </c>
      <c r="K3708" s="2">
        <f t="shared" si="172"/>
        <v>187.92</v>
      </c>
      <c r="L3708" s="2">
        <f t="shared" si="173"/>
        <v>0</v>
      </c>
      <c r="M3708" t="s">
        <v>57</v>
      </c>
      <c r="N3708" t="s">
        <v>26</v>
      </c>
    </row>
    <row r="3709" spans="1:14" x14ac:dyDescent="0.3">
      <c r="A3709">
        <v>2024004707</v>
      </c>
      <c r="B3709" s="1">
        <v>45321</v>
      </c>
      <c r="C3709" s="11">
        <f t="shared" si="171"/>
        <v>2024</v>
      </c>
      <c r="D3709" t="s">
        <v>193</v>
      </c>
      <c r="E3709" t="s">
        <v>18</v>
      </c>
      <c r="F3709" t="s">
        <v>19</v>
      </c>
      <c r="G3709" t="s">
        <v>14</v>
      </c>
      <c r="H3709">
        <v>1</v>
      </c>
      <c r="I3709" s="2">
        <v>632.58000000000004</v>
      </c>
      <c r="J3709" s="2">
        <v>632.58000000000004</v>
      </c>
      <c r="K3709" s="2">
        <f t="shared" si="172"/>
        <v>632.58000000000004</v>
      </c>
      <c r="L3709" s="2">
        <f t="shared" si="173"/>
        <v>0</v>
      </c>
      <c r="M3709" t="s">
        <v>48</v>
      </c>
      <c r="N3709" t="s">
        <v>21</v>
      </c>
    </row>
    <row r="3710" spans="1:14" x14ac:dyDescent="0.3">
      <c r="A3710">
        <v>2024004708</v>
      </c>
      <c r="B3710" s="1">
        <v>45539</v>
      </c>
      <c r="C3710" s="11">
        <f t="shared" si="171"/>
        <v>2024</v>
      </c>
      <c r="D3710" t="s">
        <v>305</v>
      </c>
      <c r="E3710" t="s">
        <v>43</v>
      </c>
      <c r="F3710" t="s">
        <v>44</v>
      </c>
      <c r="G3710" t="s">
        <v>36</v>
      </c>
      <c r="H3710">
        <v>1</v>
      </c>
      <c r="I3710" s="2">
        <v>1168.58</v>
      </c>
      <c r="J3710" s="2">
        <v>1168.58</v>
      </c>
      <c r="K3710" s="2">
        <f t="shared" si="172"/>
        <v>1168.58</v>
      </c>
      <c r="L3710" s="2">
        <f t="shared" si="173"/>
        <v>0</v>
      </c>
      <c r="M3710" t="s">
        <v>38</v>
      </c>
      <c r="N3710" t="s">
        <v>26</v>
      </c>
    </row>
    <row r="3711" spans="1:14" x14ac:dyDescent="0.3">
      <c r="A3711">
        <v>2024004709</v>
      </c>
      <c r="B3711" s="1">
        <v>45414</v>
      </c>
      <c r="C3711" s="11">
        <f t="shared" si="171"/>
        <v>2024</v>
      </c>
      <c r="D3711" t="s">
        <v>197</v>
      </c>
      <c r="E3711" t="s">
        <v>46</v>
      </c>
      <c r="F3711" t="s">
        <v>47</v>
      </c>
      <c r="G3711" t="s">
        <v>36</v>
      </c>
      <c r="H3711">
        <v>1</v>
      </c>
      <c r="I3711" s="2">
        <v>93.29</v>
      </c>
      <c r="J3711" s="2">
        <v>93.29</v>
      </c>
      <c r="K3711" s="2">
        <f t="shared" si="172"/>
        <v>93.29</v>
      </c>
      <c r="L3711" s="2">
        <f t="shared" si="173"/>
        <v>0</v>
      </c>
      <c r="M3711" t="s">
        <v>38</v>
      </c>
      <c r="N3711" t="s">
        <v>26</v>
      </c>
    </row>
    <row r="3712" spans="1:14" x14ac:dyDescent="0.3">
      <c r="A3712">
        <v>2024004710</v>
      </c>
      <c r="B3712" s="1">
        <v>45348</v>
      </c>
      <c r="C3712" s="11">
        <f t="shared" si="171"/>
        <v>2024</v>
      </c>
      <c r="D3712" t="s">
        <v>11</v>
      </c>
      <c r="E3712" t="s">
        <v>18</v>
      </c>
      <c r="F3712" t="s">
        <v>19</v>
      </c>
      <c r="G3712" t="s">
        <v>14</v>
      </c>
      <c r="H3712">
        <v>1</v>
      </c>
      <c r="I3712" s="2">
        <v>577.27</v>
      </c>
      <c r="J3712" s="2">
        <v>577.27</v>
      </c>
      <c r="K3712" s="2">
        <f t="shared" si="172"/>
        <v>577.27</v>
      </c>
      <c r="L3712" s="2">
        <f t="shared" si="173"/>
        <v>0</v>
      </c>
      <c r="M3712" t="s">
        <v>61</v>
      </c>
      <c r="N3712" t="s">
        <v>16</v>
      </c>
    </row>
    <row r="3713" spans="1:14" x14ac:dyDescent="0.3">
      <c r="A3713">
        <v>2024004711</v>
      </c>
      <c r="B3713" s="1">
        <v>45456</v>
      </c>
      <c r="C3713" s="11">
        <f t="shared" si="171"/>
        <v>2024</v>
      </c>
      <c r="D3713" t="s">
        <v>11</v>
      </c>
      <c r="E3713" t="s">
        <v>23</v>
      </c>
      <c r="F3713" t="s">
        <v>24</v>
      </c>
      <c r="G3713" t="s">
        <v>14</v>
      </c>
      <c r="H3713">
        <v>1</v>
      </c>
      <c r="I3713" s="2">
        <v>81.11</v>
      </c>
      <c r="J3713" s="2">
        <v>81.11</v>
      </c>
      <c r="K3713" s="2">
        <f t="shared" si="172"/>
        <v>81.11</v>
      </c>
      <c r="L3713" s="2">
        <f t="shared" si="173"/>
        <v>0</v>
      </c>
      <c r="M3713" t="s">
        <v>64</v>
      </c>
      <c r="N3713" t="s">
        <v>32</v>
      </c>
    </row>
    <row r="3714" spans="1:14" x14ac:dyDescent="0.3">
      <c r="A3714">
        <v>2024004712</v>
      </c>
      <c r="B3714" s="1">
        <v>45542</v>
      </c>
      <c r="C3714" s="11">
        <f t="shared" si="171"/>
        <v>2024</v>
      </c>
      <c r="D3714" t="s">
        <v>11</v>
      </c>
      <c r="E3714" t="s">
        <v>46</v>
      </c>
      <c r="F3714" t="s">
        <v>47</v>
      </c>
      <c r="G3714" t="s">
        <v>36</v>
      </c>
      <c r="H3714">
        <v>1</v>
      </c>
      <c r="I3714" s="2">
        <v>95.68</v>
      </c>
      <c r="J3714" s="2">
        <v>95.68</v>
      </c>
      <c r="K3714" s="2">
        <f t="shared" si="172"/>
        <v>95.68</v>
      </c>
      <c r="L3714" s="2">
        <f t="shared" si="173"/>
        <v>0</v>
      </c>
      <c r="M3714" t="s">
        <v>31</v>
      </c>
      <c r="N3714" t="s">
        <v>26</v>
      </c>
    </row>
    <row r="3715" spans="1:14" x14ac:dyDescent="0.3">
      <c r="A3715">
        <v>2024004713</v>
      </c>
      <c r="B3715" s="1">
        <v>45383</v>
      </c>
      <c r="C3715" s="11">
        <f t="shared" ref="C3715:C3778" si="174">YEAR(B3715)</f>
        <v>2024</v>
      </c>
      <c r="D3715" t="s">
        <v>204</v>
      </c>
      <c r="E3715" t="s">
        <v>46</v>
      </c>
      <c r="F3715" t="s">
        <v>47</v>
      </c>
      <c r="G3715" t="s">
        <v>36</v>
      </c>
      <c r="H3715">
        <v>1</v>
      </c>
      <c r="I3715" s="2">
        <v>96.95</v>
      </c>
      <c r="J3715" s="2">
        <v>96.95</v>
      </c>
      <c r="K3715" s="2">
        <f t="shared" ref="K3715:K3778" si="175">I3715*H3715</f>
        <v>96.95</v>
      </c>
      <c r="L3715" s="2">
        <f t="shared" ref="L3715:L3778" si="176">J3715-K3715</f>
        <v>0</v>
      </c>
      <c r="M3715" t="s">
        <v>20</v>
      </c>
      <c r="N3715" t="s">
        <v>32</v>
      </c>
    </row>
    <row r="3716" spans="1:14" x14ac:dyDescent="0.3">
      <c r="A3716">
        <v>2024004714</v>
      </c>
      <c r="B3716" s="1">
        <v>45584</v>
      </c>
      <c r="C3716" s="11">
        <f t="shared" si="174"/>
        <v>2024</v>
      </c>
      <c r="D3716" t="s">
        <v>37</v>
      </c>
      <c r="E3716" t="s">
        <v>43</v>
      </c>
      <c r="F3716" t="s">
        <v>44</v>
      </c>
      <c r="G3716" t="s">
        <v>36</v>
      </c>
      <c r="H3716">
        <v>2</v>
      </c>
      <c r="I3716" s="2">
        <v>1197.42</v>
      </c>
      <c r="J3716" s="2">
        <v>2394.84</v>
      </c>
      <c r="K3716" s="2">
        <f t="shared" si="175"/>
        <v>2394.84</v>
      </c>
      <c r="L3716" s="2">
        <f t="shared" si="176"/>
        <v>0</v>
      </c>
      <c r="M3716" t="s">
        <v>61</v>
      </c>
      <c r="N3716" t="s">
        <v>21</v>
      </c>
    </row>
    <row r="3717" spans="1:14" x14ac:dyDescent="0.3">
      <c r="A3717">
        <v>2024004715</v>
      </c>
      <c r="B3717" s="1">
        <v>45575</v>
      </c>
      <c r="C3717" s="11">
        <f t="shared" si="174"/>
        <v>2024</v>
      </c>
      <c r="D3717" t="s">
        <v>191</v>
      </c>
      <c r="E3717" t="s">
        <v>34</v>
      </c>
      <c r="F3717" t="s">
        <v>35</v>
      </c>
      <c r="G3717" t="s">
        <v>36</v>
      </c>
      <c r="H3717">
        <v>2</v>
      </c>
      <c r="I3717" s="2">
        <v>14.58</v>
      </c>
      <c r="J3717" s="2">
        <v>29.16</v>
      </c>
      <c r="K3717" s="2">
        <f t="shared" si="175"/>
        <v>29.16</v>
      </c>
      <c r="L3717" s="2">
        <f t="shared" si="176"/>
        <v>0</v>
      </c>
      <c r="M3717" t="s">
        <v>48</v>
      </c>
      <c r="N3717" t="s">
        <v>32</v>
      </c>
    </row>
    <row r="3718" spans="1:14" x14ac:dyDescent="0.3">
      <c r="A3718">
        <v>2024004716</v>
      </c>
      <c r="B3718" s="1">
        <v>45482</v>
      </c>
      <c r="C3718" s="11">
        <f t="shared" si="174"/>
        <v>2024</v>
      </c>
      <c r="D3718" t="s">
        <v>305</v>
      </c>
      <c r="E3718" t="s">
        <v>28</v>
      </c>
      <c r="F3718" t="s">
        <v>29</v>
      </c>
      <c r="G3718" t="s">
        <v>30</v>
      </c>
      <c r="H3718">
        <v>2</v>
      </c>
      <c r="I3718" s="2">
        <v>25.23</v>
      </c>
      <c r="J3718" s="2">
        <v>50.46</v>
      </c>
      <c r="K3718" s="2">
        <f t="shared" si="175"/>
        <v>50.46</v>
      </c>
      <c r="L3718" s="2">
        <f t="shared" si="176"/>
        <v>0</v>
      </c>
      <c r="M3718" t="s">
        <v>48</v>
      </c>
      <c r="N3718" t="s">
        <v>21</v>
      </c>
    </row>
    <row r="3719" spans="1:14" x14ac:dyDescent="0.3">
      <c r="A3719">
        <v>2024004717</v>
      </c>
      <c r="B3719" s="1">
        <v>45532</v>
      </c>
      <c r="C3719" s="11">
        <f t="shared" si="174"/>
        <v>2024</v>
      </c>
      <c r="D3719" t="s">
        <v>11</v>
      </c>
      <c r="E3719" t="s">
        <v>28</v>
      </c>
      <c r="F3719" t="s">
        <v>29</v>
      </c>
      <c r="G3719" t="s">
        <v>30</v>
      </c>
      <c r="H3719">
        <v>1</v>
      </c>
      <c r="I3719" s="2">
        <v>26.65</v>
      </c>
      <c r="J3719" s="2">
        <v>26.65</v>
      </c>
      <c r="K3719" s="2">
        <f t="shared" si="175"/>
        <v>26.65</v>
      </c>
      <c r="L3719" s="2">
        <f t="shared" si="176"/>
        <v>0</v>
      </c>
      <c r="M3719" t="s">
        <v>25</v>
      </c>
      <c r="N3719" t="s">
        <v>16</v>
      </c>
    </row>
    <row r="3720" spans="1:14" x14ac:dyDescent="0.3">
      <c r="A3720">
        <v>2024004718</v>
      </c>
      <c r="B3720" s="1">
        <v>45531</v>
      </c>
      <c r="C3720" s="11">
        <f t="shared" si="174"/>
        <v>2024</v>
      </c>
      <c r="D3720" t="s">
        <v>11</v>
      </c>
      <c r="E3720" t="s">
        <v>40</v>
      </c>
      <c r="F3720" t="s">
        <v>41</v>
      </c>
      <c r="G3720" t="s">
        <v>36</v>
      </c>
      <c r="H3720">
        <v>1</v>
      </c>
      <c r="I3720" s="2">
        <v>44.18</v>
      </c>
      <c r="J3720" s="2">
        <v>44.18</v>
      </c>
      <c r="K3720" s="2">
        <f t="shared" si="175"/>
        <v>44.18</v>
      </c>
      <c r="L3720" s="2">
        <f t="shared" si="176"/>
        <v>0</v>
      </c>
      <c r="M3720" t="s">
        <v>61</v>
      </c>
      <c r="N3720" t="s">
        <v>32</v>
      </c>
    </row>
    <row r="3721" spans="1:14" x14ac:dyDescent="0.3">
      <c r="A3721">
        <v>2024004719</v>
      </c>
      <c r="B3721" s="1">
        <v>45589</v>
      </c>
      <c r="C3721" s="11">
        <f t="shared" si="174"/>
        <v>2024</v>
      </c>
      <c r="D3721" t="s">
        <v>300</v>
      </c>
      <c r="E3721" t="s">
        <v>28</v>
      </c>
      <c r="F3721" t="s">
        <v>29</v>
      </c>
      <c r="G3721" t="s">
        <v>30</v>
      </c>
      <c r="H3721">
        <v>1</v>
      </c>
      <c r="I3721" s="2">
        <v>24.04</v>
      </c>
      <c r="J3721" s="2">
        <v>24.04</v>
      </c>
      <c r="K3721" s="2">
        <f t="shared" si="175"/>
        <v>24.04</v>
      </c>
      <c r="L3721" s="2">
        <f t="shared" si="176"/>
        <v>0</v>
      </c>
      <c r="M3721" t="s">
        <v>20</v>
      </c>
      <c r="N3721" t="s">
        <v>21</v>
      </c>
    </row>
    <row r="3722" spans="1:14" x14ac:dyDescent="0.3">
      <c r="A3722">
        <v>2024004720</v>
      </c>
      <c r="B3722" s="1">
        <v>45409</v>
      </c>
      <c r="C3722" s="11">
        <f t="shared" si="174"/>
        <v>2024</v>
      </c>
      <c r="D3722" t="s">
        <v>11</v>
      </c>
      <c r="E3722" t="s">
        <v>28</v>
      </c>
      <c r="F3722" t="s">
        <v>29</v>
      </c>
      <c r="G3722" t="s">
        <v>30</v>
      </c>
      <c r="H3722">
        <v>2</v>
      </c>
      <c r="I3722" s="2">
        <v>24.83</v>
      </c>
      <c r="J3722" s="2">
        <v>49.66</v>
      </c>
      <c r="K3722" s="2">
        <f t="shared" si="175"/>
        <v>49.66</v>
      </c>
      <c r="L3722" s="2">
        <f t="shared" si="176"/>
        <v>0</v>
      </c>
      <c r="M3722" t="s">
        <v>15</v>
      </c>
      <c r="N3722" t="s">
        <v>16</v>
      </c>
    </row>
    <row r="3723" spans="1:14" x14ac:dyDescent="0.3">
      <c r="A3723">
        <v>2024004721</v>
      </c>
      <c r="B3723" s="1">
        <v>45368</v>
      </c>
      <c r="C3723" s="11">
        <f t="shared" si="174"/>
        <v>2024</v>
      </c>
      <c r="D3723" t="s">
        <v>301</v>
      </c>
      <c r="E3723" t="s">
        <v>40</v>
      </c>
      <c r="F3723" t="s">
        <v>41</v>
      </c>
      <c r="G3723" t="s">
        <v>36</v>
      </c>
      <c r="H3723">
        <v>1</v>
      </c>
      <c r="I3723" s="2">
        <v>41.67</v>
      </c>
      <c r="J3723" s="2">
        <v>41.67</v>
      </c>
      <c r="K3723" s="2">
        <f t="shared" si="175"/>
        <v>41.67</v>
      </c>
      <c r="L3723" s="2">
        <f t="shared" si="176"/>
        <v>0</v>
      </c>
      <c r="M3723" t="s">
        <v>57</v>
      </c>
      <c r="N3723" t="s">
        <v>21</v>
      </c>
    </row>
    <row r="3724" spans="1:14" x14ac:dyDescent="0.3">
      <c r="A3724">
        <v>2024004722</v>
      </c>
      <c r="B3724" s="1">
        <v>45657</v>
      </c>
      <c r="C3724" s="11">
        <f t="shared" si="174"/>
        <v>2024</v>
      </c>
      <c r="D3724" t="s">
        <v>104</v>
      </c>
      <c r="E3724" t="s">
        <v>12</v>
      </c>
      <c r="F3724" t="s">
        <v>13</v>
      </c>
      <c r="G3724" t="s">
        <v>14</v>
      </c>
      <c r="H3724">
        <v>2</v>
      </c>
      <c r="I3724" s="2">
        <v>362.25</v>
      </c>
      <c r="J3724" s="2">
        <v>724.5</v>
      </c>
      <c r="K3724" s="2">
        <f t="shared" si="175"/>
        <v>724.5</v>
      </c>
      <c r="L3724" s="2">
        <f t="shared" si="176"/>
        <v>0</v>
      </c>
      <c r="M3724" t="s">
        <v>61</v>
      </c>
      <c r="N3724" t="s">
        <v>26</v>
      </c>
    </row>
    <row r="3725" spans="1:14" x14ac:dyDescent="0.3">
      <c r="A3725">
        <v>2024004723</v>
      </c>
      <c r="B3725" s="1">
        <v>45307</v>
      </c>
      <c r="C3725" s="11">
        <f t="shared" si="174"/>
        <v>2024</v>
      </c>
      <c r="D3725" t="s">
        <v>275</v>
      </c>
      <c r="E3725" t="s">
        <v>40</v>
      </c>
      <c r="F3725" t="s">
        <v>41</v>
      </c>
      <c r="G3725" t="s">
        <v>36</v>
      </c>
      <c r="H3725">
        <v>2</v>
      </c>
      <c r="I3725" s="2">
        <v>46.63</v>
      </c>
      <c r="J3725" s="2">
        <v>93.26</v>
      </c>
      <c r="K3725" s="2">
        <f t="shared" si="175"/>
        <v>93.26</v>
      </c>
      <c r="L3725" s="2">
        <f t="shared" si="176"/>
        <v>0</v>
      </c>
      <c r="M3725" t="s">
        <v>64</v>
      </c>
      <c r="N3725" t="s">
        <v>21</v>
      </c>
    </row>
    <row r="3726" spans="1:14" x14ac:dyDescent="0.3">
      <c r="A3726">
        <v>2024004724</v>
      </c>
      <c r="B3726" s="1">
        <v>45565</v>
      </c>
      <c r="C3726" s="11">
        <f t="shared" si="174"/>
        <v>2024</v>
      </c>
      <c r="D3726" t="s">
        <v>195</v>
      </c>
      <c r="E3726" t="s">
        <v>23</v>
      </c>
      <c r="F3726" t="s">
        <v>24</v>
      </c>
      <c r="G3726" t="s">
        <v>14</v>
      </c>
      <c r="H3726">
        <v>1</v>
      </c>
      <c r="I3726" s="2">
        <v>81.72</v>
      </c>
      <c r="J3726" s="2">
        <v>81.72</v>
      </c>
      <c r="K3726" s="2">
        <f t="shared" si="175"/>
        <v>81.72</v>
      </c>
      <c r="L3726" s="2">
        <f t="shared" si="176"/>
        <v>0</v>
      </c>
      <c r="M3726" t="s">
        <v>20</v>
      </c>
      <c r="N3726" t="s">
        <v>16</v>
      </c>
    </row>
    <row r="3727" spans="1:14" x14ac:dyDescent="0.3">
      <c r="A3727">
        <v>2024004725</v>
      </c>
      <c r="B3727" s="1">
        <v>45596</v>
      </c>
      <c r="C3727" s="11">
        <f t="shared" si="174"/>
        <v>2024</v>
      </c>
      <c r="D3727" t="s">
        <v>11</v>
      </c>
      <c r="E3727" t="s">
        <v>40</v>
      </c>
      <c r="F3727" t="s">
        <v>41</v>
      </c>
      <c r="G3727" t="s">
        <v>36</v>
      </c>
      <c r="H3727">
        <v>2</v>
      </c>
      <c r="I3727" s="2">
        <v>47.67</v>
      </c>
      <c r="J3727" s="2">
        <v>95.34</v>
      </c>
      <c r="K3727" s="2">
        <f t="shared" si="175"/>
        <v>95.34</v>
      </c>
      <c r="L3727" s="2">
        <f t="shared" si="176"/>
        <v>0</v>
      </c>
      <c r="M3727" t="s">
        <v>55</v>
      </c>
      <c r="N3727" t="s">
        <v>21</v>
      </c>
    </row>
    <row r="3728" spans="1:14" x14ac:dyDescent="0.3">
      <c r="A3728">
        <v>2024004726</v>
      </c>
      <c r="B3728" s="1">
        <v>45561</v>
      </c>
      <c r="C3728" s="11">
        <f t="shared" si="174"/>
        <v>2024</v>
      </c>
      <c r="D3728" t="s">
        <v>170</v>
      </c>
      <c r="E3728" t="s">
        <v>28</v>
      </c>
      <c r="F3728" t="s">
        <v>29</v>
      </c>
      <c r="G3728" t="s">
        <v>30</v>
      </c>
      <c r="H3728">
        <v>1</v>
      </c>
      <c r="I3728" s="2">
        <v>27.32</v>
      </c>
      <c r="J3728" s="2">
        <v>27.32</v>
      </c>
      <c r="K3728" s="2">
        <f t="shared" si="175"/>
        <v>27.32</v>
      </c>
      <c r="L3728" s="2">
        <f t="shared" si="176"/>
        <v>0</v>
      </c>
      <c r="M3728" t="s">
        <v>15</v>
      </c>
      <c r="N3728" t="s">
        <v>16</v>
      </c>
    </row>
    <row r="3729" spans="1:14" x14ac:dyDescent="0.3">
      <c r="A3729">
        <v>2024004727</v>
      </c>
      <c r="B3729" s="1">
        <v>45648</v>
      </c>
      <c r="C3729" s="11">
        <f t="shared" si="174"/>
        <v>2024</v>
      </c>
      <c r="D3729" t="s">
        <v>126</v>
      </c>
      <c r="E3729" t="s">
        <v>12</v>
      </c>
      <c r="F3729" t="s">
        <v>13</v>
      </c>
      <c r="G3729" t="s">
        <v>14</v>
      </c>
      <c r="H3729">
        <v>3</v>
      </c>
      <c r="I3729" s="2">
        <v>355.48</v>
      </c>
      <c r="J3729" s="2">
        <v>1066.44</v>
      </c>
      <c r="K3729" s="2">
        <f t="shared" si="175"/>
        <v>1066.44</v>
      </c>
      <c r="L3729" s="2">
        <f t="shared" si="176"/>
        <v>0</v>
      </c>
      <c r="M3729" t="s">
        <v>55</v>
      </c>
      <c r="N3729" t="s">
        <v>16</v>
      </c>
    </row>
    <row r="3730" spans="1:14" x14ac:dyDescent="0.3">
      <c r="A3730">
        <v>2024004728</v>
      </c>
      <c r="B3730" s="1">
        <v>45435</v>
      </c>
      <c r="C3730" s="11">
        <f t="shared" si="174"/>
        <v>2024</v>
      </c>
      <c r="D3730" t="s">
        <v>201</v>
      </c>
      <c r="E3730" t="s">
        <v>53</v>
      </c>
      <c r="F3730" t="s">
        <v>54</v>
      </c>
      <c r="G3730" t="s">
        <v>36</v>
      </c>
      <c r="H3730">
        <v>1</v>
      </c>
      <c r="I3730" s="2">
        <v>113.89</v>
      </c>
      <c r="J3730" s="2">
        <v>113.89</v>
      </c>
      <c r="K3730" s="2">
        <f t="shared" si="175"/>
        <v>113.89</v>
      </c>
      <c r="L3730" s="2">
        <f t="shared" si="176"/>
        <v>0</v>
      </c>
      <c r="M3730" t="s">
        <v>57</v>
      </c>
      <c r="N3730" t="s">
        <v>21</v>
      </c>
    </row>
    <row r="3731" spans="1:14" x14ac:dyDescent="0.3">
      <c r="A3731">
        <v>2024004729</v>
      </c>
      <c r="B3731" s="1">
        <v>45423</v>
      </c>
      <c r="C3731" s="11">
        <f t="shared" si="174"/>
        <v>2024</v>
      </c>
      <c r="D3731" t="s">
        <v>84</v>
      </c>
      <c r="E3731" t="s">
        <v>40</v>
      </c>
      <c r="F3731" t="s">
        <v>41</v>
      </c>
      <c r="G3731" t="s">
        <v>36</v>
      </c>
      <c r="H3731">
        <v>1</v>
      </c>
      <c r="I3731" s="2">
        <v>47.35</v>
      </c>
      <c r="J3731" s="2">
        <v>47.35</v>
      </c>
      <c r="K3731" s="2">
        <f t="shared" si="175"/>
        <v>47.35</v>
      </c>
      <c r="L3731" s="2">
        <f t="shared" si="176"/>
        <v>0</v>
      </c>
      <c r="M3731" t="s">
        <v>57</v>
      </c>
      <c r="N3731" t="s">
        <v>21</v>
      </c>
    </row>
    <row r="3732" spans="1:14" x14ac:dyDescent="0.3">
      <c r="A3732">
        <v>2024004730</v>
      </c>
      <c r="B3732" s="1">
        <v>45619</v>
      </c>
      <c r="C3732" s="11">
        <f t="shared" si="174"/>
        <v>2024</v>
      </c>
      <c r="D3732" t="s">
        <v>259</v>
      </c>
      <c r="E3732" t="s">
        <v>28</v>
      </c>
      <c r="F3732" t="s">
        <v>29</v>
      </c>
      <c r="G3732" t="s">
        <v>30</v>
      </c>
      <c r="H3732">
        <v>3</v>
      </c>
      <c r="I3732" s="2">
        <v>23.44</v>
      </c>
      <c r="J3732" s="2">
        <v>70.319999999999993</v>
      </c>
      <c r="K3732" s="2">
        <f t="shared" si="175"/>
        <v>70.320000000000007</v>
      </c>
      <c r="L3732" s="2">
        <f t="shared" si="176"/>
        <v>0</v>
      </c>
      <c r="M3732" t="s">
        <v>61</v>
      </c>
      <c r="N3732" t="s">
        <v>16</v>
      </c>
    </row>
    <row r="3733" spans="1:14" x14ac:dyDescent="0.3">
      <c r="A3733">
        <v>2024004731</v>
      </c>
      <c r="B3733" s="1">
        <v>45444</v>
      </c>
      <c r="C3733" s="11">
        <f t="shared" si="174"/>
        <v>2024</v>
      </c>
      <c r="D3733" t="s">
        <v>307</v>
      </c>
      <c r="E3733" t="s">
        <v>28</v>
      </c>
      <c r="F3733" t="s">
        <v>29</v>
      </c>
      <c r="G3733" t="s">
        <v>30</v>
      </c>
      <c r="H3733">
        <v>3</v>
      </c>
      <c r="I3733" s="2">
        <v>26.27</v>
      </c>
      <c r="J3733" s="2">
        <v>78.81</v>
      </c>
      <c r="K3733" s="2">
        <f t="shared" si="175"/>
        <v>78.81</v>
      </c>
      <c r="L3733" s="2">
        <f t="shared" si="176"/>
        <v>0</v>
      </c>
      <c r="M3733" t="s">
        <v>31</v>
      </c>
      <c r="N3733" t="s">
        <v>16</v>
      </c>
    </row>
    <row r="3734" spans="1:14" x14ac:dyDescent="0.3">
      <c r="A3734">
        <v>2024004732</v>
      </c>
      <c r="B3734" s="1">
        <v>45365</v>
      </c>
      <c r="C3734" s="11">
        <f t="shared" si="174"/>
        <v>2024</v>
      </c>
      <c r="D3734" t="s">
        <v>255</v>
      </c>
      <c r="E3734" t="s">
        <v>67</v>
      </c>
      <c r="F3734" t="s">
        <v>68</v>
      </c>
      <c r="G3734" t="s">
        <v>36</v>
      </c>
      <c r="H3734">
        <v>2</v>
      </c>
      <c r="I3734" s="2">
        <v>430.38</v>
      </c>
      <c r="J3734" s="2">
        <v>860.76</v>
      </c>
      <c r="K3734" s="2">
        <f t="shared" si="175"/>
        <v>860.76</v>
      </c>
      <c r="L3734" s="2">
        <f t="shared" si="176"/>
        <v>0</v>
      </c>
      <c r="M3734" t="s">
        <v>48</v>
      </c>
      <c r="N3734" t="s">
        <v>16</v>
      </c>
    </row>
    <row r="3735" spans="1:14" x14ac:dyDescent="0.3">
      <c r="A3735">
        <v>2024004733</v>
      </c>
      <c r="B3735" s="1">
        <v>45444</v>
      </c>
      <c r="C3735" s="11">
        <f t="shared" si="174"/>
        <v>2024</v>
      </c>
      <c r="D3735" t="s">
        <v>286</v>
      </c>
      <c r="E3735" t="s">
        <v>40</v>
      </c>
      <c r="F3735" t="s">
        <v>41</v>
      </c>
      <c r="G3735" t="s">
        <v>36</v>
      </c>
      <c r="H3735">
        <v>3</v>
      </c>
      <c r="I3735" s="2">
        <v>47.92</v>
      </c>
      <c r="J3735" s="2">
        <v>143.76</v>
      </c>
      <c r="K3735" s="2">
        <f t="shared" si="175"/>
        <v>143.76</v>
      </c>
      <c r="L3735" s="2">
        <f t="shared" si="176"/>
        <v>0</v>
      </c>
      <c r="M3735" t="s">
        <v>20</v>
      </c>
      <c r="N3735" t="s">
        <v>16</v>
      </c>
    </row>
    <row r="3736" spans="1:14" x14ac:dyDescent="0.3">
      <c r="A3736">
        <v>2024004734</v>
      </c>
      <c r="B3736" s="1">
        <v>45323</v>
      </c>
      <c r="C3736" s="11">
        <f t="shared" si="174"/>
        <v>2024</v>
      </c>
      <c r="D3736" t="s">
        <v>161</v>
      </c>
      <c r="E3736" t="s">
        <v>43</v>
      </c>
      <c r="F3736" t="s">
        <v>44</v>
      </c>
      <c r="G3736" t="s">
        <v>36</v>
      </c>
      <c r="H3736">
        <v>1</v>
      </c>
      <c r="I3736" s="2">
        <v>1201.8800000000001</v>
      </c>
      <c r="J3736" s="2">
        <v>1201.8800000000001</v>
      </c>
      <c r="K3736" s="2">
        <f t="shared" si="175"/>
        <v>1201.8800000000001</v>
      </c>
      <c r="L3736" s="2">
        <f t="shared" si="176"/>
        <v>0</v>
      </c>
      <c r="M3736" t="s">
        <v>55</v>
      </c>
      <c r="N3736" t="s">
        <v>16</v>
      </c>
    </row>
    <row r="3737" spans="1:14" x14ac:dyDescent="0.3">
      <c r="A3737">
        <v>2024004735</v>
      </c>
      <c r="B3737" s="1">
        <v>45357</v>
      </c>
      <c r="C3737" s="11">
        <f t="shared" si="174"/>
        <v>2024</v>
      </c>
      <c r="D3737" t="s">
        <v>276</v>
      </c>
      <c r="E3737" t="s">
        <v>43</v>
      </c>
      <c r="F3737" t="s">
        <v>44</v>
      </c>
      <c r="G3737" t="s">
        <v>36</v>
      </c>
      <c r="H3737">
        <v>1</v>
      </c>
      <c r="I3737" s="2">
        <v>1203.81</v>
      </c>
      <c r="J3737" s="2">
        <v>1203.81</v>
      </c>
      <c r="K3737" s="2">
        <f t="shared" si="175"/>
        <v>1203.81</v>
      </c>
      <c r="L3737" s="2">
        <f t="shared" si="176"/>
        <v>0</v>
      </c>
      <c r="M3737" t="s">
        <v>15</v>
      </c>
      <c r="N3737" t="s">
        <v>21</v>
      </c>
    </row>
    <row r="3738" spans="1:14" x14ac:dyDescent="0.3">
      <c r="A3738">
        <v>2024004736</v>
      </c>
      <c r="B3738" s="1">
        <v>45513</v>
      </c>
      <c r="C3738" s="11">
        <f t="shared" si="174"/>
        <v>2024</v>
      </c>
      <c r="D3738" t="s">
        <v>79</v>
      </c>
      <c r="E3738" t="s">
        <v>40</v>
      </c>
      <c r="F3738" t="s">
        <v>41</v>
      </c>
      <c r="G3738" t="s">
        <v>36</v>
      </c>
      <c r="H3738">
        <v>1</v>
      </c>
      <c r="I3738" s="2">
        <v>44.46</v>
      </c>
      <c r="J3738" s="2">
        <v>44.46</v>
      </c>
      <c r="K3738" s="2">
        <f t="shared" si="175"/>
        <v>44.46</v>
      </c>
      <c r="L3738" s="2">
        <f t="shared" si="176"/>
        <v>0</v>
      </c>
      <c r="M3738" t="s">
        <v>31</v>
      </c>
      <c r="N3738" t="s">
        <v>32</v>
      </c>
    </row>
    <row r="3739" spans="1:14" x14ac:dyDescent="0.3">
      <c r="A3739">
        <v>2024004737</v>
      </c>
      <c r="B3739" s="1">
        <v>45505</v>
      </c>
      <c r="C3739" s="11">
        <f t="shared" si="174"/>
        <v>2024</v>
      </c>
      <c r="D3739" t="s">
        <v>279</v>
      </c>
      <c r="E3739" t="s">
        <v>46</v>
      </c>
      <c r="F3739" t="s">
        <v>47</v>
      </c>
      <c r="G3739" t="s">
        <v>36</v>
      </c>
      <c r="H3739">
        <v>5</v>
      </c>
      <c r="I3739" s="2">
        <v>90.78</v>
      </c>
      <c r="J3739" s="2">
        <v>453.9</v>
      </c>
      <c r="K3739" s="2">
        <f t="shared" si="175"/>
        <v>453.9</v>
      </c>
      <c r="L3739" s="2">
        <f t="shared" si="176"/>
        <v>0</v>
      </c>
      <c r="M3739" t="s">
        <v>61</v>
      </c>
      <c r="N3739" t="s">
        <v>32</v>
      </c>
    </row>
    <row r="3740" spans="1:14" x14ac:dyDescent="0.3">
      <c r="A3740">
        <v>2024004738</v>
      </c>
      <c r="B3740" s="1">
        <v>45655</v>
      </c>
      <c r="C3740" s="11">
        <f t="shared" si="174"/>
        <v>2024</v>
      </c>
      <c r="D3740" t="s">
        <v>269</v>
      </c>
      <c r="E3740" t="s">
        <v>28</v>
      </c>
      <c r="F3740" t="s">
        <v>29</v>
      </c>
      <c r="G3740" t="s">
        <v>30</v>
      </c>
      <c r="H3740">
        <v>2</v>
      </c>
      <c r="I3740" s="2">
        <v>23.8</v>
      </c>
      <c r="J3740" s="2">
        <v>47.6</v>
      </c>
      <c r="K3740" s="2">
        <f t="shared" si="175"/>
        <v>47.6</v>
      </c>
      <c r="L3740" s="2">
        <f t="shared" si="176"/>
        <v>0</v>
      </c>
      <c r="M3740" t="s">
        <v>38</v>
      </c>
      <c r="N3740" t="s">
        <v>26</v>
      </c>
    </row>
    <row r="3741" spans="1:14" x14ac:dyDescent="0.3">
      <c r="A3741">
        <v>2024004739</v>
      </c>
      <c r="B3741" s="1">
        <v>45452</v>
      </c>
      <c r="C3741" s="11">
        <f t="shared" si="174"/>
        <v>2024</v>
      </c>
      <c r="D3741" t="s">
        <v>81</v>
      </c>
      <c r="E3741" t="s">
        <v>12</v>
      </c>
      <c r="F3741" t="s">
        <v>13</v>
      </c>
      <c r="G3741" t="s">
        <v>14</v>
      </c>
      <c r="H3741">
        <v>2</v>
      </c>
      <c r="I3741" s="2">
        <v>362.35</v>
      </c>
      <c r="J3741" s="2">
        <v>724.7</v>
      </c>
      <c r="K3741" s="2">
        <f t="shared" si="175"/>
        <v>724.7</v>
      </c>
      <c r="L3741" s="2">
        <f t="shared" si="176"/>
        <v>0</v>
      </c>
      <c r="M3741" t="s">
        <v>20</v>
      </c>
      <c r="N3741" t="s">
        <v>32</v>
      </c>
    </row>
    <row r="3742" spans="1:14" x14ac:dyDescent="0.3">
      <c r="A3742">
        <v>2024004740</v>
      </c>
      <c r="B3742" s="1">
        <v>45529</v>
      </c>
      <c r="C3742" s="11">
        <f t="shared" si="174"/>
        <v>2024</v>
      </c>
      <c r="D3742" t="s">
        <v>269</v>
      </c>
      <c r="E3742" t="s">
        <v>28</v>
      </c>
      <c r="F3742" t="s">
        <v>29</v>
      </c>
      <c r="G3742" t="s">
        <v>30</v>
      </c>
      <c r="H3742">
        <v>1</v>
      </c>
      <c r="I3742" s="2">
        <v>23.4</v>
      </c>
      <c r="J3742" s="2">
        <v>23.4</v>
      </c>
      <c r="K3742" s="2">
        <f t="shared" si="175"/>
        <v>23.4</v>
      </c>
      <c r="L3742" s="2">
        <f t="shared" si="176"/>
        <v>0</v>
      </c>
      <c r="M3742" t="s">
        <v>48</v>
      </c>
      <c r="N3742" t="s">
        <v>32</v>
      </c>
    </row>
    <row r="3743" spans="1:14" x14ac:dyDescent="0.3">
      <c r="A3743">
        <v>2024004741</v>
      </c>
      <c r="B3743" s="1">
        <v>45400</v>
      </c>
      <c r="C3743" s="11">
        <f t="shared" si="174"/>
        <v>2024</v>
      </c>
      <c r="D3743" t="s">
        <v>308</v>
      </c>
      <c r="E3743" t="s">
        <v>28</v>
      </c>
      <c r="F3743" t="s">
        <v>29</v>
      </c>
      <c r="G3743" t="s">
        <v>30</v>
      </c>
      <c r="H3743">
        <v>1</v>
      </c>
      <c r="I3743" s="2">
        <v>25.05</v>
      </c>
      <c r="J3743" s="2">
        <v>25.05</v>
      </c>
      <c r="K3743" s="2">
        <f t="shared" si="175"/>
        <v>25.05</v>
      </c>
      <c r="L3743" s="2">
        <f t="shared" si="176"/>
        <v>0</v>
      </c>
      <c r="M3743" t="s">
        <v>48</v>
      </c>
      <c r="N3743" t="s">
        <v>16</v>
      </c>
    </row>
    <row r="3744" spans="1:14" x14ac:dyDescent="0.3">
      <c r="A3744">
        <v>2024004742</v>
      </c>
      <c r="B3744" s="1">
        <v>45567</v>
      </c>
      <c r="C3744" s="11">
        <f t="shared" si="174"/>
        <v>2024</v>
      </c>
      <c r="D3744" t="s">
        <v>225</v>
      </c>
      <c r="E3744" t="s">
        <v>18</v>
      </c>
      <c r="F3744" t="s">
        <v>19</v>
      </c>
      <c r="G3744" t="s">
        <v>14</v>
      </c>
      <c r="H3744">
        <v>1</v>
      </c>
      <c r="I3744" s="2">
        <v>600.53</v>
      </c>
      <c r="J3744" s="2">
        <v>600.53</v>
      </c>
      <c r="K3744" s="2">
        <f t="shared" si="175"/>
        <v>600.53</v>
      </c>
      <c r="L3744" s="2">
        <f t="shared" si="176"/>
        <v>0</v>
      </c>
      <c r="M3744" t="s">
        <v>57</v>
      </c>
      <c r="N3744" t="s">
        <v>16</v>
      </c>
    </row>
    <row r="3745" spans="1:14" x14ac:dyDescent="0.3">
      <c r="A3745">
        <v>2024004743</v>
      </c>
      <c r="B3745" s="1">
        <v>45513</v>
      </c>
      <c r="C3745" s="11">
        <f t="shared" si="174"/>
        <v>2024</v>
      </c>
      <c r="D3745" t="s">
        <v>45</v>
      </c>
      <c r="E3745" t="s">
        <v>40</v>
      </c>
      <c r="F3745" t="s">
        <v>41</v>
      </c>
      <c r="G3745" t="s">
        <v>36</v>
      </c>
      <c r="H3745">
        <v>1</v>
      </c>
      <c r="I3745" s="2">
        <v>46.09</v>
      </c>
      <c r="J3745" s="2">
        <v>46.09</v>
      </c>
      <c r="K3745" s="2">
        <f t="shared" si="175"/>
        <v>46.09</v>
      </c>
      <c r="L3745" s="2">
        <f t="shared" si="176"/>
        <v>0</v>
      </c>
      <c r="M3745" t="s">
        <v>31</v>
      </c>
      <c r="N3745" t="s">
        <v>26</v>
      </c>
    </row>
    <row r="3746" spans="1:14" x14ac:dyDescent="0.3">
      <c r="A3746">
        <v>2024004744</v>
      </c>
      <c r="B3746" s="1">
        <v>45551</v>
      </c>
      <c r="C3746" s="11">
        <f t="shared" si="174"/>
        <v>2024</v>
      </c>
      <c r="D3746" t="s">
        <v>340</v>
      </c>
      <c r="E3746" t="s">
        <v>12</v>
      </c>
      <c r="F3746" t="s">
        <v>13</v>
      </c>
      <c r="G3746" t="s">
        <v>14</v>
      </c>
      <c r="H3746">
        <v>3</v>
      </c>
      <c r="I3746" s="2">
        <v>344.83</v>
      </c>
      <c r="J3746" s="2">
        <v>1034.49</v>
      </c>
      <c r="K3746" s="2">
        <f t="shared" si="175"/>
        <v>1034.49</v>
      </c>
      <c r="L3746" s="2">
        <f t="shared" si="176"/>
        <v>0</v>
      </c>
      <c r="M3746" t="s">
        <v>20</v>
      </c>
      <c r="N3746" t="s">
        <v>26</v>
      </c>
    </row>
    <row r="3747" spans="1:14" x14ac:dyDescent="0.3">
      <c r="A3747">
        <v>2024004745</v>
      </c>
      <c r="B3747" s="1">
        <v>45326</v>
      </c>
      <c r="C3747" s="11">
        <f t="shared" si="174"/>
        <v>2024</v>
      </c>
      <c r="D3747" t="s">
        <v>84</v>
      </c>
      <c r="E3747" t="s">
        <v>28</v>
      </c>
      <c r="F3747" t="s">
        <v>29</v>
      </c>
      <c r="G3747" t="s">
        <v>30</v>
      </c>
      <c r="H3747">
        <v>3</v>
      </c>
      <c r="I3747" s="2">
        <v>25.77</v>
      </c>
      <c r="J3747" s="2">
        <v>77.31</v>
      </c>
      <c r="K3747" s="2">
        <f t="shared" si="175"/>
        <v>77.31</v>
      </c>
      <c r="L3747" s="2">
        <f t="shared" si="176"/>
        <v>0</v>
      </c>
      <c r="M3747" t="s">
        <v>25</v>
      </c>
      <c r="N3747" t="s">
        <v>32</v>
      </c>
    </row>
    <row r="3748" spans="1:14" x14ac:dyDescent="0.3">
      <c r="A3748">
        <v>2024004746</v>
      </c>
      <c r="B3748" s="1">
        <v>45416</v>
      </c>
      <c r="C3748" s="11">
        <f t="shared" si="174"/>
        <v>2024</v>
      </c>
      <c r="D3748" t="s">
        <v>187</v>
      </c>
      <c r="E3748" t="s">
        <v>34</v>
      </c>
      <c r="F3748" t="s">
        <v>35</v>
      </c>
      <c r="G3748" t="s">
        <v>36</v>
      </c>
      <c r="H3748">
        <v>1</v>
      </c>
      <c r="I3748" s="2">
        <v>15.85</v>
      </c>
      <c r="J3748" s="2">
        <v>15.85</v>
      </c>
      <c r="K3748" s="2">
        <f t="shared" si="175"/>
        <v>15.85</v>
      </c>
      <c r="L3748" s="2">
        <f t="shared" si="176"/>
        <v>0</v>
      </c>
      <c r="M3748" t="s">
        <v>57</v>
      </c>
      <c r="N3748" t="s">
        <v>21</v>
      </c>
    </row>
    <row r="3749" spans="1:14" x14ac:dyDescent="0.3">
      <c r="A3749">
        <v>2024004747</v>
      </c>
      <c r="B3749" s="1">
        <v>45632</v>
      </c>
      <c r="C3749" s="11">
        <f t="shared" si="174"/>
        <v>2024</v>
      </c>
      <c r="D3749" t="s">
        <v>307</v>
      </c>
      <c r="E3749" t="s">
        <v>53</v>
      </c>
      <c r="F3749" t="s">
        <v>54</v>
      </c>
      <c r="G3749" t="s">
        <v>36</v>
      </c>
      <c r="H3749">
        <v>5</v>
      </c>
      <c r="I3749" s="2">
        <v>103.45</v>
      </c>
      <c r="J3749" s="2">
        <v>517.25</v>
      </c>
      <c r="K3749" s="2">
        <f t="shared" si="175"/>
        <v>517.25</v>
      </c>
      <c r="L3749" s="2">
        <f t="shared" si="176"/>
        <v>0</v>
      </c>
      <c r="M3749" t="s">
        <v>48</v>
      </c>
      <c r="N3749" t="s">
        <v>26</v>
      </c>
    </row>
    <row r="3750" spans="1:14" x14ac:dyDescent="0.3">
      <c r="A3750">
        <v>2024004748</v>
      </c>
      <c r="B3750" s="1">
        <v>45427</v>
      </c>
      <c r="C3750" s="11">
        <f t="shared" si="174"/>
        <v>2024</v>
      </c>
      <c r="D3750" t="s">
        <v>326</v>
      </c>
      <c r="E3750" t="s">
        <v>28</v>
      </c>
      <c r="F3750" t="s">
        <v>29</v>
      </c>
      <c r="G3750" t="s">
        <v>30</v>
      </c>
      <c r="H3750">
        <v>1</v>
      </c>
      <c r="I3750" s="2">
        <v>26.23</v>
      </c>
      <c r="J3750" s="2">
        <v>26.23</v>
      </c>
      <c r="K3750" s="2">
        <f t="shared" si="175"/>
        <v>26.23</v>
      </c>
      <c r="L3750" s="2">
        <f t="shared" si="176"/>
        <v>0</v>
      </c>
      <c r="M3750" t="s">
        <v>61</v>
      </c>
      <c r="N3750" t="s">
        <v>21</v>
      </c>
    </row>
    <row r="3751" spans="1:14" x14ac:dyDescent="0.3">
      <c r="A3751">
        <v>2024004749</v>
      </c>
      <c r="B3751" s="1">
        <v>45563</v>
      </c>
      <c r="C3751" s="11">
        <f t="shared" si="174"/>
        <v>2024</v>
      </c>
      <c r="D3751" t="s">
        <v>176</v>
      </c>
      <c r="E3751" t="s">
        <v>53</v>
      </c>
      <c r="F3751" t="s">
        <v>54</v>
      </c>
      <c r="G3751" t="s">
        <v>36</v>
      </c>
      <c r="H3751">
        <v>2</v>
      </c>
      <c r="I3751" s="2">
        <v>110.86</v>
      </c>
      <c r="J3751" s="2">
        <v>221.72</v>
      </c>
      <c r="K3751" s="2">
        <f t="shared" si="175"/>
        <v>221.72</v>
      </c>
      <c r="L3751" s="2">
        <f t="shared" si="176"/>
        <v>0</v>
      </c>
      <c r="M3751" t="s">
        <v>20</v>
      </c>
      <c r="N3751" t="s">
        <v>32</v>
      </c>
    </row>
    <row r="3752" spans="1:14" x14ac:dyDescent="0.3">
      <c r="A3752">
        <v>2024004750</v>
      </c>
      <c r="B3752" s="1">
        <v>45300</v>
      </c>
      <c r="C3752" s="11">
        <f t="shared" si="174"/>
        <v>2024</v>
      </c>
      <c r="D3752" t="s">
        <v>11</v>
      </c>
      <c r="E3752" t="s">
        <v>46</v>
      </c>
      <c r="F3752" t="s">
        <v>47</v>
      </c>
      <c r="G3752" t="s">
        <v>36</v>
      </c>
      <c r="H3752">
        <v>1</v>
      </c>
      <c r="I3752" s="2">
        <v>86.46</v>
      </c>
      <c r="J3752" s="2">
        <v>86.46</v>
      </c>
      <c r="K3752" s="2">
        <f t="shared" si="175"/>
        <v>86.46</v>
      </c>
      <c r="L3752" s="2">
        <f t="shared" si="176"/>
        <v>0</v>
      </c>
      <c r="M3752" t="s">
        <v>25</v>
      </c>
      <c r="N3752" t="s">
        <v>21</v>
      </c>
    </row>
    <row r="3753" spans="1:14" x14ac:dyDescent="0.3">
      <c r="A3753">
        <v>2024004751</v>
      </c>
      <c r="B3753" s="1">
        <v>45553</v>
      </c>
      <c r="C3753" s="11">
        <f t="shared" si="174"/>
        <v>2024</v>
      </c>
      <c r="D3753" t="s">
        <v>114</v>
      </c>
      <c r="E3753" t="s">
        <v>12</v>
      </c>
      <c r="F3753" t="s">
        <v>13</v>
      </c>
      <c r="G3753" t="s">
        <v>14</v>
      </c>
      <c r="H3753">
        <v>1</v>
      </c>
      <c r="I3753" s="2">
        <v>322.61</v>
      </c>
      <c r="J3753" s="2">
        <v>322.61</v>
      </c>
      <c r="K3753" s="2">
        <f t="shared" si="175"/>
        <v>322.61</v>
      </c>
      <c r="L3753" s="2">
        <f t="shared" si="176"/>
        <v>0</v>
      </c>
      <c r="M3753" t="s">
        <v>55</v>
      </c>
      <c r="N3753" t="s">
        <v>16</v>
      </c>
    </row>
    <row r="3754" spans="1:14" x14ac:dyDescent="0.3">
      <c r="A3754">
        <v>2024004752</v>
      </c>
      <c r="B3754" s="1">
        <v>45549</v>
      </c>
      <c r="C3754" s="11">
        <f t="shared" si="174"/>
        <v>2024</v>
      </c>
      <c r="D3754" t="s">
        <v>325</v>
      </c>
      <c r="E3754" t="s">
        <v>53</v>
      </c>
      <c r="F3754" t="s">
        <v>54</v>
      </c>
      <c r="G3754" t="s">
        <v>36</v>
      </c>
      <c r="H3754">
        <v>1</v>
      </c>
      <c r="I3754" s="2">
        <v>120.48</v>
      </c>
      <c r="J3754" s="2">
        <v>120.48</v>
      </c>
      <c r="K3754" s="2">
        <f t="shared" si="175"/>
        <v>120.48</v>
      </c>
      <c r="L3754" s="2">
        <f t="shared" si="176"/>
        <v>0</v>
      </c>
      <c r="M3754" t="s">
        <v>57</v>
      </c>
      <c r="N3754" t="s">
        <v>26</v>
      </c>
    </row>
    <row r="3755" spans="1:14" x14ac:dyDescent="0.3">
      <c r="A3755">
        <v>2024004753</v>
      </c>
      <c r="B3755" s="1">
        <v>45393</v>
      </c>
      <c r="C3755" s="11">
        <f t="shared" si="174"/>
        <v>2024</v>
      </c>
      <c r="D3755" t="s">
        <v>114</v>
      </c>
      <c r="E3755" t="s">
        <v>28</v>
      </c>
      <c r="F3755" t="s">
        <v>29</v>
      </c>
      <c r="G3755" t="s">
        <v>30</v>
      </c>
      <c r="H3755">
        <v>3</v>
      </c>
      <c r="I3755" s="2">
        <v>24.24</v>
      </c>
      <c r="J3755" s="2">
        <v>72.72</v>
      </c>
      <c r="K3755" s="2">
        <f t="shared" si="175"/>
        <v>72.72</v>
      </c>
      <c r="L3755" s="2">
        <f t="shared" si="176"/>
        <v>0</v>
      </c>
      <c r="M3755" t="s">
        <v>25</v>
      </c>
      <c r="N3755" t="s">
        <v>26</v>
      </c>
    </row>
    <row r="3756" spans="1:14" x14ac:dyDescent="0.3">
      <c r="A3756">
        <v>2024004754</v>
      </c>
      <c r="B3756" s="1">
        <v>45440</v>
      </c>
      <c r="C3756" s="11">
        <f t="shared" si="174"/>
        <v>2024</v>
      </c>
      <c r="D3756" t="s">
        <v>180</v>
      </c>
      <c r="E3756" t="s">
        <v>53</v>
      </c>
      <c r="F3756" t="s">
        <v>54</v>
      </c>
      <c r="G3756" t="s">
        <v>36</v>
      </c>
      <c r="H3756">
        <v>4</v>
      </c>
      <c r="I3756" s="2">
        <v>123.47</v>
      </c>
      <c r="J3756" s="2">
        <v>493.88</v>
      </c>
      <c r="K3756" s="2">
        <f t="shared" si="175"/>
        <v>493.88</v>
      </c>
      <c r="L3756" s="2">
        <f t="shared" si="176"/>
        <v>0</v>
      </c>
      <c r="M3756" t="s">
        <v>25</v>
      </c>
      <c r="N3756" t="s">
        <v>32</v>
      </c>
    </row>
    <row r="3757" spans="1:14" x14ac:dyDescent="0.3">
      <c r="A3757">
        <v>2024004755</v>
      </c>
      <c r="B3757" s="1">
        <v>45554</v>
      </c>
      <c r="C3757" s="11">
        <f t="shared" si="174"/>
        <v>2024</v>
      </c>
      <c r="D3757" t="s">
        <v>246</v>
      </c>
      <c r="E3757" t="s">
        <v>23</v>
      </c>
      <c r="F3757" t="s">
        <v>24</v>
      </c>
      <c r="G3757" t="s">
        <v>14</v>
      </c>
      <c r="H3757">
        <v>1</v>
      </c>
      <c r="I3757" s="2">
        <v>70.47</v>
      </c>
      <c r="J3757" s="2">
        <v>70.47</v>
      </c>
      <c r="K3757" s="2">
        <f t="shared" si="175"/>
        <v>70.47</v>
      </c>
      <c r="L3757" s="2">
        <f t="shared" si="176"/>
        <v>0</v>
      </c>
      <c r="M3757" t="s">
        <v>61</v>
      </c>
      <c r="N3757" t="s">
        <v>32</v>
      </c>
    </row>
    <row r="3758" spans="1:14" x14ac:dyDescent="0.3">
      <c r="A3758">
        <v>2024004756</v>
      </c>
      <c r="B3758" s="1">
        <v>45655</v>
      </c>
      <c r="C3758" s="11">
        <f t="shared" si="174"/>
        <v>2024</v>
      </c>
      <c r="D3758" t="s">
        <v>11</v>
      </c>
      <c r="E3758" t="s">
        <v>12</v>
      </c>
      <c r="F3758" t="s">
        <v>13</v>
      </c>
      <c r="G3758" t="s">
        <v>14</v>
      </c>
      <c r="H3758">
        <v>1</v>
      </c>
      <c r="I3758" s="2">
        <v>342.3</v>
      </c>
      <c r="J3758" s="2">
        <v>342.3</v>
      </c>
      <c r="K3758" s="2">
        <f t="shared" si="175"/>
        <v>342.3</v>
      </c>
      <c r="L3758" s="2">
        <f t="shared" si="176"/>
        <v>0</v>
      </c>
      <c r="M3758" t="s">
        <v>25</v>
      </c>
      <c r="N3758" t="s">
        <v>26</v>
      </c>
    </row>
    <row r="3759" spans="1:14" x14ac:dyDescent="0.3">
      <c r="A3759">
        <v>2024004757</v>
      </c>
      <c r="B3759" s="1">
        <v>45480</v>
      </c>
      <c r="C3759" s="11">
        <f t="shared" si="174"/>
        <v>2024</v>
      </c>
      <c r="D3759" t="s">
        <v>213</v>
      </c>
      <c r="E3759" t="s">
        <v>18</v>
      </c>
      <c r="F3759" t="s">
        <v>19</v>
      </c>
      <c r="G3759" t="s">
        <v>14</v>
      </c>
      <c r="H3759">
        <v>2</v>
      </c>
      <c r="I3759" s="2">
        <v>653.67999999999995</v>
      </c>
      <c r="J3759" s="2">
        <v>1307.3599999999999</v>
      </c>
      <c r="K3759" s="2">
        <f t="shared" si="175"/>
        <v>1307.3599999999999</v>
      </c>
      <c r="L3759" s="2">
        <f t="shared" si="176"/>
        <v>0</v>
      </c>
      <c r="M3759" t="s">
        <v>61</v>
      </c>
      <c r="N3759" t="s">
        <v>16</v>
      </c>
    </row>
    <row r="3760" spans="1:14" x14ac:dyDescent="0.3">
      <c r="A3760">
        <v>2024004758</v>
      </c>
      <c r="B3760" s="1">
        <v>45572</v>
      </c>
      <c r="C3760" s="11">
        <f t="shared" si="174"/>
        <v>2024</v>
      </c>
      <c r="D3760" t="s">
        <v>241</v>
      </c>
      <c r="E3760" t="s">
        <v>46</v>
      </c>
      <c r="F3760" t="s">
        <v>47</v>
      </c>
      <c r="G3760" t="s">
        <v>36</v>
      </c>
      <c r="H3760">
        <v>5</v>
      </c>
      <c r="I3760" s="2">
        <v>99.39</v>
      </c>
      <c r="J3760" s="2">
        <v>496.95</v>
      </c>
      <c r="K3760" s="2">
        <f t="shared" si="175"/>
        <v>496.95</v>
      </c>
      <c r="L3760" s="2">
        <f t="shared" si="176"/>
        <v>0</v>
      </c>
      <c r="M3760" t="s">
        <v>38</v>
      </c>
      <c r="N3760" t="s">
        <v>21</v>
      </c>
    </row>
    <row r="3761" spans="1:14" x14ac:dyDescent="0.3">
      <c r="A3761">
        <v>2024004759</v>
      </c>
      <c r="B3761" s="1">
        <v>45518</v>
      </c>
      <c r="C3761" s="11">
        <f t="shared" si="174"/>
        <v>2024</v>
      </c>
      <c r="D3761" t="s">
        <v>189</v>
      </c>
      <c r="E3761" t="s">
        <v>43</v>
      </c>
      <c r="F3761" t="s">
        <v>44</v>
      </c>
      <c r="G3761" t="s">
        <v>36</v>
      </c>
      <c r="H3761">
        <v>1</v>
      </c>
      <c r="I3761" s="2">
        <v>1280.25</v>
      </c>
      <c r="J3761" s="2">
        <v>1280.25</v>
      </c>
      <c r="K3761" s="2">
        <f t="shared" si="175"/>
        <v>1280.25</v>
      </c>
      <c r="L3761" s="2">
        <f t="shared" si="176"/>
        <v>0</v>
      </c>
      <c r="M3761" t="s">
        <v>57</v>
      </c>
      <c r="N3761" t="s">
        <v>16</v>
      </c>
    </row>
    <row r="3762" spans="1:14" x14ac:dyDescent="0.3">
      <c r="A3762">
        <v>2024004760</v>
      </c>
      <c r="B3762" s="1">
        <v>45595</v>
      </c>
      <c r="C3762" s="11">
        <f t="shared" si="174"/>
        <v>2024</v>
      </c>
      <c r="D3762" t="s">
        <v>11</v>
      </c>
      <c r="E3762" t="s">
        <v>34</v>
      </c>
      <c r="F3762" t="s">
        <v>35</v>
      </c>
      <c r="G3762" t="s">
        <v>36</v>
      </c>
      <c r="H3762">
        <v>1</v>
      </c>
      <c r="I3762" s="2">
        <v>16.34</v>
      </c>
      <c r="J3762" s="2">
        <v>16.34</v>
      </c>
      <c r="K3762" s="2">
        <f t="shared" si="175"/>
        <v>16.34</v>
      </c>
      <c r="L3762" s="2">
        <f t="shared" si="176"/>
        <v>0</v>
      </c>
      <c r="M3762" t="s">
        <v>57</v>
      </c>
      <c r="N3762" t="s">
        <v>21</v>
      </c>
    </row>
    <row r="3763" spans="1:14" x14ac:dyDescent="0.3">
      <c r="A3763">
        <v>2024004761</v>
      </c>
      <c r="B3763" s="1">
        <v>45610</v>
      </c>
      <c r="C3763" s="11">
        <f t="shared" si="174"/>
        <v>2024</v>
      </c>
      <c r="D3763" t="s">
        <v>138</v>
      </c>
      <c r="E3763" t="s">
        <v>40</v>
      </c>
      <c r="F3763" t="s">
        <v>41</v>
      </c>
      <c r="G3763" t="s">
        <v>36</v>
      </c>
      <c r="H3763">
        <v>1</v>
      </c>
      <c r="I3763" s="2">
        <v>47.87</v>
      </c>
      <c r="J3763" s="2">
        <v>47.87</v>
      </c>
      <c r="K3763" s="2">
        <f t="shared" si="175"/>
        <v>47.87</v>
      </c>
      <c r="L3763" s="2">
        <f t="shared" si="176"/>
        <v>0</v>
      </c>
      <c r="M3763" t="s">
        <v>48</v>
      </c>
      <c r="N3763" t="s">
        <v>21</v>
      </c>
    </row>
    <row r="3764" spans="1:14" x14ac:dyDescent="0.3">
      <c r="A3764">
        <v>2024004762</v>
      </c>
      <c r="B3764" s="1">
        <v>45453</v>
      </c>
      <c r="C3764" s="11">
        <f t="shared" si="174"/>
        <v>2024</v>
      </c>
      <c r="D3764" t="s">
        <v>81</v>
      </c>
      <c r="E3764" t="s">
        <v>34</v>
      </c>
      <c r="F3764" t="s">
        <v>35</v>
      </c>
      <c r="G3764" t="s">
        <v>36</v>
      </c>
      <c r="H3764">
        <v>1</v>
      </c>
      <c r="I3764" s="2">
        <v>14.48</v>
      </c>
      <c r="J3764" s="2">
        <v>14.48</v>
      </c>
      <c r="K3764" s="2">
        <f t="shared" si="175"/>
        <v>14.48</v>
      </c>
      <c r="L3764" s="2">
        <f t="shared" si="176"/>
        <v>0</v>
      </c>
      <c r="M3764" t="s">
        <v>25</v>
      </c>
      <c r="N3764" t="s">
        <v>32</v>
      </c>
    </row>
    <row r="3765" spans="1:14" x14ac:dyDescent="0.3">
      <c r="A3765">
        <v>2024004763</v>
      </c>
      <c r="B3765" s="1">
        <v>45599</v>
      </c>
      <c r="C3765" s="11">
        <f t="shared" si="174"/>
        <v>2024</v>
      </c>
      <c r="D3765" t="s">
        <v>117</v>
      </c>
      <c r="E3765" t="s">
        <v>40</v>
      </c>
      <c r="F3765" t="s">
        <v>41</v>
      </c>
      <c r="G3765" t="s">
        <v>36</v>
      </c>
      <c r="H3765">
        <v>2</v>
      </c>
      <c r="I3765" s="2">
        <v>42.44</v>
      </c>
      <c r="J3765" s="2">
        <v>84.88</v>
      </c>
      <c r="K3765" s="2">
        <f t="shared" si="175"/>
        <v>84.88</v>
      </c>
      <c r="L3765" s="2">
        <f t="shared" si="176"/>
        <v>0</v>
      </c>
      <c r="M3765" t="s">
        <v>38</v>
      </c>
      <c r="N3765" t="s">
        <v>16</v>
      </c>
    </row>
    <row r="3766" spans="1:14" x14ac:dyDescent="0.3">
      <c r="A3766">
        <v>2024004764</v>
      </c>
      <c r="B3766" s="1">
        <v>45545</v>
      </c>
      <c r="C3766" s="11">
        <f t="shared" si="174"/>
        <v>2024</v>
      </c>
      <c r="D3766" t="s">
        <v>220</v>
      </c>
      <c r="E3766" t="s">
        <v>46</v>
      </c>
      <c r="F3766" t="s">
        <v>47</v>
      </c>
      <c r="G3766" t="s">
        <v>36</v>
      </c>
      <c r="H3766">
        <v>1</v>
      </c>
      <c r="I3766" s="2">
        <v>82.92</v>
      </c>
      <c r="J3766" s="2">
        <v>82.92</v>
      </c>
      <c r="K3766" s="2">
        <f t="shared" si="175"/>
        <v>82.92</v>
      </c>
      <c r="L3766" s="2">
        <f t="shared" si="176"/>
        <v>0</v>
      </c>
      <c r="M3766" t="s">
        <v>15</v>
      </c>
      <c r="N3766" t="s">
        <v>26</v>
      </c>
    </row>
    <row r="3767" spans="1:14" x14ac:dyDescent="0.3">
      <c r="A3767">
        <v>2024004765</v>
      </c>
      <c r="B3767" s="1">
        <v>45543</v>
      </c>
      <c r="C3767" s="11">
        <f t="shared" si="174"/>
        <v>2024</v>
      </c>
      <c r="D3767" t="s">
        <v>210</v>
      </c>
      <c r="E3767" t="s">
        <v>12</v>
      </c>
      <c r="F3767" t="s">
        <v>13</v>
      </c>
      <c r="G3767" t="s">
        <v>14</v>
      </c>
      <c r="H3767">
        <v>2</v>
      </c>
      <c r="I3767" s="2">
        <v>347.01</v>
      </c>
      <c r="J3767" s="2">
        <v>694.02</v>
      </c>
      <c r="K3767" s="2">
        <f t="shared" si="175"/>
        <v>694.02</v>
      </c>
      <c r="L3767" s="2">
        <f t="shared" si="176"/>
        <v>0</v>
      </c>
      <c r="M3767" t="s">
        <v>64</v>
      </c>
      <c r="N3767" t="s">
        <v>21</v>
      </c>
    </row>
    <row r="3768" spans="1:14" x14ac:dyDescent="0.3">
      <c r="A3768">
        <v>2024004766</v>
      </c>
      <c r="B3768" s="1">
        <v>45473</v>
      </c>
      <c r="C3768" s="11">
        <f t="shared" si="174"/>
        <v>2024</v>
      </c>
      <c r="D3768" t="s">
        <v>74</v>
      </c>
      <c r="E3768" t="s">
        <v>40</v>
      </c>
      <c r="F3768" t="s">
        <v>41</v>
      </c>
      <c r="G3768" t="s">
        <v>36</v>
      </c>
      <c r="H3768">
        <v>5</v>
      </c>
      <c r="I3768" s="2">
        <v>43.19</v>
      </c>
      <c r="J3768" s="2">
        <v>215.95</v>
      </c>
      <c r="K3768" s="2">
        <f t="shared" si="175"/>
        <v>215.95</v>
      </c>
      <c r="L3768" s="2">
        <f t="shared" si="176"/>
        <v>0</v>
      </c>
      <c r="M3768" t="s">
        <v>38</v>
      </c>
      <c r="N3768" t="s">
        <v>21</v>
      </c>
    </row>
    <row r="3769" spans="1:14" x14ac:dyDescent="0.3">
      <c r="A3769">
        <v>2024004767</v>
      </c>
      <c r="B3769" s="1">
        <v>45652</v>
      </c>
      <c r="C3769" s="11">
        <f t="shared" si="174"/>
        <v>2024</v>
      </c>
      <c r="D3769" t="s">
        <v>302</v>
      </c>
      <c r="E3769" t="s">
        <v>18</v>
      </c>
      <c r="F3769" t="s">
        <v>19</v>
      </c>
      <c r="G3769" t="s">
        <v>14</v>
      </c>
      <c r="H3769">
        <v>3</v>
      </c>
      <c r="I3769" s="2">
        <v>649.64</v>
      </c>
      <c r="J3769" s="2">
        <v>1948.92</v>
      </c>
      <c r="K3769" s="2">
        <f t="shared" si="175"/>
        <v>1948.92</v>
      </c>
      <c r="L3769" s="2">
        <f t="shared" si="176"/>
        <v>0</v>
      </c>
      <c r="M3769" t="s">
        <v>64</v>
      </c>
      <c r="N3769" t="s">
        <v>26</v>
      </c>
    </row>
    <row r="3770" spans="1:14" x14ac:dyDescent="0.3">
      <c r="A3770">
        <v>2024004768</v>
      </c>
      <c r="B3770" s="1">
        <v>45542</v>
      </c>
      <c r="C3770" s="11">
        <f t="shared" si="174"/>
        <v>2024</v>
      </c>
      <c r="D3770" t="s">
        <v>11</v>
      </c>
      <c r="E3770" t="s">
        <v>23</v>
      </c>
      <c r="F3770" t="s">
        <v>24</v>
      </c>
      <c r="G3770" t="s">
        <v>14</v>
      </c>
      <c r="H3770">
        <v>3</v>
      </c>
      <c r="I3770" s="2">
        <v>78.78</v>
      </c>
      <c r="J3770" s="2">
        <v>236.34</v>
      </c>
      <c r="K3770" s="2">
        <f t="shared" si="175"/>
        <v>236.34</v>
      </c>
      <c r="L3770" s="2">
        <f t="shared" si="176"/>
        <v>0</v>
      </c>
      <c r="M3770" t="s">
        <v>25</v>
      </c>
      <c r="N3770" t="s">
        <v>32</v>
      </c>
    </row>
    <row r="3771" spans="1:14" x14ac:dyDescent="0.3">
      <c r="A3771">
        <v>2024004769</v>
      </c>
      <c r="B3771" s="1">
        <v>45295</v>
      </c>
      <c r="C3771" s="11">
        <f t="shared" si="174"/>
        <v>2024</v>
      </c>
      <c r="D3771" t="s">
        <v>11</v>
      </c>
      <c r="E3771" t="s">
        <v>18</v>
      </c>
      <c r="F3771" t="s">
        <v>19</v>
      </c>
      <c r="G3771" t="s">
        <v>14</v>
      </c>
      <c r="H3771">
        <v>1</v>
      </c>
      <c r="I3771" s="2">
        <v>583.66999999999996</v>
      </c>
      <c r="J3771" s="2">
        <v>583.66999999999996</v>
      </c>
      <c r="K3771" s="2">
        <f t="shared" si="175"/>
        <v>583.66999999999996</v>
      </c>
      <c r="L3771" s="2">
        <f t="shared" si="176"/>
        <v>0</v>
      </c>
      <c r="M3771" t="s">
        <v>38</v>
      </c>
      <c r="N3771" t="s">
        <v>32</v>
      </c>
    </row>
    <row r="3772" spans="1:14" x14ac:dyDescent="0.3">
      <c r="A3772">
        <v>2024004770</v>
      </c>
      <c r="B3772" s="1">
        <v>45595</v>
      </c>
      <c r="C3772" s="11">
        <f t="shared" si="174"/>
        <v>2024</v>
      </c>
      <c r="D3772" t="s">
        <v>346</v>
      </c>
      <c r="E3772" t="s">
        <v>34</v>
      </c>
      <c r="F3772" t="s">
        <v>35</v>
      </c>
      <c r="G3772" t="s">
        <v>36</v>
      </c>
      <c r="H3772">
        <v>2</v>
      </c>
      <c r="I3772" s="2">
        <v>14.38</v>
      </c>
      <c r="J3772" s="2">
        <v>28.76</v>
      </c>
      <c r="K3772" s="2">
        <f t="shared" si="175"/>
        <v>28.76</v>
      </c>
      <c r="L3772" s="2">
        <f t="shared" si="176"/>
        <v>0</v>
      </c>
      <c r="M3772" t="s">
        <v>25</v>
      </c>
      <c r="N3772" t="s">
        <v>21</v>
      </c>
    </row>
    <row r="3773" spans="1:14" x14ac:dyDescent="0.3">
      <c r="A3773">
        <v>2024002100</v>
      </c>
      <c r="B3773" s="1">
        <v>45571</v>
      </c>
      <c r="C3773" s="11">
        <f t="shared" si="174"/>
        <v>2024</v>
      </c>
      <c r="D3773" t="s">
        <v>227</v>
      </c>
      <c r="E3773" t="s">
        <v>40</v>
      </c>
      <c r="F3773" t="s">
        <v>41</v>
      </c>
      <c r="G3773" t="s">
        <v>36</v>
      </c>
      <c r="H3773">
        <v>2</v>
      </c>
      <c r="I3773" s="2">
        <v>43.71</v>
      </c>
      <c r="J3773" s="2">
        <v>87.42</v>
      </c>
      <c r="K3773" s="2">
        <f t="shared" si="175"/>
        <v>87.42</v>
      </c>
      <c r="L3773" s="2">
        <f t="shared" si="176"/>
        <v>0</v>
      </c>
      <c r="M3773" t="s">
        <v>15</v>
      </c>
      <c r="N3773" t="s">
        <v>16</v>
      </c>
    </row>
    <row r="3774" spans="1:14" x14ac:dyDescent="0.3">
      <c r="A3774">
        <v>2024004772</v>
      </c>
      <c r="B3774" s="1">
        <v>45347</v>
      </c>
      <c r="C3774" s="11">
        <f t="shared" si="174"/>
        <v>2024</v>
      </c>
      <c r="D3774" t="s">
        <v>39</v>
      </c>
      <c r="E3774" t="s">
        <v>40</v>
      </c>
      <c r="F3774" t="s">
        <v>41</v>
      </c>
      <c r="G3774" t="s">
        <v>36</v>
      </c>
      <c r="H3774">
        <v>2</v>
      </c>
      <c r="I3774" s="2">
        <v>44.82</v>
      </c>
      <c r="J3774" s="2">
        <v>89.64</v>
      </c>
      <c r="K3774" s="2">
        <f t="shared" si="175"/>
        <v>89.64</v>
      </c>
      <c r="L3774" s="2">
        <f t="shared" si="176"/>
        <v>0</v>
      </c>
      <c r="M3774" t="s">
        <v>57</v>
      </c>
      <c r="N3774" t="s">
        <v>16</v>
      </c>
    </row>
    <row r="3775" spans="1:14" x14ac:dyDescent="0.3">
      <c r="A3775">
        <v>2024004773</v>
      </c>
      <c r="B3775" s="1">
        <v>45328</v>
      </c>
      <c r="C3775" s="11">
        <f t="shared" si="174"/>
        <v>2024</v>
      </c>
      <c r="D3775" t="s">
        <v>297</v>
      </c>
      <c r="E3775" t="s">
        <v>18</v>
      </c>
      <c r="F3775" t="s">
        <v>19</v>
      </c>
      <c r="G3775" t="s">
        <v>14</v>
      </c>
      <c r="H3775">
        <v>1</v>
      </c>
      <c r="I3775" s="2">
        <v>569.46</v>
      </c>
      <c r="J3775" s="2">
        <v>569.46</v>
      </c>
      <c r="K3775" s="2">
        <f t="shared" si="175"/>
        <v>569.46</v>
      </c>
      <c r="L3775" s="2">
        <f t="shared" si="176"/>
        <v>0</v>
      </c>
      <c r="M3775" t="s">
        <v>25</v>
      </c>
      <c r="N3775" t="s">
        <v>32</v>
      </c>
    </row>
    <row r="3776" spans="1:14" x14ac:dyDescent="0.3">
      <c r="A3776">
        <v>2024004774</v>
      </c>
      <c r="B3776" s="1">
        <v>45564</v>
      </c>
      <c r="C3776" s="11">
        <f t="shared" si="174"/>
        <v>2024</v>
      </c>
      <c r="D3776" t="s">
        <v>219</v>
      </c>
      <c r="E3776" t="s">
        <v>53</v>
      </c>
      <c r="F3776" t="s">
        <v>54</v>
      </c>
      <c r="G3776" t="s">
        <v>36</v>
      </c>
      <c r="H3776">
        <v>1</v>
      </c>
      <c r="I3776" s="2">
        <v>134.9</v>
      </c>
      <c r="J3776" s="2">
        <v>134.9</v>
      </c>
      <c r="K3776" s="2">
        <f t="shared" si="175"/>
        <v>134.9</v>
      </c>
      <c r="L3776" s="2">
        <f t="shared" si="176"/>
        <v>0</v>
      </c>
      <c r="M3776" t="s">
        <v>61</v>
      </c>
      <c r="N3776" t="s">
        <v>32</v>
      </c>
    </row>
    <row r="3777" spans="1:14" x14ac:dyDescent="0.3">
      <c r="A3777">
        <v>2024004775</v>
      </c>
      <c r="B3777" s="1">
        <v>45527</v>
      </c>
      <c r="C3777" s="11">
        <f t="shared" si="174"/>
        <v>2024</v>
      </c>
      <c r="D3777" t="s">
        <v>190</v>
      </c>
      <c r="E3777" t="s">
        <v>28</v>
      </c>
      <c r="F3777" t="s">
        <v>29</v>
      </c>
      <c r="G3777" t="s">
        <v>30</v>
      </c>
      <c r="H3777">
        <v>2</v>
      </c>
      <c r="I3777" s="2">
        <v>26.49</v>
      </c>
      <c r="J3777" s="2">
        <v>52.98</v>
      </c>
      <c r="K3777" s="2">
        <f t="shared" si="175"/>
        <v>52.98</v>
      </c>
      <c r="L3777" s="2">
        <f t="shared" si="176"/>
        <v>0</v>
      </c>
      <c r="M3777" t="s">
        <v>15</v>
      </c>
      <c r="N3777" t="s">
        <v>26</v>
      </c>
    </row>
    <row r="3778" spans="1:14" x14ac:dyDescent="0.3">
      <c r="A3778">
        <v>2024004776</v>
      </c>
      <c r="B3778" s="1">
        <v>45546</v>
      </c>
      <c r="C3778" s="11">
        <f t="shared" si="174"/>
        <v>2024</v>
      </c>
      <c r="D3778" t="s">
        <v>334</v>
      </c>
      <c r="E3778" t="s">
        <v>34</v>
      </c>
      <c r="F3778" t="s">
        <v>35</v>
      </c>
      <c r="G3778" t="s">
        <v>36</v>
      </c>
      <c r="H3778">
        <v>1</v>
      </c>
      <c r="I3778" s="2">
        <v>16.899999999999999</v>
      </c>
      <c r="J3778" s="2">
        <v>16.899999999999999</v>
      </c>
      <c r="K3778" s="2">
        <f t="shared" si="175"/>
        <v>16.899999999999999</v>
      </c>
      <c r="L3778" s="2">
        <f t="shared" si="176"/>
        <v>0</v>
      </c>
      <c r="M3778" t="s">
        <v>20</v>
      </c>
      <c r="N3778" t="s">
        <v>32</v>
      </c>
    </row>
    <row r="3779" spans="1:14" x14ac:dyDescent="0.3">
      <c r="A3779">
        <v>2024004777</v>
      </c>
      <c r="B3779" s="1">
        <v>45376</v>
      </c>
      <c r="C3779" s="11">
        <f t="shared" ref="C3779:C3842" si="177">YEAR(B3779)</f>
        <v>2024</v>
      </c>
      <c r="D3779" t="s">
        <v>104</v>
      </c>
      <c r="E3779" t="s">
        <v>46</v>
      </c>
      <c r="F3779" t="s">
        <v>47</v>
      </c>
      <c r="G3779" t="s">
        <v>36</v>
      </c>
      <c r="H3779">
        <v>3</v>
      </c>
      <c r="I3779" s="2">
        <v>91.94</v>
      </c>
      <c r="J3779" s="2">
        <v>275.82</v>
      </c>
      <c r="K3779" s="2">
        <f t="shared" ref="K3779:K3842" si="178">I3779*H3779</f>
        <v>275.82</v>
      </c>
      <c r="L3779" s="2">
        <f t="shared" ref="L3779:L3842" si="179">J3779-K3779</f>
        <v>0</v>
      </c>
      <c r="M3779" t="s">
        <v>15</v>
      </c>
      <c r="N3779" t="s">
        <v>21</v>
      </c>
    </row>
    <row r="3780" spans="1:14" x14ac:dyDescent="0.3">
      <c r="A3780">
        <v>2024004778</v>
      </c>
      <c r="B3780" s="1">
        <v>45396</v>
      </c>
      <c r="C3780" s="11">
        <f t="shared" si="177"/>
        <v>2024</v>
      </c>
      <c r="D3780" t="s">
        <v>320</v>
      </c>
      <c r="E3780" t="s">
        <v>12</v>
      </c>
      <c r="F3780" t="s">
        <v>13</v>
      </c>
      <c r="G3780" t="s">
        <v>14</v>
      </c>
      <c r="H3780">
        <v>1</v>
      </c>
      <c r="I3780" s="2">
        <v>347.07</v>
      </c>
      <c r="J3780" s="2">
        <v>347.07</v>
      </c>
      <c r="K3780" s="2">
        <f t="shared" si="178"/>
        <v>347.07</v>
      </c>
      <c r="L3780" s="2">
        <f t="shared" si="179"/>
        <v>0</v>
      </c>
      <c r="M3780" t="s">
        <v>31</v>
      </c>
      <c r="N3780" t="s">
        <v>21</v>
      </c>
    </row>
    <row r="3781" spans="1:14" x14ac:dyDescent="0.3">
      <c r="A3781">
        <v>2024004779</v>
      </c>
      <c r="B3781" s="1">
        <v>45539</v>
      </c>
      <c r="C3781" s="11">
        <f t="shared" si="177"/>
        <v>2024</v>
      </c>
      <c r="D3781" t="s">
        <v>275</v>
      </c>
      <c r="E3781" t="s">
        <v>12</v>
      </c>
      <c r="F3781" t="s">
        <v>13</v>
      </c>
      <c r="G3781" t="s">
        <v>14</v>
      </c>
      <c r="H3781">
        <v>3</v>
      </c>
      <c r="I3781" s="2">
        <v>369.48</v>
      </c>
      <c r="J3781" s="2">
        <v>1108.44</v>
      </c>
      <c r="K3781" s="2">
        <f t="shared" si="178"/>
        <v>1108.44</v>
      </c>
      <c r="L3781" s="2">
        <f t="shared" si="179"/>
        <v>0</v>
      </c>
      <c r="M3781" t="s">
        <v>25</v>
      </c>
      <c r="N3781" t="s">
        <v>21</v>
      </c>
    </row>
    <row r="3782" spans="1:14" x14ac:dyDescent="0.3">
      <c r="A3782">
        <v>2024004780</v>
      </c>
      <c r="B3782" s="1">
        <v>45520</v>
      </c>
      <c r="C3782" s="11">
        <f t="shared" si="177"/>
        <v>2024</v>
      </c>
      <c r="D3782" t="s">
        <v>254</v>
      </c>
      <c r="E3782" t="s">
        <v>34</v>
      </c>
      <c r="F3782" t="s">
        <v>35</v>
      </c>
      <c r="G3782" t="s">
        <v>36</v>
      </c>
      <c r="H3782">
        <v>1</v>
      </c>
      <c r="I3782" s="2">
        <v>14.59</v>
      </c>
      <c r="J3782" s="2">
        <v>14.59</v>
      </c>
      <c r="K3782" s="2">
        <f t="shared" si="178"/>
        <v>14.59</v>
      </c>
      <c r="L3782" s="2">
        <f t="shared" si="179"/>
        <v>0</v>
      </c>
      <c r="M3782" t="s">
        <v>55</v>
      </c>
      <c r="N3782" t="s">
        <v>26</v>
      </c>
    </row>
    <row r="3783" spans="1:14" x14ac:dyDescent="0.3">
      <c r="A3783">
        <v>2024004781</v>
      </c>
      <c r="B3783" s="1">
        <v>45332</v>
      </c>
      <c r="C3783" s="11">
        <f t="shared" si="177"/>
        <v>2024</v>
      </c>
      <c r="D3783" t="s">
        <v>333</v>
      </c>
      <c r="E3783" t="s">
        <v>53</v>
      </c>
      <c r="F3783" t="s">
        <v>54</v>
      </c>
      <c r="G3783" t="s">
        <v>36</v>
      </c>
      <c r="H3783">
        <v>1</v>
      </c>
      <c r="I3783" s="2">
        <v>130.74</v>
      </c>
      <c r="J3783" s="2">
        <v>130.74</v>
      </c>
      <c r="K3783" s="2">
        <f t="shared" si="178"/>
        <v>130.74</v>
      </c>
      <c r="L3783" s="2">
        <f t="shared" si="179"/>
        <v>0</v>
      </c>
      <c r="M3783" t="s">
        <v>15</v>
      </c>
      <c r="N3783" t="s">
        <v>26</v>
      </c>
    </row>
    <row r="3784" spans="1:14" x14ac:dyDescent="0.3">
      <c r="A3784">
        <v>2024004782</v>
      </c>
      <c r="B3784" s="1">
        <v>45355</v>
      </c>
      <c r="C3784" s="11">
        <f t="shared" si="177"/>
        <v>2024</v>
      </c>
      <c r="D3784" t="s">
        <v>146</v>
      </c>
      <c r="E3784" t="s">
        <v>53</v>
      </c>
      <c r="F3784" t="s">
        <v>54</v>
      </c>
      <c r="G3784" t="s">
        <v>36</v>
      </c>
      <c r="H3784">
        <v>4</v>
      </c>
      <c r="I3784" s="2">
        <v>123.76</v>
      </c>
      <c r="J3784" s="2">
        <v>495.04</v>
      </c>
      <c r="K3784" s="2">
        <f t="shared" si="178"/>
        <v>495.04</v>
      </c>
      <c r="L3784" s="2">
        <f t="shared" si="179"/>
        <v>0</v>
      </c>
      <c r="M3784" t="s">
        <v>55</v>
      </c>
      <c r="N3784" t="s">
        <v>16</v>
      </c>
    </row>
    <row r="3785" spans="1:14" x14ac:dyDescent="0.3">
      <c r="A3785">
        <v>2024004783</v>
      </c>
      <c r="B3785" s="1">
        <v>45538</v>
      </c>
      <c r="C3785" s="11">
        <f t="shared" si="177"/>
        <v>2024</v>
      </c>
      <c r="D3785" t="s">
        <v>205</v>
      </c>
      <c r="E3785" t="s">
        <v>28</v>
      </c>
      <c r="F3785" t="s">
        <v>29</v>
      </c>
      <c r="G3785" t="s">
        <v>30</v>
      </c>
      <c r="H3785">
        <v>1</v>
      </c>
      <c r="I3785" s="2">
        <v>25.83</v>
      </c>
      <c r="J3785" s="2">
        <v>25.83</v>
      </c>
      <c r="K3785" s="2">
        <f t="shared" si="178"/>
        <v>25.83</v>
      </c>
      <c r="L3785" s="2">
        <f t="shared" si="179"/>
        <v>0</v>
      </c>
      <c r="M3785" t="s">
        <v>61</v>
      </c>
      <c r="N3785" t="s">
        <v>21</v>
      </c>
    </row>
    <row r="3786" spans="1:14" x14ac:dyDescent="0.3">
      <c r="A3786">
        <v>2024004784</v>
      </c>
      <c r="B3786" s="1">
        <v>45352</v>
      </c>
      <c r="C3786" s="11">
        <f t="shared" si="177"/>
        <v>2024</v>
      </c>
      <c r="D3786" t="s">
        <v>259</v>
      </c>
      <c r="E3786" t="s">
        <v>67</v>
      </c>
      <c r="F3786" t="s">
        <v>68</v>
      </c>
      <c r="G3786" t="s">
        <v>36</v>
      </c>
      <c r="H3786">
        <v>1</v>
      </c>
      <c r="I3786" s="2">
        <v>382.28</v>
      </c>
      <c r="J3786" s="2">
        <v>382.28</v>
      </c>
      <c r="K3786" s="2">
        <f t="shared" si="178"/>
        <v>382.28</v>
      </c>
      <c r="L3786" s="2">
        <f t="shared" si="179"/>
        <v>0</v>
      </c>
      <c r="M3786" t="s">
        <v>25</v>
      </c>
      <c r="N3786" t="s">
        <v>21</v>
      </c>
    </row>
    <row r="3787" spans="1:14" x14ac:dyDescent="0.3">
      <c r="A3787">
        <v>2024004785</v>
      </c>
      <c r="B3787" s="1">
        <v>45441</v>
      </c>
      <c r="C3787" s="11">
        <f t="shared" si="177"/>
        <v>2024</v>
      </c>
      <c r="D3787" t="s">
        <v>174</v>
      </c>
      <c r="E3787" t="s">
        <v>40</v>
      </c>
      <c r="F3787" t="s">
        <v>41</v>
      </c>
      <c r="G3787" t="s">
        <v>36</v>
      </c>
      <c r="H3787">
        <v>3</v>
      </c>
      <c r="I3787" s="2">
        <v>44.95</v>
      </c>
      <c r="J3787" s="2">
        <v>134.85</v>
      </c>
      <c r="K3787" s="2">
        <f t="shared" si="178"/>
        <v>134.85000000000002</v>
      </c>
      <c r="L3787" s="2">
        <f t="shared" si="179"/>
        <v>0</v>
      </c>
      <c r="M3787" t="s">
        <v>38</v>
      </c>
      <c r="N3787" t="s">
        <v>26</v>
      </c>
    </row>
    <row r="3788" spans="1:14" x14ac:dyDescent="0.3">
      <c r="A3788">
        <v>2024004786</v>
      </c>
      <c r="B3788" s="1">
        <v>45439</v>
      </c>
      <c r="C3788" s="11">
        <f t="shared" si="177"/>
        <v>2024</v>
      </c>
      <c r="D3788" t="s">
        <v>42</v>
      </c>
      <c r="E3788" t="s">
        <v>40</v>
      </c>
      <c r="F3788" t="s">
        <v>41</v>
      </c>
      <c r="G3788" t="s">
        <v>36</v>
      </c>
      <c r="H3788">
        <v>1</v>
      </c>
      <c r="I3788" s="2">
        <v>44.56</v>
      </c>
      <c r="J3788" s="2">
        <v>44.56</v>
      </c>
      <c r="K3788" s="2">
        <f t="shared" si="178"/>
        <v>44.56</v>
      </c>
      <c r="L3788" s="2">
        <f t="shared" si="179"/>
        <v>0</v>
      </c>
      <c r="M3788" t="s">
        <v>61</v>
      </c>
      <c r="N3788" t="s">
        <v>26</v>
      </c>
    </row>
    <row r="3789" spans="1:14" x14ac:dyDescent="0.3">
      <c r="A3789">
        <v>2024004787</v>
      </c>
      <c r="B3789" s="1">
        <v>45617</v>
      </c>
      <c r="C3789" s="11">
        <f t="shared" si="177"/>
        <v>2024</v>
      </c>
      <c r="D3789" t="s">
        <v>152</v>
      </c>
      <c r="E3789" t="s">
        <v>67</v>
      </c>
      <c r="F3789" t="s">
        <v>68</v>
      </c>
      <c r="G3789" t="s">
        <v>36</v>
      </c>
      <c r="H3789">
        <v>1</v>
      </c>
      <c r="I3789" s="2">
        <v>413.58</v>
      </c>
      <c r="J3789" s="2">
        <v>413.58</v>
      </c>
      <c r="K3789" s="2">
        <f t="shared" si="178"/>
        <v>413.58</v>
      </c>
      <c r="L3789" s="2">
        <f t="shared" si="179"/>
        <v>0</v>
      </c>
      <c r="M3789" t="s">
        <v>31</v>
      </c>
      <c r="N3789" t="s">
        <v>16</v>
      </c>
    </row>
    <row r="3790" spans="1:14" x14ac:dyDescent="0.3">
      <c r="A3790">
        <v>2024004788</v>
      </c>
      <c r="B3790" s="1">
        <v>45633</v>
      </c>
      <c r="C3790" s="11">
        <f t="shared" si="177"/>
        <v>2024</v>
      </c>
      <c r="D3790" t="s">
        <v>244</v>
      </c>
      <c r="E3790" t="s">
        <v>23</v>
      </c>
      <c r="F3790" t="s">
        <v>24</v>
      </c>
      <c r="G3790" t="s">
        <v>14</v>
      </c>
      <c r="H3790">
        <v>1</v>
      </c>
      <c r="I3790" s="2">
        <v>88.05</v>
      </c>
      <c r="J3790" s="2">
        <v>88.05</v>
      </c>
      <c r="K3790" s="2">
        <f t="shared" si="178"/>
        <v>88.05</v>
      </c>
      <c r="L3790" s="2">
        <f t="shared" si="179"/>
        <v>0</v>
      </c>
      <c r="M3790" t="s">
        <v>38</v>
      </c>
      <c r="N3790" t="s">
        <v>21</v>
      </c>
    </row>
    <row r="3791" spans="1:14" x14ac:dyDescent="0.3">
      <c r="A3791">
        <v>2024004789</v>
      </c>
      <c r="B3791" s="1">
        <v>45613</v>
      </c>
      <c r="C3791" s="11">
        <f t="shared" si="177"/>
        <v>2024</v>
      </c>
      <c r="D3791" t="s">
        <v>228</v>
      </c>
      <c r="E3791" t="s">
        <v>53</v>
      </c>
      <c r="F3791" t="s">
        <v>54</v>
      </c>
      <c r="G3791" t="s">
        <v>36</v>
      </c>
      <c r="H3791">
        <v>3</v>
      </c>
      <c r="I3791" s="2">
        <v>123.57</v>
      </c>
      <c r="J3791" s="2">
        <v>370.71</v>
      </c>
      <c r="K3791" s="2">
        <f t="shared" si="178"/>
        <v>370.71</v>
      </c>
      <c r="L3791" s="2">
        <f t="shared" si="179"/>
        <v>0</v>
      </c>
      <c r="M3791" t="s">
        <v>57</v>
      </c>
      <c r="N3791" t="s">
        <v>16</v>
      </c>
    </row>
    <row r="3792" spans="1:14" x14ac:dyDescent="0.3">
      <c r="A3792">
        <v>2024004790</v>
      </c>
      <c r="B3792" s="1">
        <v>45575</v>
      </c>
      <c r="C3792" s="11">
        <f t="shared" si="177"/>
        <v>2024</v>
      </c>
      <c r="D3792" t="s">
        <v>247</v>
      </c>
      <c r="E3792" t="s">
        <v>43</v>
      </c>
      <c r="F3792" t="s">
        <v>44</v>
      </c>
      <c r="G3792" t="s">
        <v>36</v>
      </c>
      <c r="H3792">
        <v>4</v>
      </c>
      <c r="I3792" s="2">
        <v>1133.78</v>
      </c>
      <c r="J3792" s="2">
        <v>4535.12</v>
      </c>
      <c r="K3792" s="2">
        <f t="shared" si="178"/>
        <v>4535.12</v>
      </c>
      <c r="L3792" s="2">
        <f t="shared" si="179"/>
        <v>0</v>
      </c>
      <c r="M3792" t="s">
        <v>15</v>
      </c>
      <c r="N3792" t="s">
        <v>26</v>
      </c>
    </row>
    <row r="3793" spans="1:14" x14ac:dyDescent="0.3">
      <c r="A3793">
        <v>2024004791</v>
      </c>
      <c r="B3793" s="1">
        <v>45573</v>
      </c>
      <c r="C3793" s="11">
        <f t="shared" si="177"/>
        <v>2024</v>
      </c>
      <c r="D3793" t="s">
        <v>209</v>
      </c>
      <c r="E3793" t="s">
        <v>46</v>
      </c>
      <c r="F3793" t="s">
        <v>47</v>
      </c>
      <c r="G3793" t="s">
        <v>36</v>
      </c>
      <c r="H3793">
        <v>3</v>
      </c>
      <c r="I3793" s="2">
        <v>93.54</v>
      </c>
      <c r="J3793" s="2">
        <v>280.62</v>
      </c>
      <c r="K3793" s="2">
        <f t="shared" si="178"/>
        <v>280.62</v>
      </c>
      <c r="L3793" s="2">
        <f t="shared" si="179"/>
        <v>0</v>
      </c>
      <c r="M3793" t="s">
        <v>48</v>
      </c>
      <c r="N3793" t="s">
        <v>26</v>
      </c>
    </row>
    <row r="3794" spans="1:14" x14ac:dyDescent="0.3">
      <c r="A3794">
        <v>2024004792</v>
      </c>
      <c r="B3794" s="1">
        <v>45614</v>
      </c>
      <c r="C3794" s="11">
        <f t="shared" si="177"/>
        <v>2024</v>
      </c>
      <c r="D3794" t="s">
        <v>240</v>
      </c>
      <c r="E3794" t="s">
        <v>34</v>
      </c>
      <c r="F3794" t="s">
        <v>35</v>
      </c>
      <c r="G3794" t="s">
        <v>36</v>
      </c>
      <c r="H3794">
        <v>1</v>
      </c>
      <c r="I3794" s="2">
        <v>16.34</v>
      </c>
      <c r="J3794" s="2">
        <v>16.34</v>
      </c>
      <c r="K3794" s="2">
        <f t="shared" si="178"/>
        <v>16.34</v>
      </c>
      <c r="L3794" s="2">
        <f t="shared" si="179"/>
        <v>0</v>
      </c>
      <c r="M3794" t="s">
        <v>61</v>
      </c>
      <c r="N3794" t="s">
        <v>21</v>
      </c>
    </row>
    <row r="3795" spans="1:14" x14ac:dyDescent="0.3">
      <c r="A3795">
        <v>2024004793</v>
      </c>
      <c r="B3795" s="1">
        <v>45392</v>
      </c>
      <c r="C3795" s="11">
        <f t="shared" si="177"/>
        <v>2024</v>
      </c>
      <c r="D3795" t="s">
        <v>136</v>
      </c>
      <c r="E3795" t="s">
        <v>43</v>
      </c>
      <c r="F3795" t="s">
        <v>44</v>
      </c>
      <c r="G3795" t="s">
        <v>36</v>
      </c>
      <c r="H3795">
        <v>1</v>
      </c>
      <c r="I3795" s="2">
        <v>1104.81</v>
      </c>
      <c r="J3795" s="2">
        <v>1104.81</v>
      </c>
      <c r="K3795" s="2">
        <f t="shared" si="178"/>
        <v>1104.81</v>
      </c>
      <c r="L3795" s="2">
        <f t="shared" si="179"/>
        <v>0</v>
      </c>
      <c r="M3795" t="s">
        <v>20</v>
      </c>
      <c r="N3795" t="s">
        <v>21</v>
      </c>
    </row>
    <row r="3796" spans="1:14" x14ac:dyDescent="0.3">
      <c r="A3796">
        <v>2024004794</v>
      </c>
      <c r="B3796" s="1">
        <v>45454</v>
      </c>
      <c r="C3796" s="11">
        <f t="shared" si="177"/>
        <v>2024</v>
      </c>
      <c r="D3796" t="s">
        <v>229</v>
      </c>
      <c r="E3796" t="s">
        <v>34</v>
      </c>
      <c r="F3796" t="s">
        <v>35</v>
      </c>
      <c r="G3796" t="s">
        <v>36</v>
      </c>
      <c r="H3796">
        <v>1</v>
      </c>
      <c r="I3796" s="2">
        <v>14.09</v>
      </c>
      <c r="J3796" s="2">
        <v>14.09</v>
      </c>
      <c r="K3796" s="2">
        <f t="shared" si="178"/>
        <v>14.09</v>
      </c>
      <c r="L3796" s="2">
        <f t="shared" si="179"/>
        <v>0</v>
      </c>
      <c r="M3796" t="s">
        <v>64</v>
      </c>
      <c r="N3796" t="s">
        <v>32</v>
      </c>
    </row>
    <row r="3797" spans="1:14" x14ac:dyDescent="0.3">
      <c r="A3797">
        <v>2024004795</v>
      </c>
      <c r="B3797" s="1">
        <v>45408</v>
      </c>
      <c r="C3797" s="11">
        <f t="shared" si="177"/>
        <v>2024</v>
      </c>
      <c r="D3797" t="s">
        <v>11</v>
      </c>
      <c r="E3797" t="s">
        <v>67</v>
      </c>
      <c r="F3797" t="s">
        <v>68</v>
      </c>
      <c r="G3797" t="s">
        <v>36</v>
      </c>
      <c r="H3797">
        <v>1</v>
      </c>
      <c r="I3797" s="2">
        <v>386</v>
      </c>
      <c r="J3797" s="2">
        <v>386</v>
      </c>
      <c r="K3797" s="2">
        <f t="shared" si="178"/>
        <v>386</v>
      </c>
      <c r="L3797" s="2">
        <f t="shared" si="179"/>
        <v>0</v>
      </c>
      <c r="M3797" t="s">
        <v>31</v>
      </c>
      <c r="N3797" t="s">
        <v>26</v>
      </c>
    </row>
    <row r="3798" spans="1:14" x14ac:dyDescent="0.3">
      <c r="A3798">
        <v>2024004796</v>
      </c>
      <c r="B3798" s="1">
        <v>45476</v>
      </c>
      <c r="C3798" s="11">
        <f t="shared" si="177"/>
        <v>2024</v>
      </c>
      <c r="D3798" t="s">
        <v>306</v>
      </c>
      <c r="E3798" t="s">
        <v>18</v>
      </c>
      <c r="F3798" t="s">
        <v>19</v>
      </c>
      <c r="G3798" t="s">
        <v>14</v>
      </c>
      <c r="H3798">
        <v>1</v>
      </c>
      <c r="I3798" s="2">
        <v>621.63</v>
      </c>
      <c r="J3798" s="2">
        <v>621.63</v>
      </c>
      <c r="K3798" s="2">
        <f t="shared" si="178"/>
        <v>621.63</v>
      </c>
      <c r="L3798" s="2">
        <f t="shared" si="179"/>
        <v>0</v>
      </c>
      <c r="M3798" t="s">
        <v>38</v>
      </c>
      <c r="N3798" t="s">
        <v>26</v>
      </c>
    </row>
    <row r="3799" spans="1:14" x14ac:dyDescent="0.3">
      <c r="A3799">
        <v>2024004797</v>
      </c>
      <c r="B3799" s="1">
        <v>45647</v>
      </c>
      <c r="C3799" s="11">
        <f t="shared" si="177"/>
        <v>2024</v>
      </c>
      <c r="D3799" t="s">
        <v>256</v>
      </c>
      <c r="E3799" t="s">
        <v>53</v>
      </c>
      <c r="F3799" t="s">
        <v>54</v>
      </c>
      <c r="G3799" t="s">
        <v>36</v>
      </c>
      <c r="H3799">
        <v>2</v>
      </c>
      <c r="I3799" s="2">
        <v>121.54</v>
      </c>
      <c r="J3799" s="2">
        <v>243.08</v>
      </c>
      <c r="K3799" s="2">
        <f t="shared" si="178"/>
        <v>243.08</v>
      </c>
      <c r="L3799" s="2">
        <f t="shared" si="179"/>
        <v>0</v>
      </c>
      <c r="M3799" t="s">
        <v>25</v>
      </c>
      <c r="N3799" t="s">
        <v>32</v>
      </c>
    </row>
    <row r="3800" spans="1:14" x14ac:dyDescent="0.3">
      <c r="A3800">
        <v>2024004798</v>
      </c>
      <c r="B3800" s="1">
        <v>45402</v>
      </c>
      <c r="C3800" s="11">
        <f t="shared" si="177"/>
        <v>2024</v>
      </c>
      <c r="D3800" t="s">
        <v>224</v>
      </c>
      <c r="E3800" t="s">
        <v>18</v>
      </c>
      <c r="F3800" t="s">
        <v>19</v>
      </c>
      <c r="G3800" t="s">
        <v>14</v>
      </c>
      <c r="H3800">
        <v>2</v>
      </c>
      <c r="I3800" s="2">
        <v>591.36</v>
      </c>
      <c r="J3800" s="2">
        <v>1182.72</v>
      </c>
      <c r="K3800" s="2">
        <f t="shared" si="178"/>
        <v>1182.72</v>
      </c>
      <c r="L3800" s="2">
        <f t="shared" si="179"/>
        <v>0</v>
      </c>
      <c r="M3800" t="s">
        <v>15</v>
      </c>
      <c r="N3800" t="s">
        <v>21</v>
      </c>
    </row>
    <row r="3801" spans="1:14" x14ac:dyDescent="0.3">
      <c r="A3801">
        <v>2024004799</v>
      </c>
      <c r="B3801" s="1">
        <v>45404</v>
      </c>
      <c r="C3801" s="11">
        <f t="shared" si="177"/>
        <v>2024</v>
      </c>
      <c r="D3801" t="s">
        <v>146</v>
      </c>
      <c r="E3801" t="s">
        <v>28</v>
      </c>
      <c r="F3801" t="s">
        <v>29</v>
      </c>
      <c r="G3801" t="s">
        <v>30</v>
      </c>
      <c r="H3801">
        <v>1</v>
      </c>
      <c r="I3801" s="2">
        <v>26.73</v>
      </c>
      <c r="J3801" s="2">
        <v>26.73</v>
      </c>
      <c r="K3801" s="2">
        <f t="shared" si="178"/>
        <v>26.73</v>
      </c>
      <c r="L3801" s="2">
        <f t="shared" si="179"/>
        <v>0</v>
      </c>
      <c r="M3801" t="s">
        <v>31</v>
      </c>
      <c r="N3801" t="s">
        <v>16</v>
      </c>
    </row>
    <row r="3802" spans="1:14" x14ac:dyDescent="0.3">
      <c r="A3802">
        <v>2024004800</v>
      </c>
      <c r="B3802" s="1">
        <v>45594</v>
      </c>
      <c r="C3802" s="11">
        <f t="shared" si="177"/>
        <v>2024</v>
      </c>
      <c r="D3802" t="s">
        <v>42</v>
      </c>
      <c r="E3802" t="s">
        <v>28</v>
      </c>
      <c r="F3802" t="s">
        <v>29</v>
      </c>
      <c r="G3802" t="s">
        <v>30</v>
      </c>
      <c r="H3802">
        <v>2</v>
      </c>
      <c r="I3802" s="2">
        <v>23.39</v>
      </c>
      <c r="J3802" s="2">
        <v>46.78</v>
      </c>
      <c r="K3802" s="2">
        <f t="shared" si="178"/>
        <v>46.78</v>
      </c>
      <c r="L3802" s="2">
        <f t="shared" si="179"/>
        <v>0</v>
      </c>
      <c r="M3802" t="s">
        <v>38</v>
      </c>
      <c r="N3802" t="s">
        <v>16</v>
      </c>
    </row>
    <row r="3803" spans="1:14" x14ac:dyDescent="0.3">
      <c r="A3803">
        <v>2024004801</v>
      </c>
      <c r="B3803" s="1">
        <v>45595</v>
      </c>
      <c r="C3803" s="11">
        <f t="shared" si="177"/>
        <v>2024</v>
      </c>
      <c r="D3803" t="s">
        <v>195</v>
      </c>
      <c r="E3803" t="s">
        <v>43</v>
      </c>
      <c r="F3803" t="s">
        <v>44</v>
      </c>
      <c r="G3803" t="s">
        <v>36</v>
      </c>
      <c r="H3803">
        <v>4</v>
      </c>
      <c r="I3803" s="2">
        <v>1165.18</v>
      </c>
      <c r="J3803" s="2">
        <v>4660.72</v>
      </c>
      <c r="K3803" s="2">
        <f t="shared" si="178"/>
        <v>4660.72</v>
      </c>
      <c r="L3803" s="2">
        <f t="shared" si="179"/>
        <v>0</v>
      </c>
      <c r="M3803" t="s">
        <v>64</v>
      </c>
      <c r="N3803" t="s">
        <v>16</v>
      </c>
    </row>
    <row r="3804" spans="1:14" x14ac:dyDescent="0.3">
      <c r="A3804">
        <v>2024004802</v>
      </c>
      <c r="B3804" s="1">
        <v>45562</v>
      </c>
      <c r="C3804" s="11">
        <f t="shared" si="177"/>
        <v>2024</v>
      </c>
      <c r="D3804" t="s">
        <v>124</v>
      </c>
      <c r="E3804" t="s">
        <v>40</v>
      </c>
      <c r="F3804" t="s">
        <v>41</v>
      </c>
      <c r="G3804" t="s">
        <v>36</v>
      </c>
      <c r="H3804">
        <v>2</v>
      </c>
      <c r="I3804" s="2">
        <v>45.75</v>
      </c>
      <c r="J3804" s="2">
        <v>91.5</v>
      </c>
      <c r="K3804" s="2">
        <f t="shared" si="178"/>
        <v>91.5</v>
      </c>
      <c r="L3804" s="2">
        <f t="shared" si="179"/>
        <v>0</v>
      </c>
      <c r="M3804" t="s">
        <v>31</v>
      </c>
      <c r="N3804" t="s">
        <v>32</v>
      </c>
    </row>
    <row r="3805" spans="1:14" x14ac:dyDescent="0.3">
      <c r="A3805">
        <v>2024004803</v>
      </c>
      <c r="B3805" s="1">
        <v>45527</v>
      </c>
      <c r="C3805" s="11">
        <f t="shared" si="177"/>
        <v>2024</v>
      </c>
      <c r="D3805" t="s">
        <v>274</v>
      </c>
      <c r="E3805" t="s">
        <v>40</v>
      </c>
      <c r="F3805" t="s">
        <v>41</v>
      </c>
      <c r="G3805" t="s">
        <v>36</v>
      </c>
      <c r="H3805">
        <v>1</v>
      </c>
      <c r="I3805" s="2">
        <v>43.97</v>
      </c>
      <c r="J3805" s="2">
        <v>43.97</v>
      </c>
      <c r="K3805" s="2">
        <f t="shared" si="178"/>
        <v>43.97</v>
      </c>
      <c r="L3805" s="2">
        <f t="shared" si="179"/>
        <v>0</v>
      </c>
      <c r="M3805" t="s">
        <v>31</v>
      </c>
      <c r="N3805" t="s">
        <v>32</v>
      </c>
    </row>
    <row r="3806" spans="1:14" x14ac:dyDescent="0.3">
      <c r="A3806">
        <v>2024004804</v>
      </c>
      <c r="B3806" s="1">
        <v>45615</v>
      </c>
      <c r="C3806" s="11">
        <f t="shared" si="177"/>
        <v>2024</v>
      </c>
      <c r="D3806" t="s">
        <v>116</v>
      </c>
      <c r="E3806" t="s">
        <v>53</v>
      </c>
      <c r="F3806" t="s">
        <v>54</v>
      </c>
      <c r="G3806" t="s">
        <v>36</v>
      </c>
      <c r="H3806">
        <v>2</v>
      </c>
      <c r="I3806" s="2">
        <v>115.92</v>
      </c>
      <c r="J3806" s="2">
        <v>231.84</v>
      </c>
      <c r="K3806" s="2">
        <f t="shared" si="178"/>
        <v>231.84</v>
      </c>
      <c r="L3806" s="2">
        <f t="shared" si="179"/>
        <v>0</v>
      </c>
      <c r="M3806" t="s">
        <v>38</v>
      </c>
      <c r="N3806" t="s">
        <v>16</v>
      </c>
    </row>
    <row r="3807" spans="1:14" x14ac:dyDescent="0.3">
      <c r="A3807">
        <v>2024004805</v>
      </c>
      <c r="B3807" s="1">
        <v>45488</v>
      </c>
      <c r="C3807" s="11">
        <f t="shared" si="177"/>
        <v>2024</v>
      </c>
      <c r="D3807" t="s">
        <v>11</v>
      </c>
      <c r="E3807" t="s">
        <v>67</v>
      </c>
      <c r="F3807" t="s">
        <v>68</v>
      </c>
      <c r="G3807" t="s">
        <v>36</v>
      </c>
      <c r="H3807">
        <v>1</v>
      </c>
      <c r="I3807" s="2">
        <v>381.73</v>
      </c>
      <c r="J3807" s="2">
        <v>381.73</v>
      </c>
      <c r="K3807" s="2">
        <f t="shared" si="178"/>
        <v>381.73</v>
      </c>
      <c r="L3807" s="2">
        <f t="shared" si="179"/>
        <v>0</v>
      </c>
      <c r="M3807" t="s">
        <v>61</v>
      </c>
      <c r="N3807" t="s">
        <v>21</v>
      </c>
    </row>
    <row r="3808" spans="1:14" x14ac:dyDescent="0.3">
      <c r="A3808">
        <v>2024004806</v>
      </c>
      <c r="B3808" s="1">
        <v>45330</v>
      </c>
      <c r="C3808" s="11">
        <f t="shared" si="177"/>
        <v>2024</v>
      </c>
      <c r="D3808" t="s">
        <v>251</v>
      </c>
      <c r="E3808" t="s">
        <v>18</v>
      </c>
      <c r="F3808" t="s">
        <v>19</v>
      </c>
      <c r="G3808" t="s">
        <v>14</v>
      </c>
      <c r="H3808">
        <v>2</v>
      </c>
      <c r="I3808" s="2">
        <v>626.4</v>
      </c>
      <c r="J3808" s="2">
        <v>1252.8</v>
      </c>
      <c r="K3808" s="2">
        <f t="shared" si="178"/>
        <v>1252.8</v>
      </c>
      <c r="L3808" s="2">
        <f t="shared" si="179"/>
        <v>0</v>
      </c>
      <c r="M3808" t="s">
        <v>38</v>
      </c>
      <c r="N3808" t="s">
        <v>21</v>
      </c>
    </row>
    <row r="3809" spans="1:14" x14ac:dyDescent="0.3">
      <c r="A3809">
        <v>2024004807</v>
      </c>
      <c r="B3809" s="1">
        <v>45438</v>
      </c>
      <c r="C3809" s="11">
        <f t="shared" si="177"/>
        <v>2024</v>
      </c>
      <c r="D3809" t="s">
        <v>22</v>
      </c>
      <c r="E3809" t="s">
        <v>43</v>
      </c>
      <c r="F3809" t="s">
        <v>44</v>
      </c>
      <c r="G3809" t="s">
        <v>36</v>
      </c>
      <c r="H3809">
        <v>2</v>
      </c>
      <c r="I3809" s="2">
        <v>1158.8699999999999</v>
      </c>
      <c r="J3809" s="2">
        <v>2317.7399999999998</v>
      </c>
      <c r="K3809" s="2">
        <f t="shared" si="178"/>
        <v>2317.7399999999998</v>
      </c>
      <c r="L3809" s="2">
        <f t="shared" si="179"/>
        <v>0</v>
      </c>
      <c r="M3809" t="s">
        <v>57</v>
      </c>
      <c r="N3809" t="s">
        <v>26</v>
      </c>
    </row>
    <row r="3810" spans="1:14" x14ac:dyDescent="0.3">
      <c r="A3810">
        <v>2024004808</v>
      </c>
      <c r="B3810" s="1">
        <v>45369</v>
      </c>
      <c r="C3810" s="11">
        <f t="shared" si="177"/>
        <v>2024</v>
      </c>
      <c r="D3810" t="s">
        <v>299</v>
      </c>
      <c r="E3810" t="s">
        <v>46</v>
      </c>
      <c r="F3810" t="s">
        <v>47</v>
      </c>
      <c r="G3810" t="s">
        <v>36</v>
      </c>
      <c r="H3810">
        <v>1</v>
      </c>
      <c r="I3810" s="2">
        <v>91.15</v>
      </c>
      <c r="J3810" s="2">
        <v>91.15</v>
      </c>
      <c r="K3810" s="2">
        <f t="shared" si="178"/>
        <v>91.15</v>
      </c>
      <c r="L3810" s="2">
        <f t="shared" si="179"/>
        <v>0</v>
      </c>
      <c r="M3810" t="s">
        <v>31</v>
      </c>
      <c r="N3810" t="s">
        <v>26</v>
      </c>
    </row>
    <row r="3811" spans="1:14" x14ac:dyDescent="0.3">
      <c r="A3811">
        <v>2024004809</v>
      </c>
      <c r="B3811" s="1">
        <v>45545</v>
      </c>
      <c r="C3811" s="11">
        <f t="shared" si="177"/>
        <v>2024</v>
      </c>
      <c r="D3811" t="s">
        <v>308</v>
      </c>
      <c r="E3811" t="s">
        <v>43</v>
      </c>
      <c r="F3811" t="s">
        <v>44</v>
      </c>
      <c r="G3811" t="s">
        <v>36</v>
      </c>
      <c r="H3811">
        <v>1</v>
      </c>
      <c r="I3811" s="2">
        <v>1251.44</v>
      </c>
      <c r="J3811" s="2">
        <v>1251.44</v>
      </c>
      <c r="K3811" s="2">
        <f t="shared" si="178"/>
        <v>1251.44</v>
      </c>
      <c r="L3811" s="2">
        <f t="shared" si="179"/>
        <v>0</v>
      </c>
      <c r="M3811" t="s">
        <v>61</v>
      </c>
      <c r="N3811" t="s">
        <v>21</v>
      </c>
    </row>
    <row r="3812" spans="1:14" x14ac:dyDescent="0.3">
      <c r="A3812">
        <v>2024004810</v>
      </c>
      <c r="B3812" s="1">
        <v>45516</v>
      </c>
      <c r="C3812" s="11">
        <f t="shared" si="177"/>
        <v>2024</v>
      </c>
      <c r="D3812" t="s">
        <v>249</v>
      </c>
      <c r="E3812" t="s">
        <v>53</v>
      </c>
      <c r="F3812" t="s">
        <v>54</v>
      </c>
      <c r="G3812" t="s">
        <v>36</v>
      </c>
      <c r="H3812">
        <v>3</v>
      </c>
      <c r="I3812" s="2">
        <v>110.3</v>
      </c>
      <c r="J3812" s="2">
        <v>330.9</v>
      </c>
      <c r="K3812" s="2">
        <f t="shared" si="178"/>
        <v>330.9</v>
      </c>
      <c r="L3812" s="2">
        <f t="shared" si="179"/>
        <v>0</v>
      </c>
      <c r="M3812" t="s">
        <v>38</v>
      </c>
      <c r="N3812" t="s">
        <v>21</v>
      </c>
    </row>
    <row r="3813" spans="1:14" x14ac:dyDescent="0.3">
      <c r="A3813">
        <v>2024004811</v>
      </c>
      <c r="B3813" s="1">
        <v>45301</v>
      </c>
      <c r="C3813" s="11">
        <f t="shared" si="177"/>
        <v>2024</v>
      </c>
      <c r="D3813" t="s">
        <v>88</v>
      </c>
      <c r="E3813" t="s">
        <v>34</v>
      </c>
      <c r="F3813" t="s">
        <v>35</v>
      </c>
      <c r="G3813" t="s">
        <v>36</v>
      </c>
      <c r="H3813">
        <v>2</v>
      </c>
      <c r="I3813" s="2">
        <v>14.6</v>
      </c>
      <c r="J3813" s="2">
        <v>29.2</v>
      </c>
      <c r="K3813" s="2">
        <f t="shared" si="178"/>
        <v>29.2</v>
      </c>
      <c r="L3813" s="2">
        <f t="shared" si="179"/>
        <v>0</v>
      </c>
      <c r="M3813" t="s">
        <v>38</v>
      </c>
      <c r="N3813" t="s">
        <v>32</v>
      </c>
    </row>
    <row r="3814" spans="1:14" x14ac:dyDescent="0.3">
      <c r="A3814">
        <v>2024004812</v>
      </c>
      <c r="B3814" s="1">
        <v>45375</v>
      </c>
      <c r="C3814" s="11">
        <f t="shared" si="177"/>
        <v>2024</v>
      </c>
      <c r="D3814" t="s">
        <v>237</v>
      </c>
      <c r="E3814" t="s">
        <v>53</v>
      </c>
      <c r="F3814" t="s">
        <v>54</v>
      </c>
      <c r="G3814" t="s">
        <v>36</v>
      </c>
      <c r="H3814">
        <v>1</v>
      </c>
      <c r="I3814" s="2">
        <v>119.77</v>
      </c>
      <c r="J3814" s="2">
        <v>119.77</v>
      </c>
      <c r="K3814" s="2">
        <f t="shared" si="178"/>
        <v>119.77</v>
      </c>
      <c r="L3814" s="2">
        <f t="shared" si="179"/>
        <v>0</v>
      </c>
      <c r="M3814" t="s">
        <v>31</v>
      </c>
      <c r="N3814" t="s">
        <v>32</v>
      </c>
    </row>
    <row r="3815" spans="1:14" x14ac:dyDescent="0.3">
      <c r="A3815">
        <v>2024004813</v>
      </c>
      <c r="B3815" s="1">
        <v>45392</v>
      </c>
      <c r="C3815" s="11">
        <f t="shared" si="177"/>
        <v>2024</v>
      </c>
      <c r="D3815" t="s">
        <v>297</v>
      </c>
      <c r="E3815" t="s">
        <v>23</v>
      </c>
      <c r="F3815" t="s">
        <v>24</v>
      </c>
      <c r="G3815" t="s">
        <v>14</v>
      </c>
      <c r="H3815">
        <v>1</v>
      </c>
      <c r="I3815" s="2">
        <v>89.84</v>
      </c>
      <c r="J3815" s="2">
        <v>89.84</v>
      </c>
      <c r="K3815" s="2">
        <f t="shared" si="178"/>
        <v>89.84</v>
      </c>
      <c r="L3815" s="2">
        <f t="shared" si="179"/>
        <v>0</v>
      </c>
      <c r="M3815" t="s">
        <v>55</v>
      </c>
      <c r="N3815" t="s">
        <v>21</v>
      </c>
    </row>
    <row r="3816" spans="1:14" x14ac:dyDescent="0.3">
      <c r="A3816">
        <v>2024004814</v>
      </c>
      <c r="B3816" s="1">
        <v>45387</v>
      </c>
      <c r="C3816" s="11">
        <f t="shared" si="177"/>
        <v>2024</v>
      </c>
      <c r="D3816" t="s">
        <v>169</v>
      </c>
      <c r="E3816" t="s">
        <v>40</v>
      </c>
      <c r="F3816" t="s">
        <v>41</v>
      </c>
      <c r="G3816" t="s">
        <v>36</v>
      </c>
      <c r="H3816">
        <v>1</v>
      </c>
      <c r="I3816" s="2">
        <v>44.7</v>
      </c>
      <c r="J3816" s="2">
        <v>44.7</v>
      </c>
      <c r="K3816" s="2">
        <f t="shared" si="178"/>
        <v>44.7</v>
      </c>
      <c r="L3816" s="2">
        <f t="shared" si="179"/>
        <v>0</v>
      </c>
      <c r="M3816" t="s">
        <v>38</v>
      </c>
      <c r="N3816" t="s">
        <v>26</v>
      </c>
    </row>
    <row r="3817" spans="1:14" x14ac:dyDescent="0.3">
      <c r="A3817">
        <v>2024004815</v>
      </c>
      <c r="B3817" s="1">
        <v>45647</v>
      </c>
      <c r="C3817" s="11">
        <f t="shared" si="177"/>
        <v>2024</v>
      </c>
      <c r="D3817" t="s">
        <v>325</v>
      </c>
      <c r="E3817" t="s">
        <v>23</v>
      </c>
      <c r="F3817" t="s">
        <v>24</v>
      </c>
      <c r="G3817" t="s">
        <v>14</v>
      </c>
      <c r="H3817">
        <v>1</v>
      </c>
      <c r="I3817" s="2">
        <v>80.34</v>
      </c>
      <c r="J3817" s="2">
        <v>80.34</v>
      </c>
      <c r="K3817" s="2">
        <f t="shared" si="178"/>
        <v>80.34</v>
      </c>
      <c r="L3817" s="2">
        <f t="shared" si="179"/>
        <v>0</v>
      </c>
      <c r="M3817" t="s">
        <v>31</v>
      </c>
      <c r="N3817" t="s">
        <v>16</v>
      </c>
    </row>
    <row r="3818" spans="1:14" x14ac:dyDescent="0.3">
      <c r="A3818">
        <v>2024004816</v>
      </c>
      <c r="B3818" s="1">
        <v>45401</v>
      </c>
      <c r="C3818" s="11">
        <f t="shared" si="177"/>
        <v>2024</v>
      </c>
      <c r="D3818" t="s">
        <v>245</v>
      </c>
      <c r="E3818" t="s">
        <v>34</v>
      </c>
      <c r="F3818" t="s">
        <v>35</v>
      </c>
      <c r="G3818" t="s">
        <v>36</v>
      </c>
      <c r="H3818">
        <v>1</v>
      </c>
      <c r="I3818" s="2">
        <v>15.57</v>
      </c>
      <c r="J3818" s="2">
        <v>15.57</v>
      </c>
      <c r="K3818" s="2">
        <f t="shared" si="178"/>
        <v>15.57</v>
      </c>
      <c r="L3818" s="2">
        <f t="shared" si="179"/>
        <v>0</v>
      </c>
      <c r="M3818" t="s">
        <v>55</v>
      </c>
      <c r="N3818" t="s">
        <v>16</v>
      </c>
    </row>
    <row r="3819" spans="1:14" x14ac:dyDescent="0.3">
      <c r="A3819">
        <v>2024004817</v>
      </c>
      <c r="B3819" s="1">
        <v>45446</v>
      </c>
      <c r="C3819" s="11">
        <f t="shared" si="177"/>
        <v>2024</v>
      </c>
      <c r="D3819" t="s">
        <v>157</v>
      </c>
      <c r="E3819" t="s">
        <v>34</v>
      </c>
      <c r="F3819" t="s">
        <v>35</v>
      </c>
      <c r="G3819" t="s">
        <v>36</v>
      </c>
      <c r="H3819">
        <v>2</v>
      </c>
      <c r="I3819" s="2">
        <v>14.7</v>
      </c>
      <c r="J3819" s="2">
        <v>29.4</v>
      </c>
      <c r="K3819" s="2">
        <f t="shared" si="178"/>
        <v>29.4</v>
      </c>
      <c r="L3819" s="2">
        <f t="shared" si="179"/>
        <v>0</v>
      </c>
      <c r="M3819" t="s">
        <v>55</v>
      </c>
      <c r="N3819" t="s">
        <v>21</v>
      </c>
    </row>
    <row r="3820" spans="1:14" x14ac:dyDescent="0.3">
      <c r="A3820">
        <v>2024004818</v>
      </c>
      <c r="B3820" s="1">
        <v>45430</v>
      </c>
      <c r="C3820" s="11">
        <f t="shared" si="177"/>
        <v>2024</v>
      </c>
      <c r="D3820" t="s">
        <v>205</v>
      </c>
      <c r="E3820" t="s">
        <v>34</v>
      </c>
      <c r="F3820" t="s">
        <v>35</v>
      </c>
      <c r="G3820" t="s">
        <v>36</v>
      </c>
      <c r="H3820">
        <v>2</v>
      </c>
      <c r="I3820" s="2">
        <v>14.66</v>
      </c>
      <c r="J3820" s="2">
        <v>29.32</v>
      </c>
      <c r="K3820" s="2">
        <f t="shared" si="178"/>
        <v>29.32</v>
      </c>
      <c r="L3820" s="2">
        <f t="shared" si="179"/>
        <v>0</v>
      </c>
      <c r="M3820" t="s">
        <v>25</v>
      </c>
      <c r="N3820" t="s">
        <v>16</v>
      </c>
    </row>
    <row r="3821" spans="1:14" x14ac:dyDescent="0.3">
      <c r="A3821">
        <v>2024004819</v>
      </c>
      <c r="B3821" s="1">
        <v>45629</v>
      </c>
      <c r="C3821" s="11">
        <f t="shared" si="177"/>
        <v>2024</v>
      </c>
      <c r="D3821" t="s">
        <v>156</v>
      </c>
      <c r="E3821" t="s">
        <v>12</v>
      </c>
      <c r="F3821" t="s">
        <v>13</v>
      </c>
      <c r="G3821" t="s">
        <v>14</v>
      </c>
      <c r="H3821">
        <v>2</v>
      </c>
      <c r="I3821" s="2">
        <v>353.89</v>
      </c>
      <c r="J3821" s="2">
        <v>707.78</v>
      </c>
      <c r="K3821" s="2">
        <f t="shared" si="178"/>
        <v>707.78</v>
      </c>
      <c r="L3821" s="2">
        <f t="shared" si="179"/>
        <v>0</v>
      </c>
      <c r="M3821" t="s">
        <v>15</v>
      </c>
      <c r="N3821" t="s">
        <v>26</v>
      </c>
    </row>
    <row r="3822" spans="1:14" x14ac:dyDescent="0.3">
      <c r="A3822">
        <v>2024004820</v>
      </c>
      <c r="B3822" s="1">
        <v>45376</v>
      </c>
      <c r="C3822" s="11">
        <f t="shared" si="177"/>
        <v>2024</v>
      </c>
      <c r="D3822" t="s">
        <v>88</v>
      </c>
      <c r="E3822" t="s">
        <v>43</v>
      </c>
      <c r="F3822" t="s">
        <v>44</v>
      </c>
      <c r="G3822" t="s">
        <v>36</v>
      </c>
      <c r="H3822">
        <v>2</v>
      </c>
      <c r="I3822" s="2">
        <v>1144.76</v>
      </c>
      <c r="J3822" s="2">
        <v>2289.52</v>
      </c>
      <c r="K3822" s="2">
        <f t="shared" si="178"/>
        <v>2289.52</v>
      </c>
      <c r="L3822" s="2">
        <f t="shared" si="179"/>
        <v>0</v>
      </c>
      <c r="M3822" t="s">
        <v>25</v>
      </c>
      <c r="N3822" t="s">
        <v>21</v>
      </c>
    </row>
    <row r="3823" spans="1:14" x14ac:dyDescent="0.3">
      <c r="A3823">
        <v>2024004821</v>
      </c>
      <c r="B3823" s="1">
        <v>45400</v>
      </c>
      <c r="C3823" s="11">
        <f t="shared" si="177"/>
        <v>2024</v>
      </c>
      <c r="D3823" t="s">
        <v>315</v>
      </c>
      <c r="E3823" t="s">
        <v>46</v>
      </c>
      <c r="F3823" t="s">
        <v>47</v>
      </c>
      <c r="G3823" t="s">
        <v>36</v>
      </c>
      <c r="H3823">
        <v>2</v>
      </c>
      <c r="I3823" s="2">
        <v>85.5</v>
      </c>
      <c r="J3823" s="2">
        <v>171</v>
      </c>
      <c r="K3823" s="2">
        <f t="shared" si="178"/>
        <v>171</v>
      </c>
      <c r="L3823" s="2">
        <f t="shared" si="179"/>
        <v>0</v>
      </c>
      <c r="M3823" t="s">
        <v>55</v>
      </c>
      <c r="N3823" t="s">
        <v>21</v>
      </c>
    </row>
    <row r="3824" spans="1:14" x14ac:dyDescent="0.3">
      <c r="A3824">
        <v>2024004822</v>
      </c>
      <c r="B3824" s="1">
        <v>45492</v>
      </c>
      <c r="C3824" s="11">
        <f t="shared" si="177"/>
        <v>2024</v>
      </c>
      <c r="D3824" t="s">
        <v>104</v>
      </c>
      <c r="E3824" t="s">
        <v>67</v>
      </c>
      <c r="F3824" t="s">
        <v>68</v>
      </c>
      <c r="G3824" t="s">
        <v>36</v>
      </c>
      <c r="H3824">
        <v>1</v>
      </c>
      <c r="I3824" s="2">
        <v>377.53</v>
      </c>
      <c r="J3824" s="2">
        <v>377.53</v>
      </c>
      <c r="K3824" s="2">
        <f t="shared" si="178"/>
        <v>377.53</v>
      </c>
      <c r="L3824" s="2">
        <f t="shared" si="179"/>
        <v>0</v>
      </c>
      <c r="M3824" t="s">
        <v>25</v>
      </c>
      <c r="N3824" t="s">
        <v>21</v>
      </c>
    </row>
    <row r="3825" spans="1:14" x14ac:dyDescent="0.3">
      <c r="A3825">
        <v>2024004823</v>
      </c>
      <c r="B3825" s="1">
        <v>45427</v>
      </c>
      <c r="C3825" s="11">
        <f t="shared" si="177"/>
        <v>2024</v>
      </c>
      <c r="D3825" t="s">
        <v>322</v>
      </c>
      <c r="E3825" t="s">
        <v>34</v>
      </c>
      <c r="F3825" t="s">
        <v>35</v>
      </c>
      <c r="G3825" t="s">
        <v>36</v>
      </c>
      <c r="H3825">
        <v>1</v>
      </c>
      <c r="I3825" s="2">
        <v>14.78</v>
      </c>
      <c r="J3825" s="2">
        <v>14.78</v>
      </c>
      <c r="K3825" s="2">
        <f t="shared" si="178"/>
        <v>14.78</v>
      </c>
      <c r="L3825" s="2">
        <f t="shared" si="179"/>
        <v>0</v>
      </c>
      <c r="M3825" t="s">
        <v>61</v>
      </c>
      <c r="N3825" t="s">
        <v>26</v>
      </c>
    </row>
    <row r="3826" spans="1:14" x14ac:dyDescent="0.3">
      <c r="A3826">
        <v>2024004824</v>
      </c>
      <c r="B3826" s="1">
        <v>45397</v>
      </c>
      <c r="C3826" s="11">
        <f t="shared" si="177"/>
        <v>2024</v>
      </c>
      <c r="D3826" t="s">
        <v>240</v>
      </c>
      <c r="E3826" t="s">
        <v>40</v>
      </c>
      <c r="F3826" t="s">
        <v>41</v>
      </c>
      <c r="G3826" t="s">
        <v>36</v>
      </c>
      <c r="H3826">
        <v>1</v>
      </c>
      <c r="I3826" s="2">
        <v>40.25</v>
      </c>
      <c r="J3826" s="2">
        <v>40.25</v>
      </c>
      <c r="K3826" s="2">
        <f t="shared" si="178"/>
        <v>40.25</v>
      </c>
      <c r="L3826" s="2">
        <f t="shared" si="179"/>
        <v>0</v>
      </c>
      <c r="M3826" t="s">
        <v>31</v>
      </c>
      <c r="N3826" t="s">
        <v>26</v>
      </c>
    </row>
    <row r="3827" spans="1:14" x14ac:dyDescent="0.3">
      <c r="A3827">
        <v>2024004825</v>
      </c>
      <c r="B3827" s="1">
        <v>45524</v>
      </c>
      <c r="C3827" s="11">
        <f t="shared" si="177"/>
        <v>2024</v>
      </c>
      <c r="D3827" t="s">
        <v>336</v>
      </c>
      <c r="E3827" t="s">
        <v>46</v>
      </c>
      <c r="F3827" t="s">
        <v>47</v>
      </c>
      <c r="G3827" t="s">
        <v>36</v>
      </c>
      <c r="H3827">
        <v>3</v>
      </c>
      <c r="I3827" s="2">
        <v>88.73</v>
      </c>
      <c r="J3827" s="2">
        <v>266.19</v>
      </c>
      <c r="K3827" s="2">
        <f t="shared" si="178"/>
        <v>266.19</v>
      </c>
      <c r="L3827" s="2">
        <f t="shared" si="179"/>
        <v>0</v>
      </c>
      <c r="M3827" t="s">
        <v>48</v>
      </c>
      <c r="N3827" t="s">
        <v>32</v>
      </c>
    </row>
    <row r="3828" spans="1:14" x14ac:dyDescent="0.3">
      <c r="A3828">
        <v>2024004826</v>
      </c>
      <c r="B3828" s="1">
        <v>45416</v>
      </c>
      <c r="C3828" s="11">
        <f t="shared" si="177"/>
        <v>2024</v>
      </c>
      <c r="D3828" t="s">
        <v>95</v>
      </c>
      <c r="E3828" t="s">
        <v>46</v>
      </c>
      <c r="F3828" t="s">
        <v>47</v>
      </c>
      <c r="G3828" t="s">
        <v>36</v>
      </c>
      <c r="H3828">
        <v>1</v>
      </c>
      <c r="I3828" s="2">
        <v>86.42</v>
      </c>
      <c r="J3828" s="2">
        <v>86.42</v>
      </c>
      <c r="K3828" s="2">
        <f t="shared" si="178"/>
        <v>86.42</v>
      </c>
      <c r="L3828" s="2">
        <f t="shared" si="179"/>
        <v>0</v>
      </c>
      <c r="M3828" t="s">
        <v>61</v>
      </c>
      <c r="N3828" t="s">
        <v>26</v>
      </c>
    </row>
    <row r="3829" spans="1:14" x14ac:dyDescent="0.3">
      <c r="A3829">
        <v>2024004827</v>
      </c>
      <c r="B3829" s="1">
        <v>45449</v>
      </c>
      <c r="C3829" s="11">
        <f t="shared" si="177"/>
        <v>2024</v>
      </c>
      <c r="D3829" t="s">
        <v>62</v>
      </c>
      <c r="E3829" t="s">
        <v>34</v>
      </c>
      <c r="F3829" t="s">
        <v>35</v>
      </c>
      <c r="G3829" t="s">
        <v>36</v>
      </c>
      <c r="H3829">
        <v>1</v>
      </c>
      <c r="I3829" s="2">
        <v>15.25</v>
      </c>
      <c r="J3829" s="2">
        <v>15.25</v>
      </c>
      <c r="K3829" s="2">
        <f t="shared" si="178"/>
        <v>15.25</v>
      </c>
      <c r="L3829" s="2">
        <f t="shared" si="179"/>
        <v>0</v>
      </c>
      <c r="M3829" t="s">
        <v>20</v>
      </c>
      <c r="N3829" t="s">
        <v>16</v>
      </c>
    </row>
    <row r="3830" spans="1:14" x14ac:dyDescent="0.3">
      <c r="A3830">
        <v>2024004828</v>
      </c>
      <c r="B3830" s="1">
        <v>45317</v>
      </c>
      <c r="C3830" s="11">
        <f t="shared" si="177"/>
        <v>2024</v>
      </c>
      <c r="D3830" t="s">
        <v>177</v>
      </c>
      <c r="E3830" t="s">
        <v>28</v>
      </c>
      <c r="F3830" t="s">
        <v>29</v>
      </c>
      <c r="G3830" t="s">
        <v>30</v>
      </c>
      <c r="H3830">
        <v>1</v>
      </c>
      <c r="I3830" s="2">
        <v>23.11</v>
      </c>
      <c r="J3830" s="2">
        <v>23.11</v>
      </c>
      <c r="K3830" s="2">
        <f t="shared" si="178"/>
        <v>23.11</v>
      </c>
      <c r="L3830" s="2">
        <f t="shared" si="179"/>
        <v>0</v>
      </c>
      <c r="M3830" t="s">
        <v>64</v>
      </c>
      <c r="N3830" t="s">
        <v>32</v>
      </c>
    </row>
    <row r="3831" spans="1:14" x14ac:dyDescent="0.3">
      <c r="A3831">
        <v>2024004829</v>
      </c>
      <c r="B3831" s="1">
        <v>45385</v>
      </c>
      <c r="C3831" s="11">
        <f t="shared" si="177"/>
        <v>2024</v>
      </c>
      <c r="D3831" t="s">
        <v>309</v>
      </c>
      <c r="E3831" t="s">
        <v>18</v>
      </c>
      <c r="F3831" t="s">
        <v>19</v>
      </c>
      <c r="G3831" t="s">
        <v>14</v>
      </c>
      <c r="H3831">
        <v>1</v>
      </c>
      <c r="I3831" s="2">
        <v>577.74</v>
      </c>
      <c r="J3831" s="2">
        <v>577.74</v>
      </c>
      <c r="K3831" s="2">
        <f t="shared" si="178"/>
        <v>577.74</v>
      </c>
      <c r="L3831" s="2">
        <f t="shared" si="179"/>
        <v>0</v>
      </c>
      <c r="M3831" t="s">
        <v>25</v>
      </c>
      <c r="N3831" t="s">
        <v>26</v>
      </c>
    </row>
    <row r="3832" spans="1:14" x14ac:dyDescent="0.3">
      <c r="A3832">
        <v>2024004830</v>
      </c>
      <c r="B3832" s="1">
        <v>45343</v>
      </c>
      <c r="C3832" s="11">
        <f t="shared" si="177"/>
        <v>2024</v>
      </c>
      <c r="D3832" t="s">
        <v>331</v>
      </c>
      <c r="E3832" t="s">
        <v>53</v>
      </c>
      <c r="F3832" t="s">
        <v>54</v>
      </c>
      <c r="G3832" t="s">
        <v>36</v>
      </c>
      <c r="H3832">
        <v>3</v>
      </c>
      <c r="I3832" s="2">
        <v>125.31</v>
      </c>
      <c r="J3832" s="2">
        <v>375.93</v>
      </c>
      <c r="K3832" s="2">
        <f t="shared" si="178"/>
        <v>375.93</v>
      </c>
      <c r="L3832" s="2">
        <f t="shared" si="179"/>
        <v>0</v>
      </c>
      <c r="M3832" t="s">
        <v>31</v>
      </c>
      <c r="N3832" t="s">
        <v>26</v>
      </c>
    </row>
    <row r="3833" spans="1:14" x14ac:dyDescent="0.3">
      <c r="A3833">
        <v>2024004831</v>
      </c>
      <c r="B3833" s="1">
        <v>45496</v>
      </c>
      <c r="C3833" s="11">
        <f t="shared" si="177"/>
        <v>2024</v>
      </c>
      <c r="D3833" t="s">
        <v>258</v>
      </c>
      <c r="E3833" t="s">
        <v>43</v>
      </c>
      <c r="F3833" t="s">
        <v>44</v>
      </c>
      <c r="G3833" t="s">
        <v>36</v>
      </c>
      <c r="H3833">
        <v>1</v>
      </c>
      <c r="I3833" s="2">
        <v>1256.26</v>
      </c>
      <c r="J3833" s="2">
        <v>1256.26</v>
      </c>
      <c r="K3833" s="2">
        <f t="shared" si="178"/>
        <v>1256.26</v>
      </c>
      <c r="L3833" s="2">
        <f t="shared" si="179"/>
        <v>0</v>
      </c>
      <c r="M3833" t="s">
        <v>48</v>
      </c>
      <c r="N3833" t="s">
        <v>21</v>
      </c>
    </row>
    <row r="3834" spans="1:14" x14ac:dyDescent="0.3">
      <c r="A3834">
        <v>2024004832</v>
      </c>
      <c r="B3834" s="1">
        <v>45569</v>
      </c>
      <c r="C3834" s="11">
        <f t="shared" si="177"/>
        <v>2024</v>
      </c>
      <c r="D3834" t="s">
        <v>11</v>
      </c>
      <c r="E3834" t="s">
        <v>67</v>
      </c>
      <c r="F3834" t="s">
        <v>68</v>
      </c>
      <c r="G3834" t="s">
        <v>36</v>
      </c>
      <c r="H3834">
        <v>1</v>
      </c>
      <c r="I3834" s="2">
        <v>400.98</v>
      </c>
      <c r="J3834" s="2">
        <v>400.98</v>
      </c>
      <c r="K3834" s="2">
        <f t="shared" si="178"/>
        <v>400.98</v>
      </c>
      <c r="L3834" s="2">
        <f t="shared" si="179"/>
        <v>0</v>
      </c>
      <c r="M3834" t="s">
        <v>20</v>
      </c>
      <c r="N3834" t="s">
        <v>21</v>
      </c>
    </row>
    <row r="3835" spans="1:14" x14ac:dyDescent="0.3">
      <c r="A3835">
        <v>2024004833</v>
      </c>
      <c r="B3835" s="1">
        <v>45586</v>
      </c>
      <c r="C3835" s="11">
        <f t="shared" si="177"/>
        <v>2024</v>
      </c>
      <c r="D3835" t="s">
        <v>244</v>
      </c>
      <c r="E3835" t="s">
        <v>18</v>
      </c>
      <c r="F3835" t="s">
        <v>19</v>
      </c>
      <c r="G3835" t="s">
        <v>14</v>
      </c>
      <c r="H3835">
        <v>1</v>
      </c>
      <c r="I3835" s="2">
        <v>552.87</v>
      </c>
      <c r="J3835" s="2">
        <v>552.87</v>
      </c>
      <c r="K3835" s="2">
        <f t="shared" si="178"/>
        <v>552.87</v>
      </c>
      <c r="L3835" s="2">
        <f t="shared" si="179"/>
        <v>0</v>
      </c>
      <c r="M3835" t="s">
        <v>20</v>
      </c>
      <c r="N3835" t="s">
        <v>32</v>
      </c>
    </row>
    <row r="3836" spans="1:14" x14ac:dyDescent="0.3">
      <c r="A3836">
        <v>2024004834</v>
      </c>
      <c r="B3836" s="1">
        <v>45644</v>
      </c>
      <c r="C3836" s="11">
        <f t="shared" si="177"/>
        <v>2024</v>
      </c>
      <c r="D3836" t="s">
        <v>114</v>
      </c>
      <c r="E3836" t="s">
        <v>40</v>
      </c>
      <c r="F3836" t="s">
        <v>41</v>
      </c>
      <c r="G3836" t="s">
        <v>36</v>
      </c>
      <c r="H3836">
        <v>2</v>
      </c>
      <c r="I3836" s="2">
        <v>45.69</v>
      </c>
      <c r="J3836" s="2">
        <v>91.38</v>
      </c>
      <c r="K3836" s="2">
        <f t="shared" si="178"/>
        <v>91.38</v>
      </c>
      <c r="L3836" s="2">
        <f t="shared" si="179"/>
        <v>0</v>
      </c>
      <c r="M3836" t="s">
        <v>48</v>
      </c>
      <c r="N3836" t="s">
        <v>16</v>
      </c>
    </row>
    <row r="3837" spans="1:14" x14ac:dyDescent="0.3">
      <c r="A3837">
        <v>2024004835</v>
      </c>
      <c r="B3837" s="1">
        <v>45343</v>
      </c>
      <c r="C3837" s="11">
        <f t="shared" si="177"/>
        <v>2024</v>
      </c>
      <c r="D3837" t="s">
        <v>163</v>
      </c>
      <c r="E3837" t="s">
        <v>43</v>
      </c>
      <c r="F3837" t="s">
        <v>44</v>
      </c>
      <c r="G3837" t="s">
        <v>36</v>
      </c>
      <c r="H3837">
        <v>4</v>
      </c>
      <c r="I3837" s="2">
        <v>852.01</v>
      </c>
      <c r="J3837" s="2">
        <v>3408.04</v>
      </c>
      <c r="K3837" s="2">
        <f t="shared" si="178"/>
        <v>3408.04</v>
      </c>
      <c r="L3837" s="2">
        <f t="shared" si="179"/>
        <v>0</v>
      </c>
      <c r="M3837" t="s">
        <v>25</v>
      </c>
      <c r="N3837" t="s">
        <v>32</v>
      </c>
    </row>
    <row r="3838" spans="1:14" x14ac:dyDescent="0.3">
      <c r="A3838">
        <v>2024004836</v>
      </c>
      <c r="B3838" s="1">
        <v>45380</v>
      </c>
      <c r="C3838" s="11">
        <f t="shared" si="177"/>
        <v>2024</v>
      </c>
      <c r="D3838" t="s">
        <v>203</v>
      </c>
      <c r="E3838" t="s">
        <v>23</v>
      </c>
      <c r="F3838" t="s">
        <v>24</v>
      </c>
      <c r="G3838" t="s">
        <v>14</v>
      </c>
      <c r="H3838">
        <v>1</v>
      </c>
      <c r="I3838" s="2">
        <v>77.42</v>
      </c>
      <c r="J3838" s="2">
        <v>77.42</v>
      </c>
      <c r="K3838" s="2">
        <f t="shared" si="178"/>
        <v>77.42</v>
      </c>
      <c r="L3838" s="2">
        <f t="shared" si="179"/>
        <v>0</v>
      </c>
      <c r="M3838" t="s">
        <v>15</v>
      </c>
      <c r="N3838" t="s">
        <v>32</v>
      </c>
    </row>
    <row r="3839" spans="1:14" x14ac:dyDescent="0.3">
      <c r="A3839">
        <v>2024004837</v>
      </c>
      <c r="B3839" s="1">
        <v>45481</v>
      </c>
      <c r="C3839" s="11">
        <f t="shared" si="177"/>
        <v>2024</v>
      </c>
      <c r="D3839" t="s">
        <v>51</v>
      </c>
      <c r="E3839" t="s">
        <v>67</v>
      </c>
      <c r="F3839" t="s">
        <v>68</v>
      </c>
      <c r="G3839" t="s">
        <v>36</v>
      </c>
      <c r="H3839">
        <v>1</v>
      </c>
      <c r="I3839" s="2">
        <v>400.55</v>
      </c>
      <c r="J3839" s="2">
        <v>400.55</v>
      </c>
      <c r="K3839" s="2">
        <f t="shared" si="178"/>
        <v>400.55</v>
      </c>
      <c r="L3839" s="2">
        <f t="shared" si="179"/>
        <v>0</v>
      </c>
      <c r="M3839" t="s">
        <v>31</v>
      </c>
      <c r="N3839" t="s">
        <v>26</v>
      </c>
    </row>
    <row r="3840" spans="1:14" x14ac:dyDescent="0.3">
      <c r="A3840">
        <v>2024004838</v>
      </c>
      <c r="B3840" s="1">
        <v>45354</v>
      </c>
      <c r="C3840" s="11">
        <f t="shared" si="177"/>
        <v>2024</v>
      </c>
      <c r="D3840" t="s">
        <v>159</v>
      </c>
      <c r="E3840" t="s">
        <v>43</v>
      </c>
      <c r="F3840" t="s">
        <v>44</v>
      </c>
      <c r="G3840" t="s">
        <v>36</v>
      </c>
      <c r="H3840">
        <v>1</v>
      </c>
      <c r="I3840" s="2">
        <v>1331.95</v>
      </c>
      <c r="J3840" s="2">
        <v>1331.95</v>
      </c>
      <c r="K3840" s="2">
        <f t="shared" si="178"/>
        <v>1331.95</v>
      </c>
      <c r="L3840" s="2">
        <f t="shared" si="179"/>
        <v>0</v>
      </c>
      <c r="M3840" t="s">
        <v>48</v>
      </c>
      <c r="N3840" t="s">
        <v>26</v>
      </c>
    </row>
    <row r="3841" spans="1:14" x14ac:dyDescent="0.3">
      <c r="A3841">
        <v>2024004269</v>
      </c>
      <c r="B3841" s="1">
        <v>45593</v>
      </c>
      <c r="C3841" s="11">
        <f t="shared" si="177"/>
        <v>2024</v>
      </c>
      <c r="D3841" t="s">
        <v>71</v>
      </c>
      <c r="E3841" t="s">
        <v>28</v>
      </c>
      <c r="F3841" t="s">
        <v>29</v>
      </c>
      <c r="G3841" t="s">
        <v>30</v>
      </c>
      <c r="H3841">
        <v>2</v>
      </c>
      <c r="I3841" s="2">
        <v>26.08</v>
      </c>
      <c r="J3841" s="2">
        <v>52.16</v>
      </c>
      <c r="K3841" s="2">
        <f t="shared" si="178"/>
        <v>52.16</v>
      </c>
      <c r="L3841" s="2">
        <f t="shared" si="179"/>
        <v>0</v>
      </c>
      <c r="M3841" t="s">
        <v>20</v>
      </c>
      <c r="N3841" t="s">
        <v>26</v>
      </c>
    </row>
    <row r="3842" spans="1:14" x14ac:dyDescent="0.3">
      <c r="A3842">
        <v>2024004840</v>
      </c>
      <c r="B3842" s="1">
        <v>45529</v>
      </c>
      <c r="C3842" s="11">
        <f t="shared" si="177"/>
        <v>2024</v>
      </c>
      <c r="D3842" t="s">
        <v>245</v>
      </c>
      <c r="E3842" t="s">
        <v>34</v>
      </c>
      <c r="F3842" t="s">
        <v>35</v>
      </c>
      <c r="G3842" t="s">
        <v>36</v>
      </c>
      <c r="H3842">
        <v>1</v>
      </c>
      <c r="I3842" s="2">
        <v>15.62</v>
      </c>
      <c r="J3842" s="2">
        <v>15.62</v>
      </c>
      <c r="K3842" s="2">
        <f t="shared" si="178"/>
        <v>15.62</v>
      </c>
      <c r="L3842" s="2">
        <f t="shared" si="179"/>
        <v>0</v>
      </c>
      <c r="M3842" t="s">
        <v>25</v>
      </c>
      <c r="N3842" t="s">
        <v>21</v>
      </c>
    </row>
    <row r="3843" spans="1:14" x14ac:dyDescent="0.3">
      <c r="A3843">
        <v>2024004841</v>
      </c>
      <c r="B3843" s="1">
        <v>45631</v>
      </c>
      <c r="C3843" s="11">
        <f t="shared" ref="C3843:C3906" si="180">YEAR(B3843)</f>
        <v>2024</v>
      </c>
      <c r="D3843" t="s">
        <v>306</v>
      </c>
      <c r="E3843" t="s">
        <v>46</v>
      </c>
      <c r="F3843" t="s">
        <v>47</v>
      </c>
      <c r="G3843" t="s">
        <v>36</v>
      </c>
      <c r="H3843">
        <v>3</v>
      </c>
      <c r="I3843" s="2">
        <v>88.04</v>
      </c>
      <c r="J3843" s="2">
        <v>264.12</v>
      </c>
      <c r="K3843" s="2">
        <f t="shared" ref="K3843:K3906" si="181">I3843*H3843</f>
        <v>264.12</v>
      </c>
      <c r="L3843" s="2">
        <f t="shared" ref="L3843:L3906" si="182">J3843-K3843</f>
        <v>0</v>
      </c>
      <c r="M3843" t="s">
        <v>38</v>
      </c>
      <c r="N3843" t="s">
        <v>32</v>
      </c>
    </row>
    <row r="3844" spans="1:14" x14ac:dyDescent="0.3">
      <c r="A3844">
        <v>2024004842</v>
      </c>
      <c r="B3844" s="1">
        <v>45327</v>
      </c>
      <c r="C3844" s="11">
        <f t="shared" si="180"/>
        <v>2024</v>
      </c>
      <c r="D3844" t="s">
        <v>293</v>
      </c>
      <c r="E3844" t="s">
        <v>67</v>
      </c>
      <c r="F3844" t="s">
        <v>68</v>
      </c>
      <c r="G3844" t="s">
        <v>36</v>
      </c>
      <c r="H3844">
        <v>4</v>
      </c>
      <c r="I3844" s="2">
        <v>422.25</v>
      </c>
      <c r="J3844" s="2">
        <v>1689</v>
      </c>
      <c r="K3844" s="2">
        <f t="shared" si="181"/>
        <v>1689</v>
      </c>
      <c r="L3844" s="2">
        <f t="shared" si="182"/>
        <v>0</v>
      </c>
      <c r="M3844" t="s">
        <v>57</v>
      </c>
      <c r="N3844" t="s">
        <v>32</v>
      </c>
    </row>
    <row r="3845" spans="1:14" x14ac:dyDescent="0.3">
      <c r="A3845">
        <v>2024004843</v>
      </c>
      <c r="B3845" s="1">
        <v>45358</v>
      </c>
      <c r="C3845" s="11">
        <f t="shared" si="180"/>
        <v>2024</v>
      </c>
      <c r="D3845" t="s">
        <v>11</v>
      </c>
      <c r="E3845" t="s">
        <v>53</v>
      </c>
      <c r="F3845" t="s">
        <v>54</v>
      </c>
      <c r="G3845" t="s">
        <v>36</v>
      </c>
      <c r="H3845">
        <v>2</v>
      </c>
      <c r="I3845" s="2">
        <v>125.28</v>
      </c>
      <c r="J3845" s="2">
        <v>250.56</v>
      </c>
      <c r="K3845" s="2">
        <f t="shared" si="181"/>
        <v>250.56</v>
      </c>
      <c r="L3845" s="2">
        <f t="shared" si="182"/>
        <v>0</v>
      </c>
      <c r="M3845" t="s">
        <v>61</v>
      </c>
      <c r="N3845" t="s">
        <v>26</v>
      </c>
    </row>
    <row r="3846" spans="1:14" x14ac:dyDescent="0.3">
      <c r="A3846">
        <v>2024004844</v>
      </c>
      <c r="B3846" s="1">
        <v>45403</v>
      </c>
      <c r="C3846" s="11">
        <f t="shared" si="180"/>
        <v>2024</v>
      </c>
      <c r="D3846" t="s">
        <v>11</v>
      </c>
      <c r="E3846" t="s">
        <v>23</v>
      </c>
      <c r="F3846" t="s">
        <v>24</v>
      </c>
      <c r="G3846" t="s">
        <v>14</v>
      </c>
      <c r="H3846">
        <v>1</v>
      </c>
      <c r="I3846" s="2">
        <v>75.53</v>
      </c>
      <c r="J3846" s="2">
        <v>75.53</v>
      </c>
      <c r="K3846" s="2">
        <f t="shared" si="181"/>
        <v>75.53</v>
      </c>
      <c r="L3846" s="2">
        <f t="shared" si="182"/>
        <v>0</v>
      </c>
      <c r="M3846" t="s">
        <v>38</v>
      </c>
      <c r="N3846" t="s">
        <v>16</v>
      </c>
    </row>
    <row r="3847" spans="1:14" x14ac:dyDescent="0.3">
      <c r="A3847">
        <v>2024004845</v>
      </c>
      <c r="B3847" s="1">
        <v>45494</v>
      </c>
      <c r="C3847" s="11">
        <f t="shared" si="180"/>
        <v>2024</v>
      </c>
      <c r="D3847" t="s">
        <v>125</v>
      </c>
      <c r="E3847" t="s">
        <v>53</v>
      </c>
      <c r="F3847" t="s">
        <v>54</v>
      </c>
      <c r="G3847" t="s">
        <v>36</v>
      </c>
      <c r="H3847">
        <v>3</v>
      </c>
      <c r="I3847" s="2">
        <v>111.25</v>
      </c>
      <c r="J3847" s="2">
        <v>333.75</v>
      </c>
      <c r="K3847" s="2">
        <f t="shared" si="181"/>
        <v>333.75</v>
      </c>
      <c r="L3847" s="2">
        <f t="shared" si="182"/>
        <v>0</v>
      </c>
      <c r="M3847" t="s">
        <v>61</v>
      </c>
      <c r="N3847" t="s">
        <v>32</v>
      </c>
    </row>
    <row r="3848" spans="1:14" x14ac:dyDescent="0.3">
      <c r="A3848">
        <v>2024004846</v>
      </c>
      <c r="B3848" s="1">
        <v>45467</v>
      </c>
      <c r="C3848" s="11">
        <f t="shared" si="180"/>
        <v>2024</v>
      </c>
      <c r="D3848" t="s">
        <v>219</v>
      </c>
      <c r="E3848" t="s">
        <v>18</v>
      </c>
      <c r="F3848" t="s">
        <v>19</v>
      </c>
      <c r="G3848" t="s">
        <v>14</v>
      </c>
      <c r="H3848">
        <v>3</v>
      </c>
      <c r="I3848" s="2">
        <v>555.13</v>
      </c>
      <c r="J3848" s="2">
        <v>1665.39</v>
      </c>
      <c r="K3848" s="2">
        <f t="shared" si="181"/>
        <v>1665.3899999999999</v>
      </c>
      <c r="L3848" s="2">
        <f t="shared" si="182"/>
        <v>0</v>
      </c>
      <c r="M3848" t="s">
        <v>64</v>
      </c>
      <c r="N3848" t="s">
        <v>26</v>
      </c>
    </row>
    <row r="3849" spans="1:14" x14ac:dyDescent="0.3">
      <c r="A3849">
        <v>2024004847</v>
      </c>
      <c r="B3849" s="1">
        <v>45622</v>
      </c>
      <c r="C3849" s="11">
        <f t="shared" si="180"/>
        <v>2024</v>
      </c>
      <c r="D3849" t="s">
        <v>164</v>
      </c>
      <c r="E3849" t="s">
        <v>43</v>
      </c>
      <c r="F3849" t="s">
        <v>44</v>
      </c>
      <c r="G3849" t="s">
        <v>36</v>
      </c>
      <c r="H3849">
        <v>1</v>
      </c>
      <c r="I3849" s="2">
        <v>1080.1500000000001</v>
      </c>
      <c r="J3849" s="2">
        <v>1080.1500000000001</v>
      </c>
      <c r="K3849" s="2">
        <f t="shared" si="181"/>
        <v>1080.1500000000001</v>
      </c>
      <c r="L3849" s="2">
        <f t="shared" si="182"/>
        <v>0</v>
      </c>
      <c r="M3849" t="s">
        <v>31</v>
      </c>
      <c r="N3849" t="s">
        <v>32</v>
      </c>
    </row>
    <row r="3850" spans="1:14" x14ac:dyDescent="0.3">
      <c r="A3850">
        <v>2024004848</v>
      </c>
      <c r="B3850" s="1">
        <v>45327</v>
      </c>
      <c r="C3850" s="11">
        <f t="shared" si="180"/>
        <v>2024</v>
      </c>
      <c r="D3850" t="s">
        <v>287</v>
      </c>
      <c r="E3850" t="s">
        <v>18</v>
      </c>
      <c r="F3850" t="s">
        <v>19</v>
      </c>
      <c r="G3850" t="s">
        <v>14</v>
      </c>
      <c r="H3850">
        <v>2</v>
      </c>
      <c r="I3850" s="2">
        <v>588.87</v>
      </c>
      <c r="J3850" s="2">
        <v>1177.74</v>
      </c>
      <c r="K3850" s="2">
        <f t="shared" si="181"/>
        <v>1177.74</v>
      </c>
      <c r="L3850" s="2">
        <f t="shared" si="182"/>
        <v>0</v>
      </c>
      <c r="M3850" t="s">
        <v>64</v>
      </c>
      <c r="N3850" t="s">
        <v>21</v>
      </c>
    </row>
    <row r="3851" spans="1:14" x14ac:dyDescent="0.3">
      <c r="A3851">
        <v>2024004849</v>
      </c>
      <c r="B3851" s="1">
        <v>45498</v>
      </c>
      <c r="C3851" s="11">
        <f t="shared" si="180"/>
        <v>2024</v>
      </c>
      <c r="D3851" t="s">
        <v>11</v>
      </c>
      <c r="E3851" t="s">
        <v>18</v>
      </c>
      <c r="F3851" t="s">
        <v>19</v>
      </c>
      <c r="G3851" t="s">
        <v>14</v>
      </c>
      <c r="H3851">
        <v>1</v>
      </c>
      <c r="I3851" s="2">
        <v>600.04999999999995</v>
      </c>
      <c r="J3851" s="2">
        <v>600.04999999999995</v>
      </c>
      <c r="K3851" s="2">
        <f t="shared" si="181"/>
        <v>600.04999999999995</v>
      </c>
      <c r="L3851" s="2">
        <f t="shared" si="182"/>
        <v>0</v>
      </c>
      <c r="M3851" t="s">
        <v>61</v>
      </c>
      <c r="N3851" t="s">
        <v>26</v>
      </c>
    </row>
    <row r="3852" spans="1:14" x14ac:dyDescent="0.3">
      <c r="A3852">
        <v>2024004850</v>
      </c>
      <c r="B3852" s="1">
        <v>45585</v>
      </c>
      <c r="C3852" s="11">
        <f t="shared" si="180"/>
        <v>2024</v>
      </c>
      <c r="D3852" t="s">
        <v>130</v>
      </c>
      <c r="E3852" t="s">
        <v>43</v>
      </c>
      <c r="F3852" t="s">
        <v>44</v>
      </c>
      <c r="G3852" t="s">
        <v>36</v>
      </c>
      <c r="H3852">
        <v>2</v>
      </c>
      <c r="I3852" s="2">
        <v>1193.26</v>
      </c>
      <c r="J3852" s="2">
        <v>2386.52</v>
      </c>
      <c r="K3852" s="2">
        <f t="shared" si="181"/>
        <v>2386.52</v>
      </c>
      <c r="L3852" s="2">
        <f t="shared" si="182"/>
        <v>0</v>
      </c>
      <c r="M3852" t="s">
        <v>25</v>
      </c>
      <c r="N3852" t="s">
        <v>16</v>
      </c>
    </row>
    <row r="3853" spans="1:14" x14ac:dyDescent="0.3">
      <c r="A3853">
        <v>2024004851</v>
      </c>
      <c r="B3853" s="1">
        <v>45389</v>
      </c>
      <c r="C3853" s="11">
        <f t="shared" si="180"/>
        <v>2024</v>
      </c>
      <c r="D3853" t="s">
        <v>257</v>
      </c>
      <c r="E3853" t="s">
        <v>28</v>
      </c>
      <c r="F3853" t="s">
        <v>29</v>
      </c>
      <c r="G3853" t="s">
        <v>30</v>
      </c>
      <c r="H3853">
        <v>3</v>
      </c>
      <c r="I3853" s="2">
        <v>24.42</v>
      </c>
      <c r="J3853" s="2">
        <v>73.260000000000005</v>
      </c>
      <c r="K3853" s="2">
        <f t="shared" si="181"/>
        <v>73.260000000000005</v>
      </c>
      <c r="L3853" s="2">
        <f t="shared" si="182"/>
        <v>0</v>
      </c>
      <c r="M3853" t="s">
        <v>48</v>
      </c>
      <c r="N3853" t="s">
        <v>21</v>
      </c>
    </row>
    <row r="3854" spans="1:14" x14ac:dyDescent="0.3">
      <c r="A3854">
        <v>2024004852</v>
      </c>
      <c r="B3854" s="1">
        <v>45486</v>
      </c>
      <c r="C3854" s="11">
        <f t="shared" si="180"/>
        <v>2024</v>
      </c>
      <c r="D3854" t="s">
        <v>11</v>
      </c>
      <c r="E3854" t="s">
        <v>67</v>
      </c>
      <c r="F3854" t="s">
        <v>68</v>
      </c>
      <c r="G3854" t="s">
        <v>36</v>
      </c>
      <c r="H3854">
        <v>1</v>
      </c>
      <c r="I3854" s="2">
        <v>415.18</v>
      </c>
      <c r="J3854" s="2">
        <v>415.18</v>
      </c>
      <c r="K3854" s="2">
        <f t="shared" si="181"/>
        <v>415.18</v>
      </c>
      <c r="L3854" s="2">
        <f t="shared" si="182"/>
        <v>0</v>
      </c>
      <c r="M3854" t="s">
        <v>15</v>
      </c>
      <c r="N3854" t="s">
        <v>16</v>
      </c>
    </row>
    <row r="3855" spans="1:14" x14ac:dyDescent="0.3">
      <c r="A3855">
        <v>2024004853</v>
      </c>
      <c r="B3855" s="1">
        <v>45373</v>
      </c>
      <c r="C3855" s="11">
        <f t="shared" si="180"/>
        <v>2024</v>
      </c>
      <c r="D3855" t="s">
        <v>37</v>
      </c>
      <c r="E3855" t="s">
        <v>34</v>
      </c>
      <c r="F3855" t="s">
        <v>35</v>
      </c>
      <c r="G3855" t="s">
        <v>36</v>
      </c>
      <c r="H3855">
        <v>2</v>
      </c>
      <c r="I3855" s="2">
        <v>13.91</v>
      </c>
      <c r="J3855" s="2">
        <v>27.82</v>
      </c>
      <c r="K3855" s="2">
        <f t="shared" si="181"/>
        <v>27.82</v>
      </c>
      <c r="L3855" s="2">
        <f t="shared" si="182"/>
        <v>0</v>
      </c>
      <c r="M3855" t="s">
        <v>31</v>
      </c>
      <c r="N3855" t="s">
        <v>26</v>
      </c>
    </row>
    <row r="3856" spans="1:14" x14ac:dyDescent="0.3">
      <c r="A3856">
        <v>2024004854</v>
      </c>
      <c r="B3856" s="1">
        <v>45556</v>
      </c>
      <c r="C3856" s="11">
        <f t="shared" si="180"/>
        <v>2024</v>
      </c>
      <c r="D3856" t="s">
        <v>296</v>
      </c>
      <c r="E3856" t="s">
        <v>43</v>
      </c>
      <c r="F3856" t="s">
        <v>44</v>
      </c>
      <c r="G3856" t="s">
        <v>36</v>
      </c>
      <c r="H3856">
        <v>3</v>
      </c>
      <c r="I3856" s="2">
        <v>1526.48</v>
      </c>
      <c r="J3856" s="2">
        <v>4579.4399999999996</v>
      </c>
      <c r="K3856" s="2">
        <f t="shared" si="181"/>
        <v>4579.4400000000005</v>
      </c>
      <c r="L3856" s="2">
        <f t="shared" si="182"/>
        <v>0</v>
      </c>
      <c r="M3856" t="s">
        <v>15</v>
      </c>
      <c r="N3856" t="s">
        <v>26</v>
      </c>
    </row>
    <row r="3857" spans="1:14" x14ac:dyDescent="0.3">
      <c r="A3857">
        <v>2024004855</v>
      </c>
      <c r="B3857" s="1">
        <v>45650</v>
      </c>
      <c r="C3857" s="11">
        <f t="shared" si="180"/>
        <v>2024</v>
      </c>
      <c r="D3857" t="s">
        <v>92</v>
      </c>
      <c r="E3857" t="s">
        <v>46</v>
      </c>
      <c r="F3857" t="s">
        <v>47</v>
      </c>
      <c r="G3857" t="s">
        <v>36</v>
      </c>
      <c r="H3857">
        <v>4</v>
      </c>
      <c r="I3857" s="2">
        <v>98.98</v>
      </c>
      <c r="J3857" s="2">
        <v>395.92</v>
      </c>
      <c r="K3857" s="2">
        <f t="shared" si="181"/>
        <v>395.92</v>
      </c>
      <c r="L3857" s="2">
        <f t="shared" si="182"/>
        <v>0</v>
      </c>
      <c r="M3857" t="s">
        <v>55</v>
      </c>
      <c r="N3857" t="s">
        <v>21</v>
      </c>
    </row>
    <row r="3858" spans="1:14" x14ac:dyDescent="0.3">
      <c r="A3858">
        <v>2024004856</v>
      </c>
      <c r="B3858" s="1">
        <v>45625</v>
      </c>
      <c r="C3858" s="11">
        <f t="shared" si="180"/>
        <v>2024</v>
      </c>
      <c r="D3858" t="s">
        <v>82</v>
      </c>
      <c r="E3858" t="s">
        <v>23</v>
      </c>
      <c r="F3858" t="s">
        <v>24</v>
      </c>
      <c r="G3858" t="s">
        <v>14</v>
      </c>
      <c r="H3858">
        <v>2</v>
      </c>
      <c r="I3858" s="2">
        <v>83.06</v>
      </c>
      <c r="J3858" s="2">
        <v>166.12</v>
      </c>
      <c r="K3858" s="2">
        <f t="shared" si="181"/>
        <v>166.12</v>
      </c>
      <c r="L3858" s="2">
        <f t="shared" si="182"/>
        <v>0</v>
      </c>
      <c r="M3858" t="s">
        <v>61</v>
      </c>
      <c r="N3858" t="s">
        <v>26</v>
      </c>
    </row>
    <row r="3859" spans="1:14" x14ac:dyDescent="0.3">
      <c r="A3859">
        <v>2024004857</v>
      </c>
      <c r="B3859" s="1">
        <v>45630</v>
      </c>
      <c r="C3859" s="11">
        <f t="shared" si="180"/>
        <v>2024</v>
      </c>
      <c r="D3859" t="s">
        <v>84</v>
      </c>
      <c r="E3859" t="s">
        <v>12</v>
      </c>
      <c r="F3859" t="s">
        <v>13</v>
      </c>
      <c r="G3859" t="s">
        <v>14</v>
      </c>
      <c r="H3859">
        <v>1</v>
      </c>
      <c r="I3859" s="2">
        <v>360.33</v>
      </c>
      <c r="J3859" s="2">
        <v>360.33</v>
      </c>
      <c r="K3859" s="2">
        <f t="shared" si="181"/>
        <v>360.33</v>
      </c>
      <c r="L3859" s="2">
        <f t="shared" si="182"/>
        <v>0</v>
      </c>
      <c r="M3859" t="s">
        <v>48</v>
      </c>
      <c r="N3859" t="s">
        <v>21</v>
      </c>
    </row>
    <row r="3860" spans="1:14" x14ac:dyDescent="0.3">
      <c r="A3860">
        <v>2024004858</v>
      </c>
      <c r="B3860" s="1">
        <v>45545</v>
      </c>
      <c r="C3860" s="11">
        <f t="shared" si="180"/>
        <v>2024</v>
      </c>
      <c r="D3860" t="s">
        <v>98</v>
      </c>
      <c r="E3860" t="s">
        <v>18</v>
      </c>
      <c r="F3860" t="s">
        <v>19</v>
      </c>
      <c r="G3860" t="s">
        <v>14</v>
      </c>
      <c r="H3860">
        <v>1</v>
      </c>
      <c r="I3860" s="2">
        <v>564.02</v>
      </c>
      <c r="J3860" s="2">
        <v>564.02</v>
      </c>
      <c r="K3860" s="2">
        <f t="shared" si="181"/>
        <v>564.02</v>
      </c>
      <c r="L3860" s="2">
        <f t="shared" si="182"/>
        <v>0</v>
      </c>
      <c r="M3860" t="s">
        <v>57</v>
      </c>
      <c r="N3860" t="s">
        <v>32</v>
      </c>
    </row>
    <row r="3861" spans="1:14" x14ac:dyDescent="0.3">
      <c r="A3861">
        <v>2024004859</v>
      </c>
      <c r="B3861" s="1">
        <v>45548</v>
      </c>
      <c r="C3861" s="11">
        <f t="shared" si="180"/>
        <v>2024</v>
      </c>
      <c r="D3861" t="s">
        <v>267</v>
      </c>
      <c r="E3861" t="s">
        <v>43</v>
      </c>
      <c r="F3861" t="s">
        <v>44</v>
      </c>
      <c r="G3861" t="s">
        <v>36</v>
      </c>
      <c r="H3861">
        <v>2</v>
      </c>
      <c r="I3861" s="2">
        <v>1244.97</v>
      </c>
      <c r="J3861" s="2">
        <v>2489.94</v>
      </c>
      <c r="K3861" s="2">
        <f t="shared" si="181"/>
        <v>2489.94</v>
      </c>
      <c r="L3861" s="2">
        <f t="shared" si="182"/>
        <v>0</v>
      </c>
      <c r="M3861" t="s">
        <v>64</v>
      </c>
      <c r="N3861" t="s">
        <v>32</v>
      </c>
    </row>
    <row r="3862" spans="1:14" x14ac:dyDescent="0.3">
      <c r="A3862">
        <v>2024004860</v>
      </c>
      <c r="B3862" s="1">
        <v>45236</v>
      </c>
      <c r="C3862" s="11">
        <f t="shared" si="180"/>
        <v>2023</v>
      </c>
      <c r="D3862" t="s">
        <v>85</v>
      </c>
      <c r="E3862" t="s">
        <v>34</v>
      </c>
      <c r="F3862" t="s">
        <v>35</v>
      </c>
      <c r="G3862" t="s">
        <v>36</v>
      </c>
      <c r="H3862">
        <v>1</v>
      </c>
      <c r="I3862" s="2">
        <v>15.05</v>
      </c>
      <c r="J3862" s="2">
        <v>15.05</v>
      </c>
      <c r="K3862" s="2">
        <f t="shared" si="181"/>
        <v>15.05</v>
      </c>
      <c r="L3862" s="2">
        <f t="shared" si="182"/>
        <v>0</v>
      </c>
      <c r="M3862" t="s">
        <v>57</v>
      </c>
      <c r="N3862" t="s">
        <v>32</v>
      </c>
    </row>
    <row r="3863" spans="1:14" x14ac:dyDescent="0.3">
      <c r="A3863">
        <v>2024004861</v>
      </c>
      <c r="B3863" s="1">
        <v>45491</v>
      </c>
      <c r="C3863" s="11">
        <f t="shared" si="180"/>
        <v>2024</v>
      </c>
      <c r="D3863" t="s">
        <v>288</v>
      </c>
      <c r="E3863" t="s">
        <v>34</v>
      </c>
      <c r="F3863" t="s">
        <v>35</v>
      </c>
      <c r="G3863" t="s">
        <v>36</v>
      </c>
      <c r="H3863">
        <v>1</v>
      </c>
      <c r="I3863" s="2">
        <v>15.18</v>
      </c>
      <c r="J3863" s="2">
        <v>15.18</v>
      </c>
      <c r="K3863" s="2">
        <f t="shared" si="181"/>
        <v>15.18</v>
      </c>
      <c r="L3863" s="2">
        <f t="shared" si="182"/>
        <v>0</v>
      </c>
      <c r="M3863" t="s">
        <v>25</v>
      </c>
      <c r="N3863" t="s">
        <v>21</v>
      </c>
    </row>
    <row r="3864" spans="1:14" x14ac:dyDescent="0.3">
      <c r="A3864">
        <v>2024004862</v>
      </c>
      <c r="B3864" s="1">
        <v>45456</v>
      </c>
      <c r="C3864" s="11">
        <f t="shared" si="180"/>
        <v>2024</v>
      </c>
      <c r="D3864" t="s">
        <v>166</v>
      </c>
      <c r="E3864" t="s">
        <v>12</v>
      </c>
      <c r="F3864" t="s">
        <v>13</v>
      </c>
      <c r="G3864" t="s">
        <v>14</v>
      </c>
      <c r="H3864">
        <v>1</v>
      </c>
      <c r="I3864" s="2">
        <v>375.53</v>
      </c>
      <c r="J3864" s="2">
        <v>375.53</v>
      </c>
      <c r="K3864" s="2">
        <f t="shared" si="181"/>
        <v>375.53</v>
      </c>
      <c r="L3864" s="2">
        <f t="shared" si="182"/>
        <v>0</v>
      </c>
      <c r="M3864" t="s">
        <v>25</v>
      </c>
      <c r="N3864" t="s">
        <v>16</v>
      </c>
    </row>
    <row r="3865" spans="1:14" x14ac:dyDescent="0.3">
      <c r="A3865">
        <v>2024004863</v>
      </c>
      <c r="B3865" s="1">
        <v>45525</v>
      </c>
      <c r="C3865" s="11">
        <f t="shared" si="180"/>
        <v>2024</v>
      </c>
      <c r="D3865" t="s">
        <v>168</v>
      </c>
      <c r="E3865" t="s">
        <v>53</v>
      </c>
      <c r="F3865" t="s">
        <v>54</v>
      </c>
      <c r="G3865" t="s">
        <v>36</v>
      </c>
      <c r="H3865">
        <v>2</v>
      </c>
      <c r="I3865" s="2">
        <v>120.8</v>
      </c>
      <c r="J3865" s="2">
        <v>241.6</v>
      </c>
      <c r="K3865" s="2">
        <f t="shared" si="181"/>
        <v>241.6</v>
      </c>
      <c r="L3865" s="2">
        <f t="shared" si="182"/>
        <v>0</v>
      </c>
      <c r="M3865" t="s">
        <v>64</v>
      </c>
      <c r="N3865" t="s">
        <v>21</v>
      </c>
    </row>
    <row r="3866" spans="1:14" x14ac:dyDescent="0.3">
      <c r="A3866">
        <v>2024004864</v>
      </c>
      <c r="B3866" s="1">
        <v>45448</v>
      </c>
      <c r="C3866" s="11">
        <f t="shared" si="180"/>
        <v>2024</v>
      </c>
      <c r="D3866" t="s">
        <v>242</v>
      </c>
      <c r="E3866" t="s">
        <v>28</v>
      </c>
      <c r="F3866" t="s">
        <v>29</v>
      </c>
      <c r="G3866" t="s">
        <v>30</v>
      </c>
      <c r="H3866">
        <v>1</v>
      </c>
      <c r="I3866" s="2">
        <v>24.8</v>
      </c>
      <c r="J3866" s="2">
        <v>24.8</v>
      </c>
      <c r="K3866" s="2">
        <f t="shared" si="181"/>
        <v>24.8</v>
      </c>
      <c r="L3866" s="2">
        <f t="shared" si="182"/>
        <v>0</v>
      </c>
      <c r="M3866" t="s">
        <v>57</v>
      </c>
      <c r="N3866" t="s">
        <v>16</v>
      </c>
    </row>
    <row r="3867" spans="1:14" x14ac:dyDescent="0.3">
      <c r="A3867">
        <v>2024004865</v>
      </c>
      <c r="B3867" s="1">
        <v>45575</v>
      </c>
      <c r="C3867" s="11">
        <f t="shared" si="180"/>
        <v>2024</v>
      </c>
      <c r="D3867" t="s">
        <v>245</v>
      </c>
      <c r="E3867" t="s">
        <v>23</v>
      </c>
      <c r="F3867" t="s">
        <v>24</v>
      </c>
      <c r="G3867" t="s">
        <v>14</v>
      </c>
      <c r="H3867">
        <v>1</v>
      </c>
      <c r="I3867" s="2">
        <v>76.239999999999995</v>
      </c>
      <c r="J3867" s="2">
        <v>76.239999999999995</v>
      </c>
      <c r="K3867" s="2">
        <f t="shared" si="181"/>
        <v>76.239999999999995</v>
      </c>
      <c r="L3867" s="2">
        <f t="shared" si="182"/>
        <v>0</v>
      </c>
      <c r="M3867" t="s">
        <v>48</v>
      </c>
      <c r="N3867" t="s">
        <v>26</v>
      </c>
    </row>
    <row r="3868" spans="1:14" x14ac:dyDescent="0.3">
      <c r="A3868">
        <v>2024004866</v>
      </c>
      <c r="B3868" s="1">
        <v>45373</v>
      </c>
      <c r="C3868" s="11">
        <f t="shared" si="180"/>
        <v>2024</v>
      </c>
      <c r="D3868" t="s">
        <v>197</v>
      </c>
      <c r="E3868" t="s">
        <v>53</v>
      </c>
      <c r="F3868" t="s">
        <v>54</v>
      </c>
      <c r="G3868" t="s">
        <v>36</v>
      </c>
      <c r="H3868">
        <v>1</v>
      </c>
      <c r="I3868" s="2">
        <v>121.88</v>
      </c>
      <c r="J3868" s="2">
        <v>121.88</v>
      </c>
      <c r="K3868" s="2">
        <f t="shared" si="181"/>
        <v>121.88</v>
      </c>
      <c r="L3868" s="2">
        <f t="shared" si="182"/>
        <v>0</v>
      </c>
      <c r="M3868" t="s">
        <v>31</v>
      </c>
      <c r="N3868" t="s">
        <v>26</v>
      </c>
    </row>
    <row r="3869" spans="1:14" x14ac:dyDescent="0.3">
      <c r="A3869">
        <v>2024004867</v>
      </c>
      <c r="B3869" s="1">
        <v>45642</v>
      </c>
      <c r="C3869" s="11">
        <f t="shared" si="180"/>
        <v>2024</v>
      </c>
      <c r="D3869" t="s">
        <v>11</v>
      </c>
      <c r="E3869" t="s">
        <v>23</v>
      </c>
      <c r="F3869" t="s">
        <v>24</v>
      </c>
      <c r="G3869" t="s">
        <v>14</v>
      </c>
      <c r="H3869">
        <v>2</v>
      </c>
      <c r="I3869" s="2">
        <v>72.36</v>
      </c>
      <c r="J3869" s="2">
        <v>144.72</v>
      </c>
      <c r="K3869" s="2">
        <f t="shared" si="181"/>
        <v>144.72</v>
      </c>
      <c r="L3869" s="2">
        <f t="shared" si="182"/>
        <v>0</v>
      </c>
      <c r="M3869" t="s">
        <v>20</v>
      </c>
      <c r="N3869" t="s">
        <v>26</v>
      </c>
    </row>
    <row r="3870" spans="1:14" x14ac:dyDescent="0.3">
      <c r="A3870">
        <v>2024004868</v>
      </c>
      <c r="B3870" s="1">
        <v>45404</v>
      </c>
      <c r="C3870" s="11">
        <f t="shared" si="180"/>
        <v>2024</v>
      </c>
      <c r="D3870" t="s">
        <v>11</v>
      </c>
      <c r="E3870" t="s">
        <v>23</v>
      </c>
      <c r="F3870" t="s">
        <v>24</v>
      </c>
      <c r="G3870" t="s">
        <v>14</v>
      </c>
      <c r="H3870">
        <v>4</v>
      </c>
      <c r="I3870" s="2">
        <v>86.89</v>
      </c>
      <c r="J3870" s="2">
        <v>347.56</v>
      </c>
      <c r="K3870" s="2">
        <f t="shared" si="181"/>
        <v>347.56</v>
      </c>
      <c r="L3870" s="2">
        <f t="shared" si="182"/>
        <v>0</v>
      </c>
      <c r="M3870" t="s">
        <v>61</v>
      </c>
      <c r="N3870" t="s">
        <v>32</v>
      </c>
    </row>
    <row r="3871" spans="1:14" x14ac:dyDescent="0.3">
      <c r="A3871">
        <v>2024004869</v>
      </c>
      <c r="B3871" s="1">
        <v>45610</v>
      </c>
      <c r="C3871" s="11">
        <f t="shared" si="180"/>
        <v>2024</v>
      </c>
      <c r="D3871" t="s">
        <v>11</v>
      </c>
      <c r="E3871" t="s">
        <v>28</v>
      </c>
      <c r="F3871" t="s">
        <v>29</v>
      </c>
      <c r="G3871" t="s">
        <v>30</v>
      </c>
      <c r="H3871">
        <v>2</v>
      </c>
      <c r="I3871" s="2">
        <v>22.64</v>
      </c>
      <c r="J3871" s="2">
        <v>45.28</v>
      </c>
      <c r="K3871" s="2">
        <f t="shared" si="181"/>
        <v>45.28</v>
      </c>
      <c r="L3871" s="2">
        <f t="shared" si="182"/>
        <v>0</v>
      </c>
      <c r="M3871" t="s">
        <v>38</v>
      </c>
      <c r="N3871" t="s">
        <v>21</v>
      </c>
    </row>
    <row r="3872" spans="1:14" x14ac:dyDescent="0.3">
      <c r="A3872">
        <v>2024004870</v>
      </c>
      <c r="B3872" s="1">
        <v>45297</v>
      </c>
      <c r="C3872" s="11">
        <f t="shared" si="180"/>
        <v>2024</v>
      </c>
      <c r="D3872" t="s">
        <v>99</v>
      </c>
      <c r="E3872" t="s">
        <v>18</v>
      </c>
      <c r="F3872" t="s">
        <v>19</v>
      </c>
      <c r="G3872" t="s">
        <v>14</v>
      </c>
      <c r="H3872">
        <v>2</v>
      </c>
      <c r="I3872" s="2">
        <v>620.55999999999995</v>
      </c>
      <c r="J3872" s="2">
        <v>1241.1199999999999</v>
      </c>
      <c r="K3872" s="2">
        <f t="shared" si="181"/>
        <v>1241.1199999999999</v>
      </c>
      <c r="L3872" s="2">
        <f t="shared" si="182"/>
        <v>0</v>
      </c>
      <c r="M3872" t="s">
        <v>31</v>
      </c>
      <c r="N3872" t="s">
        <v>21</v>
      </c>
    </row>
    <row r="3873" spans="1:14" x14ac:dyDescent="0.3">
      <c r="A3873">
        <v>2024004871</v>
      </c>
      <c r="B3873" s="1">
        <v>45607</v>
      </c>
      <c r="C3873" s="11">
        <f t="shared" si="180"/>
        <v>2024</v>
      </c>
      <c r="D3873" t="s">
        <v>234</v>
      </c>
      <c r="E3873" t="s">
        <v>34</v>
      </c>
      <c r="F3873" t="s">
        <v>35</v>
      </c>
      <c r="G3873" t="s">
        <v>36</v>
      </c>
      <c r="H3873">
        <v>1</v>
      </c>
      <c r="I3873" s="2">
        <v>14.47</v>
      </c>
      <c r="J3873" s="2">
        <v>14.47</v>
      </c>
      <c r="K3873" s="2">
        <f t="shared" si="181"/>
        <v>14.47</v>
      </c>
      <c r="L3873" s="2">
        <f t="shared" si="182"/>
        <v>0</v>
      </c>
      <c r="M3873" t="s">
        <v>15</v>
      </c>
      <c r="N3873" t="s">
        <v>32</v>
      </c>
    </row>
    <row r="3874" spans="1:14" x14ac:dyDescent="0.3">
      <c r="A3874">
        <v>2024004872</v>
      </c>
      <c r="B3874" s="1">
        <v>45557</v>
      </c>
      <c r="C3874" s="11">
        <f t="shared" si="180"/>
        <v>2024</v>
      </c>
      <c r="D3874" t="s">
        <v>232</v>
      </c>
      <c r="E3874" t="s">
        <v>23</v>
      </c>
      <c r="F3874" t="s">
        <v>24</v>
      </c>
      <c r="G3874" t="s">
        <v>14</v>
      </c>
      <c r="H3874">
        <v>1</v>
      </c>
      <c r="I3874" s="2">
        <v>80.75</v>
      </c>
      <c r="J3874" s="2">
        <v>80.75</v>
      </c>
      <c r="K3874" s="2">
        <f t="shared" si="181"/>
        <v>80.75</v>
      </c>
      <c r="L3874" s="2">
        <f t="shared" si="182"/>
        <v>0</v>
      </c>
      <c r="M3874" t="s">
        <v>61</v>
      </c>
      <c r="N3874" t="s">
        <v>32</v>
      </c>
    </row>
    <row r="3875" spans="1:14" x14ac:dyDescent="0.3">
      <c r="A3875">
        <v>2024004873</v>
      </c>
      <c r="B3875" s="1">
        <v>45570</v>
      </c>
      <c r="C3875" s="11">
        <f t="shared" si="180"/>
        <v>2024</v>
      </c>
      <c r="D3875" t="s">
        <v>206</v>
      </c>
      <c r="E3875" t="s">
        <v>34</v>
      </c>
      <c r="F3875" t="s">
        <v>35</v>
      </c>
      <c r="G3875" t="s">
        <v>36</v>
      </c>
      <c r="H3875">
        <v>1</v>
      </c>
      <c r="I3875" s="2">
        <v>14.19</v>
      </c>
      <c r="J3875" s="2">
        <v>14.19</v>
      </c>
      <c r="K3875" s="2">
        <f t="shared" si="181"/>
        <v>14.19</v>
      </c>
      <c r="L3875" s="2">
        <f t="shared" si="182"/>
        <v>0</v>
      </c>
      <c r="M3875" t="s">
        <v>64</v>
      </c>
      <c r="N3875" t="s">
        <v>26</v>
      </c>
    </row>
    <row r="3876" spans="1:14" x14ac:dyDescent="0.3">
      <c r="A3876">
        <v>2024004874</v>
      </c>
      <c r="B3876" s="1">
        <v>45459</v>
      </c>
      <c r="C3876" s="11">
        <f t="shared" si="180"/>
        <v>2024</v>
      </c>
      <c r="D3876" t="s">
        <v>166</v>
      </c>
      <c r="E3876" t="s">
        <v>18</v>
      </c>
      <c r="F3876" t="s">
        <v>19</v>
      </c>
      <c r="G3876" t="s">
        <v>14</v>
      </c>
      <c r="H3876">
        <v>4</v>
      </c>
      <c r="I3876" s="2">
        <v>636.91</v>
      </c>
      <c r="J3876" s="2">
        <v>2547.64</v>
      </c>
      <c r="K3876" s="2">
        <f t="shared" si="181"/>
        <v>2547.64</v>
      </c>
      <c r="L3876" s="2">
        <f t="shared" si="182"/>
        <v>0</v>
      </c>
      <c r="M3876" t="s">
        <v>25</v>
      </c>
      <c r="N3876" t="s">
        <v>32</v>
      </c>
    </row>
    <row r="3877" spans="1:14" x14ac:dyDescent="0.3">
      <c r="A3877">
        <v>2024004875</v>
      </c>
      <c r="B3877" s="1">
        <v>45478</v>
      </c>
      <c r="C3877" s="11">
        <f t="shared" si="180"/>
        <v>2024</v>
      </c>
      <c r="D3877" t="s">
        <v>37</v>
      </c>
      <c r="E3877" t="s">
        <v>46</v>
      </c>
      <c r="F3877" t="s">
        <v>47</v>
      </c>
      <c r="G3877" t="s">
        <v>36</v>
      </c>
      <c r="H3877">
        <v>2</v>
      </c>
      <c r="I3877" s="2">
        <v>83.98</v>
      </c>
      <c r="J3877" s="2">
        <v>167.96</v>
      </c>
      <c r="K3877" s="2">
        <f t="shared" si="181"/>
        <v>167.96</v>
      </c>
      <c r="L3877" s="2">
        <f t="shared" si="182"/>
        <v>0</v>
      </c>
      <c r="M3877" t="s">
        <v>61</v>
      </c>
      <c r="N3877" t="s">
        <v>21</v>
      </c>
    </row>
    <row r="3878" spans="1:14" x14ac:dyDescent="0.3">
      <c r="A3878">
        <v>2024004876</v>
      </c>
      <c r="B3878" s="1">
        <v>45444</v>
      </c>
      <c r="C3878" s="11">
        <f t="shared" si="180"/>
        <v>2024</v>
      </c>
      <c r="D3878" t="s">
        <v>258</v>
      </c>
      <c r="E3878" t="s">
        <v>46</v>
      </c>
      <c r="F3878" t="s">
        <v>47</v>
      </c>
      <c r="G3878" t="s">
        <v>36</v>
      </c>
      <c r="H3878">
        <v>1</v>
      </c>
      <c r="I3878" s="2">
        <v>85.51</v>
      </c>
      <c r="J3878" s="2">
        <v>85.51</v>
      </c>
      <c r="K3878" s="2">
        <f t="shared" si="181"/>
        <v>85.51</v>
      </c>
      <c r="L3878" s="2">
        <f t="shared" si="182"/>
        <v>0</v>
      </c>
      <c r="M3878" t="s">
        <v>25</v>
      </c>
      <c r="N3878" t="s">
        <v>16</v>
      </c>
    </row>
    <row r="3879" spans="1:14" x14ac:dyDescent="0.3">
      <c r="A3879">
        <v>2024004877</v>
      </c>
      <c r="B3879" s="1">
        <v>45362</v>
      </c>
      <c r="C3879" s="11">
        <f t="shared" si="180"/>
        <v>2024</v>
      </c>
      <c r="D3879" t="s">
        <v>166</v>
      </c>
      <c r="E3879" t="s">
        <v>67</v>
      </c>
      <c r="F3879" t="s">
        <v>68</v>
      </c>
      <c r="G3879" t="s">
        <v>36</v>
      </c>
      <c r="H3879">
        <v>2</v>
      </c>
      <c r="I3879" s="2">
        <v>411.34</v>
      </c>
      <c r="J3879" s="2">
        <v>822.68</v>
      </c>
      <c r="K3879" s="2">
        <f t="shared" si="181"/>
        <v>822.68</v>
      </c>
      <c r="L3879" s="2">
        <f t="shared" si="182"/>
        <v>0</v>
      </c>
      <c r="M3879" t="s">
        <v>20</v>
      </c>
      <c r="N3879" t="s">
        <v>16</v>
      </c>
    </row>
    <row r="3880" spans="1:14" x14ac:dyDescent="0.3">
      <c r="A3880">
        <v>2024004878</v>
      </c>
      <c r="B3880" s="1">
        <v>45606</v>
      </c>
      <c r="C3880" s="11">
        <f t="shared" si="180"/>
        <v>2024</v>
      </c>
      <c r="D3880" t="s">
        <v>251</v>
      </c>
      <c r="E3880" t="s">
        <v>67</v>
      </c>
      <c r="F3880" t="s">
        <v>68</v>
      </c>
      <c r="G3880" t="s">
        <v>36</v>
      </c>
      <c r="H3880">
        <v>1</v>
      </c>
      <c r="I3880" s="2">
        <v>403.13</v>
      </c>
      <c r="J3880" s="2">
        <v>403.13</v>
      </c>
      <c r="K3880" s="2">
        <f t="shared" si="181"/>
        <v>403.13</v>
      </c>
      <c r="L3880" s="2">
        <f t="shared" si="182"/>
        <v>0</v>
      </c>
      <c r="M3880" t="s">
        <v>25</v>
      </c>
      <c r="N3880" t="s">
        <v>16</v>
      </c>
    </row>
    <row r="3881" spans="1:14" x14ac:dyDescent="0.3">
      <c r="A3881">
        <v>2024004879</v>
      </c>
      <c r="B3881" s="1">
        <v>45655</v>
      </c>
      <c r="C3881" s="11">
        <f t="shared" si="180"/>
        <v>2024</v>
      </c>
      <c r="D3881" t="s">
        <v>297</v>
      </c>
      <c r="E3881" t="s">
        <v>53</v>
      </c>
      <c r="F3881" t="s">
        <v>54</v>
      </c>
      <c r="G3881" t="s">
        <v>36</v>
      </c>
      <c r="H3881">
        <v>1</v>
      </c>
      <c r="I3881" s="2">
        <v>121.53</v>
      </c>
      <c r="J3881" s="2">
        <v>121.53</v>
      </c>
      <c r="K3881" s="2">
        <f t="shared" si="181"/>
        <v>121.53</v>
      </c>
      <c r="L3881" s="2">
        <f t="shared" si="182"/>
        <v>0</v>
      </c>
      <c r="M3881" t="s">
        <v>48</v>
      </c>
      <c r="N3881" t="s">
        <v>26</v>
      </c>
    </row>
    <row r="3882" spans="1:14" x14ac:dyDescent="0.3">
      <c r="A3882">
        <v>2024004880</v>
      </c>
      <c r="B3882" s="1">
        <v>45398</v>
      </c>
      <c r="C3882" s="11">
        <f t="shared" si="180"/>
        <v>2024</v>
      </c>
      <c r="D3882" t="s">
        <v>222</v>
      </c>
      <c r="E3882" t="s">
        <v>46</v>
      </c>
      <c r="F3882" t="s">
        <v>47</v>
      </c>
      <c r="G3882" t="s">
        <v>36</v>
      </c>
      <c r="H3882">
        <v>3</v>
      </c>
      <c r="I3882" s="2">
        <v>87.68</v>
      </c>
      <c r="J3882" s="2">
        <v>263.04000000000002</v>
      </c>
      <c r="K3882" s="2">
        <f t="shared" si="181"/>
        <v>263.04000000000002</v>
      </c>
      <c r="L3882" s="2">
        <f t="shared" si="182"/>
        <v>0</v>
      </c>
      <c r="M3882" t="s">
        <v>25</v>
      </c>
      <c r="N3882" t="s">
        <v>21</v>
      </c>
    </row>
    <row r="3883" spans="1:14" x14ac:dyDescent="0.3">
      <c r="A3883">
        <v>2024004881</v>
      </c>
      <c r="B3883" s="1">
        <v>45444</v>
      </c>
      <c r="C3883" s="11">
        <f t="shared" si="180"/>
        <v>2024</v>
      </c>
      <c r="D3883" t="s">
        <v>135</v>
      </c>
      <c r="E3883" t="s">
        <v>53</v>
      </c>
      <c r="F3883" t="s">
        <v>54</v>
      </c>
      <c r="G3883" t="s">
        <v>36</v>
      </c>
      <c r="H3883">
        <v>3</v>
      </c>
      <c r="I3883" s="2">
        <v>115.83</v>
      </c>
      <c r="J3883" s="2">
        <v>347.49</v>
      </c>
      <c r="K3883" s="2">
        <f t="shared" si="181"/>
        <v>347.49</v>
      </c>
      <c r="L3883" s="2">
        <f t="shared" si="182"/>
        <v>0</v>
      </c>
      <c r="M3883" t="s">
        <v>55</v>
      </c>
      <c r="N3883" t="s">
        <v>21</v>
      </c>
    </row>
    <row r="3884" spans="1:14" x14ac:dyDescent="0.3">
      <c r="A3884">
        <v>2024004882</v>
      </c>
      <c r="B3884" s="1">
        <v>45381</v>
      </c>
      <c r="C3884" s="11">
        <f t="shared" si="180"/>
        <v>2024</v>
      </c>
      <c r="D3884" t="s">
        <v>58</v>
      </c>
      <c r="E3884" t="s">
        <v>46</v>
      </c>
      <c r="F3884" t="s">
        <v>47</v>
      </c>
      <c r="G3884" t="s">
        <v>36</v>
      </c>
      <c r="H3884">
        <v>1</v>
      </c>
      <c r="I3884" s="2">
        <v>92.15</v>
      </c>
      <c r="J3884" s="2">
        <v>92.15</v>
      </c>
      <c r="K3884" s="2">
        <f t="shared" si="181"/>
        <v>92.15</v>
      </c>
      <c r="L3884" s="2">
        <f t="shared" si="182"/>
        <v>0</v>
      </c>
      <c r="M3884" t="s">
        <v>20</v>
      </c>
      <c r="N3884" t="s">
        <v>16</v>
      </c>
    </row>
    <row r="3885" spans="1:14" x14ac:dyDescent="0.3">
      <c r="A3885">
        <v>2024004883</v>
      </c>
      <c r="B3885" s="1">
        <v>45573</v>
      </c>
      <c r="C3885" s="11">
        <f t="shared" si="180"/>
        <v>2024</v>
      </c>
      <c r="D3885" t="s">
        <v>272</v>
      </c>
      <c r="E3885" t="s">
        <v>53</v>
      </c>
      <c r="F3885" t="s">
        <v>54</v>
      </c>
      <c r="G3885" t="s">
        <v>36</v>
      </c>
      <c r="H3885">
        <v>1</v>
      </c>
      <c r="I3885" s="2">
        <v>112.8</v>
      </c>
      <c r="J3885" s="2">
        <v>112.8</v>
      </c>
      <c r="K3885" s="2">
        <f t="shared" si="181"/>
        <v>112.8</v>
      </c>
      <c r="L3885" s="2">
        <f t="shared" si="182"/>
        <v>0</v>
      </c>
      <c r="M3885" t="s">
        <v>48</v>
      </c>
      <c r="N3885" t="s">
        <v>16</v>
      </c>
    </row>
    <row r="3886" spans="1:14" x14ac:dyDescent="0.3">
      <c r="A3886">
        <v>2024004884</v>
      </c>
      <c r="B3886" s="1">
        <v>45592</v>
      </c>
      <c r="C3886" s="11">
        <f t="shared" si="180"/>
        <v>2024</v>
      </c>
      <c r="D3886" t="s">
        <v>187</v>
      </c>
      <c r="E3886" t="s">
        <v>43</v>
      </c>
      <c r="F3886" t="s">
        <v>44</v>
      </c>
      <c r="G3886" t="s">
        <v>36</v>
      </c>
      <c r="H3886">
        <v>2</v>
      </c>
      <c r="I3886" s="2">
        <v>1212.77</v>
      </c>
      <c r="J3886" s="2">
        <v>2425.54</v>
      </c>
      <c r="K3886" s="2">
        <f t="shared" si="181"/>
        <v>2425.54</v>
      </c>
      <c r="L3886" s="2">
        <f t="shared" si="182"/>
        <v>0</v>
      </c>
      <c r="M3886" t="s">
        <v>38</v>
      </c>
      <c r="N3886" t="s">
        <v>26</v>
      </c>
    </row>
    <row r="3887" spans="1:14" x14ac:dyDescent="0.3">
      <c r="A3887">
        <v>2024004885</v>
      </c>
      <c r="B3887" s="1">
        <v>45296</v>
      </c>
      <c r="C3887" s="11">
        <f t="shared" si="180"/>
        <v>2024</v>
      </c>
      <c r="D3887" t="s">
        <v>276</v>
      </c>
      <c r="E3887" t="s">
        <v>46</v>
      </c>
      <c r="F3887" t="s">
        <v>47</v>
      </c>
      <c r="G3887" t="s">
        <v>36</v>
      </c>
      <c r="H3887">
        <v>1</v>
      </c>
      <c r="I3887" s="2">
        <v>87.44</v>
      </c>
      <c r="J3887" s="2">
        <v>87.44</v>
      </c>
      <c r="K3887" s="2">
        <f t="shared" si="181"/>
        <v>87.44</v>
      </c>
      <c r="L3887" s="2">
        <f t="shared" si="182"/>
        <v>0</v>
      </c>
      <c r="M3887" t="s">
        <v>31</v>
      </c>
      <c r="N3887" t="s">
        <v>16</v>
      </c>
    </row>
    <row r="3888" spans="1:14" x14ac:dyDescent="0.3">
      <c r="A3888">
        <v>2024004886</v>
      </c>
      <c r="B3888" s="1">
        <v>45527</v>
      </c>
      <c r="C3888" s="11">
        <f t="shared" si="180"/>
        <v>2024</v>
      </c>
      <c r="D3888" t="s">
        <v>298</v>
      </c>
      <c r="E3888" t="s">
        <v>67</v>
      </c>
      <c r="F3888" t="s">
        <v>68</v>
      </c>
      <c r="G3888" t="s">
        <v>36</v>
      </c>
      <c r="H3888">
        <v>1</v>
      </c>
      <c r="I3888" s="2">
        <v>393.47</v>
      </c>
      <c r="J3888" s="2">
        <v>393.47</v>
      </c>
      <c r="K3888" s="2">
        <f t="shared" si="181"/>
        <v>393.47</v>
      </c>
      <c r="L3888" s="2">
        <f t="shared" si="182"/>
        <v>0</v>
      </c>
      <c r="M3888" t="s">
        <v>15</v>
      </c>
      <c r="N3888" t="s">
        <v>16</v>
      </c>
    </row>
    <row r="3889" spans="1:14" x14ac:dyDescent="0.3">
      <c r="A3889">
        <v>2024004887</v>
      </c>
      <c r="B3889" s="1">
        <v>45588</v>
      </c>
      <c r="C3889" s="11">
        <f t="shared" si="180"/>
        <v>2024</v>
      </c>
      <c r="D3889" t="s">
        <v>143</v>
      </c>
      <c r="E3889" t="s">
        <v>43</v>
      </c>
      <c r="F3889" t="s">
        <v>44</v>
      </c>
      <c r="G3889" t="s">
        <v>36</v>
      </c>
      <c r="H3889">
        <v>3</v>
      </c>
      <c r="I3889" s="2">
        <v>1225.76</v>
      </c>
      <c r="J3889" s="2">
        <v>3677.28</v>
      </c>
      <c r="K3889" s="2">
        <f t="shared" si="181"/>
        <v>3677.2799999999997</v>
      </c>
      <c r="L3889" s="2">
        <f t="shared" si="182"/>
        <v>0</v>
      </c>
      <c r="M3889" t="s">
        <v>48</v>
      </c>
      <c r="N3889" t="s">
        <v>32</v>
      </c>
    </row>
    <row r="3890" spans="1:14" x14ac:dyDescent="0.3">
      <c r="A3890">
        <v>2024004888</v>
      </c>
      <c r="B3890" s="1">
        <v>45512</v>
      </c>
      <c r="C3890" s="11">
        <f t="shared" si="180"/>
        <v>2024</v>
      </c>
      <c r="D3890" t="s">
        <v>196</v>
      </c>
      <c r="E3890" t="s">
        <v>18</v>
      </c>
      <c r="F3890" t="s">
        <v>19</v>
      </c>
      <c r="G3890" t="s">
        <v>14</v>
      </c>
      <c r="H3890">
        <v>1</v>
      </c>
      <c r="I3890" s="2">
        <v>647.74</v>
      </c>
      <c r="J3890" s="2">
        <v>647.74</v>
      </c>
      <c r="K3890" s="2">
        <f t="shared" si="181"/>
        <v>647.74</v>
      </c>
      <c r="L3890" s="2">
        <f t="shared" si="182"/>
        <v>0</v>
      </c>
      <c r="M3890" t="s">
        <v>64</v>
      </c>
      <c r="N3890" t="s">
        <v>26</v>
      </c>
    </row>
    <row r="3891" spans="1:14" x14ac:dyDescent="0.3">
      <c r="A3891">
        <v>2024004889</v>
      </c>
      <c r="B3891" s="1">
        <v>45521</v>
      </c>
      <c r="C3891" s="11">
        <f t="shared" si="180"/>
        <v>2024</v>
      </c>
      <c r="D3891" t="s">
        <v>72</v>
      </c>
      <c r="E3891" t="s">
        <v>46</v>
      </c>
      <c r="F3891" t="s">
        <v>47</v>
      </c>
      <c r="G3891" t="s">
        <v>36</v>
      </c>
      <c r="H3891">
        <v>3</v>
      </c>
      <c r="I3891" s="2">
        <v>87.98</v>
      </c>
      <c r="J3891" s="2">
        <v>263.94</v>
      </c>
      <c r="K3891" s="2">
        <f t="shared" si="181"/>
        <v>263.94</v>
      </c>
      <c r="L3891" s="2">
        <f t="shared" si="182"/>
        <v>0</v>
      </c>
      <c r="M3891" t="s">
        <v>25</v>
      </c>
      <c r="N3891" t="s">
        <v>26</v>
      </c>
    </row>
    <row r="3892" spans="1:14" x14ac:dyDescent="0.3">
      <c r="A3892">
        <v>2024004890</v>
      </c>
      <c r="B3892" s="1">
        <v>45545</v>
      </c>
      <c r="C3892" s="11">
        <f t="shared" si="180"/>
        <v>2024</v>
      </c>
      <c r="D3892" t="s">
        <v>333</v>
      </c>
      <c r="E3892" t="s">
        <v>67</v>
      </c>
      <c r="F3892" t="s">
        <v>68</v>
      </c>
      <c r="G3892" t="s">
        <v>36</v>
      </c>
      <c r="H3892">
        <v>1</v>
      </c>
      <c r="I3892" s="2">
        <v>447.76</v>
      </c>
      <c r="J3892" s="2">
        <v>447.76</v>
      </c>
      <c r="K3892" s="2">
        <f t="shared" si="181"/>
        <v>447.76</v>
      </c>
      <c r="L3892" s="2">
        <f t="shared" si="182"/>
        <v>0</v>
      </c>
      <c r="M3892" t="s">
        <v>38</v>
      </c>
      <c r="N3892" t="s">
        <v>21</v>
      </c>
    </row>
    <row r="3893" spans="1:14" x14ac:dyDescent="0.3">
      <c r="A3893">
        <v>2024004891</v>
      </c>
      <c r="B3893" s="1">
        <v>45496</v>
      </c>
      <c r="C3893" s="11">
        <f t="shared" si="180"/>
        <v>2024</v>
      </c>
      <c r="D3893" t="s">
        <v>239</v>
      </c>
      <c r="E3893" t="s">
        <v>23</v>
      </c>
      <c r="F3893" t="s">
        <v>24</v>
      </c>
      <c r="G3893" t="s">
        <v>14</v>
      </c>
      <c r="H3893">
        <v>2</v>
      </c>
      <c r="I3893" s="2">
        <v>78.87</v>
      </c>
      <c r="J3893" s="2">
        <v>157.74</v>
      </c>
      <c r="K3893" s="2">
        <f t="shared" si="181"/>
        <v>157.74</v>
      </c>
      <c r="L3893" s="2">
        <f t="shared" si="182"/>
        <v>0</v>
      </c>
      <c r="M3893" t="s">
        <v>15</v>
      </c>
      <c r="N3893" t="s">
        <v>21</v>
      </c>
    </row>
    <row r="3894" spans="1:14" x14ac:dyDescent="0.3">
      <c r="A3894">
        <v>2024004892</v>
      </c>
      <c r="B3894" s="1">
        <v>45648</v>
      </c>
      <c r="C3894" s="11">
        <f t="shared" si="180"/>
        <v>2024</v>
      </c>
      <c r="D3894" t="s">
        <v>308</v>
      </c>
      <c r="E3894" t="s">
        <v>34</v>
      </c>
      <c r="F3894" t="s">
        <v>35</v>
      </c>
      <c r="G3894" t="s">
        <v>36</v>
      </c>
      <c r="H3894">
        <v>1</v>
      </c>
      <c r="I3894" s="2">
        <v>14.81</v>
      </c>
      <c r="J3894" s="2">
        <v>14.81</v>
      </c>
      <c r="K3894" s="2">
        <f t="shared" si="181"/>
        <v>14.81</v>
      </c>
      <c r="L3894" s="2">
        <f t="shared" si="182"/>
        <v>0</v>
      </c>
      <c r="M3894" t="s">
        <v>55</v>
      </c>
      <c r="N3894" t="s">
        <v>32</v>
      </c>
    </row>
    <row r="3895" spans="1:14" x14ac:dyDescent="0.3">
      <c r="A3895">
        <v>2024004893</v>
      </c>
      <c r="B3895" s="1">
        <v>45591</v>
      </c>
      <c r="C3895" s="11">
        <f t="shared" si="180"/>
        <v>2024</v>
      </c>
      <c r="D3895" t="s">
        <v>192</v>
      </c>
      <c r="E3895" t="s">
        <v>53</v>
      </c>
      <c r="F3895" t="s">
        <v>54</v>
      </c>
      <c r="G3895" t="s">
        <v>36</v>
      </c>
      <c r="H3895">
        <v>1</v>
      </c>
      <c r="I3895" s="2">
        <v>131.37</v>
      </c>
      <c r="J3895" s="2">
        <v>131.37</v>
      </c>
      <c r="K3895" s="2">
        <f t="shared" si="181"/>
        <v>131.37</v>
      </c>
      <c r="L3895" s="2">
        <f t="shared" si="182"/>
        <v>0</v>
      </c>
      <c r="M3895" t="s">
        <v>20</v>
      </c>
      <c r="N3895" t="s">
        <v>16</v>
      </c>
    </row>
    <row r="3896" spans="1:14" x14ac:dyDescent="0.3">
      <c r="A3896">
        <v>2024004894</v>
      </c>
      <c r="B3896" s="1">
        <v>45326</v>
      </c>
      <c r="C3896" s="11">
        <f t="shared" si="180"/>
        <v>2024</v>
      </c>
      <c r="D3896" t="s">
        <v>153</v>
      </c>
      <c r="E3896" t="s">
        <v>12</v>
      </c>
      <c r="F3896" t="s">
        <v>13</v>
      </c>
      <c r="G3896" t="s">
        <v>14</v>
      </c>
      <c r="H3896">
        <v>5</v>
      </c>
      <c r="I3896" s="2">
        <v>353.1</v>
      </c>
      <c r="J3896" s="2">
        <v>1765.5</v>
      </c>
      <c r="K3896" s="2">
        <f t="shared" si="181"/>
        <v>1765.5</v>
      </c>
      <c r="L3896" s="2">
        <f t="shared" si="182"/>
        <v>0</v>
      </c>
      <c r="M3896" t="s">
        <v>55</v>
      </c>
      <c r="N3896" t="s">
        <v>26</v>
      </c>
    </row>
    <row r="3897" spans="1:14" x14ac:dyDescent="0.3">
      <c r="A3897">
        <v>2024004895</v>
      </c>
      <c r="B3897" s="1">
        <v>45402</v>
      </c>
      <c r="C3897" s="11">
        <f t="shared" si="180"/>
        <v>2024</v>
      </c>
      <c r="D3897" t="s">
        <v>310</v>
      </c>
      <c r="E3897" t="s">
        <v>23</v>
      </c>
      <c r="F3897" t="s">
        <v>24</v>
      </c>
      <c r="G3897" t="s">
        <v>14</v>
      </c>
      <c r="H3897">
        <v>1</v>
      </c>
      <c r="I3897" s="2">
        <v>80</v>
      </c>
      <c r="J3897" s="2">
        <v>80</v>
      </c>
      <c r="K3897" s="2">
        <f t="shared" si="181"/>
        <v>80</v>
      </c>
      <c r="L3897" s="2">
        <f t="shared" si="182"/>
        <v>0</v>
      </c>
      <c r="M3897" t="s">
        <v>31</v>
      </c>
      <c r="N3897" t="s">
        <v>32</v>
      </c>
    </row>
    <row r="3898" spans="1:14" x14ac:dyDescent="0.3">
      <c r="A3898">
        <v>2024004896</v>
      </c>
      <c r="B3898" s="1">
        <v>45382</v>
      </c>
      <c r="C3898" s="11">
        <f t="shared" si="180"/>
        <v>2024</v>
      </c>
      <c r="D3898" t="s">
        <v>161</v>
      </c>
      <c r="E3898" t="s">
        <v>23</v>
      </c>
      <c r="F3898" t="s">
        <v>24</v>
      </c>
      <c r="G3898" t="s">
        <v>14</v>
      </c>
      <c r="H3898">
        <v>2</v>
      </c>
      <c r="I3898" s="2">
        <v>81.64</v>
      </c>
      <c r="J3898" s="2">
        <v>163.28</v>
      </c>
      <c r="K3898" s="2">
        <f t="shared" si="181"/>
        <v>163.28</v>
      </c>
      <c r="L3898" s="2">
        <f t="shared" si="182"/>
        <v>0</v>
      </c>
      <c r="M3898" t="s">
        <v>38</v>
      </c>
      <c r="N3898" t="s">
        <v>26</v>
      </c>
    </row>
    <row r="3899" spans="1:14" x14ac:dyDescent="0.3">
      <c r="A3899">
        <v>2024004897</v>
      </c>
      <c r="B3899" s="1">
        <v>45500</v>
      </c>
      <c r="C3899" s="11">
        <f t="shared" si="180"/>
        <v>2024</v>
      </c>
      <c r="D3899" t="s">
        <v>174</v>
      </c>
      <c r="E3899" t="s">
        <v>28</v>
      </c>
      <c r="F3899" t="s">
        <v>29</v>
      </c>
      <c r="G3899" t="s">
        <v>30</v>
      </c>
      <c r="H3899">
        <v>1</v>
      </c>
      <c r="I3899" s="2">
        <v>26.76</v>
      </c>
      <c r="J3899" s="2">
        <v>26.76</v>
      </c>
      <c r="K3899" s="2">
        <f t="shared" si="181"/>
        <v>26.76</v>
      </c>
      <c r="L3899" s="2">
        <f t="shared" si="182"/>
        <v>0</v>
      </c>
      <c r="M3899" t="s">
        <v>20</v>
      </c>
      <c r="N3899" t="s">
        <v>32</v>
      </c>
    </row>
    <row r="3900" spans="1:14" x14ac:dyDescent="0.3">
      <c r="A3900">
        <v>2024004898</v>
      </c>
      <c r="B3900" s="1">
        <v>45316</v>
      </c>
      <c r="C3900" s="11">
        <f t="shared" si="180"/>
        <v>2024</v>
      </c>
      <c r="D3900" t="s">
        <v>335</v>
      </c>
      <c r="E3900" t="s">
        <v>34</v>
      </c>
      <c r="F3900" t="s">
        <v>35</v>
      </c>
      <c r="G3900" t="s">
        <v>36</v>
      </c>
      <c r="H3900">
        <v>3</v>
      </c>
      <c r="I3900" s="2">
        <v>15.49</v>
      </c>
      <c r="J3900" s="2">
        <v>46.47</v>
      </c>
      <c r="K3900" s="2">
        <f t="shared" si="181"/>
        <v>46.47</v>
      </c>
      <c r="L3900" s="2">
        <f t="shared" si="182"/>
        <v>0</v>
      </c>
      <c r="M3900" t="s">
        <v>57</v>
      </c>
      <c r="N3900" t="s">
        <v>26</v>
      </c>
    </row>
    <row r="3901" spans="1:14" x14ac:dyDescent="0.3">
      <c r="A3901">
        <v>2024004899</v>
      </c>
      <c r="B3901" s="1">
        <v>45509</v>
      </c>
      <c r="C3901" s="11">
        <f t="shared" si="180"/>
        <v>2024</v>
      </c>
      <c r="D3901" t="s">
        <v>238</v>
      </c>
      <c r="E3901" t="s">
        <v>12</v>
      </c>
      <c r="F3901" t="s">
        <v>13</v>
      </c>
      <c r="G3901" t="s">
        <v>14</v>
      </c>
      <c r="H3901">
        <v>1</v>
      </c>
      <c r="I3901" s="2">
        <v>381.69</v>
      </c>
      <c r="J3901" s="2">
        <v>381.69</v>
      </c>
      <c r="K3901" s="2">
        <f t="shared" si="181"/>
        <v>381.69</v>
      </c>
      <c r="L3901" s="2">
        <f t="shared" si="182"/>
        <v>0</v>
      </c>
      <c r="M3901" t="s">
        <v>48</v>
      </c>
      <c r="N3901" t="s">
        <v>32</v>
      </c>
    </row>
    <row r="3902" spans="1:14" x14ac:dyDescent="0.3">
      <c r="A3902">
        <v>2024004900</v>
      </c>
      <c r="B3902" s="1">
        <v>45425</v>
      </c>
      <c r="C3902" s="11">
        <f t="shared" si="180"/>
        <v>2024</v>
      </c>
      <c r="D3902" t="s">
        <v>309</v>
      </c>
      <c r="E3902" t="s">
        <v>34</v>
      </c>
      <c r="F3902" t="s">
        <v>35</v>
      </c>
      <c r="G3902" t="s">
        <v>36</v>
      </c>
      <c r="H3902">
        <v>2</v>
      </c>
      <c r="I3902" s="2">
        <v>14.58</v>
      </c>
      <c r="J3902" s="2">
        <v>29.16</v>
      </c>
      <c r="K3902" s="2">
        <f t="shared" si="181"/>
        <v>29.16</v>
      </c>
      <c r="L3902" s="2">
        <f t="shared" si="182"/>
        <v>0</v>
      </c>
      <c r="M3902" t="s">
        <v>61</v>
      </c>
      <c r="N3902" t="s">
        <v>21</v>
      </c>
    </row>
    <row r="3903" spans="1:14" x14ac:dyDescent="0.3">
      <c r="A3903">
        <v>2024004901</v>
      </c>
      <c r="B3903" s="1">
        <v>45507</v>
      </c>
      <c r="C3903" s="11">
        <f t="shared" si="180"/>
        <v>2024</v>
      </c>
      <c r="D3903" t="s">
        <v>256</v>
      </c>
      <c r="E3903" t="s">
        <v>46</v>
      </c>
      <c r="F3903" t="s">
        <v>47</v>
      </c>
      <c r="G3903" t="s">
        <v>36</v>
      </c>
      <c r="H3903">
        <v>3</v>
      </c>
      <c r="I3903" s="2">
        <v>87.08</v>
      </c>
      <c r="J3903" s="2">
        <v>261.24</v>
      </c>
      <c r="K3903" s="2">
        <f t="shared" si="181"/>
        <v>261.24</v>
      </c>
      <c r="L3903" s="2">
        <f t="shared" si="182"/>
        <v>0</v>
      </c>
      <c r="M3903" t="s">
        <v>61</v>
      </c>
      <c r="N3903" t="s">
        <v>32</v>
      </c>
    </row>
    <row r="3904" spans="1:14" x14ac:dyDescent="0.3">
      <c r="A3904">
        <v>2024004902</v>
      </c>
      <c r="B3904" s="1">
        <v>45378</v>
      </c>
      <c r="C3904" s="11">
        <f t="shared" si="180"/>
        <v>2024</v>
      </c>
      <c r="D3904" t="s">
        <v>11</v>
      </c>
      <c r="E3904" t="s">
        <v>12</v>
      </c>
      <c r="F3904" t="s">
        <v>13</v>
      </c>
      <c r="G3904" t="s">
        <v>14</v>
      </c>
      <c r="H3904">
        <v>1</v>
      </c>
      <c r="I3904" s="2">
        <v>375.75</v>
      </c>
      <c r="J3904" s="2">
        <v>375.75</v>
      </c>
      <c r="K3904" s="2">
        <f t="shared" si="181"/>
        <v>375.75</v>
      </c>
      <c r="L3904" s="2">
        <f t="shared" si="182"/>
        <v>0</v>
      </c>
      <c r="M3904" t="s">
        <v>15</v>
      </c>
      <c r="N3904" t="s">
        <v>26</v>
      </c>
    </row>
    <row r="3905" spans="1:14" x14ac:dyDescent="0.3">
      <c r="A3905">
        <v>2024004903</v>
      </c>
      <c r="B3905" s="1">
        <v>45397</v>
      </c>
      <c r="C3905" s="11">
        <f t="shared" si="180"/>
        <v>2024</v>
      </c>
      <c r="D3905" t="s">
        <v>298</v>
      </c>
      <c r="E3905" t="s">
        <v>43</v>
      </c>
      <c r="F3905" t="s">
        <v>44</v>
      </c>
      <c r="G3905" t="s">
        <v>36</v>
      </c>
      <c r="H3905">
        <v>2</v>
      </c>
      <c r="I3905" s="2">
        <v>1163.8499999999999</v>
      </c>
      <c r="J3905" s="2">
        <v>2327.6999999999998</v>
      </c>
      <c r="K3905" s="2">
        <f t="shared" si="181"/>
        <v>2327.6999999999998</v>
      </c>
      <c r="L3905" s="2">
        <f t="shared" si="182"/>
        <v>0</v>
      </c>
      <c r="M3905" t="s">
        <v>25</v>
      </c>
      <c r="N3905" t="s">
        <v>26</v>
      </c>
    </row>
    <row r="3906" spans="1:14" x14ac:dyDescent="0.3">
      <c r="A3906">
        <v>2024004904</v>
      </c>
      <c r="B3906" s="1">
        <v>45342</v>
      </c>
      <c r="C3906" s="11">
        <f t="shared" si="180"/>
        <v>2024</v>
      </c>
      <c r="D3906" t="s">
        <v>146</v>
      </c>
      <c r="E3906" t="s">
        <v>43</v>
      </c>
      <c r="F3906" t="s">
        <v>44</v>
      </c>
      <c r="G3906" t="s">
        <v>36</v>
      </c>
      <c r="H3906">
        <v>2</v>
      </c>
      <c r="I3906" s="2">
        <v>1979.41</v>
      </c>
      <c r="J3906" s="2">
        <v>3958.82</v>
      </c>
      <c r="K3906" s="2">
        <f t="shared" si="181"/>
        <v>3958.82</v>
      </c>
      <c r="L3906" s="2">
        <f t="shared" si="182"/>
        <v>0</v>
      </c>
      <c r="M3906" t="s">
        <v>15</v>
      </c>
      <c r="N3906" t="s">
        <v>16</v>
      </c>
    </row>
    <row r="3907" spans="1:14" x14ac:dyDescent="0.3">
      <c r="A3907">
        <v>2024004905</v>
      </c>
      <c r="B3907" s="1">
        <v>45365</v>
      </c>
      <c r="C3907" s="11">
        <f t="shared" ref="C3907:C3970" si="183">YEAR(B3907)</f>
        <v>2024</v>
      </c>
      <c r="D3907" t="s">
        <v>172</v>
      </c>
      <c r="E3907" t="s">
        <v>67</v>
      </c>
      <c r="F3907" t="s">
        <v>68</v>
      </c>
      <c r="G3907" t="s">
        <v>36</v>
      </c>
      <c r="H3907">
        <v>3</v>
      </c>
      <c r="I3907" s="2">
        <v>450.57</v>
      </c>
      <c r="J3907" s="2">
        <v>1351.71</v>
      </c>
      <c r="K3907" s="2">
        <f t="shared" ref="K3907:K3970" si="184">I3907*H3907</f>
        <v>1351.71</v>
      </c>
      <c r="L3907" s="2">
        <f t="shared" ref="L3907:L3970" si="185">J3907-K3907</f>
        <v>0</v>
      </c>
      <c r="M3907" t="s">
        <v>57</v>
      </c>
      <c r="N3907" t="s">
        <v>21</v>
      </c>
    </row>
    <row r="3908" spans="1:14" x14ac:dyDescent="0.3">
      <c r="A3908">
        <v>2024004906</v>
      </c>
      <c r="B3908" s="1">
        <v>45483</v>
      </c>
      <c r="C3908" s="11">
        <f t="shared" si="183"/>
        <v>2024</v>
      </c>
      <c r="D3908" t="s">
        <v>11</v>
      </c>
      <c r="E3908" t="s">
        <v>34</v>
      </c>
      <c r="F3908" t="s">
        <v>35</v>
      </c>
      <c r="G3908" t="s">
        <v>36</v>
      </c>
      <c r="H3908">
        <v>1</v>
      </c>
      <c r="I3908" s="2">
        <v>14.47</v>
      </c>
      <c r="J3908" s="2">
        <v>14.47</v>
      </c>
      <c r="K3908" s="2">
        <f t="shared" si="184"/>
        <v>14.47</v>
      </c>
      <c r="L3908" s="2">
        <f t="shared" si="185"/>
        <v>0</v>
      </c>
      <c r="M3908" t="s">
        <v>25</v>
      </c>
      <c r="N3908" t="s">
        <v>32</v>
      </c>
    </row>
    <row r="3909" spans="1:14" x14ac:dyDescent="0.3">
      <c r="A3909">
        <v>2024004907</v>
      </c>
      <c r="B3909" s="1">
        <v>45503</v>
      </c>
      <c r="C3909" s="11">
        <f t="shared" si="183"/>
        <v>2024</v>
      </c>
      <c r="D3909" t="s">
        <v>115</v>
      </c>
      <c r="E3909" t="s">
        <v>34</v>
      </c>
      <c r="F3909" t="s">
        <v>35</v>
      </c>
      <c r="G3909" t="s">
        <v>36</v>
      </c>
      <c r="H3909">
        <v>2</v>
      </c>
      <c r="I3909" s="2">
        <v>14.74</v>
      </c>
      <c r="J3909" s="2">
        <v>29.48</v>
      </c>
      <c r="K3909" s="2">
        <f t="shared" si="184"/>
        <v>29.48</v>
      </c>
      <c r="L3909" s="2">
        <f t="shared" si="185"/>
        <v>0</v>
      </c>
      <c r="M3909" t="s">
        <v>38</v>
      </c>
      <c r="N3909" t="s">
        <v>32</v>
      </c>
    </row>
    <row r="3910" spans="1:14" x14ac:dyDescent="0.3">
      <c r="A3910">
        <v>2024004908</v>
      </c>
      <c r="B3910" s="1">
        <v>45537</v>
      </c>
      <c r="C3910" s="11">
        <f t="shared" si="183"/>
        <v>2024</v>
      </c>
      <c r="D3910" t="s">
        <v>313</v>
      </c>
      <c r="E3910" t="s">
        <v>40</v>
      </c>
      <c r="F3910" t="s">
        <v>41</v>
      </c>
      <c r="G3910" t="s">
        <v>36</v>
      </c>
      <c r="H3910">
        <v>3</v>
      </c>
      <c r="I3910" s="2">
        <v>43.92</v>
      </c>
      <c r="J3910" s="2">
        <v>131.76</v>
      </c>
      <c r="K3910" s="2">
        <f t="shared" si="184"/>
        <v>131.76</v>
      </c>
      <c r="L3910" s="2">
        <f t="shared" si="185"/>
        <v>0</v>
      </c>
      <c r="M3910" t="s">
        <v>55</v>
      </c>
      <c r="N3910" t="s">
        <v>32</v>
      </c>
    </row>
    <row r="3911" spans="1:14" x14ac:dyDescent="0.3">
      <c r="A3911">
        <v>2024004909</v>
      </c>
      <c r="B3911" s="1">
        <v>45358</v>
      </c>
      <c r="C3911" s="11">
        <f t="shared" si="183"/>
        <v>2024</v>
      </c>
      <c r="D3911" t="s">
        <v>291</v>
      </c>
      <c r="E3911" t="s">
        <v>53</v>
      </c>
      <c r="F3911" t="s">
        <v>54</v>
      </c>
      <c r="G3911" t="s">
        <v>36</v>
      </c>
      <c r="H3911">
        <v>2</v>
      </c>
      <c r="I3911" s="2">
        <v>113.83</v>
      </c>
      <c r="J3911" s="2">
        <v>227.66</v>
      </c>
      <c r="K3911" s="2">
        <f t="shared" si="184"/>
        <v>227.66</v>
      </c>
      <c r="L3911" s="2">
        <f t="shared" si="185"/>
        <v>0</v>
      </c>
      <c r="M3911" t="s">
        <v>64</v>
      </c>
      <c r="N3911" t="s">
        <v>32</v>
      </c>
    </row>
    <row r="3912" spans="1:14" x14ac:dyDescent="0.3">
      <c r="A3912">
        <v>2024004910</v>
      </c>
      <c r="B3912" s="1">
        <v>45502</v>
      </c>
      <c r="C3912" s="11">
        <f t="shared" si="183"/>
        <v>2024</v>
      </c>
      <c r="D3912" t="s">
        <v>142</v>
      </c>
      <c r="E3912" t="s">
        <v>18</v>
      </c>
      <c r="F3912" t="s">
        <v>19</v>
      </c>
      <c r="G3912" t="s">
        <v>14</v>
      </c>
      <c r="H3912">
        <v>2</v>
      </c>
      <c r="I3912" s="2">
        <v>628.61</v>
      </c>
      <c r="J3912" s="2">
        <v>1257.22</v>
      </c>
      <c r="K3912" s="2">
        <f t="shared" si="184"/>
        <v>1257.22</v>
      </c>
      <c r="L3912" s="2">
        <f t="shared" si="185"/>
        <v>0</v>
      </c>
      <c r="M3912" t="s">
        <v>48</v>
      </c>
      <c r="N3912" t="s">
        <v>32</v>
      </c>
    </row>
    <row r="3913" spans="1:14" x14ac:dyDescent="0.3">
      <c r="A3913">
        <v>2024004911</v>
      </c>
      <c r="B3913" s="1">
        <v>45504</v>
      </c>
      <c r="C3913" s="11">
        <f t="shared" si="183"/>
        <v>2024</v>
      </c>
      <c r="D3913" t="s">
        <v>122</v>
      </c>
      <c r="E3913" t="s">
        <v>53</v>
      </c>
      <c r="F3913" t="s">
        <v>54</v>
      </c>
      <c r="G3913" t="s">
        <v>36</v>
      </c>
      <c r="H3913">
        <v>3</v>
      </c>
      <c r="I3913" s="2">
        <v>108.68</v>
      </c>
      <c r="J3913" s="2">
        <v>326.04000000000002</v>
      </c>
      <c r="K3913" s="2">
        <f t="shared" si="184"/>
        <v>326.04000000000002</v>
      </c>
      <c r="L3913" s="2">
        <f t="shared" si="185"/>
        <v>0</v>
      </c>
      <c r="M3913" t="s">
        <v>15</v>
      </c>
      <c r="N3913" t="s">
        <v>21</v>
      </c>
    </row>
    <row r="3914" spans="1:14" x14ac:dyDescent="0.3">
      <c r="A3914">
        <v>2024004912</v>
      </c>
      <c r="B3914" s="1">
        <v>45533</v>
      </c>
      <c r="C3914" s="11">
        <f t="shared" si="183"/>
        <v>2024</v>
      </c>
      <c r="D3914" t="s">
        <v>337</v>
      </c>
      <c r="E3914" t="s">
        <v>23</v>
      </c>
      <c r="F3914" t="s">
        <v>24</v>
      </c>
      <c r="G3914" t="s">
        <v>14</v>
      </c>
      <c r="H3914">
        <v>1</v>
      </c>
      <c r="I3914" s="2">
        <v>79.61</v>
      </c>
      <c r="J3914" s="2">
        <v>79.61</v>
      </c>
      <c r="K3914" s="2">
        <f t="shared" si="184"/>
        <v>79.61</v>
      </c>
      <c r="L3914" s="2">
        <f t="shared" si="185"/>
        <v>0</v>
      </c>
      <c r="M3914" t="s">
        <v>31</v>
      </c>
      <c r="N3914" t="s">
        <v>26</v>
      </c>
    </row>
    <row r="3915" spans="1:14" x14ac:dyDescent="0.3">
      <c r="A3915">
        <v>2024004913</v>
      </c>
      <c r="B3915" s="1">
        <v>45462</v>
      </c>
      <c r="C3915" s="11">
        <f t="shared" si="183"/>
        <v>2024</v>
      </c>
      <c r="D3915" t="s">
        <v>11</v>
      </c>
      <c r="E3915" t="s">
        <v>53</v>
      </c>
      <c r="F3915" t="s">
        <v>54</v>
      </c>
      <c r="G3915" t="s">
        <v>36</v>
      </c>
      <c r="H3915">
        <v>1</v>
      </c>
      <c r="I3915" s="2">
        <v>112.61</v>
      </c>
      <c r="J3915" s="2">
        <v>112.61</v>
      </c>
      <c r="K3915" s="2">
        <f t="shared" si="184"/>
        <v>112.61</v>
      </c>
      <c r="L3915" s="2">
        <f t="shared" si="185"/>
        <v>0</v>
      </c>
      <c r="M3915" t="s">
        <v>25</v>
      </c>
      <c r="N3915" t="s">
        <v>32</v>
      </c>
    </row>
    <row r="3916" spans="1:14" x14ac:dyDescent="0.3">
      <c r="A3916">
        <v>2024004914</v>
      </c>
      <c r="B3916" s="1">
        <v>45545</v>
      </c>
      <c r="C3916" s="11">
        <f t="shared" si="183"/>
        <v>2024</v>
      </c>
      <c r="D3916" t="s">
        <v>154</v>
      </c>
      <c r="E3916" t="s">
        <v>28</v>
      </c>
      <c r="F3916" t="s">
        <v>29</v>
      </c>
      <c r="G3916" t="s">
        <v>30</v>
      </c>
      <c r="H3916">
        <v>1</v>
      </c>
      <c r="I3916" s="2">
        <v>26.9</v>
      </c>
      <c r="J3916" s="2">
        <v>26.9</v>
      </c>
      <c r="K3916" s="2">
        <f t="shared" si="184"/>
        <v>26.9</v>
      </c>
      <c r="L3916" s="2">
        <f t="shared" si="185"/>
        <v>0</v>
      </c>
      <c r="M3916" t="s">
        <v>25</v>
      </c>
      <c r="N3916" t="s">
        <v>16</v>
      </c>
    </row>
    <row r="3917" spans="1:14" x14ac:dyDescent="0.3">
      <c r="A3917">
        <v>2024004915</v>
      </c>
      <c r="B3917" s="1">
        <v>45523</v>
      </c>
      <c r="C3917" s="11">
        <f t="shared" si="183"/>
        <v>2024</v>
      </c>
      <c r="D3917" t="s">
        <v>294</v>
      </c>
      <c r="E3917" t="s">
        <v>40</v>
      </c>
      <c r="F3917" t="s">
        <v>41</v>
      </c>
      <c r="G3917" t="s">
        <v>36</v>
      </c>
      <c r="H3917">
        <v>1</v>
      </c>
      <c r="I3917" s="2">
        <v>42.6</v>
      </c>
      <c r="J3917" s="2">
        <v>42.6</v>
      </c>
      <c r="K3917" s="2">
        <f t="shared" si="184"/>
        <v>42.6</v>
      </c>
      <c r="L3917" s="2">
        <f t="shared" si="185"/>
        <v>0</v>
      </c>
      <c r="M3917" t="s">
        <v>38</v>
      </c>
      <c r="N3917" t="s">
        <v>26</v>
      </c>
    </row>
    <row r="3918" spans="1:14" x14ac:dyDescent="0.3">
      <c r="A3918">
        <v>2024004916</v>
      </c>
      <c r="B3918" s="1">
        <v>45355</v>
      </c>
      <c r="C3918" s="11">
        <f t="shared" si="183"/>
        <v>2024</v>
      </c>
      <c r="D3918" t="s">
        <v>234</v>
      </c>
      <c r="E3918" t="s">
        <v>53</v>
      </c>
      <c r="F3918" t="s">
        <v>54</v>
      </c>
      <c r="G3918" t="s">
        <v>36</v>
      </c>
      <c r="H3918">
        <v>2</v>
      </c>
      <c r="I3918" s="2">
        <v>116.88</v>
      </c>
      <c r="J3918" s="2">
        <v>233.76</v>
      </c>
      <c r="K3918" s="2">
        <f t="shared" si="184"/>
        <v>233.76</v>
      </c>
      <c r="L3918" s="2">
        <f t="shared" si="185"/>
        <v>0</v>
      </c>
      <c r="M3918" t="s">
        <v>20</v>
      </c>
      <c r="N3918" t="s">
        <v>21</v>
      </c>
    </row>
    <row r="3919" spans="1:14" x14ac:dyDescent="0.3">
      <c r="A3919">
        <v>2024004917</v>
      </c>
      <c r="B3919" s="1">
        <v>45532</v>
      </c>
      <c r="C3919" s="11">
        <f t="shared" si="183"/>
        <v>2024</v>
      </c>
      <c r="D3919" t="s">
        <v>102</v>
      </c>
      <c r="E3919" t="s">
        <v>12</v>
      </c>
      <c r="F3919" t="s">
        <v>13</v>
      </c>
      <c r="G3919" t="s">
        <v>14</v>
      </c>
      <c r="H3919">
        <v>1</v>
      </c>
      <c r="I3919" s="2">
        <v>351.38</v>
      </c>
      <c r="J3919" s="2">
        <v>351.38</v>
      </c>
      <c r="K3919" s="2">
        <f t="shared" si="184"/>
        <v>351.38</v>
      </c>
      <c r="L3919" s="2">
        <f t="shared" si="185"/>
        <v>0</v>
      </c>
      <c r="M3919" t="s">
        <v>38</v>
      </c>
      <c r="N3919" t="s">
        <v>16</v>
      </c>
    </row>
    <row r="3920" spans="1:14" x14ac:dyDescent="0.3">
      <c r="A3920">
        <v>2024004918</v>
      </c>
      <c r="B3920" s="1">
        <v>45313</v>
      </c>
      <c r="C3920" s="11">
        <f t="shared" si="183"/>
        <v>2024</v>
      </c>
      <c r="D3920" t="s">
        <v>156</v>
      </c>
      <c r="E3920" t="s">
        <v>53</v>
      </c>
      <c r="F3920" t="s">
        <v>54</v>
      </c>
      <c r="G3920" t="s">
        <v>36</v>
      </c>
      <c r="H3920">
        <v>2</v>
      </c>
      <c r="I3920" s="2">
        <v>117.08</v>
      </c>
      <c r="J3920" s="2">
        <v>234.16</v>
      </c>
      <c r="K3920" s="2">
        <f t="shared" si="184"/>
        <v>234.16</v>
      </c>
      <c r="L3920" s="2">
        <f t="shared" si="185"/>
        <v>0</v>
      </c>
      <c r="M3920" t="s">
        <v>55</v>
      </c>
      <c r="N3920" t="s">
        <v>26</v>
      </c>
    </row>
    <row r="3921" spans="1:14" x14ac:dyDescent="0.3">
      <c r="A3921">
        <v>2024004919</v>
      </c>
      <c r="B3921" s="1">
        <v>45464</v>
      </c>
      <c r="C3921" s="11">
        <f t="shared" si="183"/>
        <v>2024</v>
      </c>
      <c r="D3921" t="s">
        <v>212</v>
      </c>
      <c r="E3921" t="s">
        <v>53</v>
      </c>
      <c r="F3921" t="s">
        <v>54</v>
      </c>
      <c r="G3921" t="s">
        <v>36</v>
      </c>
      <c r="H3921">
        <v>2</v>
      </c>
      <c r="I3921" s="2">
        <v>126.2</v>
      </c>
      <c r="J3921" s="2">
        <v>252.4</v>
      </c>
      <c r="K3921" s="2">
        <f t="shared" si="184"/>
        <v>252.4</v>
      </c>
      <c r="L3921" s="2">
        <f t="shared" si="185"/>
        <v>0</v>
      </c>
      <c r="M3921" t="s">
        <v>64</v>
      </c>
      <c r="N3921" t="s">
        <v>21</v>
      </c>
    </row>
    <row r="3922" spans="1:14" x14ac:dyDescent="0.3">
      <c r="A3922">
        <v>2024004920</v>
      </c>
      <c r="B3922" s="1">
        <v>45487</v>
      </c>
      <c r="C3922" s="11">
        <f t="shared" si="183"/>
        <v>2024</v>
      </c>
      <c r="D3922" t="s">
        <v>11</v>
      </c>
      <c r="E3922" t="s">
        <v>46</v>
      </c>
      <c r="F3922" t="s">
        <v>47</v>
      </c>
      <c r="G3922" t="s">
        <v>36</v>
      </c>
      <c r="H3922">
        <v>2</v>
      </c>
      <c r="I3922" s="2">
        <v>91.72</v>
      </c>
      <c r="J3922" s="2">
        <v>183.44</v>
      </c>
      <c r="K3922" s="2">
        <f t="shared" si="184"/>
        <v>183.44</v>
      </c>
      <c r="L3922" s="2">
        <f t="shared" si="185"/>
        <v>0</v>
      </c>
      <c r="M3922" t="s">
        <v>61</v>
      </c>
      <c r="N3922" t="s">
        <v>16</v>
      </c>
    </row>
    <row r="3923" spans="1:14" x14ac:dyDescent="0.3">
      <c r="A3923">
        <v>2024004921</v>
      </c>
      <c r="B3923" s="1">
        <v>45655</v>
      </c>
      <c r="C3923" s="11">
        <f t="shared" si="183"/>
        <v>2024</v>
      </c>
      <c r="D3923" t="s">
        <v>195</v>
      </c>
      <c r="E3923" t="s">
        <v>28</v>
      </c>
      <c r="F3923" t="s">
        <v>29</v>
      </c>
      <c r="G3923" t="s">
        <v>30</v>
      </c>
      <c r="H3923">
        <v>1</v>
      </c>
      <c r="I3923" s="2">
        <v>26.03</v>
      </c>
      <c r="J3923" s="2">
        <v>26.03</v>
      </c>
      <c r="K3923" s="2">
        <f t="shared" si="184"/>
        <v>26.03</v>
      </c>
      <c r="L3923" s="2">
        <f t="shared" si="185"/>
        <v>0</v>
      </c>
      <c r="M3923" t="s">
        <v>64</v>
      </c>
      <c r="N3923" t="s">
        <v>26</v>
      </c>
    </row>
    <row r="3924" spans="1:14" x14ac:dyDescent="0.3">
      <c r="A3924">
        <v>2024004922</v>
      </c>
      <c r="B3924" s="1">
        <v>45326</v>
      </c>
      <c r="C3924" s="11">
        <f t="shared" si="183"/>
        <v>2024</v>
      </c>
      <c r="D3924" t="s">
        <v>60</v>
      </c>
      <c r="E3924" t="s">
        <v>12</v>
      </c>
      <c r="F3924" t="s">
        <v>13</v>
      </c>
      <c r="G3924" t="s">
        <v>14</v>
      </c>
      <c r="H3924">
        <v>3</v>
      </c>
      <c r="I3924" s="2">
        <v>368.44</v>
      </c>
      <c r="J3924" s="2">
        <v>1105.32</v>
      </c>
      <c r="K3924" s="2">
        <f t="shared" si="184"/>
        <v>1105.32</v>
      </c>
      <c r="L3924" s="2">
        <f t="shared" si="185"/>
        <v>0</v>
      </c>
      <c r="M3924" t="s">
        <v>25</v>
      </c>
      <c r="N3924" t="s">
        <v>21</v>
      </c>
    </row>
    <row r="3925" spans="1:14" x14ac:dyDescent="0.3">
      <c r="A3925">
        <v>2024004923</v>
      </c>
      <c r="B3925" s="1">
        <v>45451</v>
      </c>
      <c r="C3925" s="11">
        <f t="shared" si="183"/>
        <v>2024</v>
      </c>
      <c r="D3925" t="s">
        <v>223</v>
      </c>
      <c r="E3925" t="s">
        <v>53</v>
      </c>
      <c r="F3925" t="s">
        <v>54</v>
      </c>
      <c r="G3925" t="s">
        <v>36</v>
      </c>
      <c r="H3925">
        <v>1</v>
      </c>
      <c r="I3925" s="2">
        <v>124.96</v>
      </c>
      <c r="J3925" s="2">
        <v>124.96</v>
      </c>
      <c r="K3925" s="2">
        <f t="shared" si="184"/>
        <v>124.96</v>
      </c>
      <c r="L3925" s="2">
        <f t="shared" si="185"/>
        <v>0</v>
      </c>
      <c r="M3925" t="s">
        <v>55</v>
      </c>
      <c r="N3925" t="s">
        <v>26</v>
      </c>
    </row>
    <row r="3926" spans="1:14" x14ac:dyDescent="0.3">
      <c r="A3926">
        <v>2024004924</v>
      </c>
      <c r="B3926" s="1">
        <v>45347</v>
      </c>
      <c r="C3926" s="11">
        <f t="shared" si="183"/>
        <v>2024</v>
      </c>
      <c r="D3926" t="s">
        <v>63</v>
      </c>
      <c r="E3926" t="s">
        <v>46</v>
      </c>
      <c r="F3926" t="s">
        <v>47</v>
      </c>
      <c r="G3926" t="s">
        <v>36</v>
      </c>
      <c r="H3926">
        <v>2</v>
      </c>
      <c r="I3926" s="2">
        <v>90.36</v>
      </c>
      <c r="J3926" s="2">
        <v>180.72</v>
      </c>
      <c r="K3926" s="2">
        <f t="shared" si="184"/>
        <v>180.72</v>
      </c>
      <c r="L3926" s="2">
        <f t="shared" si="185"/>
        <v>0</v>
      </c>
      <c r="M3926" t="s">
        <v>55</v>
      </c>
      <c r="N3926" t="s">
        <v>21</v>
      </c>
    </row>
    <row r="3927" spans="1:14" x14ac:dyDescent="0.3">
      <c r="A3927">
        <v>2024004925</v>
      </c>
      <c r="B3927" s="1">
        <v>45376</v>
      </c>
      <c r="C3927" s="11">
        <f t="shared" si="183"/>
        <v>2024</v>
      </c>
      <c r="D3927" t="s">
        <v>271</v>
      </c>
      <c r="E3927" t="s">
        <v>23</v>
      </c>
      <c r="F3927" t="s">
        <v>24</v>
      </c>
      <c r="G3927" t="s">
        <v>14</v>
      </c>
      <c r="H3927">
        <v>1</v>
      </c>
      <c r="I3927" s="2">
        <v>88.16</v>
      </c>
      <c r="J3927" s="2">
        <v>88.16</v>
      </c>
      <c r="K3927" s="2">
        <f t="shared" si="184"/>
        <v>88.16</v>
      </c>
      <c r="L3927" s="2">
        <f t="shared" si="185"/>
        <v>0</v>
      </c>
      <c r="M3927" t="s">
        <v>20</v>
      </c>
      <c r="N3927" t="s">
        <v>32</v>
      </c>
    </row>
    <row r="3928" spans="1:14" x14ac:dyDescent="0.3">
      <c r="A3928">
        <v>2024004926</v>
      </c>
      <c r="B3928" s="1">
        <v>45361</v>
      </c>
      <c r="C3928" s="11">
        <f t="shared" si="183"/>
        <v>2024</v>
      </c>
      <c r="D3928" t="s">
        <v>126</v>
      </c>
      <c r="E3928" t="s">
        <v>67</v>
      </c>
      <c r="F3928" t="s">
        <v>68</v>
      </c>
      <c r="G3928" t="s">
        <v>36</v>
      </c>
      <c r="H3928">
        <v>1</v>
      </c>
      <c r="I3928" s="2">
        <v>407.96</v>
      </c>
      <c r="J3928" s="2">
        <v>407.96</v>
      </c>
      <c r="K3928" s="2">
        <f t="shared" si="184"/>
        <v>407.96</v>
      </c>
      <c r="L3928" s="2">
        <f t="shared" si="185"/>
        <v>0</v>
      </c>
      <c r="M3928" t="s">
        <v>57</v>
      </c>
      <c r="N3928" t="s">
        <v>26</v>
      </c>
    </row>
    <row r="3929" spans="1:14" x14ac:dyDescent="0.3">
      <c r="A3929">
        <v>2024004927</v>
      </c>
      <c r="B3929" s="1">
        <v>45440</v>
      </c>
      <c r="C3929" s="11">
        <f t="shared" si="183"/>
        <v>2024</v>
      </c>
      <c r="D3929" t="s">
        <v>89</v>
      </c>
      <c r="E3929" t="s">
        <v>12</v>
      </c>
      <c r="F3929" t="s">
        <v>13</v>
      </c>
      <c r="G3929" t="s">
        <v>14</v>
      </c>
      <c r="H3929">
        <v>1</v>
      </c>
      <c r="I3929" s="2">
        <v>353.24</v>
      </c>
      <c r="J3929" s="2">
        <v>353.24</v>
      </c>
      <c r="K3929" s="2">
        <f t="shared" si="184"/>
        <v>353.24</v>
      </c>
      <c r="L3929" s="2">
        <f t="shared" si="185"/>
        <v>0</v>
      </c>
      <c r="M3929" t="s">
        <v>38</v>
      </c>
      <c r="N3929" t="s">
        <v>21</v>
      </c>
    </row>
    <row r="3930" spans="1:14" x14ac:dyDescent="0.3">
      <c r="A3930">
        <v>2024004928</v>
      </c>
      <c r="B3930" s="1">
        <v>45553</v>
      </c>
      <c r="C3930" s="11">
        <f t="shared" si="183"/>
        <v>2024</v>
      </c>
      <c r="D3930" t="s">
        <v>11</v>
      </c>
      <c r="E3930" t="s">
        <v>46</v>
      </c>
      <c r="F3930" t="s">
        <v>47</v>
      </c>
      <c r="G3930" t="s">
        <v>36</v>
      </c>
      <c r="H3930">
        <v>1</v>
      </c>
      <c r="I3930" s="2">
        <v>91.95</v>
      </c>
      <c r="J3930" s="2">
        <v>91.95</v>
      </c>
      <c r="K3930" s="2">
        <f t="shared" si="184"/>
        <v>91.95</v>
      </c>
      <c r="L3930" s="2">
        <f t="shared" si="185"/>
        <v>0</v>
      </c>
      <c r="M3930" t="s">
        <v>61</v>
      </c>
      <c r="N3930" t="s">
        <v>26</v>
      </c>
    </row>
    <row r="3931" spans="1:14" x14ac:dyDescent="0.3">
      <c r="A3931">
        <v>2024004929</v>
      </c>
      <c r="B3931" s="1">
        <v>45612</v>
      </c>
      <c r="C3931" s="11">
        <f t="shared" si="183"/>
        <v>2024</v>
      </c>
      <c r="D3931" t="s">
        <v>260</v>
      </c>
      <c r="E3931" t="s">
        <v>40</v>
      </c>
      <c r="F3931" t="s">
        <v>41</v>
      </c>
      <c r="G3931" t="s">
        <v>36</v>
      </c>
      <c r="H3931">
        <v>2</v>
      </c>
      <c r="I3931" s="2">
        <v>45.3</v>
      </c>
      <c r="J3931" s="2">
        <v>90.6</v>
      </c>
      <c r="K3931" s="2">
        <f t="shared" si="184"/>
        <v>90.6</v>
      </c>
      <c r="L3931" s="2">
        <f t="shared" si="185"/>
        <v>0</v>
      </c>
      <c r="M3931" t="s">
        <v>64</v>
      </c>
      <c r="N3931" t="s">
        <v>21</v>
      </c>
    </row>
    <row r="3932" spans="1:14" x14ac:dyDescent="0.3">
      <c r="A3932">
        <v>2024004930</v>
      </c>
      <c r="B3932" s="1">
        <v>45546</v>
      </c>
      <c r="C3932" s="11">
        <f t="shared" si="183"/>
        <v>2024</v>
      </c>
      <c r="D3932" t="s">
        <v>325</v>
      </c>
      <c r="E3932" t="s">
        <v>43</v>
      </c>
      <c r="F3932" t="s">
        <v>44</v>
      </c>
      <c r="G3932" t="s">
        <v>36</v>
      </c>
      <c r="H3932">
        <v>2</v>
      </c>
      <c r="I3932" s="2">
        <v>1146.2</v>
      </c>
      <c r="J3932" s="2">
        <v>2292.4</v>
      </c>
      <c r="K3932" s="2">
        <f t="shared" si="184"/>
        <v>2292.4</v>
      </c>
      <c r="L3932" s="2">
        <f t="shared" si="185"/>
        <v>0</v>
      </c>
      <c r="M3932" t="s">
        <v>38</v>
      </c>
      <c r="N3932" t="s">
        <v>16</v>
      </c>
    </row>
    <row r="3933" spans="1:14" x14ac:dyDescent="0.3">
      <c r="A3933">
        <v>2024004931</v>
      </c>
      <c r="B3933" s="1">
        <v>45307</v>
      </c>
      <c r="C3933" s="11">
        <f t="shared" si="183"/>
        <v>2024</v>
      </c>
      <c r="D3933" t="s">
        <v>203</v>
      </c>
      <c r="E3933" t="s">
        <v>28</v>
      </c>
      <c r="F3933" t="s">
        <v>29</v>
      </c>
      <c r="G3933" t="s">
        <v>30</v>
      </c>
      <c r="H3933">
        <v>4</v>
      </c>
      <c r="I3933" s="2">
        <v>24.85</v>
      </c>
      <c r="J3933" s="2">
        <v>99.4</v>
      </c>
      <c r="K3933" s="2">
        <f t="shared" si="184"/>
        <v>99.4</v>
      </c>
      <c r="L3933" s="2">
        <f t="shared" si="185"/>
        <v>0</v>
      </c>
      <c r="M3933" t="s">
        <v>61</v>
      </c>
      <c r="N3933" t="s">
        <v>32</v>
      </c>
    </row>
    <row r="3934" spans="1:14" x14ac:dyDescent="0.3">
      <c r="A3934">
        <v>2024004932</v>
      </c>
      <c r="B3934" s="1">
        <v>45395</v>
      </c>
      <c r="C3934" s="11">
        <f t="shared" si="183"/>
        <v>2024</v>
      </c>
      <c r="D3934" t="s">
        <v>11</v>
      </c>
      <c r="E3934" t="s">
        <v>34</v>
      </c>
      <c r="F3934" t="s">
        <v>35</v>
      </c>
      <c r="G3934" t="s">
        <v>36</v>
      </c>
      <c r="H3934">
        <v>1</v>
      </c>
      <c r="I3934" s="2">
        <v>14.82</v>
      </c>
      <c r="J3934" s="2">
        <v>14.82</v>
      </c>
      <c r="K3934" s="2">
        <f t="shared" si="184"/>
        <v>14.82</v>
      </c>
      <c r="L3934" s="2">
        <f t="shared" si="185"/>
        <v>0</v>
      </c>
      <c r="M3934" t="s">
        <v>15</v>
      </c>
      <c r="N3934" t="s">
        <v>21</v>
      </c>
    </row>
    <row r="3935" spans="1:14" x14ac:dyDescent="0.3">
      <c r="A3935">
        <v>2024004933</v>
      </c>
      <c r="B3935" s="1">
        <v>45650</v>
      </c>
      <c r="C3935" s="11">
        <f t="shared" si="183"/>
        <v>2024</v>
      </c>
      <c r="D3935" t="s">
        <v>121</v>
      </c>
      <c r="E3935" t="s">
        <v>23</v>
      </c>
      <c r="F3935" t="s">
        <v>24</v>
      </c>
      <c r="G3935" t="s">
        <v>14</v>
      </c>
      <c r="H3935">
        <v>2</v>
      </c>
      <c r="I3935" s="2">
        <v>85.62</v>
      </c>
      <c r="J3935" s="2">
        <v>171.24</v>
      </c>
      <c r="K3935" s="2">
        <f t="shared" si="184"/>
        <v>171.24</v>
      </c>
      <c r="L3935" s="2">
        <f t="shared" si="185"/>
        <v>0</v>
      </c>
      <c r="M3935" t="s">
        <v>25</v>
      </c>
      <c r="N3935" t="s">
        <v>32</v>
      </c>
    </row>
    <row r="3936" spans="1:14" x14ac:dyDescent="0.3">
      <c r="A3936">
        <v>2024004934</v>
      </c>
      <c r="B3936" s="1">
        <v>45504</v>
      </c>
      <c r="C3936" s="11">
        <f t="shared" si="183"/>
        <v>2024</v>
      </c>
      <c r="D3936" t="s">
        <v>73</v>
      </c>
      <c r="E3936" t="s">
        <v>43</v>
      </c>
      <c r="F3936" t="s">
        <v>44</v>
      </c>
      <c r="G3936" t="s">
        <v>36</v>
      </c>
      <c r="H3936">
        <v>1</v>
      </c>
      <c r="I3936" s="2">
        <v>1181.03</v>
      </c>
      <c r="J3936" s="2">
        <v>1181.03</v>
      </c>
      <c r="K3936" s="2">
        <f t="shared" si="184"/>
        <v>1181.03</v>
      </c>
      <c r="L3936" s="2">
        <f t="shared" si="185"/>
        <v>0</v>
      </c>
      <c r="M3936" t="s">
        <v>20</v>
      </c>
      <c r="N3936" t="s">
        <v>32</v>
      </c>
    </row>
    <row r="3937" spans="1:14" x14ac:dyDescent="0.3">
      <c r="A3937">
        <v>2024004935</v>
      </c>
      <c r="B3937" s="1">
        <v>45418</v>
      </c>
      <c r="C3937" s="11">
        <f t="shared" si="183"/>
        <v>2024</v>
      </c>
      <c r="D3937" t="s">
        <v>321</v>
      </c>
      <c r="E3937" t="s">
        <v>43</v>
      </c>
      <c r="F3937" t="s">
        <v>44</v>
      </c>
      <c r="G3937" t="s">
        <v>36</v>
      </c>
      <c r="H3937">
        <v>5</v>
      </c>
      <c r="I3937" s="2">
        <v>1202.51</v>
      </c>
      <c r="J3937" s="2">
        <v>6012.55</v>
      </c>
      <c r="K3937" s="2">
        <f t="shared" si="184"/>
        <v>6012.55</v>
      </c>
      <c r="L3937" s="2">
        <f t="shared" si="185"/>
        <v>0</v>
      </c>
      <c r="M3937" t="s">
        <v>48</v>
      </c>
      <c r="N3937" t="s">
        <v>26</v>
      </c>
    </row>
    <row r="3938" spans="1:14" x14ac:dyDescent="0.3">
      <c r="A3938">
        <v>2024004936</v>
      </c>
      <c r="B3938" s="1">
        <v>45602</v>
      </c>
      <c r="C3938" s="11">
        <f t="shared" si="183"/>
        <v>2024</v>
      </c>
      <c r="D3938" t="s">
        <v>153</v>
      </c>
      <c r="E3938" t="s">
        <v>28</v>
      </c>
      <c r="F3938" t="s">
        <v>29</v>
      </c>
      <c r="G3938" t="s">
        <v>30</v>
      </c>
      <c r="H3938">
        <v>2</v>
      </c>
      <c r="I3938" s="2">
        <v>24.39</v>
      </c>
      <c r="J3938" s="2">
        <v>48.78</v>
      </c>
      <c r="K3938" s="2">
        <f t="shared" si="184"/>
        <v>48.78</v>
      </c>
      <c r="L3938" s="2">
        <f t="shared" si="185"/>
        <v>0</v>
      </c>
      <c r="M3938" t="s">
        <v>64</v>
      </c>
      <c r="N3938" t="s">
        <v>26</v>
      </c>
    </row>
    <row r="3939" spans="1:14" x14ac:dyDescent="0.3">
      <c r="A3939">
        <v>2024004937</v>
      </c>
      <c r="B3939" s="1">
        <v>45620</v>
      </c>
      <c r="C3939" s="11">
        <f t="shared" si="183"/>
        <v>2024</v>
      </c>
      <c r="D3939" t="s">
        <v>264</v>
      </c>
      <c r="E3939" t="s">
        <v>28</v>
      </c>
      <c r="F3939" t="s">
        <v>29</v>
      </c>
      <c r="G3939" t="s">
        <v>30</v>
      </c>
      <c r="H3939">
        <v>1</v>
      </c>
      <c r="I3939" s="2">
        <v>26.68</v>
      </c>
      <c r="J3939" s="2">
        <v>26.68</v>
      </c>
      <c r="K3939" s="2">
        <f t="shared" si="184"/>
        <v>26.68</v>
      </c>
      <c r="L3939" s="2">
        <f t="shared" si="185"/>
        <v>0</v>
      </c>
      <c r="M3939" t="s">
        <v>31</v>
      </c>
      <c r="N3939" t="s">
        <v>21</v>
      </c>
    </row>
    <row r="3940" spans="1:14" x14ac:dyDescent="0.3">
      <c r="A3940">
        <v>2024004938</v>
      </c>
      <c r="B3940" s="1">
        <v>45428</v>
      </c>
      <c r="C3940" s="11">
        <f t="shared" si="183"/>
        <v>2024</v>
      </c>
      <c r="D3940" t="s">
        <v>347</v>
      </c>
      <c r="E3940" t="s">
        <v>43</v>
      </c>
      <c r="F3940" t="s">
        <v>44</v>
      </c>
      <c r="G3940" t="s">
        <v>36</v>
      </c>
      <c r="H3940">
        <v>2</v>
      </c>
      <c r="I3940" s="2">
        <v>1240.08</v>
      </c>
      <c r="J3940" s="2">
        <v>2480.16</v>
      </c>
      <c r="K3940" s="2">
        <f t="shared" si="184"/>
        <v>2480.16</v>
      </c>
      <c r="L3940" s="2">
        <f t="shared" si="185"/>
        <v>0</v>
      </c>
      <c r="M3940" t="s">
        <v>31</v>
      </c>
      <c r="N3940" t="s">
        <v>26</v>
      </c>
    </row>
    <row r="3941" spans="1:14" x14ac:dyDescent="0.3">
      <c r="A3941">
        <v>2024004939</v>
      </c>
      <c r="B3941" s="1">
        <v>45594</v>
      </c>
      <c r="C3941" s="11">
        <f t="shared" si="183"/>
        <v>2024</v>
      </c>
      <c r="D3941" t="s">
        <v>11</v>
      </c>
      <c r="E3941" t="s">
        <v>67</v>
      </c>
      <c r="F3941" t="s">
        <v>68</v>
      </c>
      <c r="G3941" t="s">
        <v>36</v>
      </c>
      <c r="H3941">
        <v>1</v>
      </c>
      <c r="I3941" s="2">
        <v>390.8</v>
      </c>
      <c r="J3941" s="2">
        <v>390.8</v>
      </c>
      <c r="K3941" s="2">
        <f t="shared" si="184"/>
        <v>390.8</v>
      </c>
      <c r="L3941" s="2">
        <f t="shared" si="185"/>
        <v>0</v>
      </c>
      <c r="M3941" t="s">
        <v>38</v>
      </c>
      <c r="N3941" t="s">
        <v>16</v>
      </c>
    </row>
    <row r="3942" spans="1:14" x14ac:dyDescent="0.3">
      <c r="A3942">
        <v>2024004940</v>
      </c>
      <c r="B3942" s="1">
        <v>45441</v>
      </c>
      <c r="C3942" s="11">
        <f t="shared" si="183"/>
        <v>2024</v>
      </c>
      <c r="D3942" t="s">
        <v>109</v>
      </c>
      <c r="E3942" t="s">
        <v>40</v>
      </c>
      <c r="F3942" t="s">
        <v>41</v>
      </c>
      <c r="G3942" t="s">
        <v>36</v>
      </c>
      <c r="H3942">
        <v>3</v>
      </c>
      <c r="I3942" s="2">
        <v>51.3</v>
      </c>
      <c r="J3942" s="2">
        <v>153.9</v>
      </c>
      <c r="K3942" s="2">
        <f t="shared" si="184"/>
        <v>153.89999999999998</v>
      </c>
      <c r="L3942" s="2">
        <f t="shared" si="185"/>
        <v>0</v>
      </c>
      <c r="M3942" t="s">
        <v>15</v>
      </c>
      <c r="N3942" t="s">
        <v>21</v>
      </c>
    </row>
    <row r="3943" spans="1:14" x14ac:dyDescent="0.3">
      <c r="A3943">
        <v>2024004941</v>
      </c>
      <c r="B3943" s="1">
        <v>45549</v>
      </c>
      <c r="C3943" s="11">
        <f t="shared" si="183"/>
        <v>2024</v>
      </c>
      <c r="D3943" t="s">
        <v>343</v>
      </c>
      <c r="E3943" t="s">
        <v>18</v>
      </c>
      <c r="F3943" t="s">
        <v>19</v>
      </c>
      <c r="G3943" t="s">
        <v>14</v>
      </c>
      <c r="H3943">
        <v>1</v>
      </c>
      <c r="I3943" s="2">
        <v>622.82000000000005</v>
      </c>
      <c r="J3943" s="2">
        <v>622.82000000000005</v>
      </c>
      <c r="K3943" s="2">
        <f t="shared" si="184"/>
        <v>622.82000000000005</v>
      </c>
      <c r="L3943" s="2">
        <f t="shared" si="185"/>
        <v>0</v>
      </c>
      <c r="M3943" t="s">
        <v>48</v>
      </c>
      <c r="N3943" t="s">
        <v>32</v>
      </c>
    </row>
    <row r="3944" spans="1:14" x14ac:dyDescent="0.3">
      <c r="A3944">
        <v>2024004942</v>
      </c>
      <c r="B3944" s="1">
        <v>45455</v>
      </c>
      <c r="C3944" s="11">
        <f t="shared" si="183"/>
        <v>2024</v>
      </c>
      <c r="D3944" t="s">
        <v>11</v>
      </c>
      <c r="E3944" t="s">
        <v>53</v>
      </c>
      <c r="F3944" t="s">
        <v>54</v>
      </c>
      <c r="G3944" t="s">
        <v>36</v>
      </c>
      <c r="H3944">
        <v>2</v>
      </c>
      <c r="I3944" s="2">
        <v>128.43</v>
      </c>
      <c r="J3944" s="2">
        <v>256.86</v>
      </c>
      <c r="K3944" s="2">
        <f t="shared" si="184"/>
        <v>256.86</v>
      </c>
      <c r="L3944" s="2">
        <f t="shared" si="185"/>
        <v>0</v>
      </c>
      <c r="M3944" t="s">
        <v>25</v>
      </c>
      <c r="N3944" t="s">
        <v>26</v>
      </c>
    </row>
    <row r="3945" spans="1:14" x14ac:dyDescent="0.3">
      <c r="A3945">
        <v>2024004943</v>
      </c>
      <c r="B3945" s="1">
        <v>45481</v>
      </c>
      <c r="C3945" s="11">
        <f t="shared" si="183"/>
        <v>2024</v>
      </c>
      <c r="D3945" t="s">
        <v>328</v>
      </c>
      <c r="E3945" t="s">
        <v>23</v>
      </c>
      <c r="F3945" t="s">
        <v>24</v>
      </c>
      <c r="G3945" t="s">
        <v>14</v>
      </c>
      <c r="H3945">
        <v>2</v>
      </c>
      <c r="I3945" s="2">
        <v>75.349999999999994</v>
      </c>
      <c r="J3945" s="2">
        <v>150.69999999999999</v>
      </c>
      <c r="K3945" s="2">
        <f t="shared" si="184"/>
        <v>150.69999999999999</v>
      </c>
      <c r="L3945" s="2">
        <f t="shared" si="185"/>
        <v>0</v>
      </c>
      <c r="M3945" t="s">
        <v>55</v>
      </c>
      <c r="N3945" t="s">
        <v>26</v>
      </c>
    </row>
    <row r="3946" spans="1:14" x14ac:dyDescent="0.3">
      <c r="A3946">
        <v>2024004944</v>
      </c>
      <c r="B3946" s="1">
        <v>45461</v>
      </c>
      <c r="C3946" s="11">
        <f t="shared" si="183"/>
        <v>2024</v>
      </c>
      <c r="D3946" t="s">
        <v>86</v>
      </c>
      <c r="E3946" t="s">
        <v>28</v>
      </c>
      <c r="F3946" t="s">
        <v>29</v>
      </c>
      <c r="G3946" t="s">
        <v>30</v>
      </c>
      <c r="H3946">
        <v>2</v>
      </c>
      <c r="I3946" s="2">
        <v>26.37</v>
      </c>
      <c r="J3946" s="2">
        <v>52.74</v>
      </c>
      <c r="K3946" s="2">
        <f t="shared" si="184"/>
        <v>52.74</v>
      </c>
      <c r="L3946" s="2">
        <f t="shared" si="185"/>
        <v>0</v>
      </c>
      <c r="M3946" t="s">
        <v>57</v>
      </c>
      <c r="N3946" t="s">
        <v>32</v>
      </c>
    </row>
    <row r="3947" spans="1:14" x14ac:dyDescent="0.3">
      <c r="A3947">
        <v>2024004945</v>
      </c>
      <c r="B3947" s="1">
        <v>45310</v>
      </c>
      <c r="C3947" s="11">
        <f t="shared" si="183"/>
        <v>2024</v>
      </c>
      <c r="D3947" t="s">
        <v>174</v>
      </c>
      <c r="E3947" t="s">
        <v>43</v>
      </c>
      <c r="F3947" t="s">
        <v>44</v>
      </c>
      <c r="G3947" t="s">
        <v>36</v>
      </c>
      <c r="H3947">
        <v>4</v>
      </c>
      <c r="I3947" s="2">
        <v>1267.97</v>
      </c>
      <c r="J3947" s="2">
        <v>5071.88</v>
      </c>
      <c r="K3947" s="2">
        <f t="shared" si="184"/>
        <v>5071.88</v>
      </c>
      <c r="L3947" s="2">
        <f t="shared" si="185"/>
        <v>0</v>
      </c>
      <c r="M3947" t="s">
        <v>64</v>
      </c>
      <c r="N3947" t="s">
        <v>21</v>
      </c>
    </row>
    <row r="3948" spans="1:14" x14ac:dyDescent="0.3">
      <c r="A3948">
        <v>2024004946</v>
      </c>
      <c r="B3948" s="1">
        <v>45595</v>
      </c>
      <c r="C3948" s="11">
        <f t="shared" si="183"/>
        <v>2024</v>
      </c>
      <c r="D3948" t="s">
        <v>11</v>
      </c>
      <c r="E3948" t="s">
        <v>40</v>
      </c>
      <c r="F3948" t="s">
        <v>41</v>
      </c>
      <c r="G3948" t="s">
        <v>36</v>
      </c>
      <c r="H3948">
        <v>1</v>
      </c>
      <c r="I3948" s="2">
        <v>45.79</v>
      </c>
      <c r="J3948" s="2">
        <v>45.79</v>
      </c>
      <c r="K3948" s="2">
        <f t="shared" si="184"/>
        <v>45.79</v>
      </c>
      <c r="L3948" s="2">
        <f t="shared" si="185"/>
        <v>0</v>
      </c>
      <c r="M3948" t="s">
        <v>31</v>
      </c>
      <c r="N3948" t="s">
        <v>32</v>
      </c>
    </row>
    <row r="3949" spans="1:14" x14ac:dyDescent="0.3">
      <c r="A3949">
        <v>2024004947</v>
      </c>
      <c r="B3949" s="1">
        <v>45560</v>
      </c>
      <c r="C3949" s="11">
        <f t="shared" si="183"/>
        <v>2024</v>
      </c>
      <c r="D3949" t="s">
        <v>58</v>
      </c>
      <c r="E3949" t="s">
        <v>23</v>
      </c>
      <c r="F3949" t="s">
        <v>24</v>
      </c>
      <c r="G3949" t="s">
        <v>14</v>
      </c>
      <c r="H3949">
        <v>5</v>
      </c>
      <c r="I3949" s="2">
        <v>82.6</v>
      </c>
      <c r="J3949" s="2">
        <v>413</v>
      </c>
      <c r="K3949" s="2">
        <f t="shared" si="184"/>
        <v>413</v>
      </c>
      <c r="L3949" s="2">
        <f t="shared" si="185"/>
        <v>0</v>
      </c>
      <c r="M3949" t="s">
        <v>57</v>
      </c>
      <c r="N3949" t="s">
        <v>32</v>
      </c>
    </row>
    <row r="3950" spans="1:14" x14ac:dyDescent="0.3">
      <c r="A3950">
        <v>2024004948</v>
      </c>
      <c r="B3950" s="1">
        <v>45601</v>
      </c>
      <c r="C3950" s="11">
        <f t="shared" si="183"/>
        <v>2024</v>
      </c>
      <c r="D3950" t="s">
        <v>282</v>
      </c>
      <c r="E3950" t="s">
        <v>67</v>
      </c>
      <c r="F3950" t="s">
        <v>68</v>
      </c>
      <c r="G3950" t="s">
        <v>36</v>
      </c>
      <c r="H3950">
        <v>4</v>
      </c>
      <c r="I3950" s="2">
        <v>400.26</v>
      </c>
      <c r="J3950" s="2">
        <v>1601.04</v>
      </c>
      <c r="K3950" s="2">
        <f t="shared" si="184"/>
        <v>1601.04</v>
      </c>
      <c r="L3950" s="2">
        <f t="shared" si="185"/>
        <v>0</v>
      </c>
      <c r="M3950" t="s">
        <v>61</v>
      </c>
      <c r="N3950" t="s">
        <v>32</v>
      </c>
    </row>
    <row r="3951" spans="1:14" x14ac:dyDescent="0.3">
      <c r="A3951">
        <v>2024004949</v>
      </c>
      <c r="B3951" s="1">
        <v>45650</v>
      </c>
      <c r="C3951" s="11">
        <f t="shared" si="183"/>
        <v>2024</v>
      </c>
      <c r="D3951" t="s">
        <v>196</v>
      </c>
      <c r="E3951" t="s">
        <v>43</v>
      </c>
      <c r="F3951" t="s">
        <v>44</v>
      </c>
      <c r="G3951" t="s">
        <v>36</v>
      </c>
      <c r="H3951">
        <v>3</v>
      </c>
      <c r="I3951" s="2">
        <v>1224.26</v>
      </c>
      <c r="J3951" s="2">
        <v>3672.78</v>
      </c>
      <c r="K3951" s="2">
        <f t="shared" si="184"/>
        <v>3672.7799999999997</v>
      </c>
      <c r="L3951" s="2">
        <f t="shared" si="185"/>
        <v>0</v>
      </c>
      <c r="M3951" t="s">
        <v>38</v>
      </c>
      <c r="N3951" t="s">
        <v>21</v>
      </c>
    </row>
    <row r="3952" spans="1:14" x14ac:dyDescent="0.3">
      <c r="A3952">
        <v>2024004950</v>
      </c>
      <c r="B3952" s="1">
        <v>45432</v>
      </c>
      <c r="C3952" s="11">
        <f t="shared" si="183"/>
        <v>2024</v>
      </c>
      <c r="D3952" t="s">
        <v>246</v>
      </c>
      <c r="E3952" t="s">
        <v>18</v>
      </c>
      <c r="F3952" t="s">
        <v>19</v>
      </c>
      <c r="G3952" t="s">
        <v>14</v>
      </c>
      <c r="H3952">
        <v>1</v>
      </c>
      <c r="I3952" s="2">
        <v>633.79999999999995</v>
      </c>
      <c r="J3952" s="2">
        <v>633.79999999999995</v>
      </c>
      <c r="K3952" s="2">
        <f t="shared" si="184"/>
        <v>633.79999999999995</v>
      </c>
      <c r="L3952" s="2">
        <f t="shared" si="185"/>
        <v>0</v>
      </c>
      <c r="M3952" t="s">
        <v>25</v>
      </c>
      <c r="N3952" t="s">
        <v>16</v>
      </c>
    </row>
    <row r="3953" spans="1:14" x14ac:dyDescent="0.3">
      <c r="A3953">
        <v>2024004951</v>
      </c>
      <c r="B3953" s="1">
        <v>45393</v>
      </c>
      <c r="C3953" s="11">
        <f t="shared" si="183"/>
        <v>2024</v>
      </c>
      <c r="D3953" t="s">
        <v>63</v>
      </c>
      <c r="E3953" t="s">
        <v>12</v>
      </c>
      <c r="F3953" t="s">
        <v>13</v>
      </c>
      <c r="G3953" t="s">
        <v>14</v>
      </c>
      <c r="H3953">
        <v>1</v>
      </c>
      <c r="I3953" s="2">
        <v>338.75</v>
      </c>
      <c r="J3953" s="2">
        <v>338.75</v>
      </c>
      <c r="K3953" s="2">
        <f t="shared" si="184"/>
        <v>338.75</v>
      </c>
      <c r="L3953" s="2">
        <f t="shared" si="185"/>
        <v>0</v>
      </c>
      <c r="M3953" t="s">
        <v>25</v>
      </c>
      <c r="N3953" t="s">
        <v>16</v>
      </c>
    </row>
    <row r="3954" spans="1:14" x14ac:dyDescent="0.3">
      <c r="A3954">
        <v>2024004952</v>
      </c>
      <c r="B3954" s="1">
        <v>45597</v>
      </c>
      <c r="C3954" s="11">
        <f t="shared" si="183"/>
        <v>2024</v>
      </c>
      <c r="D3954" t="s">
        <v>264</v>
      </c>
      <c r="E3954" t="s">
        <v>34</v>
      </c>
      <c r="F3954" t="s">
        <v>35</v>
      </c>
      <c r="G3954" t="s">
        <v>36</v>
      </c>
      <c r="H3954">
        <v>1</v>
      </c>
      <c r="I3954" s="2">
        <v>14.2</v>
      </c>
      <c r="J3954" s="2">
        <v>14.2</v>
      </c>
      <c r="K3954" s="2">
        <f t="shared" si="184"/>
        <v>14.2</v>
      </c>
      <c r="L3954" s="2">
        <f t="shared" si="185"/>
        <v>0</v>
      </c>
      <c r="M3954" t="s">
        <v>25</v>
      </c>
      <c r="N3954" t="s">
        <v>26</v>
      </c>
    </row>
    <row r="3955" spans="1:14" x14ac:dyDescent="0.3">
      <c r="A3955">
        <v>2024004953</v>
      </c>
      <c r="B3955" s="1">
        <v>45317</v>
      </c>
      <c r="C3955" s="11">
        <f t="shared" si="183"/>
        <v>2024</v>
      </c>
      <c r="D3955" t="s">
        <v>345</v>
      </c>
      <c r="E3955" t="s">
        <v>46</v>
      </c>
      <c r="F3955" t="s">
        <v>47</v>
      </c>
      <c r="G3955" t="s">
        <v>36</v>
      </c>
      <c r="H3955">
        <v>1</v>
      </c>
      <c r="I3955" s="2">
        <v>84.73</v>
      </c>
      <c r="J3955" s="2">
        <v>84.73</v>
      </c>
      <c r="K3955" s="2">
        <f t="shared" si="184"/>
        <v>84.73</v>
      </c>
      <c r="L3955" s="2">
        <f t="shared" si="185"/>
        <v>0</v>
      </c>
      <c r="M3955" t="s">
        <v>31</v>
      </c>
      <c r="N3955" t="s">
        <v>16</v>
      </c>
    </row>
    <row r="3956" spans="1:14" x14ac:dyDescent="0.3">
      <c r="A3956">
        <v>2024004954</v>
      </c>
      <c r="B3956" s="1">
        <v>45472</v>
      </c>
      <c r="C3956" s="11">
        <f t="shared" si="183"/>
        <v>2024</v>
      </c>
      <c r="D3956" t="s">
        <v>37</v>
      </c>
      <c r="E3956" t="s">
        <v>34</v>
      </c>
      <c r="F3956" t="s">
        <v>35</v>
      </c>
      <c r="G3956" t="s">
        <v>36</v>
      </c>
      <c r="H3956">
        <v>1</v>
      </c>
      <c r="I3956" s="2">
        <v>13.68</v>
      </c>
      <c r="J3956" s="2">
        <v>13.68</v>
      </c>
      <c r="K3956" s="2">
        <f t="shared" si="184"/>
        <v>13.68</v>
      </c>
      <c r="L3956" s="2">
        <f t="shared" si="185"/>
        <v>0</v>
      </c>
      <c r="M3956" t="s">
        <v>55</v>
      </c>
      <c r="N3956" t="s">
        <v>32</v>
      </c>
    </row>
    <row r="3957" spans="1:14" x14ac:dyDescent="0.3">
      <c r="A3957">
        <v>2024004955</v>
      </c>
      <c r="B3957" s="1">
        <v>45528</v>
      </c>
      <c r="C3957" s="11">
        <f t="shared" si="183"/>
        <v>2024</v>
      </c>
      <c r="D3957" t="s">
        <v>337</v>
      </c>
      <c r="E3957" t="s">
        <v>12</v>
      </c>
      <c r="F3957" t="s">
        <v>13</v>
      </c>
      <c r="G3957" t="s">
        <v>14</v>
      </c>
      <c r="H3957">
        <v>1</v>
      </c>
      <c r="I3957" s="2">
        <v>363.34</v>
      </c>
      <c r="J3957" s="2">
        <v>363.34</v>
      </c>
      <c r="K3957" s="2">
        <f t="shared" si="184"/>
        <v>363.34</v>
      </c>
      <c r="L3957" s="2">
        <f t="shared" si="185"/>
        <v>0</v>
      </c>
      <c r="M3957" t="s">
        <v>20</v>
      </c>
      <c r="N3957" t="s">
        <v>32</v>
      </c>
    </row>
    <row r="3958" spans="1:14" x14ac:dyDescent="0.3">
      <c r="A3958">
        <v>2024004956</v>
      </c>
      <c r="B3958" s="1">
        <v>45635</v>
      </c>
      <c r="C3958" s="11">
        <f t="shared" si="183"/>
        <v>2024</v>
      </c>
      <c r="D3958" t="s">
        <v>11</v>
      </c>
      <c r="E3958" t="s">
        <v>23</v>
      </c>
      <c r="F3958" t="s">
        <v>24</v>
      </c>
      <c r="G3958" t="s">
        <v>14</v>
      </c>
      <c r="H3958">
        <v>3</v>
      </c>
      <c r="I3958" s="2">
        <v>74.25</v>
      </c>
      <c r="J3958" s="2">
        <v>222.75</v>
      </c>
      <c r="K3958" s="2">
        <f t="shared" si="184"/>
        <v>222.75</v>
      </c>
      <c r="L3958" s="2">
        <f t="shared" si="185"/>
        <v>0</v>
      </c>
      <c r="M3958" t="s">
        <v>20</v>
      </c>
      <c r="N3958" t="s">
        <v>21</v>
      </c>
    </row>
    <row r="3959" spans="1:14" x14ac:dyDescent="0.3">
      <c r="A3959">
        <v>2024004957</v>
      </c>
      <c r="B3959" s="1">
        <v>45657</v>
      </c>
      <c r="C3959" s="11">
        <f t="shared" si="183"/>
        <v>2024</v>
      </c>
      <c r="D3959" t="s">
        <v>114</v>
      </c>
      <c r="E3959" t="s">
        <v>18</v>
      </c>
      <c r="F3959" t="s">
        <v>19</v>
      </c>
      <c r="G3959" t="s">
        <v>14</v>
      </c>
      <c r="H3959">
        <v>1</v>
      </c>
      <c r="I3959" s="2">
        <v>582.55999999999995</v>
      </c>
      <c r="J3959" s="2">
        <v>582.55999999999995</v>
      </c>
      <c r="K3959" s="2">
        <f t="shared" si="184"/>
        <v>582.55999999999995</v>
      </c>
      <c r="L3959" s="2">
        <f t="shared" si="185"/>
        <v>0</v>
      </c>
      <c r="M3959" t="s">
        <v>31</v>
      </c>
      <c r="N3959" t="s">
        <v>26</v>
      </c>
    </row>
    <row r="3960" spans="1:14" x14ac:dyDescent="0.3">
      <c r="A3960">
        <v>2024004958</v>
      </c>
      <c r="B3960" s="1">
        <v>45416</v>
      </c>
      <c r="C3960" s="11">
        <f t="shared" si="183"/>
        <v>2024</v>
      </c>
      <c r="D3960" t="s">
        <v>146</v>
      </c>
      <c r="E3960" t="s">
        <v>23</v>
      </c>
      <c r="F3960" t="s">
        <v>24</v>
      </c>
      <c r="G3960" t="s">
        <v>14</v>
      </c>
      <c r="H3960">
        <v>2</v>
      </c>
      <c r="I3960" s="2">
        <v>74.739999999999995</v>
      </c>
      <c r="J3960" s="2">
        <v>149.47999999999999</v>
      </c>
      <c r="K3960" s="2">
        <f t="shared" si="184"/>
        <v>149.47999999999999</v>
      </c>
      <c r="L3960" s="2">
        <f t="shared" si="185"/>
        <v>0</v>
      </c>
      <c r="M3960" t="s">
        <v>20</v>
      </c>
      <c r="N3960" t="s">
        <v>16</v>
      </c>
    </row>
    <row r="3961" spans="1:14" x14ac:dyDescent="0.3">
      <c r="A3961">
        <v>2024004959</v>
      </c>
      <c r="B3961" s="1">
        <v>45416</v>
      </c>
      <c r="C3961" s="11">
        <f t="shared" si="183"/>
        <v>2024</v>
      </c>
      <c r="D3961" t="s">
        <v>336</v>
      </c>
      <c r="E3961" t="s">
        <v>67</v>
      </c>
      <c r="F3961" t="s">
        <v>68</v>
      </c>
      <c r="G3961" t="s">
        <v>36</v>
      </c>
      <c r="H3961">
        <v>1</v>
      </c>
      <c r="I3961" s="2">
        <v>380.56</v>
      </c>
      <c r="J3961" s="2">
        <v>380.56</v>
      </c>
      <c r="K3961" s="2">
        <f t="shared" si="184"/>
        <v>380.56</v>
      </c>
      <c r="L3961" s="2">
        <f t="shared" si="185"/>
        <v>0</v>
      </c>
      <c r="M3961" t="s">
        <v>48</v>
      </c>
      <c r="N3961" t="s">
        <v>26</v>
      </c>
    </row>
    <row r="3962" spans="1:14" x14ac:dyDescent="0.3">
      <c r="A3962">
        <v>2024004960</v>
      </c>
      <c r="B3962" s="1">
        <v>45501</v>
      </c>
      <c r="C3962" s="11">
        <f t="shared" si="183"/>
        <v>2024</v>
      </c>
      <c r="D3962" t="s">
        <v>255</v>
      </c>
      <c r="E3962" t="s">
        <v>23</v>
      </c>
      <c r="F3962" t="s">
        <v>24</v>
      </c>
      <c r="G3962" t="s">
        <v>14</v>
      </c>
      <c r="H3962">
        <v>1</v>
      </c>
      <c r="I3962" s="2">
        <v>81.83</v>
      </c>
      <c r="J3962" s="2">
        <v>81.83</v>
      </c>
      <c r="K3962" s="2">
        <f t="shared" si="184"/>
        <v>81.83</v>
      </c>
      <c r="L3962" s="2">
        <f t="shared" si="185"/>
        <v>0</v>
      </c>
      <c r="M3962" t="s">
        <v>55</v>
      </c>
      <c r="N3962" t="s">
        <v>26</v>
      </c>
    </row>
    <row r="3963" spans="1:14" x14ac:dyDescent="0.3">
      <c r="A3963">
        <v>2024004961</v>
      </c>
      <c r="B3963" s="1">
        <v>45535</v>
      </c>
      <c r="C3963" s="11">
        <f t="shared" si="183"/>
        <v>2024</v>
      </c>
      <c r="D3963" t="s">
        <v>11</v>
      </c>
      <c r="E3963" t="s">
        <v>28</v>
      </c>
      <c r="F3963" t="s">
        <v>29</v>
      </c>
      <c r="G3963" t="s">
        <v>30</v>
      </c>
      <c r="H3963">
        <v>3</v>
      </c>
      <c r="I3963" s="2">
        <v>26.46</v>
      </c>
      <c r="J3963" s="2">
        <v>79.38</v>
      </c>
      <c r="K3963" s="2">
        <f t="shared" si="184"/>
        <v>79.38</v>
      </c>
      <c r="L3963" s="2">
        <f t="shared" si="185"/>
        <v>0</v>
      </c>
      <c r="M3963" t="s">
        <v>64</v>
      </c>
      <c r="N3963" t="s">
        <v>21</v>
      </c>
    </row>
    <row r="3964" spans="1:14" x14ac:dyDescent="0.3">
      <c r="A3964">
        <v>2024004962</v>
      </c>
      <c r="B3964" s="1">
        <v>45482</v>
      </c>
      <c r="C3964" s="11">
        <f t="shared" si="183"/>
        <v>2024</v>
      </c>
      <c r="D3964" t="s">
        <v>287</v>
      </c>
      <c r="E3964" t="s">
        <v>18</v>
      </c>
      <c r="F3964" t="s">
        <v>19</v>
      </c>
      <c r="G3964" t="s">
        <v>14</v>
      </c>
      <c r="H3964">
        <v>5</v>
      </c>
      <c r="I3964" s="2">
        <v>581.49</v>
      </c>
      <c r="J3964" s="2">
        <v>2907.45</v>
      </c>
      <c r="K3964" s="2">
        <f t="shared" si="184"/>
        <v>2907.45</v>
      </c>
      <c r="L3964" s="2">
        <f t="shared" si="185"/>
        <v>0</v>
      </c>
      <c r="M3964" t="s">
        <v>20</v>
      </c>
      <c r="N3964" t="s">
        <v>32</v>
      </c>
    </row>
    <row r="3965" spans="1:14" x14ac:dyDescent="0.3">
      <c r="A3965">
        <v>2024004963</v>
      </c>
      <c r="B3965" s="1">
        <v>45634</v>
      </c>
      <c r="C3965" s="11">
        <f t="shared" si="183"/>
        <v>2024</v>
      </c>
      <c r="D3965" t="s">
        <v>326</v>
      </c>
      <c r="E3965" t="s">
        <v>46</v>
      </c>
      <c r="F3965" t="s">
        <v>47</v>
      </c>
      <c r="G3965" t="s">
        <v>36</v>
      </c>
      <c r="H3965">
        <v>3</v>
      </c>
      <c r="I3965" s="2">
        <v>93.81</v>
      </c>
      <c r="J3965" s="2">
        <v>281.43</v>
      </c>
      <c r="K3965" s="2">
        <f t="shared" si="184"/>
        <v>281.43</v>
      </c>
      <c r="L3965" s="2">
        <f t="shared" si="185"/>
        <v>0</v>
      </c>
      <c r="M3965" t="s">
        <v>64</v>
      </c>
      <c r="N3965" t="s">
        <v>26</v>
      </c>
    </row>
    <row r="3966" spans="1:14" x14ac:dyDescent="0.3">
      <c r="A3966">
        <v>2024004964</v>
      </c>
      <c r="B3966" s="1">
        <v>45598</v>
      </c>
      <c r="C3966" s="11">
        <f t="shared" si="183"/>
        <v>2024</v>
      </c>
      <c r="D3966" t="s">
        <v>235</v>
      </c>
      <c r="E3966" t="s">
        <v>34</v>
      </c>
      <c r="F3966" t="s">
        <v>35</v>
      </c>
      <c r="G3966" t="s">
        <v>36</v>
      </c>
      <c r="H3966">
        <v>1</v>
      </c>
      <c r="I3966" s="2">
        <v>15.91</v>
      </c>
      <c r="J3966" s="2">
        <v>15.91</v>
      </c>
      <c r="K3966" s="2">
        <f t="shared" si="184"/>
        <v>15.91</v>
      </c>
      <c r="L3966" s="2">
        <f t="shared" si="185"/>
        <v>0</v>
      </c>
      <c r="M3966" t="s">
        <v>55</v>
      </c>
      <c r="N3966" t="s">
        <v>32</v>
      </c>
    </row>
    <row r="3967" spans="1:14" x14ac:dyDescent="0.3">
      <c r="A3967">
        <v>2024004965</v>
      </c>
      <c r="B3967" s="1">
        <v>45296</v>
      </c>
      <c r="C3967" s="11">
        <f t="shared" si="183"/>
        <v>2024</v>
      </c>
      <c r="D3967" t="s">
        <v>102</v>
      </c>
      <c r="E3967" t="s">
        <v>12</v>
      </c>
      <c r="F3967" t="s">
        <v>13</v>
      </c>
      <c r="G3967" t="s">
        <v>14</v>
      </c>
      <c r="H3967">
        <v>1</v>
      </c>
      <c r="I3967" s="2">
        <v>343.46</v>
      </c>
      <c r="J3967" s="2">
        <v>343.46</v>
      </c>
      <c r="K3967" s="2">
        <f t="shared" si="184"/>
        <v>343.46</v>
      </c>
      <c r="L3967" s="2">
        <f t="shared" si="185"/>
        <v>0</v>
      </c>
      <c r="M3967" t="s">
        <v>64</v>
      </c>
      <c r="N3967" t="s">
        <v>26</v>
      </c>
    </row>
    <row r="3968" spans="1:14" x14ac:dyDescent="0.3">
      <c r="A3968">
        <v>2024004966</v>
      </c>
      <c r="B3968" s="1">
        <v>45516</v>
      </c>
      <c r="C3968" s="11">
        <f t="shared" si="183"/>
        <v>2024</v>
      </c>
      <c r="D3968" t="s">
        <v>234</v>
      </c>
      <c r="E3968" t="s">
        <v>28</v>
      </c>
      <c r="F3968" t="s">
        <v>29</v>
      </c>
      <c r="G3968" t="s">
        <v>30</v>
      </c>
      <c r="H3968">
        <v>1</v>
      </c>
      <c r="I3968" s="2">
        <v>23.46</v>
      </c>
      <c r="J3968" s="2">
        <v>23.46</v>
      </c>
      <c r="K3968" s="2">
        <f t="shared" si="184"/>
        <v>23.46</v>
      </c>
      <c r="L3968" s="2">
        <f t="shared" si="185"/>
        <v>0</v>
      </c>
      <c r="M3968" t="s">
        <v>57</v>
      </c>
      <c r="N3968" t="s">
        <v>32</v>
      </c>
    </row>
    <row r="3969" spans="1:14" x14ac:dyDescent="0.3">
      <c r="A3969">
        <v>2024004967</v>
      </c>
      <c r="B3969" s="1">
        <v>45585</v>
      </c>
      <c r="C3969" s="11">
        <f t="shared" si="183"/>
        <v>2024</v>
      </c>
      <c r="D3969" t="s">
        <v>339</v>
      </c>
      <c r="E3969" t="s">
        <v>67</v>
      </c>
      <c r="F3969" t="s">
        <v>68</v>
      </c>
      <c r="G3969" t="s">
        <v>36</v>
      </c>
      <c r="H3969">
        <v>1</v>
      </c>
      <c r="I3969" s="2">
        <v>437.01</v>
      </c>
      <c r="J3969" s="2">
        <v>437.01</v>
      </c>
      <c r="K3969" s="2">
        <f t="shared" si="184"/>
        <v>437.01</v>
      </c>
      <c r="L3969" s="2">
        <f t="shared" si="185"/>
        <v>0</v>
      </c>
      <c r="M3969" t="s">
        <v>57</v>
      </c>
      <c r="N3969" t="s">
        <v>26</v>
      </c>
    </row>
    <row r="3970" spans="1:14" x14ac:dyDescent="0.3">
      <c r="A3970">
        <v>2024004968</v>
      </c>
      <c r="B3970" s="1">
        <v>45604</v>
      </c>
      <c r="C3970" s="11">
        <f t="shared" si="183"/>
        <v>2024</v>
      </c>
      <c r="D3970" t="s">
        <v>63</v>
      </c>
      <c r="E3970" t="s">
        <v>12</v>
      </c>
      <c r="F3970" t="s">
        <v>13</v>
      </c>
      <c r="G3970" t="s">
        <v>14</v>
      </c>
      <c r="H3970">
        <v>3</v>
      </c>
      <c r="I3970" s="2">
        <v>341.48</v>
      </c>
      <c r="J3970" s="2">
        <v>1024.44</v>
      </c>
      <c r="K3970" s="2">
        <f t="shared" si="184"/>
        <v>1024.44</v>
      </c>
      <c r="L3970" s="2">
        <f t="shared" si="185"/>
        <v>0</v>
      </c>
      <c r="M3970" t="s">
        <v>57</v>
      </c>
      <c r="N3970" t="s">
        <v>26</v>
      </c>
    </row>
    <row r="3971" spans="1:14" x14ac:dyDescent="0.3">
      <c r="A3971">
        <v>2024004969</v>
      </c>
      <c r="B3971" s="1">
        <v>45642</v>
      </c>
      <c r="C3971" s="11">
        <f t="shared" ref="C3971:C4034" si="186">YEAR(B3971)</f>
        <v>2024</v>
      </c>
      <c r="D3971" t="s">
        <v>159</v>
      </c>
      <c r="E3971" t="s">
        <v>67</v>
      </c>
      <c r="F3971" t="s">
        <v>68</v>
      </c>
      <c r="G3971" t="s">
        <v>36</v>
      </c>
      <c r="H3971">
        <v>2</v>
      </c>
      <c r="I3971" s="2">
        <v>386.62</v>
      </c>
      <c r="J3971" s="2">
        <v>773.24</v>
      </c>
      <c r="K3971" s="2">
        <f t="shared" ref="K3971:K4034" si="187">I3971*H3971</f>
        <v>773.24</v>
      </c>
      <c r="L3971" s="2">
        <f t="shared" ref="L3971:L4034" si="188">J3971-K3971</f>
        <v>0</v>
      </c>
      <c r="M3971" t="s">
        <v>64</v>
      </c>
      <c r="N3971" t="s">
        <v>21</v>
      </c>
    </row>
    <row r="3972" spans="1:14" x14ac:dyDescent="0.3">
      <c r="A3972">
        <v>2024004970</v>
      </c>
      <c r="B3972" s="1">
        <v>45418</v>
      </c>
      <c r="C3972" s="11">
        <f t="shared" si="186"/>
        <v>2024</v>
      </c>
      <c r="D3972" t="s">
        <v>231</v>
      </c>
      <c r="E3972" t="s">
        <v>46</v>
      </c>
      <c r="F3972" t="s">
        <v>47</v>
      </c>
      <c r="G3972" t="s">
        <v>36</v>
      </c>
      <c r="H3972">
        <v>1</v>
      </c>
      <c r="I3972" s="2">
        <v>92.05</v>
      </c>
      <c r="J3972" s="2">
        <v>92.05</v>
      </c>
      <c r="K3972" s="2">
        <f t="shared" si="187"/>
        <v>92.05</v>
      </c>
      <c r="L3972" s="2">
        <f t="shared" si="188"/>
        <v>0</v>
      </c>
      <c r="M3972" t="s">
        <v>48</v>
      </c>
      <c r="N3972" t="s">
        <v>26</v>
      </c>
    </row>
    <row r="3973" spans="1:14" x14ac:dyDescent="0.3">
      <c r="A3973">
        <v>2024004971</v>
      </c>
      <c r="B3973" s="1">
        <v>45551</v>
      </c>
      <c r="C3973" s="11">
        <f t="shared" si="186"/>
        <v>2024</v>
      </c>
      <c r="D3973" t="s">
        <v>58</v>
      </c>
      <c r="E3973" t="s">
        <v>12</v>
      </c>
      <c r="F3973" t="s">
        <v>13</v>
      </c>
      <c r="G3973" t="s">
        <v>14</v>
      </c>
      <c r="H3973">
        <v>2</v>
      </c>
      <c r="I3973" s="2">
        <v>347.07</v>
      </c>
      <c r="J3973" s="2">
        <v>694.14</v>
      </c>
      <c r="K3973" s="2">
        <f t="shared" si="187"/>
        <v>694.14</v>
      </c>
      <c r="L3973" s="2">
        <f t="shared" si="188"/>
        <v>0</v>
      </c>
      <c r="M3973" t="s">
        <v>25</v>
      </c>
      <c r="N3973" t="s">
        <v>21</v>
      </c>
    </row>
    <row r="3974" spans="1:14" x14ac:dyDescent="0.3">
      <c r="A3974">
        <v>2024004972</v>
      </c>
      <c r="B3974" s="1">
        <v>45390</v>
      </c>
      <c r="C3974" s="11">
        <f t="shared" si="186"/>
        <v>2024</v>
      </c>
      <c r="D3974" t="s">
        <v>234</v>
      </c>
      <c r="E3974" t="s">
        <v>28</v>
      </c>
      <c r="F3974" t="s">
        <v>29</v>
      </c>
      <c r="G3974" t="s">
        <v>30</v>
      </c>
      <c r="H3974">
        <v>1</v>
      </c>
      <c r="I3974" s="2">
        <v>25.98</v>
      </c>
      <c r="J3974" s="2">
        <v>25.98</v>
      </c>
      <c r="K3974" s="2">
        <f t="shared" si="187"/>
        <v>25.98</v>
      </c>
      <c r="L3974" s="2">
        <f t="shared" si="188"/>
        <v>0</v>
      </c>
      <c r="M3974" t="s">
        <v>25</v>
      </c>
      <c r="N3974" t="s">
        <v>21</v>
      </c>
    </row>
    <row r="3975" spans="1:14" x14ac:dyDescent="0.3">
      <c r="A3975">
        <v>2024004973</v>
      </c>
      <c r="B3975" s="1">
        <v>45298</v>
      </c>
      <c r="C3975" s="11">
        <f t="shared" si="186"/>
        <v>2024</v>
      </c>
      <c r="D3975" t="s">
        <v>327</v>
      </c>
      <c r="E3975" t="s">
        <v>18</v>
      </c>
      <c r="F3975" t="s">
        <v>19</v>
      </c>
      <c r="G3975" t="s">
        <v>14</v>
      </c>
      <c r="H3975">
        <v>1</v>
      </c>
      <c r="I3975" s="2">
        <v>620.5</v>
      </c>
      <c r="J3975" s="2">
        <v>620.5</v>
      </c>
      <c r="K3975" s="2">
        <f t="shared" si="187"/>
        <v>620.5</v>
      </c>
      <c r="L3975" s="2">
        <f t="shared" si="188"/>
        <v>0</v>
      </c>
      <c r="M3975" t="s">
        <v>48</v>
      </c>
      <c r="N3975" t="s">
        <v>26</v>
      </c>
    </row>
    <row r="3976" spans="1:14" x14ac:dyDescent="0.3">
      <c r="A3976">
        <v>2024004974</v>
      </c>
      <c r="B3976" s="1">
        <v>45386</v>
      </c>
      <c r="C3976" s="11">
        <f t="shared" si="186"/>
        <v>2024</v>
      </c>
      <c r="D3976" t="s">
        <v>128</v>
      </c>
      <c r="E3976" t="s">
        <v>67</v>
      </c>
      <c r="F3976" t="s">
        <v>68</v>
      </c>
      <c r="G3976" t="s">
        <v>36</v>
      </c>
      <c r="H3976">
        <v>3</v>
      </c>
      <c r="I3976" s="2">
        <v>422.84</v>
      </c>
      <c r="J3976" s="2">
        <v>1268.52</v>
      </c>
      <c r="K3976" s="2">
        <f t="shared" si="187"/>
        <v>1268.52</v>
      </c>
      <c r="L3976" s="2">
        <f t="shared" si="188"/>
        <v>0</v>
      </c>
      <c r="M3976" t="s">
        <v>31</v>
      </c>
      <c r="N3976" t="s">
        <v>26</v>
      </c>
    </row>
    <row r="3977" spans="1:14" x14ac:dyDescent="0.3">
      <c r="A3977">
        <v>2024004975</v>
      </c>
      <c r="B3977" s="1">
        <v>45345</v>
      </c>
      <c r="C3977" s="11">
        <f t="shared" si="186"/>
        <v>2024</v>
      </c>
      <c r="D3977" t="s">
        <v>269</v>
      </c>
      <c r="E3977" t="s">
        <v>40</v>
      </c>
      <c r="F3977" t="s">
        <v>41</v>
      </c>
      <c r="G3977" t="s">
        <v>36</v>
      </c>
      <c r="H3977">
        <v>1</v>
      </c>
      <c r="I3977" s="2">
        <v>44.66</v>
      </c>
      <c r="J3977" s="2">
        <v>44.66</v>
      </c>
      <c r="K3977" s="2">
        <f t="shared" si="187"/>
        <v>44.66</v>
      </c>
      <c r="L3977" s="2">
        <f t="shared" si="188"/>
        <v>0</v>
      </c>
      <c r="M3977" t="s">
        <v>31</v>
      </c>
      <c r="N3977" t="s">
        <v>32</v>
      </c>
    </row>
    <row r="3978" spans="1:14" x14ac:dyDescent="0.3">
      <c r="A3978">
        <v>2024004976</v>
      </c>
      <c r="B3978" s="1">
        <v>45477</v>
      </c>
      <c r="C3978" s="11">
        <f t="shared" si="186"/>
        <v>2024</v>
      </c>
      <c r="D3978" t="s">
        <v>206</v>
      </c>
      <c r="E3978" t="s">
        <v>34</v>
      </c>
      <c r="F3978" t="s">
        <v>35</v>
      </c>
      <c r="G3978" t="s">
        <v>36</v>
      </c>
      <c r="H3978">
        <v>1</v>
      </c>
      <c r="I3978" s="2">
        <v>15.11</v>
      </c>
      <c r="J3978" s="2">
        <v>15.11</v>
      </c>
      <c r="K3978" s="2">
        <f t="shared" si="187"/>
        <v>15.11</v>
      </c>
      <c r="L3978" s="2">
        <f t="shared" si="188"/>
        <v>0</v>
      </c>
      <c r="M3978" t="s">
        <v>38</v>
      </c>
      <c r="N3978" t="s">
        <v>21</v>
      </c>
    </row>
    <row r="3979" spans="1:14" x14ac:dyDescent="0.3">
      <c r="A3979">
        <v>2024004977</v>
      </c>
      <c r="B3979" s="1">
        <v>45556</v>
      </c>
      <c r="C3979" s="11">
        <f t="shared" si="186"/>
        <v>2024</v>
      </c>
      <c r="D3979" t="s">
        <v>120</v>
      </c>
      <c r="E3979" t="s">
        <v>40</v>
      </c>
      <c r="F3979" t="s">
        <v>41</v>
      </c>
      <c r="G3979" t="s">
        <v>36</v>
      </c>
      <c r="H3979">
        <v>2</v>
      </c>
      <c r="I3979" s="2">
        <v>46.96</v>
      </c>
      <c r="J3979" s="2">
        <v>93.92</v>
      </c>
      <c r="K3979" s="2">
        <f t="shared" si="187"/>
        <v>93.92</v>
      </c>
      <c r="L3979" s="2">
        <f t="shared" si="188"/>
        <v>0</v>
      </c>
      <c r="M3979" t="s">
        <v>20</v>
      </c>
      <c r="N3979" t="s">
        <v>21</v>
      </c>
    </row>
    <row r="3980" spans="1:14" x14ac:dyDescent="0.3">
      <c r="A3980">
        <v>2024004978</v>
      </c>
      <c r="B3980" s="1">
        <v>45382</v>
      </c>
      <c r="C3980" s="11">
        <f t="shared" si="186"/>
        <v>2024</v>
      </c>
      <c r="D3980" t="s">
        <v>242</v>
      </c>
      <c r="E3980" t="s">
        <v>46</v>
      </c>
      <c r="F3980" t="s">
        <v>47</v>
      </c>
      <c r="G3980" t="s">
        <v>36</v>
      </c>
      <c r="H3980">
        <v>1</v>
      </c>
      <c r="I3980" s="2">
        <v>93.26</v>
      </c>
      <c r="J3980" s="2">
        <v>93.26</v>
      </c>
      <c r="K3980" s="2">
        <f t="shared" si="187"/>
        <v>93.26</v>
      </c>
      <c r="L3980" s="2">
        <f t="shared" si="188"/>
        <v>0</v>
      </c>
      <c r="M3980" t="s">
        <v>61</v>
      </c>
      <c r="N3980" t="s">
        <v>26</v>
      </c>
    </row>
    <row r="3981" spans="1:14" x14ac:dyDescent="0.3">
      <c r="A3981">
        <v>2024004979</v>
      </c>
      <c r="B3981" s="1">
        <v>45657</v>
      </c>
      <c r="C3981" s="11">
        <f t="shared" si="186"/>
        <v>2024</v>
      </c>
      <c r="D3981" t="s">
        <v>238</v>
      </c>
      <c r="E3981" t="s">
        <v>67</v>
      </c>
      <c r="F3981" t="s">
        <v>68</v>
      </c>
      <c r="G3981" t="s">
        <v>36</v>
      </c>
      <c r="H3981">
        <v>3</v>
      </c>
      <c r="I3981" s="2">
        <v>407.87</v>
      </c>
      <c r="J3981" s="2">
        <v>1223.6099999999999</v>
      </c>
      <c r="K3981" s="2">
        <f t="shared" si="187"/>
        <v>1223.6100000000001</v>
      </c>
      <c r="L3981" s="2">
        <f t="shared" si="188"/>
        <v>0</v>
      </c>
      <c r="M3981" t="s">
        <v>25</v>
      </c>
      <c r="N3981" t="s">
        <v>26</v>
      </c>
    </row>
    <row r="3982" spans="1:14" x14ac:dyDescent="0.3">
      <c r="A3982">
        <v>2024004980</v>
      </c>
      <c r="B3982" s="1">
        <v>45511</v>
      </c>
      <c r="C3982" s="11">
        <f t="shared" si="186"/>
        <v>2024</v>
      </c>
      <c r="D3982" t="s">
        <v>142</v>
      </c>
      <c r="E3982" t="s">
        <v>34</v>
      </c>
      <c r="F3982" t="s">
        <v>35</v>
      </c>
      <c r="G3982" t="s">
        <v>36</v>
      </c>
      <c r="H3982">
        <v>2</v>
      </c>
      <c r="I3982" s="2">
        <v>14.82</v>
      </c>
      <c r="J3982" s="2">
        <v>29.64</v>
      </c>
      <c r="K3982" s="2">
        <f t="shared" si="187"/>
        <v>29.64</v>
      </c>
      <c r="L3982" s="2">
        <f t="shared" si="188"/>
        <v>0</v>
      </c>
      <c r="M3982" t="s">
        <v>31</v>
      </c>
      <c r="N3982" t="s">
        <v>16</v>
      </c>
    </row>
    <row r="3983" spans="1:14" x14ac:dyDescent="0.3">
      <c r="A3983">
        <v>2024004981</v>
      </c>
      <c r="B3983" s="1">
        <v>45537</v>
      </c>
      <c r="C3983" s="11">
        <f t="shared" si="186"/>
        <v>2024</v>
      </c>
      <c r="D3983" t="s">
        <v>11</v>
      </c>
      <c r="E3983" t="s">
        <v>23</v>
      </c>
      <c r="F3983" t="s">
        <v>24</v>
      </c>
      <c r="G3983" t="s">
        <v>14</v>
      </c>
      <c r="H3983">
        <v>3</v>
      </c>
      <c r="I3983" s="2">
        <v>77.23</v>
      </c>
      <c r="J3983" s="2">
        <v>231.69</v>
      </c>
      <c r="K3983" s="2">
        <f t="shared" si="187"/>
        <v>231.69</v>
      </c>
      <c r="L3983" s="2">
        <f t="shared" si="188"/>
        <v>0</v>
      </c>
      <c r="M3983" t="s">
        <v>48</v>
      </c>
      <c r="N3983" t="s">
        <v>21</v>
      </c>
    </row>
    <row r="3984" spans="1:14" x14ac:dyDescent="0.3">
      <c r="A3984">
        <v>2024004982</v>
      </c>
      <c r="B3984" s="1">
        <v>45535</v>
      </c>
      <c r="C3984" s="11">
        <f t="shared" si="186"/>
        <v>2024</v>
      </c>
      <c r="D3984" t="s">
        <v>217</v>
      </c>
      <c r="E3984" t="s">
        <v>12</v>
      </c>
      <c r="F3984" t="s">
        <v>13</v>
      </c>
      <c r="G3984" t="s">
        <v>14</v>
      </c>
      <c r="H3984">
        <v>1</v>
      </c>
      <c r="I3984" s="2">
        <v>347.05</v>
      </c>
      <c r="J3984" s="2">
        <v>347.05</v>
      </c>
      <c r="K3984" s="2">
        <f t="shared" si="187"/>
        <v>347.05</v>
      </c>
      <c r="L3984" s="2">
        <f t="shared" si="188"/>
        <v>0</v>
      </c>
      <c r="M3984" t="s">
        <v>55</v>
      </c>
      <c r="N3984" t="s">
        <v>21</v>
      </c>
    </row>
    <row r="3985" spans="1:14" x14ac:dyDescent="0.3">
      <c r="A3985">
        <v>2024004983</v>
      </c>
      <c r="B3985" s="1">
        <v>45340</v>
      </c>
      <c r="C3985" s="11">
        <f t="shared" si="186"/>
        <v>2024</v>
      </c>
      <c r="D3985" t="s">
        <v>11</v>
      </c>
      <c r="E3985" t="s">
        <v>53</v>
      </c>
      <c r="F3985" t="s">
        <v>54</v>
      </c>
      <c r="G3985" t="s">
        <v>36</v>
      </c>
      <c r="H3985">
        <v>1</v>
      </c>
      <c r="I3985" s="2">
        <v>139.6</v>
      </c>
      <c r="J3985" s="2">
        <v>139.6</v>
      </c>
      <c r="K3985" s="2">
        <f t="shared" si="187"/>
        <v>139.6</v>
      </c>
      <c r="L3985" s="2">
        <f t="shared" si="188"/>
        <v>0</v>
      </c>
      <c r="M3985" t="s">
        <v>20</v>
      </c>
      <c r="N3985" t="s">
        <v>21</v>
      </c>
    </row>
    <row r="3986" spans="1:14" x14ac:dyDescent="0.3">
      <c r="A3986">
        <v>2024004984</v>
      </c>
      <c r="B3986" s="1">
        <v>45607</v>
      </c>
      <c r="C3986" s="11">
        <f t="shared" si="186"/>
        <v>2024</v>
      </c>
      <c r="D3986" t="s">
        <v>207</v>
      </c>
      <c r="E3986" t="s">
        <v>53</v>
      </c>
      <c r="F3986" t="s">
        <v>54</v>
      </c>
      <c r="G3986" t="s">
        <v>36</v>
      </c>
      <c r="H3986">
        <v>1</v>
      </c>
      <c r="I3986" s="2">
        <v>118.27</v>
      </c>
      <c r="J3986" s="2">
        <v>118.27</v>
      </c>
      <c r="K3986" s="2">
        <f t="shared" si="187"/>
        <v>118.27</v>
      </c>
      <c r="L3986" s="2">
        <f t="shared" si="188"/>
        <v>0</v>
      </c>
      <c r="M3986" t="s">
        <v>57</v>
      </c>
      <c r="N3986" t="s">
        <v>32</v>
      </c>
    </row>
    <row r="3987" spans="1:14" x14ac:dyDescent="0.3">
      <c r="A3987">
        <v>2024004985</v>
      </c>
      <c r="B3987" s="1">
        <v>45578</v>
      </c>
      <c r="C3987" s="11">
        <f t="shared" si="186"/>
        <v>2024</v>
      </c>
      <c r="D3987" t="s">
        <v>274</v>
      </c>
      <c r="E3987" t="s">
        <v>23</v>
      </c>
      <c r="F3987" t="s">
        <v>24</v>
      </c>
      <c r="G3987" t="s">
        <v>14</v>
      </c>
      <c r="H3987">
        <v>2</v>
      </c>
      <c r="I3987" s="2">
        <v>78.459999999999994</v>
      </c>
      <c r="J3987" s="2">
        <v>156.91999999999999</v>
      </c>
      <c r="K3987" s="2">
        <f t="shared" si="187"/>
        <v>156.91999999999999</v>
      </c>
      <c r="L3987" s="2">
        <f t="shared" si="188"/>
        <v>0</v>
      </c>
      <c r="M3987" t="s">
        <v>64</v>
      </c>
      <c r="N3987" t="s">
        <v>32</v>
      </c>
    </row>
    <row r="3988" spans="1:14" x14ac:dyDescent="0.3">
      <c r="A3988">
        <v>2024004986</v>
      </c>
      <c r="B3988" s="1">
        <v>45368</v>
      </c>
      <c r="C3988" s="11">
        <f t="shared" si="186"/>
        <v>2024</v>
      </c>
      <c r="D3988" t="s">
        <v>329</v>
      </c>
      <c r="E3988" t="s">
        <v>34</v>
      </c>
      <c r="F3988" t="s">
        <v>35</v>
      </c>
      <c r="G3988" t="s">
        <v>36</v>
      </c>
      <c r="H3988">
        <v>2</v>
      </c>
      <c r="I3988" s="2">
        <v>14.26</v>
      </c>
      <c r="J3988" s="2">
        <v>28.52</v>
      </c>
      <c r="K3988" s="2">
        <f t="shared" si="187"/>
        <v>28.52</v>
      </c>
      <c r="L3988" s="2">
        <f t="shared" si="188"/>
        <v>0</v>
      </c>
      <c r="M3988" t="s">
        <v>48</v>
      </c>
      <c r="N3988" t="s">
        <v>16</v>
      </c>
    </row>
    <row r="3989" spans="1:14" x14ac:dyDescent="0.3">
      <c r="A3989">
        <v>2024004987</v>
      </c>
      <c r="B3989" s="1">
        <v>45562</v>
      </c>
      <c r="C3989" s="11">
        <f t="shared" si="186"/>
        <v>2024</v>
      </c>
      <c r="D3989" t="s">
        <v>165</v>
      </c>
      <c r="E3989" t="s">
        <v>23</v>
      </c>
      <c r="F3989" t="s">
        <v>24</v>
      </c>
      <c r="G3989" t="s">
        <v>14</v>
      </c>
      <c r="H3989">
        <v>1</v>
      </c>
      <c r="I3989" s="2">
        <v>76.63</v>
      </c>
      <c r="J3989" s="2">
        <v>76.63</v>
      </c>
      <c r="K3989" s="2">
        <f t="shared" si="187"/>
        <v>76.63</v>
      </c>
      <c r="L3989" s="2">
        <f t="shared" si="188"/>
        <v>0</v>
      </c>
      <c r="M3989" t="s">
        <v>15</v>
      </c>
      <c r="N3989" t="s">
        <v>26</v>
      </c>
    </row>
    <row r="3990" spans="1:14" x14ac:dyDescent="0.3">
      <c r="A3990">
        <v>2024004988</v>
      </c>
      <c r="B3990" s="1">
        <v>45346</v>
      </c>
      <c r="C3990" s="11">
        <f t="shared" si="186"/>
        <v>2024</v>
      </c>
      <c r="D3990" t="s">
        <v>106</v>
      </c>
      <c r="E3990" t="s">
        <v>34</v>
      </c>
      <c r="F3990" t="s">
        <v>35</v>
      </c>
      <c r="G3990" t="s">
        <v>36</v>
      </c>
      <c r="H3990">
        <v>1</v>
      </c>
      <c r="I3990" s="2">
        <v>14.79</v>
      </c>
      <c r="J3990" s="2">
        <v>14.79</v>
      </c>
      <c r="K3990" s="2">
        <f t="shared" si="187"/>
        <v>14.79</v>
      </c>
      <c r="L3990" s="2">
        <f t="shared" si="188"/>
        <v>0</v>
      </c>
      <c r="M3990" t="s">
        <v>57</v>
      </c>
      <c r="N3990" t="s">
        <v>16</v>
      </c>
    </row>
    <row r="3991" spans="1:14" x14ac:dyDescent="0.3">
      <c r="A3991">
        <v>2024004989</v>
      </c>
      <c r="B3991" s="1">
        <v>45298</v>
      </c>
      <c r="C3991" s="11">
        <f t="shared" si="186"/>
        <v>2024</v>
      </c>
      <c r="D3991" t="s">
        <v>233</v>
      </c>
      <c r="E3991" t="s">
        <v>53</v>
      </c>
      <c r="F3991" t="s">
        <v>54</v>
      </c>
      <c r="G3991" t="s">
        <v>36</v>
      </c>
      <c r="H3991">
        <v>2</v>
      </c>
      <c r="I3991" s="2">
        <v>118.03</v>
      </c>
      <c r="J3991" s="2">
        <v>236.06</v>
      </c>
      <c r="K3991" s="2">
        <f t="shared" si="187"/>
        <v>236.06</v>
      </c>
      <c r="L3991" s="2">
        <f t="shared" si="188"/>
        <v>0</v>
      </c>
      <c r="M3991" t="s">
        <v>25</v>
      </c>
      <c r="N3991" t="s">
        <v>32</v>
      </c>
    </row>
    <row r="3992" spans="1:14" x14ac:dyDescent="0.3">
      <c r="A3992">
        <v>2024004990</v>
      </c>
      <c r="B3992" s="1">
        <v>45480</v>
      </c>
      <c r="C3992" s="11">
        <f t="shared" si="186"/>
        <v>2024</v>
      </c>
      <c r="D3992" t="s">
        <v>117</v>
      </c>
      <c r="E3992" t="s">
        <v>40</v>
      </c>
      <c r="F3992" t="s">
        <v>41</v>
      </c>
      <c r="G3992" t="s">
        <v>36</v>
      </c>
      <c r="H3992">
        <v>1</v>
      </c>
      <c r="I3992" s="2">
        <v>45.26</v>
      </c>
      <c r="J3992" s="2">
        <v>45.26</v>
      </c>
      <c r="K3992" s="2">
        <f t="shared" si="187"/>
        <v>45.26</v>
      </c>
      <c r="L3992" s="2">
        <f t="shared" si="188"/>
        <v>0</v>
      </c>
      <c r="M3992" t="s">
        <v>38</v>
      </c>
      <c r="N3992" t="s">
        <v>32</v>
      </c>
    </row>
    <row r="3993" spans="1:14" x14ac:dyDescent="0.3">
      <c r="A3993">
        <v>2024004991</v>
      </c>
      <c r="B3993" s="1">
        <v>45558</v>
      </c>
      <c r="C3993" s="11">
        <f t="shared" si="186"/>
        <v>2024</v>
      </c>
      <c r="D3993" t="s">
        <v>296</v>
      </c>
      <c r="E3993" t="s">
        <v>28</v>
      </c>
      <c r="F3993" t="s">
        <v>29</v>
      </c>
      <c r="G3993" t="s">
        <v>30</v>
      </c>
      <c r="H3993">
        <v>1</v>
      </c>
      <c r="I3993" s="2">
        <v>21.9</v>
      </c>
      <c r="J3993" s="2">
        <v>21.9</v>
      </c>
      <c r="K3993" s="2">
        <f t="shared" si="187"/>
        <v>21.9</v>
      </c>
      <c r="L3993" s="2">
        <f t="shared" si="188"/>
        <v>0</v>
      </c>
      <c r="M3993" t="s">
        <v>20</v>
      </c>
      <c r="N3993" t="s">
        <v>16</v>
      </c>
    </row>
    <row r="3994" spans="1:14" x14ac:dyDescent="0.3">
      <c r="A3994">
        <v>2024004992</v>
      </c>
      <c r="B3994" s="1">
        <v>45450</v>
      </c>
      <c r="C3994" s="11">
        <f t="shared" si="186"/>
        <v>2024</v>
      </c>
      <c r="D3994" t="s">
        <v>345</v>
      </c>
      <c r="E3994" t="s">
        <v>46</v>
      </c>
      <c r="F3994" t="s">
        <v>47</v>
      </c>
      <c r="G3994" t="s">
        <v>36</v>
      </c>
      <c r="H3994">
        <v>3</v>
      </c>
      <c r="I3994" s="2">
        <v>97.07</v>
      </c>
      <c r="J3994" s="2">
        <v>291.20999999999998</v>
      </c>
      <c r="K3994" s="2">
        <f t="shared" si="187"/>
        <v>291.20999999999998</v>
      </c>
      <c r="L3994" s="2">
        <f t="shared" si="188"/>
        <v>0</v>
      </c>
      <c r="M3994" t="s">
        <v>48</v>
      </c>
      <c r="N3994" t="s">
        <v>32</v>
      </c>
    </row>
    <row r="3995" spans="1:14" x14ac:dyDescent="0.3">
      <c r="A3995">
        <v>2024004993</v>
      </c>
      <c r="B3995" s="1">
        <v>45333</v>
      </c>
      <c r="C3995" s="11">
        <f t="shared" si="186"/>
        <v>2024</v>
      </c>
      <c r="D3995" t="s">
        <v>255</v>
      </c>
      <c r="E3995" t="s">
        <v>12</v>
      </c>
      <c r="F3995" t="s">
        <v>13</v>
      </c>
      <c r="G3995" t="s">
        <v>14</v>
      </c>
      <c r="H3995">
        <v>2</v>
      </c>
      <c r="I3995" s="2">
        <v>306.95999999999998</v>
      </c>
      <c r="J3995" s="2">
        <v>613.91999999999996</v>
      </c>
      <c r="K3995" s="2">
        <f t="shared" si="187"/>
        <v>613.91999999999996</v>
      </c>
      <c r="L3995" s="2">
        <f t="shared" si="188"/>
        <v>0</v>
      </c>
      <c r="M3995" t="s">
        <v>25</v>
      </c>
      <c r="N3995" t="s">
        <v>32</v>
      </c>
    </row>
    <row r="3996" spans="1:14" x14ac:dyDescent="0.3">
      <c r="A3996">
        <v>2024004994</v>
      </c>
      <c r="B3996" s="1">
        <v>45653</v>
      </c>
      <c r="C3996" s="11">
        <f t="shared" si="186"/>
        <v>2024</v>
      </c>
      <c r="D3996" t="s">
        <v>197</v>
      </c>
      <c r="E3996" t="s">
        <v>18</v>
      </c>
      <c r="F3996" t="s">
        <v>19</v>
      </c>
      <c r="G3996" t="s">
        <v>14</v>
      </c>
      <c r="H3996">
        <v>2</v>
      </c>
      <c r="I3996" s="2">
        <v>624.48</v>
      </c>
      <c r="J3996" s="2">
        <v>1248.96</v>
      </c>
      <c r="K3996" s="2">
        <f t="shared" si="187"/>
        <v>1248.96</v>
      </c>
      <c r="L3996" s="2">
        <f t="shared" si="188"/>
        <v>0</v>
      </c>
      <c r="M3996" t="s">
        <v>20</v>
      </c>
      <c r="N3996" t="s">
        <v>32</v>
      </c>
    </row>
    <row r="3997" spans="1:14" x14ac:dyDescent="0.3">
      <c r="A3997">
        <v>2024004995</v>
      </c>
      <c r="B3997" s="1">
        <v>45396</v>
      </c>
      <c r="C3997" s="11">
        <f t="shared" si="186"/>
        <v>2024</v>
      </c>
      <c r="D3997" t="s">
        <v>289</v>
      </c>
      <c r="E3997" t="s">
        <v>53</v>
      </c>
      <c r="F3997" t="s">
        <v>54</v>
      </c>
      <c r="G3997" t="s">
        <v>36</v>
      </c>
      <c r="H3997">
        <v>1</v>
      </c>
      <c r="I3997" s="2">
        <v>121.52</v>
      </c>
      <c r="J3997" s="2">
        <v>121.52</v>
      </c>
      <c r="K3997" s="2">
        <f t="shared" si="187"/>
        <v>121.52</v>
      </c>
      <c r="L3997" s="2">
        <f t="shared" si="188"/>
        <v>0</v>
      </c>
      <c r="M3997" t="s">
        <v>25</v>
      </c>
      <c r="N3997" t="s">
        <v>21</v>
      </c>
    </row>
    <row r="3998" spans="1:14" x14ac:dyDescent="0.3">
      <c r="A3998">
        <v>2024004996</v>
      </c>
      <c r="B3998" s="1">
        <v>45338</v>
      </c>
      <c r="C3998" s="11">
        <f t="shared" si="186"/>
        <v>2024</v>
      </c>
      <c r="D3998" t="s">
        <v>116</v>
      </c>
      <c r="E3998" t="s">
        <v>46</v>
      </c>
      <c r="F3998" t="s">
        <v>47</v>
      </c>
      <c r="G3998" t="s">
        <v>36</v>
      </c>
      <c r="H3998">
        <v>1</v>
      </c>
      <c r="I3998" s="2">
        <v>88.83</v>
      </c>
      <c r="J3998" s="2">
        <v>88.83</v>
      </c>
      <c r="K3998" s="2">
        <f t="shared" si="187"/>
        <v>88.83</v>
      </c>
      <c r="L3998" s="2">
        <f t="shared" si="188"/>
        <v>0</v>
      </c>
      <c r="M3998" t="s">
        <v>38</v>
      </c>
      <c r="N3998" t="s">
        <v>26</v>
      </c>
    </row>
    <row r="3999" spans="1:14" x14ac:dyDescent="0.3">
      <c r="A3999">
        <v>2024004997</v>
      </c>
      <c r="B3999" s="1">
        <v>45430</v>
      </c>
      <c r="C3999" s="11">
        <f t="shared" si="186"/>
        <v>2024</v>
      </c>
      <c r="D3999" t="s">
        <v>11</v>
      </c>
      <c r="E3999" t="s">
        <v>18</v>
      </c>
      <c r="F3999" t="s">
        <v>19</v>
      </c>
      <c r="G3999" t="s">
        <v>14</v>
      </c>
      <c r="H3999">
        <v>1</v>
      </c>
      <c r="I3999" s="2">
        <v>650.53</v>
      </c>
      <c r="J3999" s="2">
        <v>650.53</v>
      </c>
      <c r="K3999" s="2">
        <f t="shared" si="187"/>
        <v>650.53</v>
      </c>
      <c r="L3999" s="2">
        <f t="shared" si="188"/>
        <v>0</v>
      </c>
      <c r="M3999" t="s">
        <v>31</v>
      </c>
      <c r="N3999" t="s">
        <v>21</v>
      </c>
    </row>
    <row r="4000" spans="1:14" x14ac:dyDescent="0.3">
      <c r="A4000">
        <v>2024004998</v>
      </c>
      <c r="B4000" s="1">
        <v>45515</v>
      </c>
      <c r="C4000" s="11">
        <f t="shared" si="186"/>
        <v>2024</v>
      </c>
      <c r="D4000" t="s">
        <v>84</v>
      </c>
      <c r="E4000" t="s">
        <v>43</v>
      </c>
      <c r="F4000" t="s">
        <v>44</v>
      </c>
      <c r="G4000" t="s">
        <v>36</v>
      </c>
      <c r="H4000">
        <v>2</v>
      </c>
      <c r="I4000" s="2">
        <v>1044.54</v>
      </c>
      <c r="J4000" s="2">
        <v>2089.08</v>
      </c>
      <c r="K4000" s="2">
        <f t="shared" si="187"/>
        <v>2089.08</v>
      </c>
      <c r="L4000" s="2">
        <f t="shared" si="188"/>
        <v>0</v>
      </c>
      <c r="M4000" t="s">
        <v>31</v>
      </c>
      <c r="N4000" t="s">
        <v>26</v>
      </c>
    </row>
    <row r="4001" spans="1:14" x14ac:dyDescent="0.3">
      <c r="A4001">
        <v>2024004999</v>
      </c>
      <c r="B4001" s="1">
        <v>45524</v>
      </c>
      <c r="C4001" s="11">
        <f t="shared" si="186"/>
        <v>2024</v>
      </c>
      <c r="D4001" t="s">
        <v>261</v>
      </c>
      <c r="E4001" t="s">
        <v>23</v>
      </c>
      <c r="F4001" t="s">
        <v>24</v>
      </c>
      <c r="G4001" t="s">
        <v>14</v>
      </c>
      <c r="H4001">
        <v>4</v>
      </c>
      <c r="I4001" s="2">
        <v>71.83</v>
      </c>
      <c r="J4001" s="2">
        <v>287.32</v>
      </c>
      <c r="K4001" s="2">
        <f t="shared" si="187"/>
        <v>287.32</v>
      </c>
      <c r="L4001" s="2">
        <f t="shared" si="188"/>
        <v>0</v>
      </c>
      <c r="M4001" t="s">
        <v>48</v>
      </c>
      <c r="N4001" t="s">
        <v>26</v>
      </c>
    </row>
    <row r="4002" spans="1:14" x14ac:dyDescent="0.3">
      <c r="A4002">
        <v>2024005000</v>
      </c>
      <c r="B4002" s="1">
        <v>45340</v>
      </c>
      <c r="C4002" s="11">
        <f t="shared" si="186"/>
        <v>2024</v>
      </c>
      <c r="D4002" t="s">
        <v>11</v>
      </c>
      <c r="E4002" t="s">
        <v>46</v>
      </c>
      <c r="F4002" t="s">
        <v>47</v>
      </c>
      <c r="G4002" t="s">
        <v>36</v>
      </c>
      <c r="H4002">
        <v>1</v>
      </c>
      <c r="I4002" s="2">
        <v>93.24</v>
      </c>
      <c r="J4002" s="2">
        <v>93.24</v>
      </c>
      <c r="K4002" s="2">
        <f t="shared" si="187"/>
        <v>93.24</v>
      </c>
      <c r="L4002" s="2">
        <f t="shared" si="188"/>
        <v>0</v>
      </c>
      <c r="M4002" t="s">
        <v>55</v>
      </c>
      <c r="N4002" t="s">
        <v>21</v>
      </c>
    </row>
    <row r="4003" spans="1:14" x14ac:dyDescent="0.3">
      <c r="A4003">
        <v>2024005001</v>
      </c>
      <c r="B4003" s="1">
        <v>45493</v>
      </c>
      <c r="C4003" s="11">
        <f t="shared" si="186"/>
        <v>2024</v>
      </c>
      <c r="D4003" t="s">
        <v>75</v>
      </c>
      <c r="E4003" t="s">
        <v>18</v>
      </c>
      <c r="F4003" t="s">
        <v>19</v>
      </c>
      <c r="G4003" t="s">
        <v>14</v>
      </c>
      <c r="H4003">
        <v>4</v>
      </c>
      <c r="I4003" s="2">
        <v>644.41</v>
      </c>
      <c r="J4003" s="2">
        <v>2577.64</v>
      </c>
      <c r="K4003" s="2">
        <f t="shared" si="187"/>
        <v>2577.64</v>
      </c>
      <c r="L4003" s="2">
        <f t="shared" si="188"/>
        <v>0</v>
      </c>
      <c r="M4003" t="s">
        <v>31</v>
      </c>
      <c r="N4003" t="s">
        <v>16</v>
      </c>
    </row>
    <row r="4004" spans="1:14" x14ac:dyDescent="0.3">
      <c r="A4004">
        <v>2024005002</v>
      </c>
      <c r="B4004" s="1">
        <v>45534</v>
      </c>
      <c r="C4004" s="11">
        <f t="shared" si="186"/>
        <v>2024</v>
      </c>
      <c r="D4004" t="s">
        <v>299</v>
      </c>
      <c r="E4004" t="s">
        <v>28</v>
      </c>
      <c r="F4004" t="s">
        <v>29</v>
      </c>
      <c r="G4004" t="s">
        <v>30</v>
      </c>
      <c r="H4004">
        <v>1</v>
      </c>
      <c r="I4004" s="2">
        <v>24.97</v>
      </c>
      <c r="J4004" s="2">
        <v>24.97</v>
      </c>
      <c r="K4004" s="2">
        <f t="shared" si="187"/>
        <v>24.97</v>
      </c>
      <c r="L4004" s="2">
        <f t="shared" si="188"/>
        <v>0</v>
      </c>
      <c r="M4004" t="s">
        <v>57</v>
      </c>
      <c r="N4004" t="s">
        <v>21</v>
      </c>
    </row>
    <row r="4005" spans="1:14" x14ac:dyDescent="0.3">
      <c r="A4005">
        <v>2024005003</v>
      </c>
      <c r="B4005" s="1">
        <v>45341</v>
      </c>
      <c r="C4005" s="11">
        <f t="shared" si="186"/>
        <v>2024</v>
      </c>
      <c r="D4005" t="s">
        <v>167</v>
      </c>
      <c r="E4005" t="s">
        <v>23</v>
      </c>
      <c r="F4005" t="s">
        <v>24</v>
      </c>
      <c r="G4005" t="s">
        <v>14</v>
      </c>
      <c r="H4005">
        <v>2</v>
      </c>
      <c r="I4005" s="2">
        <v>83.71</v>
      </c>
      <c r="J4005" s="2">
        <v>167.42</v>
      </c>
      <c r="K4005" s="2">
        <f t="shared" si="187"/>
        <v>167.42</v>
      </c>
      <c r="L4005" s="2">
        <f t="shared" si="188"/>
        <v>0</v>
      </c>
      <c r="M4005" t="s">
        <v>20</v>
      </c>
      <c r="N4005" t="s">
        <v>32</v>
      </c>
    </row>
    <row r="4006" spans="1:14" x14ac:dyDescent="0.3">
      <c r="A4006">
        <v>2024005004</v>
      </c>
      <c r="B4006" s="1">
        <v>45305</v>
      </c>
      <c r="C4006" s="11">
        <f t="shared" si="186"/>
        <v>2024</v>
      </c>
      <c r="D4006" t="s">
        <v>285</v>
      </c>
      <c r="E4006" t="s">
        <v>40</v>
      </c>
      <c r="F4006" t="s">
        <v>41</v>
      </c>
      <c r="G4006" t="s">
        <v>36</v>
      </c>
      <c r="H4006">
        <v>1</v>
      </c>
      <c r="I4006" s="2">
        <v>44.18</v>
      </c>
      <c r="J4006" s="2">
        <v>44.18</v>
      </c>
      <c r="K4006" s="2">
        <f t="shared" si="187"/>
        <v>44.18</v>
      </c>
      <c r="L4006" s="2">
        <f t="shared" si="188"/>
        <v>0</v>
      </c>
      <c r="M4006" t="s">
        <v>25</v>
      </c>
      <c r="N4006" t="s">
        <v>21</v>
      </c>
    </row>
    <row r="4007" spans="1:14" x14ac:dyDescent="0.3">
      <c r="A4007">
        <v>2024005005</v>
      </c>
      <c r="B4007" s="1">
        <v>45300</v>
      </c>
      <c r="C4007" s="11">
        <f t="shared" si="186"/>
        <v>2024</v>
      </c>
      <c r="D4007" t="s">
        <v>276</v>
      </c>
      <c r="E4007" t="s">
        <v>46</v>
      </c>
      <c r="F4007" t="s">
        <v>47</v>
      </c>
      <c r="G4007" t="s">
        <v>36</v>
      </c>
      <c r="H4007">
        <v>1</v>
      </c>
      <c r="I4007" s="2">
        <v>91.33</v>
      </c>
      <c r="J4007" s="2">
        <v>91.33</v>
      </c>
      <c r="K4007" s="2">
        <f t="shared" si="187"/>
        <v>91.33</v>
      </c>
      <c r="L4007" s="2">
        <f t="shared" si="188"/>
        <v>0</v>
      </c>
      <c r="M4007" t="s">
        <v>57</v>
      </c>
      <c r="N4007" t="s">
        <v>21</v>
      </c>
    </row>
    <row r="4008" spans="1:14" x14ac:dyDescent="0.3">
      <c r="A4008">
        <v>2024005006</v>
      </c>
      <c r="B4008" s="1">
        <v>45312</v>
      </c>
      <c r="C4008" s="11">
        <f t="shared" si="186"/>
        <v>2024</v>
      </c>
      <c r="D4008" t="s">
        <v>204</v>
      </c>
      <c r="E4008" t="s">
        <v>43</v>
      </c>
      <c r="F4008" t="s">
        <v>44</v>
      </c>
      <c r="G4008" t="s">
        <v>36</v>
      </c>
      <c r="H4008">
        <v>1</v>
      </c>
      <c r="I4008" s="2">
        <v>1183.52</v>
      </c>
      <c r="J4008" s="2">
        <v>1183.52</v>
      </c>
      <c r="K4008" s="2">
        <f t="shared" si="187"/>
        <v>1183.52</v>
      </c>
      <c r="L4008" s="2">
        <f t="shared" si="188"/>
        <v>0</v>
      </c>
      <c r="M4008" t="s">
        <v>48</v>
      </c>
      <c r="N4008" t="s">
        <v>32</v>
      </c>
    </row>
    <row r="4009" spans="1:14" x14ac:dyDescent="0.3">
      <c r="A4009">
        <v>2024005007</v>
      </c>
      <c r="B4009" s="1">
        <v>45324</v>
      </c>
      <c r="C4009" s="11">
        <f t="shared" si="186"/>
        <v>2024</v>
      </c>
      <c r="D4009" t="s">
        <v>76</v>
      </c>
      <c r="E4009" t="s">
        <v>40</v>
      </c>
      <c r="F4009" t="s">
        <v>41</v>
      </c>
      <c r="G4009" t="s">
        <v>36</v>
      </c>
      <c r="H4009">
        <v>1</v>
      </c>
      <c r="I4009" s="2">
        <v>48.08</v>
      </c>
      <c r="J4009" s="2">
        <v>48.08</v>
      </c>
      <c r="K4009" s="2">
        <f t="shared" si="187"/>
        <v>48.08</v>
      </c>
      <c r="L4009" s="2">
        <f t="shared" si="188"/>
        <v>0</v>
      </c>
      <c r="M4009" t="s">
        <v>61</v>
      </c>
      <c r="N4009" t="s">
        <v>21</v>
      </c>
    </row>
    <row r="4010" spans="1:14" x14ac:dyDescent="0.3">
      <c r="A4010">
        <v>2024005008</v>
      </c>
      <c r="B4010" s="1">
        <v>45596</v>
      </c>
      <c r="C4010" s="11">
        <f t="shared" si="186"/>
        <v>2024</v>
      </c>
      <c r="D4010" t="s">
        <v>243</v>
      </c>
      <c r="E4010" t="s">
        <v>12</v>
      </c>
      <c r="F4010" t="s">
        <v>13</v>
      </c>
      <c r="G4010" t="s">
        <v>14</v>
      </c>
      <c r="H4010">
        <v>1</v>
      </c>
      <c r="I4010" s="2">
        <v>341.13</v>
      </c>
      <c r="J4010" s="2">
        <v>341.13</v>
      </c>
      <c r="K4010" s="2">
        <f t="shared" si="187"/>
        <v>341.13</v>
      </c>
      <c r="L4010" s="2">
        <f t="shared" si="188"/>
        <v>0</v>
      </c>
      <c r="M4010" t="s">
        <v>20</v>
      </c>
      <c r="N4010" t="s">
        <v>32</v>
      </c>
    </row>
    <row r="4011" spans="1:14" x14ac:dyDescent="0.3">
      <c r="A4011">
        <v>2024005009</v>
      </c>
      <c r="B4011" s="1">
        <v>45623</v>
      </c>
      <c r="C4011" s="11">
        <f t="shared" si="186"/>
        <v>2024</v>
      </c>
      <c r="D4011" t="s">
        <v>198</v>
      </c>
      <c r="E4011" t="s">
        <v>18</v>
      </c>
      <c r="F4011" t="s">
        <v>19</v>
      </c>
      <c r="G4011" t="s">
        <v>14</v>
      </c>
      <c r="H4011">
        <v>4</v>
      </c>
      <c r="I4011" s="2">
        <v>650.47</v>
      </c>
      <c r="J4011" s="2">
        <v>2601.88</v>
      </c>
      <c r="K4011" s="2">
        <f t="shared" si="187"/>
        <v>2601.88</v>
      </c>
      <c r="L4011" s="2">
        <f t="shared" si="188"/>
        <v>0</v>
      </c>
      <c r="M4011" t="s">
        <v>38</v>
      </c>
      <c r="N4011" t="s">
        <v>21</v>
      </c>
    </row>
    <row r="4012" spans="1:14" x14ac:dyDescent="0.3">
      <c r="A4012">
        <v>2024005010</v>
      </c>
      <c r="B4012" s="1">
        <v>45417</v>
      </c>
      <c r="C4012" s="11">
        <f t="shared" si="186"/>
        <v>2024</v>
      </c>
      <c r="D4012" t="s">
        <v>99</v>
      </c>
      <c r="E4012" t="s">
        <v>34</v>
      </c>
      <c r="F4012" t="s">
        <v>35</v>
      </c>
      <c r="G4012" t="s">
        <v>36</v>
      </c>
      <c r="H4012">
        <v>1</v>
      </c>
      <c r="I4012" s="2">
        <v>14.8</v>
      </c>
      <c r="J4012" s="2">
        <v>14.8</v>
      </c>
      <c r="K4012" s="2">
        <f t="shared" si="187"/>
        <v>14.8</v>
      </c>
      <c r="L4012" s="2">
        <f t="shared" si="188"/>
        <v>0</v>
      </c>
      <c r="M4012" t="s">
        <v>55</v>
      </c>
      <c r="N4012" t="s">
        <v>16</v>
      </c>
    </row>
    <row r="4013" spans="1:14" x14ac:dyDescent="0.3">
      <c r="A4013">
        <v>2024005011</v>
      </c>
      <c r="B4013" s="1">
        <v>45312</v>
      </c>
      <c r="C4013" s="11">
        <f t="shared" si="186"/>
        <v>2024</v>
      </c>
      <c r="D4013" t="s">
        <v>11</v>
      </c>
      <c r="E4013" t="s">
        <v>28</v>
      </c>
      <c r="F4013" t="s">
        <v>29</v>
      </c>
      <c r="G4013" t="s">
        <v>30</v>
      </c>
      <c r="H4013">
        <v>4</v>
      </c>
      <c r="I4013" s="2">
        <v>25.78</v>
      </c>
      <c r="J4013" s="2">
        <v>103.12</v>
      </c>
      <c r="K4013" s="2">
        <f t="shared" si="187"/>
        <v>103.12</v>
      </c>
      <c r="L4013" s="2">
        <f t="shared" si="188"/>
        <v>0</v>
      </c>
      <c r="M4013" t="s">
        <v>20</v>
      </c>
      <c r="N4013" t="s">
        <v>21</v>
      </c>
    </row>
    <row r="4014" spans="1:14" x14ac:dyDescent="0.3">
      <c r="A4014">
        <v>2024005012</v>
      </c>
      <c r="B4014" s="1">
        <v>45360</v>
      </c>
      <c r="C4014" s="11">
        <f t="shared" si="186"/>
        <v>2024</v>
      </c>
      <c r="D4014" t="s">
        <v>11</v>
      </c>
      <c r="E4014" t="s">
        <v>18</v>
      </c>
      <c r="F4014" t="s">
        <v>19</v>
      </c>
      <c r="G4014" t="s">
        <v>14</v>
      </c>
      <c r="H4014">
        <v>1</v>
      </c>
      <c r="I4014" s="2">
        <v>597.09</v>
      </c>
      <c r="J4014" s="2">
        <v>597.09</v>
      </c>
      <c r="K4014" s="2">
        <f t="shared" si="187"/>
        <v>597.09</v>
      </c>
      <c r="L4014" s="2">
        <f t="shared" si="188"/>
        <v>0</v>
      </c>
      <c r="M4014" t="s">
        <v>31</v>
      </c>
      <c r="N4014" t="s">
        <v>21</v>
      </c>
    </row>
    <row r="4015" spans="1:14" x14ac:dyDescent="0.3">
      <c r="A4015">
        <v>2024005013</v>
      </c>
      <c r="B4015" s="1">
        <v>45494</v>
      </c>
      <c r="C4015" s="11">
        <f t="shared" si="186"/>
        <v>2024</v>
      </c>
      <c r="D4015" t="s">
        <v>167</v>
      </c>
      <c r="E4015" t="s">
        <v>34</v>
      </c>
      <c r="F4015" t="s">
        <v>35</v>
      </c>
      <c r="G4015" t="s">
        <v>36</v>
      </c>
      <c r="H4015">
        <v>1</v>
      </c>
      <c r="I4015" s="2">
        <v>14.26</v>
      </c>
      <c r="J4015" s="2">
        <v>14.26</v>
      </c>
      <c r="K4015" s="2">
        <f t="shared" si="187"/>
        <v>14.26</v>
      </c>
      <c r="L4015" s="2">
        <f t="shared" si="188"/>
        <v>0</v>
      </c>
      <c r="M4015" t="s">
        <v>64</v>
      </c>
      <c r="N4015" t="s">
        <v>26</v>
      </c>
    </row>
    <row r="4016" spans="1:14" x14ac:dyDescent="0.3">
      <c r="A4016">
        <v>2024005014</v>
      </c>
      <c r="B4016" s="1">
        <v>45594</v>
      </c>
      <c r="C4016" s="11">
        <f t="shared" si="186"/>
        <v>2024</v>
      </c>
      <c r="D4016" t="s">
        <v>39</v>
      </c>
      <c r="E4016" t="s">
        <v>34</v>
      </c>
      <c r="F4016" t="s">
        <v>35</v>
      </c>
      <c r="G4016" t="s">
        <v>36</v>
      </c>
      <c r="H4016">
        <v>2</v>
      </c>
      <c r="I4016" s="2">
        <v>15.07</v>
      </c>
      <c r="J4016" s="2">
        <v>30.14</v>
      </c>
      <c r="K4016" s="2">
        <f t="shared" si="187"/>
        <v>30.14</v>
      </c>
      <c r="L4016" s="2">
        <f t="shared" si="188"/>
        <v>0</v>
      </c>
      <c r="M4016" t="s">
        <v>31</v>
      </c>
      <c r="N4016" t="s">
        <v>32</v>
      </c>
    </row>
    <row r="4017" spans="1:14" x14ac:dyDescent="0.3">
      <c r="A4017">
        <v>2024005015</v>
      </c>
      <c r="B4017" s="1">
        <v>45564</v>
      </c>
      <c r="C4017" s="11">
        <f t="shared" si="186"/>
        <v>2024</v>
      </c>
      <c r="D4017" t="s">
        <v>208</v>
      </c>
      <c r="E4017" t="s">
        <v>23</v>
      </c>
      <c r="F4017" t="s">
        <v>24</v>
      </c>
      <c r="G4017" t="s">
        <v>14</v>
      </c>
      <c r="H4017">
        <v>5</v>
      </c>
      <c r="I4017" s="2">
        <v>77.33</v>
      </c>
      <c r="J4017" s="2">
        <v>386.65</v>
      </c>
      <c r="K4017" s="2">
        <f t="shared" si="187"/>
        <v>386.65</v>
      </c>
      <c r="L4017" s="2">
        <f t="shared" si="188"/>
        <v>0</v>
      </c>
      <c r="M4017" t="s">
        <v>61</v>
      </c>
      <c r="N4017" t="s">
        <v>21</v>
      </c>
    </row>
    <row r="4018" spans="1:14" x14ac:dyDescent="0.3">
      <c r="A4018">
        <v>2024005016</v>
      </c>
      <c r="B4018" s="1">
        <v>45348</v>
      </c>
      <c r="C4018" s="11">
        <f t="shared" si="186"/>
        <v>2024</v>
      </c>
      <c r="D4018" t="s">
        <v>120</v>
      </c>
      <c r="E4018" t="s">
        <v>53</v>
      </c>
      <c r="F4018" t="s">
        <v>54</v>
      </c>
      <c r="G4018" t="s">
        <v>36</v>
      </c>
      <c r="H4018">
        <v>1</v>
      </c>
      <c r="I4018" s="2">
        <v>121.41</v>
      </c>
      <c r="J4018" s="2">
        <v>121.41</v>
      </c>
      <c r="K4018" s="2">
        <f t="shared" si="187"/>
        <v>121.41</v>
      </c>
      <c r="L4018" s="2">
        <f t="shared" si="188"/>
        <v>0</v>
      </c>
      <c r="M4018" t="s">
        <v>15</v>
      </c>
      <c r="N4018" t="s">
        <v>16</v>
      </c>
    </row>
    <row r="4019" spans="1:14" x14ac:dyDescent="0.3">
      <c r="A4019">
        <v>2024005017</v>
      </c>
      <c r="B4019" s="1">
        <v>45294</v>
      </c>
      <c r="C4019" s="11">
        <f t="shared" si="186"/>
        <v>2024</v>
      </c>
      <c r="D4019" t="s">
        <v>331</v>
      </c>
      <c r="E4019" t="s">
        <v>34</v>
      </c>
      <c r="F4019" t="s">
        <v>35</v>
      </c>
      <c r="G4019" t="s">
        <v>36</v>
      </c>
      <c r="H4019">
        <v>1</v>
      </c>
      <c r="I4019" s="2">
        <v>15.05</v>
      </c>
      <c r="J4019" s="2">
        <v>15.05</v>
      </c>
      <c r="K4019" s="2">
        <f t="shared" si="187"/>
        <v>15.05</v>
      </c>
      <c r="L4019" s="2">
        <f t="shared" si="188"/>
        <v>0</v>
      </c>
      <c r="M4019" t="s">
        <v>38</v>
      </c>
      <c r="N4019" t="s">
        <v>21</v>
      </c>
    </row>
    <row r="4020" spans="1:14" x14ac:dyDescent="0.3">
      <c r="A4020">
        <v>2024005018</v>
      </c>
      <c r="B4020" s="1">
        <v>45652</v>
      </c>
      <c r="C4020" s="11">
        <f t="shared" si="186"/>
        <v>2024</v>
      </c>
      <c r="D4020" t="s">
        <v>11</v>
      </c>
      <c r="E4020" t="s">
        <v>34</v>
      </c>
      <c r="F4020" t="s">
        <v>35</v>
      </c>
      <c r="G4020" t="s">
        <v>36</v>
      </c>
      <c r="H4020">
        <v>2</v>
      </c>
      <c r="I4020" s="2">
        <v>15.16</v>
      </c>
      <c r="J4020" s="2">
        <v>30.32</v>
      </c>
      <c r="K4020" s="2">
        <f t="shared" si="187"/>
        <v>30.32</v>
      </c>
      <c r="L4020" s="2">
        <f t="shared" si="188"/>
        <v>0</v>
      </c>
      <c r="M4020" t="s">
        <v>25</v>
      </c>
      <c r="N4020" t="s">
        <v>32</v>
      </c>
    </row>
    <row r="4021" spans="1:14" x14ac:dyDescent="0.3">
      <c r="A4021">
        <v>2024005019</v>
      </c>
      <c r="B4021" s="1">
        <v>45509</v>
      </c>
      <c r="C4021" s="11">
        <f t="shared" si="186"/>
        <v>2024</v>
      </c>
      <c r="D4021" t="s">
        <v>331</v>
      </c>
      <c r="E4021" t="s">
        <v>46</v>
      </c>
      <c r="F4021" t="s">
        <v>47</v>
      </c>
      <c r="G4021" t="s">
        <v>36</v>
      </c>
      <c r="H4021">
        <v>1</v>
      </c>
      <c r="I4021" s="2">
        <v>88.73</v>
      </c>
      <c r="J4021" s="2">
        <v>88.73</v>
      </c>
      <c r="K4021" s="2">
        <f t="shared" si="187"/>
        <v>88.73</v>
      </c>
      <c r="L4021" s="2">
        <f t="shared" si="188"/>
        <v>0</v>
      </c>
      <c r="M4021" t="s">
        <v>20</v>
      </c>
      <c r="N4021" t="s">
        <v>16</v>
      </c>
    </row>
    <row r="4022" spans="1:14" x14ac:dyDescent="0.3">
      <c r="A4022">
        <v>2024005020</v>
      </c>
      <c r="B4022" s="1">
        <v>45315</v>
      </c>
      <c r="C4022" s="11">
        <f t="shared" si="186"/>
        <v>2024</v>
      </c>
      <c r="D4022" t="s">
        <v>200</v>
      </c>
      <c r="E4022" t="s">
        <v>12</v>
      </c>
      <c r="F4022" t="s">
        <v>13</v>
      </c>
      <c r="G4022" t="s">
        <v>14</v>
      </c>
      <c r="H4022">
        <v>1</v>
      </c>
      <c r="I4022" s="2">
        <v>335.94</v>
      </c>
      <c r="J4022" s="2">
        <v>335.94</v>
      </c>
      <c r="K4022" s="2">
        <f t="shared" si="187"/>
        <v>335.94</v>
      </c>
      <c r="L4022" s="2">
        <f t="shared" si="188"/>
        <v>0</v>
      </c>
      <c r="M4022" t="s">
        <v>57</v>
      </c>
      <c r="N4022" t="s">
        <v>32</v>
      </c>
    </row>
    <row r="4023" spans="1:14" x14ac:dyDescent="0.3">
      <c r="A4023">
        <v>2024005021</v>
      </c>
      <c r="B4023" s="1">
        <v>45550</v>
      </c>
      <c r="C4023" s="11">
        <f t="shared" si="186"/>
        <v>2024</v>
      </c>
      <c r="D4023" t="s">
        <v>219</v>
      </c>
      <c r="E4023" t="s">
        <v>34</v>
      </c>
      <c r="F4023" t="s">
        <v>35</v>
      </c>
      <c r="G4023" t="s">
        <v>36</v>
      </c>
      <c r="H4023">
        <v>1</v>
      </c>
      <c r="I4023" s="2">
        <v>16.37</v>
      </c>
      <c r="J4023" s="2">
        <v>16.37</v>
      </c>
      <c r="K4023" s="2">
        <f t="shared" si="187"/>
        <v>16.37</v>
      </c>
      <c r="L4023" s="2">
        <f t="shared" si="188"/>
        <v>0</v>
      </c>
      <c r="M4023" t="s">
        <v>38</v>
      </c>
      <c r="N4023" t="s">
        <v>16</v>
      </c>
    </row>
    <row r="4024" spans="1:14" x14ac:dyDescent="0.3">
      <c r="A4024">
        <v>2024005022</v>
      </c>
      <c r="B4024" s="1">
        <v>45330</v>
      </c>
      <c r="C4024" s="11">
        <f t="shared" si="186"/>
        <v>2024</v>
      </c>
      <c r="D4024" t="s">
        <v>11</v>
      </c>
      <c r="E4024" t="s">
        <v>53</v>
      </c>
      <c r="F4024" t="s">
        <v>54</v>
      </c>
      <c r="G4024" t="s">
        <v>36</v>
      </c>
      <c r="H4024">
        <v>1</v>
      </c>
      <c r="I4024" s="2">
        <v>126.64</v>
      </c>
      <c r="J4024" s="2">
        <v>126.64</v>
      </c>
      <c r="K4024" s="2">
        <f t="shared" si="187"/>
        <v>126.64</v>
      </c>
      <c r="L4024" s="2">
        <f t="shared" si="188"/>
        <v>0</v>
      </c>
      <c r="M4024" t="s">
        <v>55</v>
      </c>
      <c r="N4024" t="s">
        <v>32</v>
      </c>
    </row>
    <row r="4025" spans="1:14" x14ac:dyDescent="0.3">
      <c r="A4025">
        <v>2024005023</v>
      </c>
      <c r="B4025" s="1">
        <v>45455</v>
      </c>
      <c r="C4025" s="11">
        <f t="shared" si="186"/>
        <v>2024</v>
      </c>
      <c r="D4025" t="s">
        <v>11</v>
      </c>
      <c r="E4025" t="s">
        <v>43</v>
      </c>
      <c r="F4025" t="s">
        <v>44</v>
      </c>
      <c r="G4025" t="s">
        <v>36</v>
      </c>
      <c r="H4025">
        <v>1</v>
      </c>
      <c r="I4025" s="2">
        <v>1278.3399999999999</v>
      </c>
      <c r="J4025" s="2">
        <v>1278.3399999999999</v>
      </c>
      <c r="K4025" s="2">
        <f t="shared" si="187"/>
        <v>1278.3399999999999</v>
      </c>
      <c r="L4025" s="2">
        <f t="shared" si="188"/>
        <v>0</v>
      </c>
      <c r="M4025" t="s">
        <v>25</v>
      </c>
      <c r="N4025" t="s">
        <v>16</v>
      </c>
    </row>
    <row r="4026" spans="1:14" x14ac:dyDescent="0.3">
      <c r="A4026">
        <v>2024005024</v>
      </c>
      <c r="B4026" s="1">
        <v>45478</v>
      </c>
      <c r="C4026" s="11">
        <f t="shared" si="186"/>
        <v>2024</v>
      </c>
      <c r="D4026" t="s">
        <v>37</v>
      </c>
      <c r="E4026" t="s">
        <v>12</v>
      </c>
      <c r="F4026" t="s">
        <v>13</v>
      </c>
      <c r="G4026" t="s">
        <v>14</v>
      </c>
      <c r="H4026">
        <v>1</v>
      </c>
      <c r="I4026" s="2">
        <v>359.19</v>
      </c>
      <c r="J4026" s="2">
        <v>359.19</v>
      </c>
      <c r="K4026" s="2">
        <f t="shared" si="187"/>
        <v>359.19</v>
      </c>
      <c r="L4026" s="2">
        <f t="shared" si="188"/>
        <v>0</v>
      </c>
      <c r="M4026" t="s">
        <v>20</v>
      </c>
      <c r="N4026" t="s">
        <v>32</v>
      </c>
    </row>
    <row r="4027" spans="1:14" x14ac:dyDescent="0.3">
      <c r="A4027">
        <v>2024005025</v>
      </c>
      <c r="B4027" s="1">
        <v>45300</v>
      </c>
      <c r="C4027" s="11">
        <f t="shared" si="186"/>
        <v>2024</v>
      </c>
      <c r="D4027" t="s">
        <v>329</v>
      </c>
      <c r="E4027" t="s">
        <v>40</v>
      </c>
      <c r="F4027" t="s">
        <v>41</v>
      </c>
      <c r="G4027" t="s">
        <v>36</v>
      </c>
      <c r="H4027">
        <v>2</v>
      </c>
      <c r="I4027" s="2">
        <v>47.34</v>
      </c>
      <c r="J4027" s="2">
        <v>94.68</v>
      </c>
      <c r="K4027" s="2">
        <f t="shared" si="187"/>
        <v>94.68</v>
      </c>
      <c r="L4027" s="2">
        <f t="shared" si="188"/>
        <v>0</v>
      </c>
      <c r="M4027" t="s">
        <v>55</v>
      </c>
      <c r="N4027" t="s">
        <v>32</v>
      </c>
    </row>
    <row r="4028" spans="1:14" x14ac:dyDescent="0.3">
      <c r="A4028">
        <v>2024005026</v>
      </c>
      <c r="B4028" s="1">
        <v>45444</v>
      </c>
      <c r="C4028" s="11">
        <f t="shared" si="186"/>
        <v>2024</v>
      </c>
      <c r="D4028" t="s">
        <v>309</v>
      </c>
      <c r="E4028" t="s">
        <v>23</v>
      </c>
      <c r="F4028" t="s">
        <v>24</v>
      </c>
      <c r="G4028" t="s">
        <v>14</v>
      </c>
      <c r="H4028">
        <v>3</v>
      </c>
      <c r="I4028" s="2">
        <v>83.26</v>
      </c>
      <c r="J4028" s="2">
        <v>249.78</v>
      </c>
      <c r="K4028" s="2">
        <f t="shared" si="187"/>
        <v>249.78000000000003</v>
      </c>
      <c r="L4028" s="2">
        <f t="shared" si="188"/>
        <v>0</v>
      </c>
      <c r="M4028" t="s">
        <v>57</v>
      </c>
      <c r="N4028" t="s">
        <v>32</v>
      </c>
    </row>
    <row r="4029" spans="1:14" x14ac:dyDescent="0.3">
      <c r="A4029">
        <v>2024005027</v>
      </c>
      <c r="B4029" s="1">
        <v>45402</v>
      </c>
      <c r="C4029" s="11">
        <f t="shared" si="186"/>
        <v>2024</v>
      </c>
      <c r="D4029" t="s">
        <v>82</v>
      </c>
      <c r="E4029" t="s">
        <v>28</v>
      </c>
      <c r="F4029" t="s">
        <v>29</v>
      </c>
      <c r="G4029" t="s">
        <v>30</v>
      </c>
      <c r="H4029">
        <v>3</v>
      </c>
      <c r="I4029" s="2">
        <v>28.75</v>
      </c>
      <c r="J4029" s="2">
        <v>86.25</v>
      </c>
      <c r="K4029" s="2">
        <f t="shared" si="187"/>
        <v>86.25</v>
      </c>
      <c r="L4029" s="2">
        <f t="shared" si="188"/>
        <v>0</v>
      </c>
      <c r="M4029" t="s">
        <v>15</v>
      </c>
      <c r="N4029" t="s">
        <v>26</v>
      </c>
    </row>
    <row r="4030" spans="1:14" x14ac:dyDescent="0.3">
      <c r="A4030">
        <v>2024005028</v>
      </c>
      <c r="B4030" s="1">
        <v>45511</v>
      </c>
      <c r="C4030" s="11">
        <f t="shared" si="186"/>
        <v>2024</v>
      </c>
      <c r="D4030" t="s">
        <v>59</v>
      </c>
      <c r="E4030" t="s">
        <v>67</v>
      </c>
      <c r="F4030" t="s">
        <v>68</v>
      </c>
      <c r="G4030" t="s">
        <v>36</v>
      </c>
      <c r="H4030">
        <v>2</v>
      </c>
      <c r="I4030" s="2">
        <v>418.06</v>
      </c>
      <c r="J4030" s="2">
        <v>836.12</v>
      </c>
      <c r="K4030" s="2">
        <f t="shared" si="187"/>
        <v>836.12</v>
      </c>
      <c r="L4030" s="2">
        <f t="shared" si="188"/>
        <v>0</v>
      </c>
      <c r="M4030" t="s">
        <v>55</v>
      </c>
      <c r="N4030" t="s">
        <v>26</v>
      </c>
    </row>
    <row r="4031" spans="1:14" x14ac:dyDescent="0.3">
      <c r="A4031">
        <v>2024005029</v>
      </c>
      <c r="B4031" s="1">
        <v>45604</v>
      </c>
      <c r="C4031" s="11">
        <f t="shared" si="186"/>
        <v>2024</v>
      </c>
      <c r="D4031" t="s">
        <v>312</v>
      </c>
      <c r="E4031" t="s">
        <v>67</v>
      </c>
      <c r="F4031" t="s">
        <v>68</v>
      </c>
      <c r="G4031" t="s">
        <v>36</v>
      </c>
      <c r="H4031">
        <v>1</v>
      </c>
      <c r="I4031" s="2">
        <v>359.76</v>
      </c>
      <c r="J4031" s="2">
        <v>359.76</v>
      </c>
      <c r="K4031" s="2">
        <f t="shared" si="187"/>
        <v>359.76</v>
      </c>
      <c r="L4031" s="2">
        <f t="shared" si="188"/>
        <v>0</v>
      </c>
      <c r="M4031" t="s">
        <v>20</v>
      </c>
      <c r="N4031" t="s">
        <v>26</v>
      </c>
    </row>
    <row r="4032" spans="1:14" x14ac:dyDescent="0.3">
      <c r="A4032">
        <v>2024005030</v>
      </c>
      <c r="B4032" s="1">
        <v>45327</v>
      </c>
      <c r="C4032" s="11">
        <f t="shared" si="186"/>
        <v>2024</v>
      </c>
      <c r="D4032" t="s">
        <v>132</v>
      </c>
      <c r="E4032" t="s">
        <v>43</v>
      </c>
      <c r="F4032" t="s">
        <v>44</v>
      </c>
      <c r="G4032" t="s">
        <v>36</v>
      </c>
      <c r="H4032">
        <v>5</v>
      </c>
      <c r="I4032" s="2">
        <v>1217.21</v>
      </c>
      <c r="J4032" s="2">
        <v>6086.05</v>
      </c>
      <c r="K4032" s="2">
        <f t="shared" si="187"/>
        <v>6086.05</v>
      </c>
      <c r="L4032" s="2">
        <f t="shared" si="188"/>
        <v>0</v>
      </c>
      <c r="M4032" t="s">
        <v>61</v>
      </c>
      <c r="N4032" t="s">
        <v>26</v>
      </c>
    </row>
    <row r="4033" spans="1:14" x14ac:dyDescent="0.3">
      <c r="A4033">
        <v>2024005031</v>
      </c>
      <c r="B4033" s="1">
        <v>45310</v>
      </c>
      <c r="C4033" s="11">
        <f t="shared" si="186"/>
        <v>2024</v>
      </c>
      <c r="D4033" t="s">
        <v>91</v>
      </c>
      <c r="E4033" t="s">
        <v>40</v>
      </c>
      <c r="F4033" t="s">
        <v>41</v>
      </c>
      <c r="G4033" t="s">
        <v>36</v>
      </c>
      <c r="H4033">
        <v>2</v>
      </c>
      <c r="I4033" s="2">
        <v>47.98</v>
      </c>
      <c r="J4033" s="2">
        <v>95.96</v>
      </c>
      <c r="K4033" s="2">
        <f t="shared" si="187"/>
        <v>95.96</v>
      </c>
      <c r="L4033" s="2">
        <f t="shared" si="188"/>
        <v>0</v>
      </c>
      <c r="M4033" t="s">
        <v>64</v>
      </c>
      <c r="N4033" t="s">
        <v>21</v>
      </c>
    </row>
    <row r="4034" spans="1:14" x14ac:dyDescent="0.3">
      <c r="A4034">
        <v>2024005032</v>
      </c>
      <c r="B4034" s="1">
        <v>45490</v>
      </c>
      <c r="C4034" s="11">
        <f t="shared" si="186"/>
        <v>2024</v>
      </c>
      <c r="D4034" t="s">
        <v>335</v>
      </c>
      <c r="E4034" t="s">
        <v>23</v>
      </c>
      <c r="F4034" t="s">
        <v>24</v>
      </c>
      <c r="G4034" t="s">
        <v>14</v>
      </c>
      <c r="H4034">
        <v>2</v>
      </c>
      <c r="I4034" s="2">
        <v>80.56</v>
      </c>
      <c r="J4034" s="2">
        <v>161.12</v>
      </c>
      <c r="K4034" s="2">
        <f t="shared" si="187"/>
        <v>161.12</v>
      </c>
      <c r="L4034" s="2">
        <f t="shared" si="188"/>
        <v>0</v>
      </c>
      <c r="M4034" t="s">
        <v>61</v>
      </c>
      <c r="N4034" t="s">
        <v>16</v>
      </c>
    </row>
    <row r="4035" spans="1:14" x14ac:dyDescent="0.3">
      <c r="A4035">
        <v>2024005033</v>
      </c>
      <c r="B4035" s="1">
        <v>45638</v>
      </c>
      <c r="C4035" s="11">
        <f t="shared" ref="C4035:C4098" si="189">YEAR(B4035)</f>
        <v>2024</v>
      </c>
      <c r="D4035" t="s">
        <v>197</v>
      </c>
      <c r="E4035" t="s">
        <v>46</v>
      </c>
      <c r="F4035" t="s">
        <v>47</v>
      </c>
      <c r="G4035" t="s">
        <v>36</v>
      </c>
      <c r="H4035">
        <v>1</v>
      </c>
      <c r="I4035" s="2">
        <v>84.6</v>
      </c>
      <c r="J4035" s="2">
        <v>84.6</v>
      </c>
      <c r="K4035" s="2">
        <f t="shared" ref="K4035:K4098" si="190">I4035*H4035</f>
        <v>84.6</v>
      </c>
      <c r="L4035" s="2">
        <f t="shared" ref="L4035:L4098" si="191">J4035-K4035</f>
        <v>0</v>
      </c>
      <c r="M4035" t="s">
        <v>38</v>
      </c>
      <c r="N4035" t="s">
        <v>32</v>
      </c>
    </row>
    <row r="4036" spans="1:14" x14ac:dyDescent="0.3">
      <c r="A4036">
        <v>2024005034</v>
      </c>
      <c r="B4036" s="1">
        <v>45312</v>
      </c>
      <c r="C4036" s="11">
        <f t="shared" si="189"/>
        <v>2024</v>
      </c>
      <c r="D4036" t="s">
        <v>11</v>
      </c>
      <c r="E4036" t="s">
        <v>67</v>
      </c>
      <c r="F4036" t="s">
        <v>68</v>
      </c>
      <c r="G4036" t="s">
        <v>36</v>
      </c>
      <c r="H4036">
        <v>4</v>
      </c>
      <c r="I4036" s="2">
        <v>367.89</v>
      </c>
      <c r="J4036" s="2">
        <v>1471.56</v>
      </c>
      <c r="K4036" s="2">
        <f t="shared" si="190"/>
        <v>1471.56</v>
      </c>
      <c r="L4036" s="2">
        <f t="shared" si="191"/>
        <v>0</v>
      </c>
      <c r="M4036" t="s">
        <v>57</v>
      </c>
      <c r="N4036" t="s">
        <v>32</v>
      </c>
    </row>
    <row r="4037" spans="1:14" x14ac:dyDescent="0.3">
      <c r="A4037">
        <v>2024005035</v>
      </c>
      <c r="B4037" s="1">
        <v>45331</v>
      </c>
      <c r="C4037" s="11">
        <f t="shared" si="189"/>
        <v>2024</v>
      </c>
      <c r="D4037" t="s">
        <v>134</v>
      </c>
      <c r="E4037" t="s">
        <v>46</v>
      </c>
      <c r="F4037" t="s">
        <v>47</v>
      </c>
      <c r="G4037" t="s">
        <v>36</v>
      </c>
      <c r="H4037">
        <v>3</v>
      </c>
      <c r="I4037" s="2">
        <v>89.66</v>
      </c>
      <c r="J4037" s="2">
        <v>268.98</v>
      </c>
      <c r="K4037" s="2">
        <f t="shared" si="190"/>
        <v>268.98</v>
      </c>
      <c r="L4037" s="2">
        <f t="shared" si="191"/>
        <v>0</v>
      </c>
      <c r="M4037" t="s">
        <v>31</v>
      </c>
      <c r="N4037" t="s">
        <v>21</v>
      </c>
    </row>
    <row r="4038" spans="1:14" x14ac:dyDescent="0.3">
      <c r="A4038">
        <v>2024005036</v>
      </c>
      <c r="B4038" s="1">
        <v>45641</v>
      </c>
      <c r="C4038" s="11">
        <f t="shared" si="189"/>
        <v>2024</v>
      </c>
      <c r="D4038" t="s">
        <v>304</v>
      </c>
      <c r="E4038" t="s">
        <v>34</v>
      </c>
      <c r="F4038" t="s">
        <v>35</v>
      </c>
      <c r="G4038" t="s">
        <v>36</v>
      </c>
      <c r="H4038">
        <v>2</v>
      </c>
      <c r="I4038" s="2">
        <v>14.97</v>
      </c>
      <c r="J4038" s="2">
        <v>29.94</v>
      </c>
      <c r="K4038" s="2">
        <f t="shared" si="190"/>
        <v>29.94</v>
      </c>
      <c r="L4038" s="2">
        <f t="shared" si="191"/>
        <v>0</v>
      </c>
      <c r="M4038" t="s">
        <v>61</v>
      </c>
      <c r="N4038" t="s">
        <v>16</v>
      </c>
    </row>
    <row r="4039" spans="1:14" x14ac:dyDescent="0.3">
      <c r="A4039">
        <v>2024005037</v>
      </c>
      <c r="B4039" s="1">
        <v>45453</v>
      </c>
      <c r="C4039" s="11">
        <f t="shared" si="189"/>
        <v>2024</v>
      </c>
      <c r="D4039" t="s">
        <v>199</v>
      </c>
      <c r="E4039" t="s">
        <v>34</v>
      </c>
      <c r="F4039" t="s">
        <v>35</v>
      </c>
      <c r="G4039" t="s">
        <v>36</v>
      </c>
      <c r="H4039">
        <v>3</v>
      </c>
      <c r="I4039" s="2">
        <v>14.09</v>
      </c>
      <c r="J4039" s="2">
        <v>42.27</v>
      </c>
      <c r="K4039" s="2">
        <f t="shared" si="190"/>
        <v>42.269999999999996</v>
      </c>
      <c r="L4039" s="2">
        <f t="shared" si="191"/>
        <v>0</v>
      </c>
      <c r="M4039" t="s">
        <v>55</v>
      </c>
      <c r="N4039" t="s">
        <v>16</v>
      </c>
    </row>
    <row r="4040" spans="1:14" x14ac:dyDescent="0.3">
      <c r="A4040">
        <v>2024005038</v>
      </c>
      <c r="B4040" s="1">
        <v>45552</v>
      </c>
      <c r="C4040" s="11">
        <f t="shared" si="189"/>
        <v>2024</v>
      </c>
      <c r="D4040" t="s">
        <v>39</v>
      </c>
      <c r="E4040" t="s">
        <v>23</v>
      </c>
      <c r="F4040" t="s">
        <v>24</v>
      </c>
      <c r="G4040" t="s">
        <v>14</v>
      </c>
      <c r="H4040">
        <v>4</v>
      </c>
      <c r="I4040" s="2">
        <v>86.87</v>
      </c>
      <c r="J4040" s="2">
        <v>347.48</v>
      </c>
      <c r="K4040" s="2">
        <f t="shared" si="190"/>
        <v>347.48</v>
      </c>
      <c r="L4040" s="2">
        <f t="shared" si="191"/>
        <v>0</v>
      </c>
      <c r="M4040" t="s">
        <v>38</v>
      </c>
      <c r="N4040" t="s">
        <v>21</v>
      </c>
    </row>
    <row r="4041" spans="1:14" x14ac:dyDescent="0.3">
      <c r="A4041">
        <v>2024005039</v>
      </c>
      <c r="B4041" s="1">
        <v>45422</v>
      </c>
      <c r="C4041" s="11">
        <f t="shared" si="189"/>
        <v>2024</v>
      </c>
      <c r="D4041" t="s">
        <v>346</v>
      </c>
      <c r="E4041" t="s">
        <v>46</v>
      </c>
      <c r="F4041" t="s">
        <v>47</v>
      </c>
      <c r="G4041" t="s">
        <v>36</v>
      </c>
      <c r="H4041">
        <v>2</v>
      </c>
      <c r="I4041" s="2">
        <v>92.88</v>
      </c>
      <c r="J4041" s="2">
        <v>185.76</v>
      </c>
      <c r="K4041" s="2">
        <f t="shared" si="190"/>
        <v>185.76</v>
      </c>
      <c r="L4041" s="2">
        <f t="shared" si="191"/>
        <v>0</v>
      </c>
      <c r="M4041" t="s">
        <v>64</v>
      </c>
      <c r="N4041" t="s">
        <v>26</v>
      </c>
    </row>
    <row r="4042" spans="1:14" x14ac:dyDescent="0.3">
      <c r="A4042">
        <v>2024005040</v>
      </c>
      <c r="B4042" s="1">
        <v>45429</v>
      </c>
      <c r="C4042" s="11">
        <f t="shared" si="189"/>
        <v>2024</v>
      </c>
      <c r="D4042" t="s">
        <v>249</v>
      </c>
      <c r="E4042" t="s">
        <v>34</v>
      </c>
      <c r="F4042" t="s">
        <v>35</v>
      </c>
      <c r="G4042" t="s">
        <v>36</v>
      </c>
      <c r="H4042">
        <v>3</v>
      </c>
      <c r="I4042" s="2">
        <v>14.43</v>
      </c>
      <c r="J4042" s="2">
        <v>43.29</v>
      </c>
      <c r="K4042" s="2">
        <f t="shared" si="190"/>
        <v>43.29</v>
      </c>
      <c r="L4042" s="2">
        <f t="shared" si="191"/>
        <v>0</v>
      </c>
      <c r="M4042" t="s">
        <v>20</v>
      </c>
      <c r="N4042" t="s">
        <v>16</v>
      </c>
    </row>
    <row r="4043" spans="1:14" x14ac:dyDescent="0.3">
      <c r="A4043">
        <v>2024005041</v>
      </c>
      <c r="B4043" s="1">
        <v>45353</v>
      </c>
      <c r="C4043" s="11">
        <f t="shared" si="189"/>
        <v>2024</v>
      </c>
      <c r="D4043" t="s">
        <v>89</v>
      </c>
      <c r="E4043" t="s">
        <v>46</v>
      </c>
      <c r="F4043" t="s">
        <v>47</v>
      </c>
      <c r="G4043" t="s">
        <v>36</v>
      </c>
      <c r="H4043">
        <v>1</v>
      </c>
      <c r="I4043" s="2">
        <v>85.05</v>
      </c>
      <c r="J4043" s="2">
        <v>85.05</v>
      </c>
      <c r="K4043" s="2">
        <f t="shared" si="190"/>
        <v>85.05</v>
      </c>
      <c r="L4043" s="2">
        <f t="shared" si="191"/>
        <v>0</v>
      </c>
      <c r="M4043" t="s">
        <v>20</v>
      </c>
      <c r="N4043" t="s">
        <v>26</v>
      </c>
    </row>
    <row r="4044" spans="1:14" x14ac:dyDescent="0.3">
      <c r="A4044">
        <v>2024005042</v>
      </c>
      <c r="B4044" s="1">
        <v>45347</v>
      </c>
      <c r="C4044" s="11">
        <f t="shared" si="189"/>
        <v>2024</v>
      </c>
      <c r="D4044" t="s">
        <v>200</v>
      </c>
      <c r="E4044" t="s">
        <v>43</v>
      </c>
      <c r="F4044" t="s">
        <v>44</v>
      </c>
      <c r="G4044" t="s">
        <v>36</v>
      </c>
      <c r="H4044">
        <v>2</v>
      </c>
      <c r="I4044" s="2">
        <v>1214.3900000000001</v>
      </c>
      <c r="J4044" s="2">
        <v>2428.7800000000002</v>
      </c>
      <c r="K4044" s="2">
        <f t="shared" si="190"/>
        <v>2428.7800000000002</v>
      </c>
      <c r="L4044" s="2">
        <f t="shared" si="191"/>
        <v>0</v>
      </c>
      <c r="M4044" t="s">
        <v>15</v>
      </c>
      <c r="N4044" t="s">
        <v>21</v>
      </c>
    </row>
    <row r="4045" spans="1:14" x14ac:dyDescent="0.3">
      <c r="A4045">
        <v>2024005043</v>
      </c>
      <c r="B4045" s="1">
        <v>45499</v>
      </c>
      <c r="C4045" s="11">
        <f t="shared" si="189"/>
        <v>2024</v>
      </c>
      <c r="D4045" t="s">
        <v>320</v>
      </c>
      <c r="E4045" t="s">
        <v>23</v>
      </c>
      <c r="F4045" t="s">
        <v>24</v>
      </c>
      <c r="G4045" t="s">
        <v>14</v>
      </c>
      <c r="H4045">
        <v>1</v>
      </c>
      <c r="I4045" s="2">
        <v>84.41</v>
      </c>
      <c r="J4045" s="2">
        <v>84.41</v>
      </c>
      <c r="K4045" s="2">
        <f t="shared" si="190"/>
        <v>84.41</v>
      </c>
      <c r="L4045" s="2">
        <f t="shared" si="191"/>
        <v>0</v>
      </c>
      <c r="M4045" t="s">
        <v>31</v>
      </c>
      <c r="N4045" t="s">
        <v>32</v>
      </c>
    </row>
    <row r="4046" spans="1:14" x14ac:dyDescent="0.3">
      <c r="A4046">
        <v>2024005044</v>
      </c>
      <c r="B4046" s="1">
        <v>45588</v>
      </c>
      <c r="C4046" s="11">
        <f t="shared" si="189"/>
        <v>2024</v>
      </c>
      <c r="D4046" t="s">
        <v>56</v>
      </c>
      <c r="E4046" t="s">
        <v>23</v>
      </c>
      <c r="F4046" t="s">
        <v>24</v>
      </c>
      <c r="G4046" t="s">
        <v>14</v>
      </c>
      <c r="H4046">
        <v>1</v>
      </c>
      <c r="I4046" s="2">
        <v>76.900000000000006</v>
      </c>
      <c r="J4046" s="2">
        <v>76.900000000000006</v>
      </c>
      <c r="K4046" s="2">
        <f t="shared" si="190"/>
        <v>76.900000000000006</v>
      </c>
      <c r="L4046" s="2">
        <f t="shared" si="191"/>
        <v>0</v>
      </c>
      <c r="M4046" t="s">
        <v>38</v>
      </c>
      <c r="N4046" t="s">
        <v>21</v>
      </c>
    </row>
    <row r="4047" spans="1:14" x14ac:dyDescent="0.3">
      <c r="A4047">
        <v>2024005045</v>
      </c>
      <c r="B4047" s="1">
        <v>45571</v>
      </c>
      <c r="C4047" s="11">
        <f t="shared" si="189"/>
        <v>2024</v>
      </c>
      <c r="D4047" t="s">
        <v>294</v>
      </c>
      <c r="E4047" t="s">
        <v>23</v>
      </c>
      <c r="F4047" t="s">
        <v>24</v>
      </c>
      <c r="G4047" t="s">
        <v>14</v>
      </c>
      <c r="H4047">
        <v>2</v>
      </c>
      <c r="I4047" s="2">
        <v>81.63</v>
      </c>
      <c r="J4047" s="2">
        <v>163.26</v>
      </c>
      <c r="K4047" s="2">
        <f t="shared" si="190"/>
        <v>163.26</v>
      </c>
      <c r="L4047" s="2">
        <f t="shared" si="191"/>
        <v>0</v>
      </c>
      <c r="M4047" t="s">
        <v>25</v>
      </c>
      <c r="N4047" t="s">
        <v>32</v>
      </c>
    </row>
    <row r="4048" spans="1:14" x14ac:dyDescent="0.3">
      <c r="A4048">
        <v>2024005046</v>
      </c>
      <c r="B4048" s="1">
        <v>45538</v>
      </c>
      <c r="C4048" s="11">
        <f t="shared" si="189"/>
        <v>2024</v>
      </c>
      <c r="D4048" t="s">
        <v>11</v>
      </c>
      <c r="E4048" t="s">
        <v>23</v>
      </c>
      <c r="F4048" t="s">
        <v>24</v>
      </c>
      <c r="G4048" t="s">
        <v>14</v>
      </c>
      <c r="H4048">
        <v>3</v>
      </c>
      <c r="I4048" s="2">
        <v>72.39</v>
      </c>
      <c r="J4048" s="2">
        <v>217.17</v>
      </c>
      <c r="K4048" s="2">
        <f t="shared" si="190"/>
        <v>217.17000000000002</v>
      </c>
      <c r="L4048" s="2">
        <f t="shared" si="191"/>
        <v>0</v>
      </c>
      <c r="M4048" t="s">
        <v>38</v>
      </c>
      <c r="N4048" t="s">
        <v>21</v>
      </c>
    </row>
    <row r="4049" spans="1:14" x14ac:dyDescent="0.3">
      <c r="A4049">
        <v>2024005047</v>
      </c>
      <c r="B4049" s="1">
        <v>45612</v>
      </c>
      <c r="C4049" s="11">
        <f t="shared" si="189"/>
        <v>2024</v>
      </c>
      <c r="D4049" t="s">
        <v>306</v>
      </c>
      <c r="E4049" t="s">
        <v>18</v>
      </c>
      <c r="F4049" t="s">
        <v>19</v>
      </c>
      <c r="G4049" t="s">
        <v>14</v>
      </c>
      <c r="H4049">
        <v>1</v>
      </c>
      <c r="I4049" s="2">
        <v>532.61</v>
      </c>
      <c r="J4049" s="2">
        <v>532.61</v>
      </c>
      <c r="K4049" s="2">
        <f t="shared" si="190"/>
        <v>532.61</v>
      </c>
      <c r="L4049" s="2">
        <f t="shared" si="191"/>
        <v>0</v>
      </c>
      <c r="M4049" t="s">
        <v>57</v>
      </c>
      <c r="N4049" t="s">
        <v>16</v>
      </c>
    </row>
    <row r="4050" spans="1:14" x14ac:dyDescent="0.3">
      <c r="A4050">
        <v>2024005048</v>
      </c>
      <c r="B4050" s="1">
        <v>45474</v>
      </c>
      <c r="C4050" s="11">
        <f t="shared" si="189"/>
        <v>2024</v>
      </c>
      <c r="D4050" t="s">
        <v>209</v>
      </c>
      <c r="E4050" t="s">
        <v>34</v>
      </c>
      <c r="F4050" t="s">
        <v>35</v>
      </c>
      <c r="G4050" t="s">
        <v>36</v>
      </c>
      <c r="H4050">
        <v>4</v>
      </c>
      <c r="I4050" s="2">
        <v>14.25</v>
      </c>
      <c r="J4050" s="2">
        <v>57</v>
      </c>
      <c r="K4050" s="2">
        <f t="shared" si="190"/>
        <v>57</v>
      </c>
      <c r="L4050" s="2">
        <f t="shared" si="191"/>
        <v>0</v>
      </c>
      <c r="M4050" t="s">
        <v>57</v>
      </c>
      <c r="N4050" t="s">
        <v>26</v>
      </c>
    </row>
    <row r="4051" spans="1:14" x14ac:dyDescent="0.3">
      <c r="A4051">
        <v>2024005049</v>
      </c>
      <c r="B4051" s="1">
        <v>45391</v>
      </c>
      <c r="C4051" s="11">
        <f t="shared" si="189"/>
        <v>2024</v>
      </c>
      <c r="D4051" t="s">
        <v>175</v>
      </c>
      <c r="E4051" t="s">
        <v>43</v>
      </c>
      <c r="F4051" t="s">
        <v>44</v>
      </c>
      <c r="G4051" t="s">
        <v>36</v>
      </c>
      <c r="H4051">
        <v>2</v>
      </c>
      <c r="I4051" s="2">
        <v>1141.8699999999999</v>
      </c>
      <c r="J4051" s="2">
        <v>2283.7399999999998</v>
      </c>
      <c r="K4051" s="2">
        <f t="shared" si="190"/>
        <v>2283.7399999999998</v>
      </c>
      <c r="L4051" s="2">
        <f t="shared" si="191"/>
        <v>0</v>
      </c>
      <c r="M4051" t="s">
        <v>38</v>
      </c>
      <c r="N4051" t="s">
        <v>32</v>
      </c>
    </row>
    <row r="4052" spans="1:14" x14ac:dyDescent="0.3">
      <c r="A4052">
        <v>2024005050</v>
      </c>
      <c r="B4052" s="1">
        <v>45596</v>
      </c>
      <c r="C4052" s="11">
        <f t="shared" si="189"/>
        <v>2024</v>
      </c>
      <c r="D4052" t="s">
        <v>259</v>
      </c>
      <c r="E4052" t="s">
        <v>67</v>
      </c>
      <c r="F4052" t="s">
        <v>68</v>
      </c>
      <c r="G4052" t="s">
        <v>36</v>
      </c>
      <c r="H4052">
        <v>5</v>
      </c>
      <c r="I4052" s="2">
        <v>414.03</v>
      </c>
      <c r="J4052" s="2">
        <v>2070.15</v>
      </c>
      <c r="K4052" s="2">
        <f t="shared" si="190"/>
        <v>2070.1499999999996</v>
      </c>
      <c r="L4052" s="2">
        <f t="shared" si="191"/>
        <v>0</v>
      </c>
      <c r="M4052" t="s">
        <v>61</v>
      </c>
      <c r="N4052" t="s">
        <v>21</v>
      </c>
    </row>
    <row r="4053" spans="1:14" x14ac:dyDescent="0.3">
      <c r="A4053">
        <v>2024005051</v>
      </c>
      <c r="B4053" s="1">
        <v>45520</v>
      </c>
      <c r="C4053" s="11">
        <f t="shared" si="189"/>
        <v>2024</v>
      </c>
      <c r="D4053" t="s">
        <v>106</v>
      </c>
      <c r="E4053" t="s">
        <v>28</v>
      </c>
      <c r="F4053" t="s">
        <v>29</v>
      </c>
      <c r="G4053" t="s">
        <v>30</v>
      </c>
      <c r="H4053">
        <v>3</v>
      </c>
      <c r="I4053" s="2">
        <v>23.84</v>
      </c>
      <c r="J4053" s="2">
        <v>71.52</v>
      </c>
      <c r="K4053" s="2">
        <f t="shared" si="190"/>
        <v>71.52</v>
      </c>
      <c r="L4053" s="2">
        <f t="shared" si="191"/>
        <v>0</v>
      </c>
      <c r="M4053" t="s">
        <v>15</v>
      </c>
      <c r="N4053" t="s">
        <v>32</v>
      </c>
    </row>
    <row r="4054" spans="1:14" x14ac:dyDescent="0.3">
      <c r="A4054">
        <v>2024005052</v>
      </c>
      <c r="B4054" s="1">
        <v>45555</v>
      </c>
      <c r="C4054" s="11">
        <f t="shared" si="189"/>
        <v>2024</v>
      </c>
      <c r="D4054" t="s">
        <v>107</v>
      </c>
      <c r="E4054" t="s">
        <v>12</v>
      </c>
      <c r="F4054" t="s">
        <v>13</v>
      </c>
      <c r="G4054" t="s">
        <v>14</v>
      </c>
      <c r="H4054">
        <v>3</v>
      </c>
      <c r="I4054" s="2">
        <v>363.57</v>
      </c>
      <c r="J4054" s="2">
        <v>1090.71</v>
      </c>
      <c r="K4054" s="2">
        <f t="shared" si="190"/>
        <v>1090.71</v>
      </c>
      <c r="L4054" s="2">
        <f t="shared" si="191"/>
        <v>0</v>
      </c>
      <c r="M4054" t="s">
        <v>31</v>
      </c>
      <c r="N4054" t="s">
        <v>26</v>
      </c>
    </row>
    <row r="4055" spans="1:14" x14ac:dyDescent="0.3">
      <c r="A4055">
        <v>2024005053</v>
      </c>
      <c r="B4055" s="1">
        <v>45337</v>
      </c>
      <c r="C4055" s="11">
        <f t="shared" si="189"/>
        <v>2024</v>
      </c>
      <c r="D4055" t="s">
        <v>302</v>
      </c>
      <c r="E4055" t="s">
        <v>40</v>
      </c>
      <c r="F4055" t="s">
        <v>41</v>
      </c>
      <c r="G4055" t="s">
        <v>36</v>
      </c>
      <c r="H4055">
        <v>1</v>
      </c>
      <c r="I4055" s="2">
        <v>46.75</v>
      </c>
      <c r="J4055" s="2">
        <v>46.75</v>
      </c>
      <c r="K4055" s="2">
        <f t="shared" si="190"/>
        <v>46.75</v>
      </c>
      <c r="L4055" s="2">
        <f t="shared" si="191"/>
        <v>0</v>
      </c>
      <c r="M4055" t="s">
        <v>61</v>
      </c>
      <c r="N4055" t="s">
        <v>21</v>
      </c>
    </row>
    <row r="4056" spans="1:14" x14ac:dyDescent="0.3">
      <c r="A4056">
        <v>2024005054</v>
      </c>
      <c r="B4056" s="1">
        <v>45615</v>
      </c>
      <c r="C4056" s="11">
        <f t="shared" si="189"/>
        <v>2024</v>
      </c>
      <c r="D4056" t="s">
        <v>97</v>
      </c>
      <c r="E4056" t="s">
        <v>18</v>
      </c>
      <c r="F4056" t="s">
        <v>19</v>
      </c>
      <c r="G4056" t="s">
        <v>14</v>
      </c>
      <c r="H4056">
        <v>2</v>
      </c>
      <c r="I4056" s="2">
        <v>614.79999999999995</v>
      </c>
      <c r="J4056" s="2">
        <v>1229.5999999999999</v>
      </c>
      <c r="K4056" s="2">
        <f t="shared" si="190"/>
        <v>1229.5999999999999</v>
      </c>
      <c r="L4056" s="2">
        <f t="shared" si="191"/>
        <v>0</v>
      </c>
      <c r="M4056" t="s">
        <v>61</v>
      </c>
      <c r="N4056" t="s">
        <v>26</v>
      </c>
    </row>
    <row r="4057" spans="1:14" x14ac:dyDescent="0.3">
      <c r="A4057">
        <v>2024005055</v>
      </c>
      <c r="B4057" s="1">
        <v>45373</v>
      </c>
      <c r="C4057" s="11">
        <f t="shared" si="189"/>
        <v>2024</v>
      </c>
      <c r="D4057" t="s">
        <v>11</v>
      </c>
      <c r="E4057" t="s">
        <v>12</v>
      </c>
      <c r="F4057" t="s">
        <v>13</v>
      </c>
      <c r="G4057" t="s">
        <v>14</v>
      </c>
      <c r="H4057">
        <v>2</v>
      </c>
      <c r="I4057" s="2">
        <v>324.3</v>
      </c>
      <c r="J4057" s="2">
        <v>648.6</v>
      </c>
      <c r="K4057" s="2">
        <f t="shared" si="190"/>
        <v>648.6</v>
      </c>
      <c r="L4057" s="2">
        <f t="shared" si="191"/>
        <v>0</v>
      </c>
      <c r="M4057" t="s">
        <v>48</v>
      </c>
      <c r="N4057" t="s">
        <v>21</v>
      </c>
    </row>
    <row r="4058" spans="1:14" x14ac:dyDescent="0.3">
      <c r="A4058">
        <v>2024005056</v>
      </c>
      <c r="B4058" s="1">
        <v>45519</v>
      </c>
      <c r="C4058" s="11">
        <f t="shared" si="189"/>
        <v>2024</v>
      </c>
      <c r="D4058" t="s">
        <v>336</v>
      </c>
      <c r="E4058" t="s">
        <v>46</v>
      </c>
      <c r="F4058" t="s">
        <v>47</v>
      </c>
      <c r="G4058" t="s">
        <v>36</v>
      </c>
      <c r="H4058">
        <v>2</v>
      </c>
      <c r="I4058" s="2">
        <v>81.83</v>
      </c>
      <c r="J4058" s="2">
        <v>163.66</v>
      </c>
      <c r="K4058" s="2">
        <f t="shared" si="190"/>
        <v>163.66</v>
      </c>
      <c r="L4058" s="2">
        <f t="shared" si="191"/>
        <v>0</v>
      </c>
      <c r="M4058" t="s">
        <v>61</v>
      </c>
      <c r="N4058" t="s">
        <v>21</v>
      </c>
    </row>
    <row r="4059" spans="1:14" x14ac:dyDescent="0.3">
      <c r="A4059">
        <v>2024005057</v>
      </c>
      <c r="B4059" s="1">
        <v>45341</v>
      </c>
      <c r="C4059" s="11">
        <f t="shared" si="189"/>
        <v>2024</v>
      </c>
      <c r="D4059" t="s">
        <v>206</v>
      </c>
      <c r="E4059" t="s">
        <v>12</v>
      </c>
      <c r="F4059" t="s">
        <v>13</v>
      </c>
      <c r="G4059" t="s">
        <v>14</v>
      </c>
      <c r="H4059">
        <v>1</v>
      </c>
      <c r="I4059" s="2">
        <v>336.43</v>
      </c>
      <c r="J4059" s="2">
        <v>336.43</v>
      </c>
      <c r="K4059" s="2">
        <f t="shared" si="190"/>
        <v>336.43</v>
      </c>
      <c r="L4059" s="2">
        <f t="shared" si="191"/>
        <v>0</v>
      </c>
      <c r="M4059" t="s">
        <v>64</v>
      </c>
      <c r="N4059" t="s">
        <v>21</v>
      </c>
    </row>
    <row r="4060" spans="1:14" x14ac:dyDescent="0.3">
      <c r="A4060">
        <v>2024005058</v>
      </c>
      <c r="B4060" s="1">
        <v>45311</v>
      </c>
      <c r="C4060" s="11">
        <f t="shared" si="189"/>
        <v>2024</v>
      </c>
      <c r="D4060" t="s">
        <v>72</v>
      </c>
      <c r="E4060" t="s">
        <v>53</v>
      </c>
      <c r="F4060" t="s">
        <v>54</v>
      </c>
      <c r="G4060" t="s">
        <v>36</v>
      </c>
      <c r="H4060">
        <v>2</v>
      </c>
      <c r="I4060" s="2">
        <v>128.55000000000001</v>
      </c>
      <c r="J4060" s="2">
        <v>257.10000000000002</v>
      </c>
      <c r="K4060" s="2">
        <f t="shared" si="190"/>
        <v>257.10000000000002</v>
      </c>
      <c r="L4060" s="2">
        <f t="shared" si="191"/>
        <v>0</v>
      </c>
      <c r="M4060" t="s">
        <v>55</v>
      </c>
      <c r="N4060" t="s">
        <v>16</v>
      </c>
    </row>
    <row r="4061" spans="1:14" x14ac:dyDescent="0.3">
      <c r="A4061">
        <v>2024005059</v>
      </c>
      <c r="B4061" s="1">
        <v>45530</v>
      </c>
      <c r="C4061" s="11">
        <f t="shared" si="189"/>
        <v>2024</v>
      </c>
      <c r="D4061" t="s">
        <v>182</v>
      </c>
      <c r="E4061" t="s">
        <v>67</v>
      </c>
      <c r="F4061" t="s">
        <v>68</v>
      </c>
      <c r="G4061" t="s">
        <v>36</v>
      </c>
      <c r="H4061">
        <v>1</v>
      </c>
      <c r="I4061" s="2">
        <v>404.1</v>
      </c>
      <c r="J4061" s="2">
        <v>404.1</v>
      </c>
      <c r="K4061" s="2">
        <f t="shared" si="190"/>
        <v>404.1</v>
      </c>
      <c r="L4061" s="2">
        <f t="shared" si="191"/>
        <v>0</v>
      </c>
      <c r="M4061" t="s">
        <v>38</v>
      </c>
      <c r="N4061" t="s">
        <v>21</v>
      </c>
    </row>
    <row r="4062" spans="1:14" x14ac:dyDescent="0.3">
      <c r="A4062">
        <v>2024005060</v>
      </c>
      <c r="B4062" s="1">
        <v>45542</v>
      </c>
      <c r="C4062" s="11">
        <f t="shared" si="189"/>
        <v>2024</v>
      </c>
      <c r="D4062" t="s">
        <v>75</v>
      </c>
      <c r="E4062" t="s">
        <v>40</v>
      </c>
      <c r="F4062" t="s">
        <v>41</v>
      </c>
      <c r="G4062" t="s">
        <v>36</v>
      </c>
      <c r="H4062">
        <v>1</v>
      </c>
      <c r="I4062" s="2">
        <v>43.47</v>
      </c>
      <c r="J4062" s="2">
        <v>43.47</v>
      </c>
      <c r="K4062" s="2">
        <f t="shared" si="190"/>
        <v>43.47</v>
      </c>
      <c r="L4062" s="2">
        <f t="shared" si="191"/>
        <v>0</v>
      </c>
      <c r="M4062" t="s">
        <v>64</v>
      </c>
      <c r="N4062" t="s">
        <v>32</v>
      </c>
    </row>
    <row r="4063" spans="1:14" x14ac:dyDescent="0.3">
      <c r="A4063">
        <v>2024005061</v>
      </c>
      <c r="B4063" s="1">
        <v>45509</v>
      </c>
      <c r="C4063" s="11">
        <f t="shared" si="189"/>
        <v>2024</v>
      </c>
      <c r="D4063" t="s">
        <v>109</v>
      </c>
      <c r="E4063" t="s">
        <v>23</v>
      </c>
      <c r="F4063" t="s">
        <v>24</v>
      </c>
      <c r="G4063" t="s">
        <v>14</v>
      </c>
      <c r="H4063">
        <v>2</v>
      </c>
      <c r="I4063" s="2">
        <v>79.38</v>
      </c>
      <c r="J4063" s="2">
        <v>158.76</v>
      </c>
      <c r="K4063" s="2">
        <f t="shared" si="190"/>
        <v>158.76</v>
      </c>
      <c r="L4063" s="2">
        <f t="shared" si="191"/>
        <v>0</v>
      </c>
      <c r="M4063" t="s">
        <v>31</v>
      </c>
      <c r="N4063" t="s">
        <v>21</v>
      </c>
    </row>
    <row r="4064" spans="1:14" x14ac:dyDescent="0.3">
      <c r="A4064">
        <v>2024005062</v>
      </c>
      <c r="B4064" s="1">
        <v>45412</v>
      </c>
      <c r="C4064" s="11">
        <f t="shared" si="189"/>
        <v>2024</v>
      </c>
      <c r="D4064" t="s">
        <v>11</v>
      </c>
      <c r="E4064" t="s">
        <v>43</v>
      </c>
      <c r="F4064" t="s">
        <v>44</v>
      </c>
      <c r="G4064" t="s">
        <v>36</v>
      </c>
      <c r="H4064">
        <v>1</v>
      </c>
      <c r="I4064" s="2">
        <v>1161.73</v>
      </c>
      <c r="J4064" s="2">
        <v>1161.73</v>
      </c>
      <c r="K4064" s="2">
        <f t="shared" si="190"/>
        <v>1161.73</v>
      </c>
      <c r="L4064" s="2">
        <f t="shared" si="191"/>
        <v>0</v>
      </c>
      <c r="M4064" t="s">
        <v>38</v>
      </c>
      <c r="N4064" t="s">
        <v>26</v>
      </c>
    </row>
    <row r="4065" spans="1:14" x14ac:dyDescent="0.3">
      <c r="A4065">
        <v>2024005063</v>
      </c>
      <c r="B4065" s="1">
        <v>45514</v>
      </c>
      <c r="C4065" s="11">
        <f t="shared" si="189"/>
        <v>2024</v>
      </c>
      <c r="D4065" t="s">
        <v>121</v>
      </c>
      <c r="E4065" t="s">
        <v>67</v>
      </c>
      <c r="F4065" t="s">
        <v>68</v>
      </c>
      <c r="G4065" t="s">
        <v>36</v>
      </c>
      <c r="H4065">
        <v>3</v>
      </c>
      <c r="I4065" s="2">
        <v>393.37</v>
      </c>
      <c r="J4065" s="2">
        <v>1180.1099999999999</v>
      </c>
      <c r="K4065" s="2">
        <f t="shared" si="190"/>
        <v>1180.1100000000001</v>
      </c>
      <c r="L4065" s="2">
        <f t="shared" si="191"/>
        <v>0</v>
      </c>
      <c r="M4065" t="s">
        <v>64</v>
      </c>
      <c r="N4065" t="s">
        <v>16</v>
      </c>
    </row>
    <row r="4066" spans="1:14" x14ac:dyDescent="0.3">
      <c r="A4066">
        <v>2024005064</v>
      </c>
      <c r="B4066" s="1">
        <v>45472</v>
      </c>
      <c r="C4066" s="11">
        <f t="shared" si="189"/>
        <v>2024</v>
      </c>
      <c r="D4066" t="s">
        <v>285</v>
      </c>
      <c r="E4066" t="s">
        <v>67</v>
      </c>
      <c r="F4066" t="s">
        <v>68</v>
      </c>
      <c r="G4066" t="s">
        <v>36</v>
      </c>
      <c r="H4066">
        <v>2</v>
      </c>
      <c r="I4066" s="2">
        <v>379.19</v>
      </c>
      <c r="J4066" s="2">
        <v>758.38</v>
      </c>
      <c r="K4066" s="2">
        <f t="shared" si="190"/>
        <v>758.38</v>
      </c>
      <c r="L4066" s="2">
        <f t="shared" si="191"/>
        <v>0</v>
      </c>
      <c r="M4066" t="s">
        <v>20</v>
      </c>
      <c r="N4066" t="s">
        <v>21</v>
      </c>
    </row>
    <row r="4067" spans="1:14" x14ac:dyDescent="0.3">
      <c r="A4067">
        <v>2024005065</v>
      </c>
      <c r="B4067" s="1">
        <v>45303</v>
      </c>
      <c r="C4067" s="11">
        <f t="shared" si="189"/>
        <v>2024</v>
      </c>
      <c r="D4067" t="s">
        <v>155</v>
      </c>
      <c r="E4067" t="s">
        <v>34</v>
      </c>
      <c r="F4067" t="s">
        <v>35</v>
      </c>
      <c r="G4067" t="s">
        <v>36</v>
      </c>
      <c r="H4067">
        <v>4</v>
      </c>
      <c r="I4067" s="2">
        <v>14.32</v>
      </c>
      <c r="J4067" s="2">
        <v>57.28</v>
      </c>
      <c r="K4067" s="2">
        <f t="shared" si="190"/>
        <v>57.28</v>
      </c>
      <c r="L4067" s="2">
        <f t="shared" si="191"/>
        <v>0</v>
      </c>
      <c r="M4067" t="s">
        <v>57</v>
      </c>
      <c r="N4067" t="s">
        <v>16</v>
      </c>
    </row>
    <row r="4068" spans="1:14" x14ac:dyDescent="0.3">
      <c r="A4068">
        <v>2024005066</v>
      </c>
      <c r="B4068" s="1">
        <v>45329</v>
      </c>
      <c r="C4068" s="11">
        <f t="shared" si="189"/>
        <v>2024</v>
      </c>
      <c r="D4068" t="s">
        <v>337</v>
      </c>
      <c r="E4068" t="s">
        <v>67</v>
      </c>
      <c r="F4068" t="s">
        <v>68</v>
      </c>
      <c r="G4068" t="s">
        <v>36</v>
      </c>
      <c r="H4068">
        <v>3</v>
      </c>
      <c r="I4068" s="2">
        <v>403.7</v>
      </c>
      <c r="J4068" s="2">
        <v>1211.0999999999999</v>
      </c>
      <c r="K4068" s="2">
        <f t="shared" si="190"/>
        <v>1211.0999999999999</v>
      </c>
      <c r="L4068" s="2">
        <f t="shared" si="191"/>
        <v>0</v>
      </c>
      <c r="M4068" t="s">
        <v>55</v>
      </c>
      <c r="N4068" t="s">
        <v>26</v>
      </c>
    </row>
    <row r="4069" spans="1:14" x14ac:dyDescent="0.3">
      <c r="A4069">
        <v>2024005067</v>
      </c>
      <c r="B4069" s="1">
        <v>45508</v>
      </c>
      <c r="C4069" s="11">
        <f t="shared" si="189"/>
        <v>2024</v>
      </c>
      <c r="D4069" t="s">
        <v>160</v>
      </c>
      <c r="E4069" t="s">
        <v>12</v>
      </c>
      <c r="F4069" t="s">
        <v>13</v>
      </c>
      <c r="G4069" t="s">
        <v>14</v>
      </c>
      <c r="H4069">
        <v>2</v>
      </c>
      <c r="I4069" s="2">
        <v>337.1</v>
      </c>
      <c r="J4069" s="2">
        <v>674.2</v>
      </c>
      <c r="K4069" s="2">
        <f t="shared" si="190"/>
        <v>674.2</v>
      </c>
      <c r="L4069" s="2">
        <f t="shared" si="191"/>
        <v>0</v>
      </c>
      <c r="M4069" t="s">
        <v>64</v>
      </c>
      <c r="N4069" t="s">
        <v>26</v>
      </c>
    </row>
    <row r="4070" spans="1:14" x14ac:dyDescent="0.3">
      <c r="A4070">
        <v>2024005068</v>
      </c>
      <c r="B4070" s="1">
        <v>45362</v>
      </c>
      <c r="C4070" s="11">
        <f t="shared" si="189"/>
        <v>2024</v>
      </c>
      <c r="D4070" t="s">
        <v>311</v>
      </c>
      <c r="E4070" t="s">
        <v>18</v>
      </c>
      <c r="F4070" t="s">
        <v>19</v>
      </c>
      <c r="G4070" t="s">
        <v>14</v>
      </c>
      <c r="H4070">
        <v>1</v>
      </c>
      <c r="I4070" s="2">
        <v>586.46</v>
      </c>
      <c r="J4070" s="2">
        <v>586.46</v>
      </c>
      <c r="K4070" s="2">
        <f t="shared" si="190"/>
        <v>586.46</v>
      </c>
      <c r="L4070" s="2">
        <f t="shared" si="191"/>
        <v>0</v>
      </c>
      <c r="M4070" t="s">
        <v>38</v>
      </c>
      <c r="N4070" t="s">
        <v>16</v>
      </c>
    </row>
    <row r="4071" spans="1:14" x14ac:dyDescent="0.3">
      <c r="A4071">
        <v>2024005069</v>
      </c>
      <c r="B4071" s="1">
        <v>45457</v>
      </c>
      <c r="C4071" s="11">
        <f t="shared" si="189"/>
        <v>2024</v>
      </c>
      <c r="D4071" t="s">
        <v>326</v>
      </c>
      <c r="E4071" t="s">
        <v>43</v>
      </c>
      <c r="F4071" t="s">
        <v>44</v>
      </c>
      <c r="G4071" t="s">
        <v>36</v>
      </c>
      <c r="H4071">
        <v>1</v>
      </c>
      <c r="I4071" s="2">
        <v>1151.48</v>
      </c>
      <c r="J4071" s="2">
        <v>1151.48</v>
      </c>
      <c r="K4071" s="2">
        <f t="shared" si="190"/>
        <v>1151.48</v>
      </c>
      <c r="L4071" s="2">
        <f t="shared" si="191"/>
        <v>0</v>
      </c>
      <c r="M4071" t="s">
        <v>64</v>
      </c>
      <c r="N4071" t="s">
        <v>16</v>
      </c>
    </row>
    <row r="4072" spans="1:14" x14ac:dyDescent="0.3">
      <c r="A4072">
        <v>2024005070</v>
      </c>
      <c r="B4072" s="1">
        <v>45396</v>
      </c>
      <c r="C4072" s="11">
        <f t="shared" si="189"/>
        <v>2024</v>
      </c>
      <c r="D4072" t="s">
        <v>81</v>
      </c>
      <c r="E4072" t="s">
        <v>46</v>
      </c>
      <c r="F4072" t="s">
        <v>47</v>
      </c>
      <c r="G4072" t="s">
        <v>36</v>
      </c>
      <c r="H4072">
        <v>3</v>
      </c>
      <c r="I4072" s="2">
        <v>88.77</v>
      </c>
      <c r="J4072" s="2">
        <v>266.31</v>
      </c>
      <c r="K4072" s="2">
        <f t="shared" si="190"/>
        <v>266.31</v>
      </c>
      <c r="L4072" s="2">
        <f t="shared" si="191"/>
        <v>0</v>
      </c>
      <c r="M4072" t="s">
        <v>25</v>
      </c>
      <c r="N4072" t="s">
        <v>21</v>
      </c>
    </row>
    <row r="4073" spans="1:14" x14ac:dyDescent="0.3">
      <c r="A4073">
        <v>2024005071</v>
      </c>
      <c r="B4073" s="1">
        <v>45640</v>
      </c>
      <c r="C4073" s="11">
        <f t="shared" si="189"/>
        <v>2024</v>
      </c>
      <c r="D4073" t="s">
        <v>51</v>
      </c>
      <c r="E4073" t="s">
        <v>53</v>
      </c>
      <c r="F4073" t="s">
        <v>54</v>
      </c>
      <c r="G4073" t="s">
        <v>36</v>
      </c>
      <c r="H4073">
        <v>1</v>
      </c>
      <c r="I4073" s="2">
        <v>129.31</v>
      </c>
      <c r="J4073" s="2">
        <v>129.31</v>
      </c>
      <c r="K4073" s="2">
        <f t="shared" si="190"/>
        <v>129.31</v>
      </c>
      <c r="L4073" s="2">
        <f t="shared" si="191"/>
        <v>0</v>
      </c>
      <c r="M4073" t="s">
        <v>57</v>
      </c>
      <c r="N4073" t="s">
        <v>21</v>
      </c>
    </row>
    <row r="4074" spans="1:14" x14ac:dyDescent="0.3">
      <c r="A4074">
        <v>2024005072</v>
      </c>
      <c r="B4074" s="1">
        <v>45371</v>
      </c>
      <c r="C4074" s="11">
        <f t="shared" si="189"/>
        <v>2024</v>
      </c>
      <c r="D4074" t="s">
        <v>11</v>
      </c>
      <c r="E4074" t="s">
        <v>53</v>
      </c>
      <c r="F4074" t="s">
        <v>54</v>
      </c>
      <c r="G4074" t="s">
        <v>36</v>
      </c>
      <c r="H4074">
        <v>2</v>
      </c>
      <c r="I4074" s="2">
        <v>113.82</v>
      </c>
      <c r="J4074" s="2">
        <v>227.64</v>
      </c>
      <c r="K4074" s="2">
        <f t="shared" si="190"/>
        <v>227.64</v>
      </c>
      <c r="L4074" s="2">
        <f t="shared" si="191"/>
        <v>0</v>
      </c>
      <c r="M4074" t="s">
        <v>57</v>
      </c>
      <c r="N4074" t="s">
        <v>21</v>
      </c>
    </row>
    <row r="4075" spans="1:14" x14ac:dyDescent="0.3">
      <c r="A4075">
        <v>2024005073</v>
      </c>
      <c r="B4075" s="1">
        <v>45385</v>
      </c>
      <c r="C4075" s="11">
        <f t="shared" si="189"/>
        <v>2024</v>
      </c>
      <c r="D4075" t="s">
        <v>346</v>
      </c>
      <c r="E4075" t="s">
        <v>53</v>
      </c>
      <c r="F4075" t="s">
        <v>54</v>
      </c>
      <c r="G4075" t="s">
        <v>36</v>
      </c>
      <c r="H4075">
        <v>3</v>
      </c>
      <c r="I4075" s="2">
        <v>116.47</v>
      </c>
      <c r="J4075" s="2">
        <v>349.41</v>
      </c>
      <c r="K4075" s="2">
        <f t="shared" si="190"/>
        <v>349.40999999999997</v>
      </c>
      <c r="L4075" s="2">
        <f t="shared" si="191"/>
        <v>0</v>
      </c>
      <c r="M4075" t="s">
        <v>64</v>
      </c>
      <c r="N4075" t="s">
        <v>16</v>
      </c>
    </row>
    <row r="4076" spans="1:14" x14ac:dyDescent="0.3">
      <c r="A4076">
        <v>2024005074</v>
      </c>
      <c r="B4076" s="1">
        <v>45570</v>
      </c>
      <c r="C4076" s="11">
        <f t="shared" si="189"/>
        <v>2024</v>
      </c>
      <c r="D4076" t="s">
        <v>321</v>
      </c>
      <c r="E4076" t="s">
        <v>34</v>
      </c>
      <c r="F4076" t="s">
        <v>35</v>
      </c>
      <c r="G4076" t="s">
        <v>36</v>
      </c>
      <c r="H4076">
        <v>2</v>
      </c>
      <c r="I4076" s="2">
        <v>14.96</v>
      </c>
      <c r="J4076" s="2">
        <v>29.92</v>
      </c>
      <c r="K4076" s="2">
        <f t="shared" si="190"/>
        <v>29.92</v>
      </c>
      <c r="L4076" s="2">
        <f t="shared" si="191"/>
        <v>0</v>
      </c>
      <c r="M4076" t="s">
        <v>25</v>
      </c>
      <c r="N4076" t="s">
        <v>21</v>
      </c>
    </row>
    <row r="4077" spans="1:14" x14ac:dyDescent="0.3">
      <c r="A4077">
        <v>2024005075</v>
      </c>
      <c r="B4077" s="1">
        <v>45419</v>
      </c>
      <c r="C4077" s="11">
        <f t="shared" si="189"/>
        <v>2024</v>
      </c>
      <c r="D4077" t="s">
        <v>239</v>
      </c>
      <c r="E4077" t="s">
        <v>67</v>
      </c>
      <c r="F4077" t="s">
        <v>68</v>
      </c>
      <c r="G4077" t="s">
        <v>36</v>
      </c>
      <c r="H4077">
        <v>1</v>
      </c>
      <c r="I4077" s="2">
        <v>410.35</v>
      </c>
      <c r="J4077" s="2">
        <v>410.35</v>
      </c>
      <c r="K4077" s="2">
        <f t="shared" si="190"/>
        <v>410.35</v>
      </c>
      <c r="L4077" s="2">
        <f t="shared" si="191"/>
        <v>0</v>
      </c>
      <c r="M4077" t="s">
        <v>57</v>
      </c>
      <c r="N4077" t="s">
        <v>32</v>
      </c>
    </row>
    <row r="4078" spans="1:14" x14ac:dyDescent="0.3">
      <c r="A4078">
        <v>2024005076</v>
      </c>
      <c r="B4078" s="1">
        <v>45494</v>
      </c>
      <c r="C4078" s="11">
        <f t="shared" si="189"/>
        <v>2024</v>
      </c>
      <c r="D4078" t="s">
        <v>52</v>
      </c>
      <c r="E4078" t="s">
        <v>43</v>
      </c>
      <c r="F4078" t="s">
        <v>44</v>
      </c>
      <c r="G4078" t="s">
        <v>36</v>
      </c>
      <c r="H4078">
        <v>3</v>
      </c>
      <c r="I4078" s="2">
        <v>1220</v>
      </c>
      <c r="J4078" s="2">
        <v>3660</v>
      </c>
      <c r="K4078" s="2">
        <f t="shared" si="190"/>
        <v>3660</v>
      </c>
      <c r="L4078" s="2">
        <f t="shared" si="191"/>
        <v>0</v>
      </c>
      <c r="M4078" t="s">
        <v>15</v>
      </c>
      <c r="N4078" t="s">
        <v>32</v>
      </c>
    </row>
    <row r="4079" spans="1:14" x14ac:dyDescent="0.3">
      <c r="A4079">
        <v>2024005077</v>
      </c>
      <c r="B4079" s="1">
        <v>45520</v>
      </c>
      <c r="C4079" s="11">
        <f t="shared" si="189"/>
        <v>2024</v>
      </c>
      <c r="D4079" t="s">
        <v>292</v>
      </c>
      <c r="E4079" t="s">
        <v>12</v>
      </c>
      <c r="F4079" t="s">
        <v>13</v>
      </c>
      <c r="G4079" t="s">
        <v>14</v>
      </c>
      <c r="H4079">
        <v>4</v>
      </c>
      <c r="I4079" s="2">
        <v>371.2</v>
      </c>
      <c r="J4079" s="2">
        <v>1484.8</v>
      </c>
      <c r="K4079" s="2">
        <f t="shared" si="190"/>
        <v>1484.8</v>
      </c>
      <c r="L4079" s="2">
        <f t="shared" si="191"/>
        <v>0</v>
      </c>
      <c r="M4079" t="s">
        <v>57</v>
      </c>
      <c r="N4079" t="s">
        <v>16</v>
      </c>
    </row>
    <row r="4080" spans="1:14" x14ac:dyDescent="0.3">
      <c r="A4080">
        <v>2024005078</v>
      </c>
      <c r="B4080" s="1">
        <v>45506</v>
      </c>
      <c r="C4080" s="11">
        <f t="shared" si="189"/>
        <v>2024</v>
      </c>
      <c r="D4080" t="s">
        <v>322</v>
      </c>
      <c r="E4080" t="s">
        <v>40</v>
      </c>
      <c r="F4080" t="s">
        <v>41</v>
      </c>
      <c r="G4080" t="s">
        <v>36</v>
      </c>
      <c r="H4080">
        <v>3</v>
      </c>
      <c r="I4080" s="2">
        <v>44.62</v>
      </c>
      <c r="J4080" s="2">
        <v>133.86000000000001</v>
      </c>
      <c r="K4080" s="2">
        <f t="shared" si="190"/>
        <v>133.85999999999999</v>
      </c>
      <c r="L4080" s="2">
        <f t="shared" si="191"/>
        <v>0</v>
      </c>
      <c r="M4080" t="s">
        <v>57</v>
      </c>
      <c r="N4080" t="s">
        <v>21</v>
      </c>
    </row>
    <row r="4081" spans="1:14" x14ac:dyDescent="0.3">
      <c r="A4081">
        <v>2024005079</v>
      </c>
      <c r="B4081" s="1">
        <v>45579</v>
      </c>
      <c r="C4081" s="11">
        <f t="shared" si="189"/>
        <v>2024</v>
      </c>
      <c r="D4081" t="s">
        <v>92</v>
      </c>
      <c r="E4081" t="s">
        <v>18</v>
      </c>
      <c r="F4081" t="s">
        <v>19</v>
      </c>
      <c r="G4081" t="s">
        <v>14</v>
      </c>
      <c r="H4081">
        <v>3</v>
      </c>
      <c r="I4081" s="2">
        <v>560.44000000000005</v>
      </c>
      <c r="J4081" s="2">
        <v>1681.32</v>
      </c>
      <c r="K4081" s="2">
        <f t="shared" si="190"/>
        <v>1681.3200000000002</v>
      </c>
      <c r="L4081" s="2">
        <f t="shared" si="191"/>
        <v>0</v>
      </c>
      <c r="M4081" t="s">
        <v>15</v>
      </c>
      <c r="N4081" t="s">
        <v>26</v>
      </c>
    </row>
    <row r="4082" spans="1:14" x14ac:dyDescent="0.3">
      <c r="A4082">
        <v>2024005080</v>
      </c>
      <c r="B4082" s="1">
        <v>45572</v>
      </c>
      <c r="C4082" s="11">
        <f t="shared" si="189"/>
        <v>2024</v>
      </c>
      <c r="D4082" t="s">
        <v>284</v>
      </c>
      <c r="E4082" t="s">
        <v>12</v>
      </c>
      <c r="F4082" t="s">
        <v>13</v>
      </c>
      <c r="G4082" t="s">
        <v>14</v>
      </c>
      <c r="H4082">
        <v>3</v>
      </c>
      <c r="I4082" s="2">
        <v>363.99</v>
      </c>
      <c r="J4082" s="2">
        <v>1091.97</v>
      </c>
      <c r="K4082" s="2">
        <f t="shared" si="190"/>
        <v>1091.97</v>
      </c>
      <c r="L4082" s="2">
        <f t="shared" si="191"/>
        <v>0</v>
      </c>
      <c r="M4082" t="s">
        <v>64</v>
      </c>
      <c r="N4082" t="s">
        <v>21</v>
      </c>
    </row>
    <row r="4083" spans="1:14" x14ac:dyDescent="0.3">
      <c r="A4083">
        <v>2024005081</v>
      </c>
      <c r="B4083" s="1">
        <v>45422</v>
      </c>
      <c r="C4083" s="11">
        <f t="shared" si="189"/>
        <v>2024</v>
      </c>
      <c r="D4083" t="s">
        <v>11</v>
      </c>
      <c r="E4083" t="s">
        <v>46</v>
      </c>
      <c r="F4083" t="s">
        <v>47</v>
      </c>
      <c r="G4083" t="s">
        <v>36</v>
      </c>
      <c r="H4083">
        <v>1</v>
      </c>
      <c r="I4083" s="2">
        <v>89.45</v>
      </c>
      <c r="J4083" s="2">
        <v>89.45</v>
      </c>
      <c r="K4083" s="2">
        <f t="shared" si="190"/>
        <v>89.45</v>
      </c>
      <c r="L4083" s="2">
        <f t="shared" si="191"/>
        <v>0</v>
      </c>
      <c r="M4083" t="s">
        <v>55</v>
      </c>
      <c r="N4083" t="s">
        <v>32</v>
      </c>
    </row>
    <row r="4084" spans="1:14" x14ac:dyDescent="0.3">
      <c r="A4084">
        <v>2024005082</v>
      </c>
      <c r="B4084" s="1">
        <v>45416</v>
      </c>
      <c r="C4084" s="11">
        <f t="shared" si="189"/>
        <v>2024</v>
      </c>
      <c r="D4084" t="s">
        <v>276</v>
      </c>
      <c r="E4084" t="s">
        <v>67</v>
      </c>
      <c r="F4084" t="s">
        <v>68</v>
      </c>
      <c r="G4084" t="s">
        <v>36</v>
      </c>
      <c r="H4084">
        <v>2</v>
      </c>
      <c r="I4084" s="2">
        <v>380.07</v>
      </c>
      <c r="J4084" s="2">
        <v>760.14</v>
      </c>
      <c r="K4084" s="2">
        <f t="shared" si="190"/>
        <v>760.14</v>
      </c>
      <c r="L4084" s="2">
        <f t="shared" si="191"/>
        <v>0</v>
      </c>
      <c r="M4084" t="s">
        <v>15</v>
      </c>
      <c r="N4084" t="s">
        <v>16</v>
      </c>
    </row>
    <row r="4085" spans="1:14" x14ac:dyDescent="0.3">
      <c r="A4085">
        <v>2024005083</v>
      </c>
      <c r="B4085" s="1">
        <v>45375</v>
      </c>
      <c r="C4085" s="11">
        <f t="shared" si="189"/>
        <v>2024</v>
      </c>
      <c r="D4085" t="s">
        <v>193</v>
      </c>
      <c r="E4085" t="s">
        <v>18</v>
      </c>
      <c r="F4085" t="s">
        <v>19</v>
      </c>
      <c r="G4085" t="s">
        <v>14</v>
      </c>
      <c r="H4085">
        <v>1</v>
      </c>
      <c r="I4085" s="2">
        <v>612.49</v>
      </c>
      <c r="J4085" s="2">
        <v>612.49</v>
      </c>
      <c r="K4085" s="2">
        <f t="shared" si="190"/>
        <v>612.49</v>
      </c>
      <c r="L4085" s="2">
        <f t="shared" si="191"/>
        <v>0</v>
      </c>
      <c r="M4085" t="s">
        <v>25</v>
      </c>
      <c r="N4085" t="s">
        <v>21</v>
      </c>
    </row>
    <row r="4086" spans="1:14" x14ac:dyDescent="0.3">
      <c r="A4086">
        <v>2024005084</v>
      </c>
      <c r="B4086" s="1">
        <v>45560</v>
      </c>
      <c r="C4086" s="11">
        <f t="shared" si="189"/>
        <v>2024</v>
      </c>
      <c r="D4086" t="s">
        <v>278</v>
      </c>
      <c r="E4086" t="s">
        <v>18</v>
      </c>
      <c r="F4086" t="s">
        <v>19</v>
      </c>
      <c r="G4086" t="s">
        <v>14</v>
      </c>
      <c r="H4086">
        <v>1</v>
      </c>
      <c r="I4086" s="2">
        <v>603</v>
      </c>
      <c r="J4086" s="2">
        <v>603</v>
      </c>
      <c r="K4086" s="2">
        <f t="shared" si="190"/>
        <v>603</v>
      </c>
      <c r="L4086" s="2">
        <f t="shared" si="191"/>
        <v>0</v>
      </c>
      <c r="M4086" t="s">
        <v>38</v>
      </c>
      <c r="N4086" t="s">
        <v>32</v>
      </c>
    </row>
    <row r="4087" spans="1:14" x14ac:dyDescent="0.3">
      <c r="A4087">
        <v>2024005085</v>
      </c>
      <c r="B4087" s="1">
        <v>45328</v>
      </c>
      <c r="C4087" s="11">
        <f t="shared" si="189"/>
        <v>2024</v>
      </c>
      <c r="D4087" t="s">
        <v>184</v>
      </c>
      <c r="E4087" t="s">
        <v>40</v>
      </c>
      <c r="F4087" t="s">
        <v>41</v>
      </c>
      <c r="G4087" t="s">
        <v>36</v>
      </c>
      <c r="H4087">
        <v>1</v>
      </c>
      <c r="I4087" s="2">
        <v>44.54</v>
      </c>
      <c r="J4087" s="2">
        <v>44.54</v>
      </c>
      <c r="K4087" s="2">
        <f t="shared" si="190"/>
        <v>44.54</v>
      </c>
      <c r="L4087" s="2">
        <f t="shared" si="191"/>
        <v>0</v>
      </c>
      <c r="M4087" t="s">
        <v>57</v>
      </c>
      <c r="N4087" t="s">
        <v>32</v>
      </c>
    </row>
    <row r="4088" spans="1:14" x14ac:dyDescent="0.3">
      <c r="A4088">
        <v>2024005086</v>
      </c>
      <c r="B4088" s="1">
        <v>45397</v>
      </c>
      <c r="C4088" s="11">
        <f t="shared" si="189"/>
        <v>2024</v>
      </c>
      <c r="D4088" t="s">
        <v>27</v>
      </c>
      <c r="E4088" t="s">
        <v>28</v>
      </c>
      <c r="F4088" t="s">
        <v>29</v>
      </c>
      <c r="G4088" t="s">
        <v>30</v>
      </c>
      <c r="H4088">
        <v>3</v>
      </c>
      <c r="I4088" s="2">
        <v>25.52</v>
      </c>
      <c r="J4088" s="2">
        <v>76.56</v>
      </c>
      <c r="K4088" s="2">
        <f t="shared" si="190"/>
        <v>76.56</v>
      </c>
      <c r="L4088" s="2">
        <f t="shared" si="191"/>
        <v>0</v>
      </c>
      <c r="M4088" t="s">
        <v>57</v>
      </c>
      <c r="N4088" t="s">
        <v>26</v>
      </c>
    </row>
    <row r="4089" spans="1:14" x14ac:dyDescent="0.3">
      <c r="A4089">
        <v>2024005087</v>
      </c>
      <c r="B4089" s="1">
        <v>45361</v>
      </c>
      <c r="C4089" s="11">
        <f t="shared" si="189"/>
        <v>2024</v>
      </c>
      <c r="D4089" t="s">
        <v>345</v>
      </c>
      <c r="E4089" t="s">
        <v>40</v>
      </c>
      <c r="F4089" t="s">
        <v>41</v>
      </c>
      <c r="G4089" t="s">
        <v>36</v>
      </c>
      <c r="H4089">
        <v>4</v>
      </c>
      <c r="I4089" s="2">
        <v>44.23</v>
      </c>
      <c r="J4089" s="2">
        <v>176.92</v>
      </c>
      <c r="K4089" s="2">
        <f t="shared" si="190"/>
        <v>176.92</v>
      </c>
      <c r="L4089" s="2">
        <f t="shared" si="191"/>
        <v>0</v>
      </c>
      <c r="M4089" t="s">
        <v>61</v>
      </c>
      <c r="N4089" t="s">
        <v>26</v>
      </c>
    </row>
    <row r="4090" spans="1:14" x14ac:dyDescent="0.3">
      <c r="A4090">
        <v>2024005088</v>
      </c>
      <c r="B4090" s="1">
        <v>45476</v>
      </c>
      <c r="C4090" s="11">
        <f t="shared" si="189"/>
        <v>2024</v>
      </c>
      <c r="D4090" t="s">
        <v>115</v>
      </c>
      <c r="E4090" t="s">
        <v>18</v>
      </c>
      <c r="F4090" t="s">
        <v>19</v>
      </c>
      <c r="G4090" t="s">
        <v>14</v>
      </c>
      <c r="H4090">
        <v>1</v>
      </c>
      <c r="I4090" s="2">
        <v>591.29999999999995</v>
      </c>
      <c r="J4090" s="2">
        <v>591.29999999999995</v>
      </c>
      <c r="K4090" s="2">
        <f t="shared" si="190"/>
        <v>591.29999999999995</v>
      </c>
      <c r="L4090" s="2">
        <f t="shared" si="191"/>
        <v>0</v>
      </c>
      <c r="M4090" t="s">
        <v>25</v>
      </c>
      <c r="N4090" t="s">
        <v>16</v>
      </c>
    </row>
    <row r="4091" spans="1:14" x14ac:dyDescent="0.3">
      <c r="A4091">
        <v>2024005089</v>
      </c>
      <c r="B4091" s="1">
        <v>45302</v>
      </c>
      <c r="C4091" s="11">
        <f t="shared" si="189"/>
        <v>2024</v>
      </c>
      <c r="D4091" t="s">
        <v>11</v>
      </c>
      <c r="E4091" t="s">
        <v>53</v>
      </c>
      <c r="F4091" t="s">
        <v>54</v>
      </c>
      <c r="G4091" t="s">
        <v>36</v>
      </c>
      <c r="H4091">
        <v>1</v>
      </c>
      <c r="I4091" s="2">
        <v>111.23</v>
      </c>
      <c r="J4091" s="2">
        <v>111.23</v>
      </c>
      <c r="K4091" s="2">
        <f t="shared" si="190"/>
        <v>111.23</v>
      </c>
      <c r="L4091" s="2">
        <f t="shared" si="191"/>
        <v>0</v>
      </c>
      <c r="M4091" t="s">
        <v>38</v>
      </c>
      <c r="N4091" t="s">
        <v>16</v>
      </c>
    </row>
    <row r="4092" spans="1:14" x14ac:dyDescent="0.3">
      <c r="A4092">
        <v>2024005090</v>
      </c>
      <c r="B4092" s="1">
        <v>45494</v>
      </c>
      <c r="C4092" s="11">
        <f t="shared" si="189"/>
        <v>2024</v>
      </c>
      <c r="D4092" t="s">
        <v>270</v>
      </c>
      <c r="E4092" t="s">
        <v>67</v>
      </c>
      <c r="F4092" t="s">
        <v>68</v>
      </c>
      <c r="G4092" t="s">
        <v>36</v>
      </c>
      <c r="H4092">
        <v>1</v>
      </c>
      <c r="I4092" s="2">
        <v>378.27</v>
      </c>
      <c r="J4092" s="2">
        <v>378.27</v>
      </c>
      <c r="K4092" s="2">
        <f t="shared" si="190"/>
        <v>378.27</v>
      </c>
      <c r="L4092" s="2">
        <f t="shared" si="191"/>
        <v>0</v>
      </c>
      <c r="M4092" t="s">
        <v>57</v>
      </c>
      <c r="N4092" t="s">
        <v>26</v>
      </c>
    </row>
    <row r="4093" spans="1:14" x14ac:dyDescent="0.3">
      <c r="A4093">
        <v>2024005091</v>
      </c>
      <c r="B4093" s="1">
        <v>45478</v>
      </c>
      <c r="C4093" s="11">
        <f t="shared" si="189"/>
        <v>2024</v>
      </c>
      <c r="D4093" t="s">
        <v>11</v>
      </c>
      <c r="E4093" t="s">
        <v>18</v>
      </c>
      <c r="F4093" t="s">
        <v>19</v>
      </c>
      <c r="G4093" t="s">
        <v>14</v>
      </c>
      <c r="H4093">
        <v>1</v>
      </c>
      <c r="I4093" s="2">
        <v>614.75</v>
      </c>
      <c r="J4093" s="2">
        <v>614.75</v>
      </c>
      <c r="K4093" s="2">
        <f t="shared" si="190"/>
        <v>614.75</v>
      </c>
      <c r="L4093" s="2">
        <f t="shared" si="191"/>
        <v>0</v>
      </c>
      <c r="M4093" t="s">
        <v>38</v>
      </c>
      <c r="N4093" t="s">
        <v>26</v>
      </c>
    </row>
    <row r="4094" spans="1:14" x14ac:dyDescent="0.3">
      <c r="A4094">
        <v>2024005092</v>
      </c>
      <c r="B4094" s="1">
        <v>45511</v>
      </c>
      <c r="C4094" s="11">
        <f t="shared" si="189"/>
        <v>2024</v>
      </c>
      <c r="D4094" t="s">
        <v>87</v>
      </c>
      <c r="E4094" t="s">
        <v>28</v>
      </c>
      <c r="F4094" t="s">
        <v>29</v>
      </c>
      <c r="G4094" t="s">
        <v>30</v>
      </c>
      <c r="H4094">
        <v>1</v>
      </c>
      <c r="I4094" s="2">
        <v>25.29</v>
      </c>
      <c r="J4094" s="2">
        <v>25.29</v>
      </c>
      <c r="K4094" s="2">
        <f t="shared" si="190"/>
        <v>25.29</v>
      </c>
      <c r="L4094" s="2">
        <f t="shared" si="191"/>
        <v>0</v>
      </c>
      <c r="M4094" t="s">
        <v>48</v>
      </c>
      <c r="N4094" t="s">
        <v>16</v>
      </c>
    </row>
    <row r="4095" spans="1:14" x14ac:dyDescent="0.3">
      <c r="A4095">
        <v>2024005093</v>
      </c>
      <c r="B4095" s="1">
        <v>45314</v>
      </c>
      <c r="C4095" s="11">
        <f t="shared" si="189"/>
        <v>2024</v>
      </c>
      <c r="D4095" t="s">
        <v>11</v>
      </c>
      <c r="E4095" t="s">
        <v>34</v>
      </c>
      <c r="F4095" t="s">
        <v>35</v>
      </c>
      <c r="G4095" t="s">
        <v>36</v>
      </c>
      <c r="H4095">
        <v>1</v>
      </c>
      <c r="I4095" s="2">
        <v>15.79</v>
      </c>
      <c r="J4095" s="2">
        <v>15.79</v>
      </c>
      <c r="K4095" s="2">
        <f t="shared" si="190"/>
        <v>15.79</v>
      </c>
      <c r="L4095" s="2">
        <f t="shared" si="191"/>
        <v>0</v>
      </c>
      <c r="M4095" t="s">
        <v>48</v>
      </c>
      <c r="N4095" t="s">
        <v>26</v>
      </c>
    </row>
    <row r="4096" spans="1:14" x14ac:dyDescent="0.3">
      <c r="A4096">
        <v>2024005094</v>
      </c>
      <c r="B4096" s="1">
        <v>45600</v>
      </c>
      <c r="C4096" s="11">
        <f t="shared" si="189"/>
        <v>2024</v>
      </c>
      <c r="D4096" t="s">
        <v>176</v>
      </c>
      <c r="E4096" t="s">
        <v>43</v>
      </c>
      <c r="F4096" t="s">
        <v>44</v>
      </c>
      <c r="G4096" t="s">
        <v>36</v>
      </c>
      <c r="H4096">
        <v>3</v>
      </c>
      <c r="I4096" s="2">
        <v>1092.0899999999999</v>
      </c>
      <c r="J4096" s="2">
        <v>3276.27</v>
      </c>
      <c r="K4096" s="2">
        <f t="shared" si="190"/>
        <v>3276.2699999999995</v>
      </c>
      <c r="L4096" s="2">
        <f t="shared" si="191"/>
        <v>0</v>
      </c>
      <c r="M4096" t="s">
        <v>15</v>
      </c>
      <c r="N4096" t="s">
        <v>21</v>
      </c>
    </row>
    <row r="4097" spans="1:14" x14ac:dyDescent="0.3">
      <c r="A4097">
        <v>2024005095</v>
      </c>
      <c r="B4097" s="1">
        <v>45322</v>
      </c>
      <c r="C4097" s="11">
        <f t="shared" si="189"/>
        <v>2024</v>
      </c>
      <c r="D4097" t="s">
        <v>252</v>
      </c>
      <c r="E4097" t="s">
        <v>34</v>
      </c>
      <c r="F4097" t="s">
        <v>35</v>
      </c>
      <c r="G4097" t="s">
        <v>36</v>
      </c>
      <c r="H4097">
        <v>4</v>
      </c>
      <c r="I4097" s="2">
        <v>15.05</v>
      </c>
      <c r="J4097" s="2">
        <v>60.2</v>
      </c>
      <c r="K4097" s="2">
        <f t="shared" si="190"/>
        <v>60.2</v>
      </c>
      <c r="L4097" s="2">
        <f t="shared" si="191"/>
        <v>0</v>
      </c>
      <c r="M4097" t="s">
        <v>25</v>
      </c>
      <c r="N4097" t="s">
        <v>16</v>
      </c>
    </row>
    <row r="4098" spans="1:14" x14ac:dyDescent="0.3">
      <c r="A4098">
        <v>2024005096</v>
      </c>
      <c r="B4098" s="1">
        <v>45569</v>
      </c>
      <c r="C4098" s="11">
        <f t="shared" si="189"/>
        <v>2024</v>
      </c>
      <c r="D4098" t="s">
        <v>169</v>
      </c>
      <c r="E4098" t="s">
        <v>46</v>
      </c>
      <c r="F4098" t="s">
        <v>47</v>
      </c>
      <c r="G4098" t="s">
        <v>36</v>
      </c>
      <c r="H4098">
        <v>4</v>
      </c>
      <c r="I4098" s="2">
        <v>85.18</v>
      </c>
      <c r="J4098" s="2">
        <v>340.72</v>
      </c>
      <c r="K4098" s="2">
        <f t="shared" si="190"/>
        <v>340.72</v>
      </c>
      <c r="L4098" s="2">
        <f t="shared" si="191"/>
        <v>0</v>
      </c>
      <c r="M4098" t="s">
        <v>15</v>
      </c>
      <c r="N4098" t="s">
        <v>21</v>
      </c>
    </row>
    <row r="4099" spans="1:14" x14ac:dyDescent="0.3">
      <c r="A4099">
        <v>2024005097</v>
      </c>
      <c r="B4099" s="1">
        <v>45408</v>
      </c>
      <c r="C4099" s="11">
        <f t="shared" ref="C4099:C4162" si="192">YEAR(B4099)</f>
        <v>2024</v>
      </c>
      <c r="D4099" t="s">
        <v>221</v>
      </c>
      <c r="E4099" t="s">
        <v>18</v>
      </c>
      <c r="F4099" t="s">
        <v>19</v>
      </c>
      <c r="G4099" t="s">
        <v>14</v>
      </c>
      <c r="H4099">
        <v>2</v>
      </c>
      <c r="I4099" s="2">
        <v>635.83000000000004</v>
      </c>
      <c r="J4099" s="2">
        <v>1271.6600000000001</v>
      </c>
      <c r="K4099" s="2">
        <f t="shared" ref="K4099:K4162" si="193">I4099*H4099</f>
        <v>1271.6600000000001</v>
      </c>
      <c r="L4099" s="2">
        <f t="shared" ref="L4099:L4162" si="194">J4099-K4099</f>
        <v>0</v>
      </c>
      <c r="M4099" t="s">
        <v>64</v>
      </c>
      <c r="N4099" t="s">
        <v>32</v>
      </c>
    </row>
    <row r="4100" spans="1:14" x14ac:dyDescent="0.3">
      <c r="A4100">
        <v>2024005098</v>
      </c>
      <c r="B4100" s="1">
        <v>45470</v>
      </c>
      <c r="C4100" s="11">
        <f t="shared" si="192"/>
        <v>2024</v>
      </c>
      <c r="D4100" t="s">
        <v>11</v>
      </c>
      <c r="E4100" t="s">
        <v>40</v>
      </c>
      <c r="F4100" t="s">
        <v>41</v>
      </c>
      <c r="G4100" t="s">
        <v>36</v>
      </c>
      <c r="H4100">
        <v>2</v>
      </c>
      <c r="I4100" s="2">
        <v>43.98</v>
      </c>
      <c r="J4100" s="2">
        <v>87.96</v>
      </c>
      <c r="K4100" s="2">
        <f t="shared" si="193"/>
        <v>87.96</v>
      </c>
      <c r="L4100" s="2">
        <f t="shared" si="194"/>
        <v>0</v>
      </c>
      <c r="M4100" t="s">
        <v>64</v>
      </c>
      <c r="N4100" t="s">
        <v>21</v>
      </c>
    </row>
    <row r="4101" spans="1:14" x14ac:dyDescent="0.3">
      <c r="A4101">
        <v>2024005099</v>
      </c>
      <c r="B4101" s="1">
        <v>45549</v>
      </c>
      <c r="C4101" s="11">
        <f t="shared" si="192"/>
        <v>2024</v>
      </c>
      <c r="D4101" t="s">
        <v>161</v>
      </c>
      <c r="E4101" t="s">
        <v>40</v>
      </c>
      <c r="F4101" t="s">
        <v>41</v>
      </c>
      <c r="G4101" t="s">
        <v>36</v>
      </c>
      <c r="H4101">
        <v>1</v>
      </c>
      <c r="I4101" s="2">
        <v>47.82</v>
      </c>
      <c r="J4101" s="2">
        <v>47.82</v>
      </c>
      <c r="K4101" s="2">
        <f t="shared" si="193"/>
        <v>47.82</v>
      </c>
      <c r="L4101" s="2">
        <f t="shared" si="194"/>
        <v>0</v>
      </c>
      <c r="M4101" t="s">
        <v>57</v>
      </c>
      <c r="N4101" t="s">
        <v>21</v>
      </c>
    </row>
    <row r="4102" spans="1:14" x14ac:dyDescent="0.3">
      <c r="A4102">
        <v>2024005100</v>
      </c>
      <c r="B4102" s="1">
        <v>45321</v>
      </c>
      <c r="C4102" s="11">
        <f t="shared" si="192"/>
        <v>2024</v>
      </c>
      <c r="D4102" t="s">
        <v>254</v>
      </c>
      <c r="E4102" t="s">
        <v>18</v>
      </c>
      <c r="F4102" t="s">
        <v>19</v>
      </c>
      <c r="G4102" t="s">
        <v>14</v>
      </c>
      <c r="H4102">
        <v>2</v>
      </c>
      <c r="I4102" s="2">
        <v>623.39</v>
      </c>
      <c r="J4102" s="2">
        <v>1246.78</v>
      </c>
      <c r="K4102" s="2">
        <f t="shared" si="193"/>
        <v>1246.78</v>
      </c>
      <c r="L4102" s="2">
        <f t="shared" si="194"/>
        <v>0</v>
      </c>
      <c r="M4102" t="s">
        <v>31</v>
      </c>
      <c r="N4102" t="s">
        <v>21</v>
      </c>
    </row>
    <row r="4103" spans="1:14" x14ac:dyDescent="0.3">
      <c r="A4103">
        <v>2024005101</v>
      </c>
      <c r="B4103" s="1">
        <v>45352</v>
      </c>
      <c r="C4103" s="11">
        <f t="shared" si="192"/>
        <v>2024</v>
      </c>
      <c r="D4103" t="s">
        <v>259</v>
      </c>
      <c r="E4103" t="s">
        <v>18</v>
      </c>
      <c r="F4103" t="s">
        <v>19</v>
      </c>
      <c r="G4103" t="s">
        <v>14</v>
      </c>
      <c r="H4103">
        <v>1</v>
      </c>
      <c r="I4103" s="2">
        <v>569.39</v>
      </c>
      <c r="J4103" s="2">
        <v>569.39</v>
      </c>
      <c r="K4103" s="2">
        <f t="shared" si="193"/>
        <v>569.39</v>
      </c>
      <c r="L4103" s="2">
        <f t="shared" si="194"/>
        <v>0</v>
      </c>
      <c r="M4103" t="s">
        <v>55</v>
      </c>
      <c r="N4103" t="s">
        <v>16</v>
      </c>
    </row>
    <row r="4104" spans="1:14" x14ac:dyDescent="0.3">
      <c r="A4104">
        <v>2024005102</v>
      </c>
      <c r="B4104" s="1">
        <v>45310</v>
      </c>
      <c r="C4104" s="11">
        <f t="shared" si="192"/>
        <v>2024</v>
      </c>
      <c r="D4104" t="s">
        <v>190</v>
      </c>
      <c r="E4104" t="s">
        <v>28</v>
      </c>
      <c r="F4104" t="s">
        <v>29</v>
      </c>
      <c r="G4104" t="s">
        <v>30</v>
      </c>
      <c r="H4104">
        <v>2</v>
      </c>
      <c r="I4104" s="2">
        <v>26.14</v>
      </c>
      <c r="J4104" s="2">
        <v>52.28</v>
      </c>
      <c r="K4104" s="2">
        <f t="shared" si="193"/>
        <v>52.28</v>
      </c>
      <c r="L4104" s="2">
        <f t="shared" si="194"/>
        <v>0</v>
      </c>
      <c r="M4104" t="s">
        <v>64</v>
      </c>
      <c r="N4104" t="s">
        <v>26</v>
      </c>
    </row>
    <row r="4105" spans="1:14" x14ac:dyDescent="0.3">
      <c r="A4105">
        <v>2024005103</v>
      </c>
      <c r="B4105" s="1">
        <v>45454</v>
      </c>
      <c r="C4105" s="11">
        <f t="shared" si="192"/>
        <v>2024</v>
      </c>
      <c r="D4105" t="s">
        <v>266</v>
      </c>
      <c r="E4105" t="s">
        <v>53</v>
      </c>
      <c r="F4105" t="s">
        <v>54</v>
      </c>
      <c r="G4105" t="s">
        <v>36</v>
      </c>
      <c r="H4105">
        <v>1</v>
      </c>
      <c r="I4105" s="2">
        <v>124.14</v>
      </c>
      <c r="J4105" s="2">
        <v>124.14</v>
      </c>
      <c r="K4105" s="2">
        <f t="shared" si="193"/>
        <v>124.14</v>
      </c>
      <c r="L4105" s="2">
        <f t="shared" si="194"/>
        <v>0</v>
      </c>
      <c r="M4105" t="s">
        <v>20</v>
      </c>
      <c r="N4105" t="s">
        <v>26</v>
      </c>
    </row>
    <row r="4106" spans="1:14" x14ac:dyDescent="0.3">
      <c r="A4106">
        <v>2024005104</v>
      </c>
      <c r="B4106" s="1">
        <v>45341</v>
      </c>
      <c r="C4106" s="11">
        <f t="shared" si="192"/>
        <v>2024</v>
      </c>
      <c r="D4106" t="s">
        <v>283</v>
      </c>
      <c r="E4106" t="s">
        <v>18</v>
      </c>
      <c r="F4106" t="s">
        <v>19</v>
      </c>
      <c r="G4106" t="s">
        <v>14</v>
      </c>
      <c r="H4106">
        <v>3</v>
      </c>
      <c r="I4106" s="2">
        <v>633.86</v>
      </c>
      <c r="J4106" s="2">
        <v>1901.58</v>
      </c>
      <c r="K4106" s="2">
        <f t="shared" si="193"/>
        <v>1901.58</v>
      </c>
      <c r="L4106" s="2">
        <f t="shared" si="194"/>
        <v>0</v>
      </c>
      <c r="M4106" t="s">
        <v>48</v>
      </c>
      <c r="N4106" t="s">
        <v>16</v>
      </c>
    </row>
    <row r="4107" spans="1:14" x14ac:dyDescent="0.3">
      <c r="A4107">
        <v>2024005105</v>
      </c>
      <c r="B4107" s="1">
        <v>45396</v>
      </c>
      <c r="C4107" s="11">
        <f t="shared" si="192"/>
        <v>2024</v>
      </c>
      <c r="D4107" t="s">
        <v>11</v>
      </c>
      <c r="E4107" t="s">
        <v>18</v>
      </c>
      <c r="F4107" t="s">
        <v>19</v>
      </c>
      <c r="G4107" t="s">
        <v>14</v>
      </c>
      <c r="H4107">
        <v>1</v>
      </c>
      <c r="I4107" s="2">
        <v>526.61</v>
      </c>
      <c r="J4107" s="2">
        <v>526.61</v>
      </c>
      <c r="K4107" s="2">
        <f t="shared" si="193"/>
        <v>526.61</v>
      </c>
      <c r="L4107" s="2">
        <f t="shared" si="194"/>
        <v>0</v>
      </c>
      <c r="M4107" t="s">
        <v>57</v>
      </c>
      <c r="N4107" t="s">
        <v>16</v>
      </c>
    </row>
    <row r="4108" spans="1:14" x14ac:dyDescent="0.3">
      <c r="A4108">
        <v>2024005106</v>
      </c>
      <c r="B4108" s="1">
        <v>45563</v>
      </c>
      <c r="C4108" s="11">
        <f t="shared" si="192"/>
        <v>2024</v>
      </c>
      <c r="D4108" t="s">
        <v>283</v>
      </c>
      <c r="E4108" t="s">
        <v>46</v>
      </c>
      <c r="F4108" t="s">
        <v>47</v>
      </c>
      <c r="G4108" t="s">
        <v>36</v>
      </c>
      <c r="H4108">
        <v>1</v>
      </c>
      <c r="I4108" s="2">
        <v>96.97</v>
      </c>
      <c r="J4108" s="2">
        <v>96.97</v>
      </c>
      <c r="K4108" s="2">
        <f t="shared" si="193"/>
        <v>96.97</v>
      </c>
      <c r="L4108" s="2">
        <f t="shared" si="194"/>
        <v>0</v>
      </c>
      <c r="M4108" t="s">
        <v>15</v>
      </c>
      <c r="N4108" t="s">
        <v>26</v>
      </c>
    </row>
    <row r="4109" spans="1:14" x14ac:dyDescent="0.3">
      <c r="A4109">
        <v>2024005107</v>
      </c>
      <c r="B4109" s="1">
        <v>45549</v>
      </c>
      <c r="C4109" s="11">
        <f t="shared" si="192"/>
        <v>2024</v>
      </c>
      <c r="D4109" t="s">
        <v>333</v>
      </c>
      <c r="E4109" t="s">
        <v>53</v>
      </c>
      <c r="F4109" t="s">
        <v>54</v>
      </c>
      <c r="G4109" t="s">
        <v>36</v>
      </c>
      <c r="H4109">
        <v>3</v>
      </c>
      <c r="I4109" s="2">
        <v>123.59</v>
      </c>
      <c r="J4109" s="2">
        <v>370.77</v>
      </c>
      <c r="K4109" s="2">
        <f t="shared" si="193"/>
        <v>370.77</v>
      </c>
      <c r="L4109" s="2">
        <f t="shared" si="194"/>
        <v>0</v>
      </c>
      <c r="M4109" t="s">
        <v>25</v>
      </c>
      <c r="N4109" t="s">
        <v>21</v>
      </c>
    </row>
    <row r="4110" spans="1:14" x14ac:dyDescent="0.3">
      <c r="A4110">
        <v>2024005108</v>
      </c>
      <c r="B4110" s="1">
        <v>45555</v>
      </c>
      <c r="C4110" s="11">
        <f t="shared" si="192"/>
        <v>2024</v>
      </c>
      <c r="D4110" t="s">
        <v>205</v>
      </c>
      <c r="E4110" t="s">
        <v>18</v>
      </c>
      <c r="F4110" t="s">
        <v>19</v>
      </c>
      <c r="G4110" t="s">
        <v>14</v>
      </c>
      <c r="H4110">
        <v>3</v>
      </c>
      <c r="I4110" s="2">
        <v>601.08000000000004</v>
      </c>
      <c r="J4110" s="2">
        <v>1803.24</v>
      </c>
      <c r="K4110" s="2">
        <f t="shared" si="193"/>
        <v>1803.2400000000002</v>
      </c>
      <c r="L4110" s="2">
        <f t="shared" si="194"/>
        <v>0</v>
      </c>
      <c r="M4110" t="s">
        <v>38</v>
      </c>
      <c r="N4110" t="s">
        <v>21</v>
      </c>
    </row>
    <row r="4111" spans="1:14" x14ac:dyDescent="0.3">
      <c r="A4111">
        <v>2024005109</v>
      </c>
      <c r="B4111" s="1">
        <v>45359</v>
      </c>
      <c r="C4111" s="11">
        <f t="shared" si="192"/>
        <v>2024</v>
      </c>
      <c r="D4111" t="s">
        <v>325</v>
      </c>
      <c r="E4111" t="s">
        <v>46</v>
      </c>
      <c r="F4111" t="s">
        <v>47</v>
      </c>
      <c r="G4111" t="s">
        <v>36</v>
      </c>
      <c r="H4111">
        <v>2</v>
      </c>
      <c r="I4111" s="2">
        <v>101.46</v>
      </c>
      <c r="J4111" s="2">
        <v>202.92</v>
      </c>
      <c r="K4111" s="2">
        <f t="shared" si="193"/>
        <v>202.92</v>
      </c>
      <c r="L4111" s="2">
        <f t="shared" si="194"/>
        <v>0</v>
      </c>
      <c r="M4111" t="s">
        <v>64</v>
      </c>
      <c r="N4111" t="s">
        <v>26</v>
      </c>
    </row>
    <row r="4112" spans="1:14" x14ac:dyDescent="0.3">
      <c r="A4112">
        <v>2024005110</v>
      </c>
      <c r="B4112" s="1">
        <v>45602</v>
      </c>
      <c r="C4112" s="11">
        <f t="shared" si="192"/>
        <v>2024</v>
      </c>
      <c r="D4112" t="s">
        <v>300</v>
      </c>
      <c r="E4112" t="s">
        <v>34</v>
      </c>
      <c r="F4112" t="s">
        <v>35</v>
      </c>
      <c r="G4112" t="s">
        <v>36</v>
      </c>
      <c r="H4112">
        <v>2</v>
      </c>
      <c r="I4112" s="2">
        <v>14.77</v>
      </c>
      <c r="J4112" s="2">
        <v>29.54</v>
      </c>
      <c r="K4112" s="2">
        <f t="shared" si="193"/>
        <v>29.54</v>
      </c>
      <c r="L4112" s="2">
        <f t="shared" si="194"/>
        <v>0</v>
      </c>
      <c r="M4112" t="s">
        <v>57</v>
      </c>
      <c r="N4112" t="s">
        <v>21</v>
      </c>
    </row>
    <row r="4113" spans="1:14" x14ac:dyDescent="0.3">
      <c r="A4113">
        <v>2024005111</v>
      </c>
      <c r="B4113" s="1">
        <v>45635</v>
      </c>
      <c r="C4113" s="11">
        <f t="shared" si="192"/>
        <v>2024</v>
      </c>
      <c r="D4113" t="s">
        <v>324</v>
      </c>
      <c r="E4113" t="s">
        <v>34</v>
      </c>
      <c r="F4113" t="s">
        <v>35</v>
      </c>
      <c r="G4113" t="s">
        <v>36</v>
      </c>
      <c r="H4113">
        <v>2</v>
      </c>
      <c r="I4113" s="2">
        <v>15.93</v>
      </c>
      <c r="J4113" s="2">
        <v>31.86</v>
      </c>
      <c r="K4113" s="2">
        <f t="shared" si="193"/>
        <v>31.86</v>
      </c>
      <c r="L4113" s="2">
        <f t="shared" si="194"/>
        <v>0</v>
      </c>
      <c r="M4113" t="s">
        <v>25</v>
      </c>
      <c r="N4113" t="s">
        <v>26</v>
      </c>
    </row>
    <row r="4114" spans="1:14" x14ac:dyDescent="0.3">
      <c r="A4114">
        <v>2024005112</v>
      </c>
      <c r="B4114" s="1">
        <v>45399</v>
      </c>
      <c r="C4114" s="11">
        <f t="shared" si="192"/>
        <v>2024</v>
      </c>
      <c r="D4114" t="s">
        <v>11</v>
      </c>
      <c r="E4114" t="s">
        <v>18</v>
      </c>
      <c r="F4114" t="s">
        <v>19</v>
      </c>
      <c r="G4114" t="s">
        <v>14</v>
      </c>
      <c r="H4114">
        <v>2</v>
      </c>
      <c r="I4114" s="2">
        <v>588.45000000000005</v>
      </c>
      <c r="J4114" s="2">
        <v>1176.9000000000001</v>
      </c>
      <c r="K4114" s="2">
        <f t="shared" si="193"/>
        <v>1176.9000000000001</v>
      </c>
      <c r="L4114" s="2">
        <f t="shared" si="194"/>
        <v>0</v>
      </c>
      <c r="M4114" t="s">
        <v>31</v>
      </c>
      <c r="N4114" t="s">
        <v>26</v>
      </c>
    </row>
    <row r="4115" spans="1:14" x14ac:dyDescent="0.3">
      <c r="A4115">
        <v>2024005113</v>
      </c>
      <c r="B4115" s="1">
        <v>45469</v>
      </c>
      <c r="C4115" s="11">
        <f t="shared" si="192"/>
        <v>2024</v>
      </c>
      <c r="D4115" t="s">
        <v>211</v>
      </c>
      <c r="E4115" t="s">
        <v>46</v>
      </c>
      <c r="F4115" t="s">
        <v>47</v>
      </c>
      <c r="G4115" t="s">
        <v>36</v>
      </c>
      <c r="H4115">
        <v>2</v>
      </c>
      <c r="I4115" s="2">
        <v>89.17</v>
      </c>
      <c r="J4115" s="2">
        <v>178.34</v>
      </c>
      <c r="K4115" s="2">
        <f t="shared" si="193"/>
        <v>178.34</v>
      </c>
      <c r="L4115" s="2">
        <f t="shared" si="194"/>
        <v>0</v>
      </c>
      <c r="M4115" t="s">
        <v>48</v>
      </c>
      <c r="N4115" t="s">
        <v>21</v>
      </c>
    </row>
    <row r="4116" spans="1:14" x14ac:dyDescent="0.3">
      <c r="A4116">
        <v>2024005114</v>
      </c>
      <c r="B4116" s="1">
        <v>45562</v>
      </c>
      <c r="C4116" s="11">
        <f t="shared" si="192"/>
        <v>2024</v>
      </c>
      <c r="D4116" t="s">
        <v>11</v>
      </c>
      <c r="E4116" t="s">
        <v>53</v>
      </c>
      <c r="F4116" t="s">
        <v>54</v>
      </c>
      <c r="G4116" t="s">
        <v>36</v>
      </c>
      <c r="H4116">
        <v>3</v>
      </c>
      <c r="I4116" s="2">
        <v>117.02</v>
      </c>
      <c r="J4116" s="2">
        <v>351.06</v>
      </c>
      <c r="K4116" s="2">
        <f t="shared" si="193"/>
        <v>351.06</v>
      </c>
      <c r="L4116" s="2">
        <f t="shared" si="194"/>
        <v>0</v>
      </c>
      <c r="M4116" t="s">
        <v>55</v>
      </c>
      <c r="N4116" t="s">
        <v>21</v>
      </c>
    </row>
    <row r="4117" spans="1:14" x14ac:dyDescent="0.3">
      <c r="A4117">
        <v>2024005115</v>
      </c>
      <c r="B4117" s="1">
        <v>45522</v>
      </c>
      <c r="C4117" s="11">
        <f t="shared" si="192"/>
        <v>2024</v>
      </c>
      <c r="D4117" t="s">
        <v>246</v>
      </c>
      <c r="E4117" t="s">
        <v>12</v>
      </c>
      <c r="F4117" t="s">
        <v>13</v>
      </c>
      <c r="G4117" t="s">
        <v>14</v>
      </c>
      <c r="H4117">
        <v>3</v>
      </c>
      <c r="I4117" s="2">
        <v>370.51</v>
      </c>
      <c r="J4117" s="2">
        <v>1111.53</v>
      </c>
      <c r="K4117" s="2">
        <f t="shared" si="193"/>
        <v>1111.53</v>
      </c>
      <c r="L4117" s="2">
        <f t="shared" si="194"/>
        <v>0</v>
      </c>
      <c r="M4117" t="s">
        <v>20</v>
      </c>
      <c r="N4117" t="s">
        <v>32</v>
      </c>
    </row>
    <row r="4118" spans="1:14" x14ac:dyDescent="0.3">
      <c r="A4118">
        <v>2024005116</v>
      </c>
      <c r="B4118" s="1">
        <v>45399</v>
      </c>
      <c r="C4118" s="11">
        <f t="shared" si="192"/>
        <v>2024</v>
      </c>
      <c r="D4118" t="s">
        <v>77</v>
      </c>
      <c r="E4118" t="s">
        <v>12</v>
      </c>
      <c r="F4118" t="s">
        <v>13</v>
      </c>
      <c r="G4118" t="s">
        <v>14</v>
      </c>
      <c r="H4118">
        <v>2</v>
      </c>
      <c r="I4118" s="2">
        <v>316.92</v>
      </c>
      <c r="J4118" s="2">
        <v>633.84</v>
      </c>
      <c r="K4118" s="2">
        <f t="shared" si="193"/>
        <v>633.84</v>
      </c>
      <c r="L4118" s="2">
        <f t="shared" si="194"/>
        <v>0</v>
      </c>
      <c r="M4118" t="s">
        <v>15</v>
      </c>
      <c r="N4118" t="s">
        <v>16</v>
      </c>
    </row>
    <row r="4119" spans="1:14" x14ac:dyDescent="0.3">
      <c r="A4119">
        <v>2024005117</v>
      </c>
      <c r="B4119" s="1">
        <v>45477</v>
      </c>
      <c r="C4119" s="11">
        <f t="shared" si="192"/>
        <v>2024</v>
      </c>
      <c r="D4119" t="s">
        <v>51</v>
      </c>
      <c r="E4119" t="s">
        <v>53</v>
      </c>
      <c r="F4119" t="s">
        <v>54</v>
      </c>
      <c r="G4119" t="s">
        <v>36</v>
      </c>
      <c r="H4119">
        <v>1</v>
      </c>
      <c r="I4119" s="2">
        <v>124.89</v>
      </c>
      <c r="J4119" s="2">
        <v>124.89</v>
      </c>
      <c r="K4119" s="2">
        <f t="shared" si="193"/>
        <v>124.89</v>
      </c>
      <c r="L4119" s="2">
        <f t="shared" si="194"/>
        <v>0</v>
      </c>
      <c r="M4119" t="s">
        <v>57</v>
      </c>
      <c r="N4119" t="s">
        <v>26</v>
      </c>
    </row>
    <row r="4120" spans="1:14" x14ac:dyDescent="0.3">
      <c r="A4120">
        <v>2024005118</v>
      </c>
      <c r="B4120" s="1">
        <v>45627</v>
      </c>
      <c r="C4120" s="11">
        <f t="shared" si="192"/>
        <v>2024</v>
      </c>
      <c r="D4120" t="s">
        <v>345</v>
      </c>
      <c r="E4120" t="s">
        <v>18</v>
      </c>
      <c r="F4120" t="s">
        <v>19</v>
      </c>
      <c r="G4120" t="s">
        <v>14</v>
      </c>
      <c r="H4120">
        <v>1</v>
      </c>
      <c r="I4120" s="2">
        <v>607.78</v>
      </c>
      <c r="J4120" s="2">
        <v>607.78</v>
      </c>
      <c r="K4120" s="2">
        <f t="shared" si="193"/>
        <v>607.78</v>
      </c>
      <c r="L4120" s="2">
        <f t="shared" si="194"/>
        <v>0</v>
      </c>
      <c r="M4120" t="s">
        <v>57</v>
      </c>
      <c r="N4120" t="s">
        <v>32</v>
      </c>
    </row>
    <row r="4121" spans="1:14" x14ac:dyDescent="0.3">
      <c r="A4121">
        <v>2024005119</v>
      </c>
      <c r="B4121" s="1">
        <v>45557</v>
      </c>
      <c r="C4121" s="11">
        <f t="shared" si="192"/>
        <v>2024</v>
      </c>
      <c r="D4121" t="s">
        <v>291</v>
      </c>
      <c r="E4121" t="s">
        <v>46</v>
      </c>
      <c r="F4121" t="s">
        <v>47</v>
      </c>
      <c r="G4121" t="s">
        <v>36</v>
      </c>
      <c r="H4121">
        <v>2</v>
      </c>
      <c r="I4121" s="2">
        <v>85.62</v>
      </c>
      <c r="J4121" s="2">
        <v>171.24</v>
      </c>
      <c r="K4121" s="2">
        <f t="shared" si="193"/>
        <v>171.24</v>
      </c>
      <c r="L4121" s="2">
        <f t="shared" si="194"/>
        <v>0</v>
      </c>
      <c r="M4121" t="s">
        <v>55</v>
      </c>
      <c r="N4121" t="s">
        <v>21</v>
      </c>
    </row>
    <row r="4122" spans="1:14" x14ac:dyDescent="0.3">
      <c r="A4122">
        <v>2024005120</v>
      </c>
      <c r="B4122" s="1">
        <v>45414</v>
      </c>
      <c r="C4122" s="11">
        <f t="shared" si="192"/>
        <v>2024</v>
      </c>
      <c r="D4122" t="s">
        <v>94</v>
      </c>
      <c r="E4122" t="s">
        <v>12</v>
      </c>
      <c r="F4122" t="s">
        <v>13</v>
      </c>
      <c r="G4122" t="s">
        <v>14</v>
      </c>
      <c r="H4122">
        <v>3</v>
      </c>
      <c r="I4122" s="2">
        <v>369.15</v>
      </c>
      <c r="J4122" s="2">
        <v>1107.45</v>
      </c>
      <c r="K4122" s="2">
        <f t="shared" si="193"/>
        <v>1107.4499999999998</v>
      </c>
      <c r="L4122" s="2">
        <f t="shared" si="194"/>
        <v>0</v>
      </c>
      <c r="M4122" t="s">
        <v>57</v>
      </c>
      <c r="N4122" t="s">
        <v>26</v>
      </c>
    </row>
    <row r="4123" spans="1:14" x14ac:dyDescent="0.3">
      <c r="A4123">
        <v>2024005121</v>
      </c>
      <c r="B4123" s="1">
        <v>45327</v>
      </c>
      <c r="C4123" s="11">
        <f t="shared" si="192"/>
        <v>2024</v>
      </c>
      <c r="D4123" t="s">
        <v>11</v>
      </c>
      <c r="E4123" t="s">
        <v>18</v>
      </c>
      <c r="F4123" t="s">
        <v>19</v>
      </c>
      <c r="G4123" t="s">
        <v>14</v>
      </c>
      <c r="H4123">
        <v>1</v>
      </c>
      <c r="I4123" s="2">
        <v>635.96</v>
      </c>
      <c r="J4123" s="2">
        <v>635.96</v>
      </c>
      <c r="K4123" s="2">
        <f t="shared" si="193"/>
        <v>635.96</v>
      </c>
      <c r="L4123" s="2">
        <f t="shared" si="194"/>
        <v>0</v>
      </c>
      <c r="M4123" t="s">
        <v>57</v>
      </c>
      <c r="N4123" t="s">
        <v>32</v>
      </c>
    </row>
    <row r="4124" spans="1:14" x14ac:dyDescent="0.3">
      <c r="A4124">
        <v>2024005122</v>
      </c>
      <c r="B4124" s="1">
        <v>45449</v>
      </c>
      <c r="C4124" s="11">
        <f t="shared" si="192"/>
        <v>2024</v>
      </c>
      <c r="D4124" t="s">
        <v>272</v>
      </c>
      <c r="E4124" t="s">
        <v>43</v>
      </c>
      <c r="F4124" t="s">
        <v>44</v>
      </c>
      <c r="G4124" t="s">
        <v>36</v>
      </c>
      <c r="H4124">
        <v>2</v>
      </c>
      <c r="I4124" s="2">
        <v>1179.74</v>
      </c>
      <c r="J4124" s="2">
        <v>2359.48</v>
      </c>
      <c r="K4124" s="2">
        <f t="shared" si="193"/>
        <v>2359.48</v>
      </c>
      <c r="L4124" s="2">
        <f t="shared" si="194"/>
        <v>0</v>
      </c>
      <c r="M4124" t="s">
        <v>64</v>
      </c>
      <c r="N4124" t="s">
        <v>26</v>
      </c>
    </row>
    <row r="4125" spans="1:14" x14ac:dyDescent="0.3">
      <c r="A4125">
        <v>2024005123</v>
      </c>
      <c r="B4125" s="1">
        <v>45556</v>
      </c>
      <c r="C4125" s="11">
        <f t="shared" si="192"/>
        <v>2024</v>
      </c>
      <c r="D4125" t="s">
        <v>127</v>
      </c>
      <c r="E4125" t="s">
        <v>43</v>
      </c>
      <c r="F4125" t="s">
        <v>44</v>
      </c>
      <c r="G4125" t="s">
        <v>36</v>
      </c>
      <c r="H4125">
        <v>2</v>
      </c>
      <c r="I4125" s="2">
        <v>1152.1099999999999</v>
      </c>
      <c r="J4125" s="2">
        <v>2304.2199999999998</v>
      </c>
      <c r="K4125" s="2">
        <f t="shared" si="193"/>
        <v>2304.2199999999998</v>
      </c>
      <c r="L4125" s="2">
        <f t="shared" si="194"/>
        <v>0</v>
      </c>
      <c r="M4125" t="s">
        <v>61</v>
      </c>
      <c r="N4125" t="s">
        <v>16</v>
      </c>
    </row>
    <row r="4126" spans="1:14" x14ac:dyDescent="0.3">
      <c r="A4126">
        <v>2024005124</v>
      </c>
      <c r="B4126" s="1">
        <v>45537</v>
      </c>
      <c r="C4126" s="11">
        <f t="shared" si="192"/>
        <v>2024</v>
      </c>
      <c r="D4126" t="s">
        <v>139</v>
      </c>
      <c r="E4126" t="s">
        <v>43</v>
      </c>
      <c r="F4126" t="s">
        <v>44</v>
      </c>
      <c r="G4126" t="s">
        <v>36</v>
      </c>
      <c r="H4126">
        <v>1</v>
      </c>
      <c r="I4126" s="2">
        <v>1191.46</v>
      </c>
      <c r="J4126" s="2">
        <v>1191.46</v>
      </c>
      <c r="K4126" s="2">
        <f t="shared" si="193"/>
        <v>1191.46</v>
      </c>
      <c r="L4126" s="2">
        <f t="shared" si="194"/>
        <v>0</v>
      </c>
      <c r="M4126" t="s">
        <v>55</v>
      </c>
      <c r="N4126" t="s">
        <v>26</v>
      </c>
    </row>
    <row r="4127" spans="1:14" x14ac:dyDescent="0.3">
      <c r="A4127">
        <v>2024005125</v>
      </c>
      <c r="B4127" s="1">
        <v>45485</v>
      </c>
      <c r="C4127" s="11">
        <f t="shared" si="192"/>
        <v>2024</v>
      </c>
      <c r="D4127" t="s">
        <v>198</v>
      </c>
      <c r="E4127" t="s">
        <v>40</v>
      </c>
      <c r="F4127" t="s">
        <v>41</v>
      </c>
      <c r="G4127" t="s">
        <v>36</v>
      </c>
      <c r="H4127">
        <v>3</v>
      </c>
      <c r="I4127" s="2">
        <v>47.84</v>
      </c>
      <c r="J4127" s="2">
        <v>143.52000000000001</v>
      </c>
      <c r="K4127" s="2">
        <f t="shared" si="193"/>
        <v>143.52000000000001</v>
      </c>
      <c r="L4127" s="2">
        <f t="shared" si="194"/>
        <v>0</v>
      </c>
      <c r="M4127" t="s">
        <v>31</v>
      </c>
      <c r="N4127" t="s">
        <v>16</v>
      </c>
    </row>
    <row r="4128" spans="1:14" x14ac:dyDescent="0.3">
      <c r="A4128">
        <v>2024005126</v>
      </c>
      <c r="B4128" s="1">
        <v>45394</v>
      </c>
      <c r="C4128" s="11">
        <f t="shared" si="192"/>
        <v>2024</v>
      </c>
      <c r="D4128" t="s">
        <v>37</v>
      </c>
      <c r="E4128" t="s">
        <v>43</v>
      </c>
      <c r="F4128" t="s">
        <v>44</v>
      </c>
      <c r="G4128" t="s">
        <v>36</v>
      </c>
      <c r="H4128">
        <v>3</v>
      </c>
      <c r="I4128" s="2">
        <v>1208.33</v>
      </c>
      <c r="J4128" s="2">
        <v>3624.99</v>
      </c>
      <c r="K4128" s="2">
        <f t="shared" si="193"/>
        <v>3624.99</v>
      </c>
      <c r="L4128" s="2">
        <f t="shared" si="194"/>
        <v>0</v>
      </c>
      <c r="M4128" t="s">
        <v>20</v>
      </c>
      <c r="N4128" t="s">
        <v>26</v>
      </c>
    </row>
    <row r="4129" spans="1:14" x14ac:dyDescent="0.3">
      <c r="A4129">
        <v>2024005127</v>
      </c>
      <c r="B4129" s="1">
        <v>45655</v>
      </c>
      <c r="C4129" s="11">
        <f t="shared" si="192"/>
        <v>2024</v>
      </c>
      <c r="D4129" t="s">
        <v>147</v>
      </c>
      <c r="E4129" t="s">
        <v>67</v>
      </c>
      <c r="F4129" t="s">
        <v>68</v>
      </c>
      <c r="G4129" t="s">
        <v>36</v>
      </c>
      <c r="H4129">
        <v>1</v>
      </c>
      <c r="I4129" s="2">
        <v>384.56</v>
      </c>
      <c r="J4129" s="2">
        <v>384.56</v>
      </c>
      <c r="K4129" s="2">
        <f t="shared" si="193"/>
        <v>384.56</v>
      </c>
      <c r="L4129" s="2">
        <f t="shared" si="194"/>
        <v>0</v>
      </c>
      <c r="M4129" t="s">
        <v>61</v>
      </c>
      <c r="N4129" t="s">
        <v>21</v>
      </c>
    </row>
    <row r="4130" spans="1:14" x14ac:dyDescent="0.3">
      <c r="A4130">
        <v>2024005128</v>
      </c>
      <c r="B4130" s="1">
        <v>45326</v>
      </c>
      <c r="C4130" s="11">
        <f t="shared" si="192"/>
        <v>2024</v>
      </c>
      <c r="D4130" t="s">
        <v>11</v>
      </c>
      <c r="E4130" t="s">
        <v>67</v>
      </c>
      <c r="F4130" t="s">
        <v>68</v>
      </c>
      <c r="G4130" t="s">
        <v>36</v>
      </c>
      <c r="H4130">
        <v>1</v>
      </c>
      <c r="I4130" s="2">
        <v>429.18</v>
      </c>
      <c r="J4130" s="2">
        <v>429.18</v>
      </c>
      <c r="K4130" s="2">
        <f t="shared" si="193"/>
        <v>429.18</v>
      </c>
      <c r="L4130" s="2">
        <f t="shared" si="194"/>
        <v>0</v>
      </c>
      <c r="M4130" t="s">
        <v>48</v>
      </c>
      <c r="N4130" t="s">
        <v>26</v>
      </c>
    </row>
    <row r="4131" spans="1:14" x14ac:dyDescent="0.3">
      <c r="A4131">
        <v>2024005129</v>
      </c>
      <c r="B4131" s="1">
        <v>45319</v>
      </c>
      <c r="C4131" s="11">
        <f t="shared" si="192"/>
        <v>2024</v>
      </c>
      <c r="D4131" t="s">
        <v>229</v>
      </c>
      <c r="E4131" t="s">
        <v>23</v>
      </c>
      <c r="F4131" t="s">
        <v>24</v>
      </c>
      <c r="G4131" t="s">
        <v>14</v>
      </c>
      <c r="H4131">
        <v>1</v>
      </c>
      <c r="I4131" s="2">
        <v>81.08</v>
      </c>
      <c r="J4131" s="2">
        <v>81.08</v>
      </c>
      <c r="K4131" s="2">
        <f t="shared" si="193"/>
        <v>81.08</v>
      </c>
      <c r="L4131" s="2">
        <f t="shared" si="194"/>
        <v>0</v>
      </c>
      <c r="M4131" t="s">
        <v>61</v>
      </c>
      <c r="N4131" t="s">
        <v>16</v>
      </c>
    </row>
    <row r="4132" spans="1:14" x14ac:dyDescent="0.3">
      <c r="A4132">
        <v>2024005130</v>
      </c>
      <c r="B4132" s="1">
        <v>45466</v>
      </c>
      <c r="C4132" s="11">
        <f t="shared" si="192"/>
        <v>2024</v>
      </c>
      <c r="D4132" t="s">
        <v>316</v>
      </c>
      <c r="E4132" t="s">
        <v>53</v>
      </c>
      <c r="F4132" t="s">
        <v>54</v>
      </c>
      <c r="G4132" t="s">
        <v>36</v>
      </c>
      <c r="H4132">
        <v>2</v>
      </c>
      <c r="I4132" s="2">
        <v>123.7</v>
      </c>
      <c r="J4132" s="2">
        <v>247.4</v>
      </c>
      <c r="K4132" s="2">
        <f t="shared" si="193"/>
        <v>247.4</v>
      </c>
      <c r="L4132" s="2">
        <f t="shared" si="194"/>
        <v>0</v>
      </c>
      <c r="M4132" t="s">
        <v>48</v>
      </c>
      <c r="N4132" t="s">
        <v>32</v>
      </c>
    </row>
    <row r="4133" spans="1:14" x14ac:dyDescent="0.3">
      <c r="A4133">
        <v>2024005131</v>
      </c>
      <c r="B4133" s="1">
        <v>45520</v>
      </c>
      <c r="C4133" s="11">
        <f t="shared" si="192"/>
        <v>2024</v>
      </c>
      <c r="D4133" t="s">
        <v>239</v>
      </c>
      <c r="E4133" t="s">
        <v>67</v>
      </c>
      <c r="F4133" t="s">
        <v>68</v>
      </c>
      <c r="G4133" t="s">
        <v>36</v>
      </c>
      <c r="H4133">
        <v>3</v>
      </c>
      <c r="I4133" s="2">
        <v>423.51</v>
      </c>
      <c r="J4133" s="2">
        <v>1270.53</v>
      </c>
      <c r="K4133" s="2">
        <f t="shared" si="193"/>
        <v>1270.53</v>
      </c>
      <c r="L4133" s="2">
        <f t="shared" si="194"/>
        <v>0</v>
      </c>
      <c r="M4133" t="s">
        <v>48</v>
      </c>
      <c r="N4133" t="s">
        <v>26</v>
      </c>
    </row>
    <row r="4134" spans="1:14" x14ac:dyDescent="0.3">
      <c r="A4134">
        <v>2024005132</v>
      </c>
      <c r="B4134" s="1">
        <v>45605</v>
      </c>
      <c r="C4134" s="11">
        <f t="shared" si="192"/>
        <v>2024</v>
      </c>
      <c r="D4134" t="s">
        <v>333</v>
      </c>
      <c r="E4134" t="s">
        <v>23</v>
      </c>
      <c r="F4134" t="s">
        <v>24</v>
      </c>
      <c r="G4134" t="s">
        <v>14</v>
      </c>
      <c r="H4134">
        <v>3</v>
      </c>
      <c r="I4134" s="2">
        <v>90.85</v>
      </c>
      <c r="J4134" s="2">
        <v>272.55</v>
      </c>
      <c r="K4134" s="2">
        <f t="shared" si="193"/>
        <v>272.54999999999995</v>
      </c>
      <c r="L4134" s="2">
        <f t="shared" si="194"/>
        <v>0</v>
      </c>
      <c r="M4134" t="s">
        <v>61</v>
      </c>
      <c r="N4134" t="s">
        <v>16</v>
      </c>
    </row>
    <row r="4135" spans="1:14" x14ac:dyDescent="0.3">
      <c r="A4135">
        <v>2024005133</v>
      </c>
      <c r="B4135" s="1">
        <v>45560</v>
      </c>
      <c r="C4135" s="11">
        <f t="shared" si="192"/>
        <v>2024</v>
      </c>
      <c r="D4135" t="s">
        <v>181</v>
      </c>
      <c r="E4135" t="s">
        <v>28</v>
      </c>
      <c r="F4135" t="s">
        <v>29</v>
      </c>
      <c r="G4135" t="s">
        <v>30</v>
      </c>
      <c r="H4135">
        <v>3</v>
      </c>
      <c r="I4135" s="2">
        <v>26.44</v>
      </c>
      <c r="J4135" s="2">
        <v>79.319999999999993</v>
      </c>
      <c r="K4135" s="2">
        <f t="shared" si="193"/>
        <v>79.320000000000007</v>
      </c>
      <c r="L4135" s="2">
        <f t="shared" si="194"/>
        <v>0</v>
      </c>
      <c r="M4135" t="s">
        <v>64</v>
      </c>
      <c r="N4135" t="s">
        <v>32</v>
      </c>
    </row>
    <row r="4136" spans="1:14" x14ac:dyDescent="0.3">
      <c r="A4136">
        <v>2024005134</v>
      </c>
      <c r="B4136" s="1">
        <v>45635</v>
      </c>
      <c r="C4136" s="11">
        <f t="shared" si="192"/>
        <v>2024</v>
      </c>
      <c r="D4136" t="s">
        <v>75</v>
      </c>
      <c r="E4136" t="s">
        <v>46</v>
      </c>
      <c r="F4136" t="s">
        <v>47</v>
      </c>
      <c r="G4136" t="s">
        <v>36</v>
      </c>
      <c r="H4136">
        <v>3</v>
      </c>
      <c r="I4136" s="2">
        <v>89.06</v>
      </c>
      <c r="J4136" s="2">
        <v>267.18</v>
      </c>
      <c r="K4136" s="2">
        <f t="shared" si="193"/>
        <v>267.18</v>
      </c>
      <c r="L4136" s="2">
        <f t="shared" si="194"/>
        <v>0</v>
      </c>
      <c r="M4136" t="s">
        <v>48</v>
      </c>
      <c r="N4136" t="s">
        <v>16</v>
      </c>
    </row>
    <row r="4137" spans="1:14" x14ac:dyDescent="0.3">
      <c r="A4137">
        <v>2024005135</v>
      </c>
      <c r="B4137" s="1">
        <v>45465</v>
      </c>
      <c r="C4137" s="11">
        <f t="shared" si="192"/>
        <v>2024</v>
      </c>
      <c r="D4137" t="s">
        <v>42</v>
      </c>
      <c r="E4137" t="s">
        <v>43</v>
      </c>
      <c r="F4137" t="s">
        <v>44</v>
      </c>
      <c r="G4137" t="s">
        <v>36</v>
      </c>
      <c r="H4137">
        <v>1</v>
      </c>
      <c r="I4137" s="2">
        <v>1164.5999999999999</v>
      </c>
      <c r="J4137" s="2">
        <v>1164.5999999999999</v>
      </c>
      <c r="K4137" s="2">
        <f t="shared" si="193"/>
        <v>1164.5999999999999</v>
      </c>
      <c r="L4137" s="2">
        <f t="shared" si="194"/>
        <v>0</v>
      </c>
      <c r="M4137" t="s">
        <v>38</v>
      </c>
      <c r="N4137" t="s">
        <v>26</v>
      </c>
    </row>
    <row r="4138" spans="1:14" x14ac:dyDescent="0.3">
      <c r="A4138">
        <v>2024005136</v>
      </c>
      <c r="B4138" s="1">
        <v>45558</v>
      </c>
      <c r="C4138" s="11">
        <f t="shared" si="192"/>
        <v>2024</v>
      </c>
      <c r="D4138" t="s">
        <v>190</v>
      </c>
      <c r="E4138" t="s">
        <v>53</v>
      </c>
      <c r="F4138" t="s">
        <v>54</v>
      </c>
      <c r="G4138" t="s">
        <v>36</v>
      </c>
      <c r="H4138">
        <v>1</v>
      </c>
      <c r="I4138" s="2">
        <v>119.14</v>
      </c>
      <c r="J4138" s="2">
        <v>119.14</v>
      </c>
      <c r="K4138" s="2">
        <f t="shared" si="193"/>
        <v>119.14</v>
      </c>
      <c r="L4138" s="2">
        <f t="shared" si="194"/>
        <v>0</v>
      </c>
      <c r="M4138" t="s">
        <v>48</v>
      </c>
      <c r="N4138" t="s">
        <v>16</v>
      </c>
    </row>
    <row r="4139" spans="1:14" x14ac:dyDescent="0.3">
      <c r="A4139">
        <v>2024005137</v>
      </c>
      <c r="B4139" s="1">
        <v>45362</v>
      </c>
      <c r="C4139" s="11">
        <f t="shared" si="192"/>
        <v>2024</v>
      </c>
      <c r="D4139" t="s">
        <v>11</v>
      </c>
      <c r="E4139" t="s">
        <v>18</v>
      </c>
      <c r="F4139" t="s">
        <v>19</v>
      </c>
      <c r="G4139" t="s">
        <v>14</v>
      </c>
      <c r="H4139">
        <v>2</v>
      </c>
      <c r="I4139" s="2">
        <v>624.78</v>
      </c>
      <c r="J4139" s="2">
        <v>1249.56</v>
      </c>
      <c r="K4139" s="2">
        <f t="shared" si="193"/>
        <v>1249.56</v>
      </c>
      <c r="L4139" s="2">
        <f t="shared" si="194"/>
        <v>0</v>
      </c>
      <c r="M4139" t="s">
        <v>55</v>
      </c>
      <c r="N4139" t="s">
        <v>32</v>
      </c>
    </row>
    <row r="4140" spans="1:14" x14ac:dyDescent="0.3">
      <c r="A4140">
        <v>2024005138</v>
      </c>
      <c r="B4140" s="1">
        <v>45557</v>
      </c>
      <c r="C4140" s="11">
        <f t="shared" si="192"/>
        <v>2024</v>
      </c>
      <c r="D4140" t="s">
        <v>194</v>
      </c>
      <c r="E4140" t="s">
        <v>23</v>
      </c>
      <c r="F4140" t="s">
        <v>24</v>
      </c>
      <c r="G4140" t="s">
        <v>14</v>
      </c>
      <c r="H4140">
        <v>4</v>
      </c>
      <c r="I4140" s="2">
        <v>78.37</v>
      </c>
      <c r="J4140" s="2">
        <v>313.48</v>
      </c>
      <c r="K4140" s="2">
        <f t="shared" si="193"/>
        <v>313.48</v>
      </c>
      <c r="L4140" s="2">
        <f t="shared" si="194"/>
        <v>0</v>
      </c>
      <c r="M4140" t="s">
        <v>25</v>
      </c>
      <c r="N4140" t="s">
        <v>26</v>
      </c>
    </row>
    <row r="4141" spans="1:14" x14ac:dyDescent="0.3">
      <c r="A4141">
        <v>2024005139</v>
      </c>
      <c r="B4141" s="1">
        <v>45594</v>
      </c>
      <c r="C4141" s="11">
        <f t="shared" si="192"/>
        <v>2024</v>
      </c>
      <c r="D4141" t="s">
        <v>114</v>
      </c>
      <c r="E4141" t="s">
        <v>12</v>
      </c>
      <c r="F4141" t="s">
        <v>13</v>
      </c>
      <c r="G4141" t="s">
        <v>14</v>
      </c>
      <c r="H4141">
        <v>1</v>
      </c>
      <c r="I4141" s="2">
        <v>365.33</v>
      </c>
      <c r="J4141" s="2">
        <v>365.33</v>
      </c>
      <c r="K4141" s="2">
        <f t="shared" si="193"/>
        <v>365.33</v>
      </c>
      <c r="L4141" s="2">
        <f t="shared" si="194"/>
        <v>0</v>
      </c>
      <c r="M4141" t="s">
        <v>57</v>
      </c>
      <c r="N4141" t="s">
        <v>32</v>
      </c>
    </row>
    <row r="4142" spans="1:14" x14ac:dyDescent="0.3">
      <c r="A4142">
        <v>2024005140</v>
      </c>
      <c r="B4142" s="1">
        <v>45615</v>
      </c>
      <c r="C4142" s="11">
        <f t="shared" si="192"/>
        <v>2024</v>
      </c>
      <c r="D4142" t="s">
        <v>284</v>
      </c>
      <c r="E4142" t="s">
        <v>34</v>
      </c>
      <c r="F4142" t="s">
        <v>35</v>
      </c>
      <c r="G4142" t="s">
        <v>36</v>
      </c>
      <c r="H4142">
        <v>1</v>
      </c>
      <c r="I4142" s="2">
        <v>13.95</v>
      </c>
      <c r="J4142" s="2">
        <v>13.95</v>
      </c>
      <c r="K4142" s="2">
        <f t="shared" si="193"/>
        <v>13.95</v>
      </c>
      <c r="L4142" s="2">
        <f t="shared" si="194"/>
        <v>0</v>
      </c>
      <c r="M4142" t="s">
        <v>55</v>
      </c>
      <c r="N4142" t="s">
        <v>32</v>
      </c>
    </row>
    <row r="4143" spans="1:14" x14ac:dyDescent="0.3">
      <c r="A4143">
        <v>2024005141</v>
      </c>
      <c r="B4143" s="1">
        <v>45571</v>
      </c>
      <c r="C4143" s="11">
        <f t="shared" si="192"/>
        <v>2024</v>
      </c>
      <c r="D4143" t="s">
        <v>11</v>
      </c>
      <c r="E4143" t="s">
        <v>34</v>
      </c>
      <c r="F4143" t="s">
        <v>35</v>
      </c>
      <c r="G4143" t="s">
        <v>36</v>
      </c>
      <c r="H4143">
        <v>2</v>
      </c>
      <c r="I4143" s="2">
        <v>13.81</v>
      </c>
      <c r="J4143" s="2">
        <v>27.62</v>
      </c>
      <c r="K4143" s="2">
        <f t="shared" si="193"/>
        <v>27.62</v>
      </c>
      <c r="L4143" s="2">
        <f t="shared" si="194"/>
        <v>0</v>
      </c>
      <c r="M4143" t="s">
        <v>48</v>
      </c>
      <c r="N4143" t="s">
        <v>32</v>
      </c>
    </row>
    <row r="4144" spans="1:14" x14ac:dyDescent="0.3">
      <c r="A4144">
        <v>2024005142</v>
      </c>
      <c r="B4144" s="1">
        <v>45568</v>
      </c>
      <c r="C4144" s="11">
        <f t="shared" si="192"/>
        <v>2024</v>
      </c>
      <c r="D4144" t="s">
        <v>221</v>
      </c>
      <c r="E4144" t="s">
        <v>12</v>
      </c>
      <c r="F4144" t="s">
        <v>13</v>
      </c>
      <c r="G4144" t="s">
        <v>14</v>
      </c>
      <c r="H4144">
        <v>1</v>
      </c>
      <c r="I4144" s="2">
        <v>370.02</v>
      </c>
      <c r="J4144" s="2">
        <v>370.02</v>
      </c>
      <c r="K4144" s="2">
        <f t="shared" si="193"/>
        <v>370.02</v>
      </c>
      <c r="L4144" s="2">
        <f t="shared" si="194"/>
        <v>0</v>
      </c>
      <c r="M4144" t="s">
        <v>31</v>
      </c>
      <c r="N4144" t="s">
        <v>16</v>
      </c>
    </row>
    <row r="4145" spans="1:14" x14ac:dyDescent="0.3">
      <c r="A4145">
        <v>2024005143</v>
      </c>
      <c r="B4145" s="1">
        <v>45294</v>
      </c>
      <c r="C4145" s="11">
        <f t="shared" si="192"/>
        <v>2024</v>
      </c>
      <c r="D4145" t="s">
        <v>135</v>
      </c>
      <c r="E4145" t="s">
        <v>34</v>
      </c>
      <c r="F4145" t="s">
        <v>35</v>
      </c>
      <c r="G4145" t="s">
        <v>36</v>
      </c>
      <c r="H4145">
        <v>1</v>
      </c>
      <c r="I4145" s="2">
        <v>14.38</v>
      </c>
      <c r="J4145" s="2">
        <v>14.38</v>
      </c>
      <c r="K4145" s="2">
        <f t="shared" si="193"/>
        <v>14.38</v>
      </c>
      <c r="L4145" s="2">
        <f t="shared" si="194"/>
        <v>0</v>
      </c>
      <c r="M4145" t="s">
        <v>48</v>
      </c>
      <c r="N4145" t="s">
        <v>16</v>
      </c>
    </row>
    <row r="4146" spans="1:14" x14ac:dyDescent="0.3">
      <c r="A4146">
        <v>2024005144</v>
      </c>
      <c r="B4146" s="1">
        <v>45376</v>
      </c>
      <c r="C4146" s="11">
        <f t="shared" si="192"/>
        <v>2024</v>
      </c>
      <c r="D4146" t="s">
        <v>11</v>
      </c>
      <c r="E4146" t="s">
        <v>67</v>
      </c>
      <c r="F4146" t="s">
        <v>68</v>
      </c>
      <c r="G4146" t="s">
        <v>36</v>
      </c>
      <c r="H4146">
        <v>5</v>
      </c>
      <c r="I4146" s="2">
        <v>391.07</v>
      </c>
      <c r="J4146" s="2">
        <v>1955.35</v>
      </c>
      <c r="K4146" s="2">
        <f t="shared" si="193"/>
        <v>1955.35</v>
      </c>
      <c r="L4146" s="2">
        <f t="shared" si="194"/>
        <v>0</v>
      </c>
      <c r="M4146" t="s">
        <v>48</v>
      </c>
      <c r="N4146" t="s">
        <v>21</v>
      </c>
    </row>
    <row r="4147" spans="1:14" x14ac:dyDescent="0.3">
      <c r="A4147">
        <v>2024005145</v>
      </c>
      <c r="B4147" s="1">
        <v>45494</v>
      </c>
      <c r="C4147" s="11">
        <f t="shared" si="192"/>
        <v>2024</v>
      </c>
      <c r="D4147" t="s">
        <v>102</v>
      </c>
      <c r="E4147" t="s">
        <v>12</v>
      </c>
      <c r="F4147" t="s">
        <v>13</v>
      </c>
      <c r="G4147" t="s">
        <v>14</v>
      </c>
      <c r="H4147">
        <v>1</v>
      </c>
      <c r="I4147" s="2">
        <v>345.91</v>
      </c>
      <c r="J4147" s="2">
        <v>345.91</v>
      </c>
      <c r="K4147" s="2">
        <f t="shared" si="193"/>
        <v>345.91</v>
      </c>
      <c r="L4147" s="2">
        <f t="shared" si="194"/>
        <v>0</v>
      </c>
      <c r="M4147" t="s">
        <v>64</v>
      </c>
      <c r="N4147" t="s">
        <v>26</v>
      </c>
    </row>
    <row r="4148" spans="1:14" x14ac:dyDescent="0.3">
      <c r="A4148">
        <v>2024005146</v>
      </c>
      <c r="B4148" s="1">
        <v>45534</v>
      </c>
      <c r="C4148" s="11">
        <f t="shared" si="192"/>
        <v>2024</v>
      </c>
      <c r="D4148" t="s">
        <v>220</v>
      </c>
      <c r="E4148" t="s">
        <v>34</v>
      </c>
      <c r="F4148" t="s">
        <v>35</v>
      </c>
      <c r="G4148" t="s">
        <v>36</v>
      </c>
      <c r="H4148">
        <v>1</v>
      </c>
      <c r="I4148" s="2">
        <v>14.46</v>
      </c>
      <c r="J4148" s="2">
        <v>14.46</v>
      </c>
      <c r="K4148" s="2">
        <f t="shared" si="193"/>
        <v>14.46</v>
      </c>
      <c r="L4148" s="2">
        <f t="shared" si="194"/>
        <v>0</v>
      </c>
      <c r="M4148" t="s">
        <v>20</v>
      </c>
      <c r="N4148" t="s">
        <v>21</v>
      </c>
    </row>
    <row r="4149" spans="1:14" x14ac:dyDescent="0.3">
      <c r="A4149">
        <v>2024005147</v>
      </c>
      <c r="B4149" s="1">
        <v>45302</v>
      </c>
      <c r="C4149" s="11">
        <f t="shared" si="192"/>
        <v>2024</v>
      </c>
      <c r="D4149" t="s">
        <v>221</v>
      </c>
      <c r="E4149" t="s">
        <v>28</v>
      </c>
      <c r="F4149" t="s">
        <v>29</v>
      </c>
      <c r="G4149" t="s">
        <v>30</v>
      </c>
      <c r="H4149">
        <v>1</v>
      </c>
      <c r="I4149" s="2">
        <v>25.09</v>
      </c>
      <c r="J4149" s="2">
        <v>25.09</v>
      </c>
      <c r="K4149" s="2">
        <f t="shared" si="193"/>
        <v>25.09</v>
      </c>
      <c r="L4149" s="2">
        <f t="shared" si="194"/>
        <v>0</v>
      </c>
      <c r="M4149" t="s">
        <v>64</v>
      </c>
      <c r="N4149" t="s">
        <v>21</v>
      </c>
    </row>
    <row r="4150" spans="1:14" x14ac:dyDescent="0.3">
      <c r="A4150">
        <v>2024005148</v>
      </c>
      <c r="B4150" s="1">
        <v>45526</v>
      </c>
      <c r="C4150" s="11">
        <f t="shared" si="192"/>
        <v>2024</v>
      </c>
      <c r="D4150" t="s">
        <v>223</v>
      </c>
      <c r="E4150" t="s">
        <v>46</v>
      </c>
      <c r="F4150" t="s">
        <v>47</v>
      </c>
      <c r="G4150" t="s">
        <v>36</v>
      </c>
      <c r="H4150">
        <v>1</v>
      </c>
      <c r="I4150" s="2">
        <v>90.62</v>
      </c>
      <c r="J4150" s="2">
        <v>90.62</v>
      </c>
      <c r="K4150" s="2">
        <f t="shared" si="193"/>
        <v>90.62</v>
      </c>
      <c r="L4150" s="2">
        <f t="shared" si="194"/>
        <v>0</v>
      </c>
      <c r="M4150" t="s">
        <v>25</v>
      </c>
      <c r="N4150" t="s">
        <v>16</v>
      </c>
    </row>
    <row r="4151" spans="1:14" x14ac:dyDescent="0.3">
      <c r="A4151">
        <v>2024005149</v>
      </c>
      <c r="B4151" s="1">
        <v>45515</v>
      </c>
      <c r="C4151" s="11">
        <f t="shared" si="192"/>
        <v>2024</v>
      </c>
      <c r="D4151" t="s">
        <v>11</v>
      </c>
      <c r="E4151" t="s">
        <v>46</v>
      </c>
      <c r="F4151" t="s">
        <v>47</v>
      </c>
      <c r="G4151" t="s">
        <v>36</v>
      </c>
      <c r="H4151">
        <v>1</v>
      </c>
      <c r="I4151" s="2">
        <v>98.17</v>
      </c>
      <c r="J4151" s="2">
        <v>98.17</v>
      </c>
      <c r="K4151" s="2">
        <f t="shared" si="193"/>
        <v>98.17</v>
      </c>
      <c r="L4151" s="2">
        <f t="shared" si="194"/>
        <v>0</v>
      </c>
      <c r="M4151" t="s">
        <v>25</v>
      </c>
      <c r="N4151" t="s">
        <v>32</v>
      </c>
    </row>
    <row r="4152" spans="1:14" x14ac:dyDescent="0.3">
      <c r="A4152">
        <v>2024005150</v>
      </c>
      <c r="B4152" s="1">
        <v>45428</v>
      </c>
      <c r="C4152" s="11">
        <f t="shared" si="192"/>
        <v>2024</v>
      </c>
      <c r="D4152" t="s">
        <v>75</v>
      </c>
      <c r="E4152" t="s">
        <v>46</v>
      </c>
      <c r="F4152" t="s">
        <v>47</v>
      </c>
      <c r="G4152" t="s">
        <v>36</v>
      </c>
      <c r="H4152">
        <v>1</v>
      </c>
      <c r="I4152" s="2">
        <v>93.91</v>
      </c>
      <c r="J4152" s="2">
        <v>93.91</v>
      </c>
      <c r="K4152" s="2">
        <f t="shared" si="193"/>
        <v>93.91</v>
      </c>
      <c r="L4152" s="2">
        <f t="shared" si="194"/>
        <v>0</v>
      </c>
      <c r="M4152" t="s">
        <v>64</v>
      </c>
      <c r="N4152" t="s">
        <v>16</v>
      </c>
    </row>
    <row r="4153" spans="1:14" x14ac:dyDescent="0.3">
      <c r="A4153">
        <v>2024005151</v>
      </c>
      <c r="B4153" s="1">
        <v>45512</v>
      </c>
      <c r="C4153" s="11">
        <f t="shared" si="192"/>
        <v>2024</v>
      </c>
      <c r="D4153" t="s">
        <v>320</v>
      </c>
      <c r="E4153" t="s">
        <v>34</v>
      </c>
      <c r="F4153" t="s">
        <v>35</v>
      </c>
      <c r="G4153" t="s">
        <v>36</v>
      </c>
      <c r="H4153">
        <v>1</v>
      </c>
      <c r="I4153" s="2">
        <v>14.37</v>
      </c>
      <c r="J4153" s="2">
        <v>14.37</v>
      </c>
      <c r="K4153" s="2">
        <f t="shared" si="193"/>
        <v>14.37</v>
      </c>
      <c r="L4153" s="2">
        <f t="shared" si="194"/>
        <v>0</v>
      </c>
      <c r="M4153" t="s">
        <v>61</v>
      </c>
      <c r="N4153" t="s">
        <v>26</v>
      </c>
    </row>
    <row r="4154" spans="1:14" x14ac:dyDescent="0.3">
      <c r="A4154">
        <v>2024005152</v>
      </c>
      <c r="B4154" s="1">
        <v>45368</v>
      </c>
      <c r="C4154" s="11">
        <f t="shared" si="192"/>
        <v>2024</v>
      </c>
      <c r="D4154" t="s">
        <v>139</v>
      </c>
      <c r="E4154" t="s">
        <v>34</v>
      </c>
      <c r="F4154" t="s">
        <v>35</v>
      </c>
      <c r="G4154" t="s">
        <v>36</v>
      </c>
      <c r="H4154">
        <v>1</v>
      </c>
      <c r="I4154" s="2">
        <v>15.18</v>
      </c>
      <c r="J4154" s="2">
        <v>15.18</v>
      </c>
      <c r="K4154" s="2">
        <f t="shared" si="193"/>
        <v>15.18</v>
      </c>
      <c r="L4154" s="2">
        <f t="shared" si="194"/>
        <v>0</v>
      </c>
      <c r="M4154" t="s">
        <v>61</v>
      </c>
      <c r="N4154" t="s">
        <v>32</v>
      </c>
    </row>
    <row r="4155" spans="1:14" x14ac:dyDescent="0.3">
      <c r="A4155">
        <v>2024005153</v>
      </c>
      <c r="B4155" s="1">
        <v>45572</v>
      </c>
      <c r="C4155" s="11">
        <f t="shared" si="192"/>
        <v>2024</v>
      </c>
      <c r="D4155" t="s">
        <v>344</v>
      </c>
      <c r="E4155" t="s">
        <v>40</v>
      </c>
      <c r="F4155" t="s">
        <v>41</v>
      </c>
      <c r="G4155" t="s">
        <v>36</v>
      </c>
      <c r="H4155">
        <v>2</v>
      </c>
      <c r="I4155" s="2">
        <v>45.75</v>
      </c>
      <c r="J4155" s="2">
        <v>91.5</v>
      </c>
      <c r="K4155" s="2">
        <f t="shared" si="193"/>
        <v>91.5</v>
      </c>
      <c r="L4155" s="2">
        <f t="shared" si="194"/>
        <v>0</v>
      </c>
      <c r="M4155" t="s">
        <v>48</v>
      </c>
      <c r="N4155" t="s">
        <v>32</v>
      </c>
    </row>
    <row r="4156" spans="1:14" x14ac:dyDescent="0.3">
      <c r="A4156">
        <v>2024005154</v>
      </c>
      <c r="B4156" s="1">
        <v>45618</v>
      </c>
      <c r="C4156" s="11">
        <f t="shared" si="192"/>
        <v>2024</v>
      </c>
      <c r="D4156" t="s">
        <v>342</v>
      </c>
      <c r="E4156" t="s">
        <v>23</v>
      </c>
      <c r="F4156" t="s">
        <v>24</v>
      </c>
      <c r="G4156" t="s">
        <v>14</v>
      </c>
      <c r="H4156">
        <v>1</v>
      </c>
      <c r="I4156" s="2">
        <v>85.86</v>
      </c>
      <c r="J4156" s="2">
        <v>85.86</v>
      </c>
      <c r="K4156" s="2">
        <f t="shared" si="193"/>
        <v>85.86</v>
      </c>
      <c r="L4156" s="2">
        <f t="shared" si="194"/>
        <v>0</v>
      </c>
      <c r="M4156" t="s">
        <v>61</v>
      </c>
      <c r="N4156" t="s">
        <v>16</v>
      </c>
    </row>
    <row r="4157" spans="1:14" x14ac:dyDescent="0.3">
      <c r="A4157">
        <v>2024005155</v>
      </c>
      <c r="B4157" s="1">
        <v>45381</v>
      </c>
      <c r="C4157" s="11">
        <f t="shared" si="192"/>
        <v>2024</v>
      </c>
      <c r="D4157" t="s">
        <v>240</v>
      </c>
      <c r="E4157" t="s">
        <v>67</v>
      </c>
      <c r="F4157" t="s">
        <v>68</v>
      </c>
      <c r="G4157" t="s">
        <v>36</v>
      </c>
      <c r="H4157">
        <v>1</v>
      </c>
      <c r="I4157" s="2">
        <v>379.69</v>
      </c>
      <c r="J4157" s="2">
        <v>379.69</v>
      </c>
      <c r="K4157" s="2">
        <f t="shared" si="193"/>
        <v>379.69</v>
      </c>
      <c r="L4157" s="2">
        <f t="shared" si="194"/>
        <v>0</v>
      </c>
      <c r="M4157" t="s">
        <v>57</v>
      </c>
      <c r="N4157" t="s">
        <v>16</v>
      </c>
    </row>
    <row r="4158" spans="1:14" x14ac:dyDescent="0.3">
      <c r="A4158">
        <v>2024005156</v>
      </c>
      <c r="B4158" s="1">
        <v>45300</v>
      </c>
      <c r="C4158" s="11">
        <f t="shared" si="192"/>
        <v>2024</v>
      </c>
      <c r="D4158" t="s">
        <v>187</v>
      </c>
      <c r="E4158" t="s">
        <v>12</v>
      </c>
      <c r="F4158" t="s">
        <v>13</v>
      </c>
      <c r="G4158" t="s">
        <v>14</v>
      </c>
      <c r="H4158">
        <v>1</v>
      </c>
      <c r="I4158" s="2">
        <v>336.19</v>
      </c>
      <c r="J4158" s="2">
        <v>336.19</v>
      </c>
      <c r="K4158" s="2">
        <f t="shared" si="193"/>
        <v>336.19</v>
      </c>
      <c r="L4158" s="2">
        <f t="shared" si="194"/>
        <v>0</v>
      </c>
      <c r="M4158" t="s">
        <v>64</v>
      </c>
      <c r="N4158" t="s">
        <v>32</v>
      </c>
    </row>
    <row r="4159" spans="1:14" x14ac:dyDescent="0.3">
      <c r="A4159">
        <v>2024005157</v>
      </c>
      <c r="B4159" s="1">
        <v>45296</v>
      </c>
      <c r="C4159" s="11">
        <f t="shared" si="192"/>
        <v>2024</v>
      </c>
      <c r="D4159" t="s">
        <v>76</v>
      </c>
      <c r="E4159" t="s">
        <v>40</v>
      </c>
      <c r="F4159" t="s">
        <v>41</v>
      </c>
      <c r="G4159" t="s">
        <v>36</v>
      </c>
      <c r="H4159">
        <v>1</v>
      </c>
      <c r="I4159" s="2">
        <v>42.12</v>
      </c>
      <c r="J4159" s="2">
        <v>42.12</v>
      </c>
      <c r="K4159" s="2">
        <f t="shared" si="193"/>
        <v>42.12</v>
      </c>
      <c r="L4159" s="2">
        <f t="shared" si="194"/>
        <v>0</v>
      </c>
      <c r="M4159" t="s">
        <v>57</v>
      </c>
      <c r="N4159" t="s">
        <v>16</v>
      </c>
    </row>
    <row r="4160" spans="1:14" x14ac:dyDescent="0.3">
      <c r="A4160">
        <v>2024005158</v>
      </c>
      <c r="B4160" s="1">
        <v>45616</v>
      </c>
      <c r="C4160" s="11">
        <f t="shared" si="192"/>
        <v>2024</v>
      </c>
      <c r="D4160" t="s">
        <v>11</v>
      </c>
      <c r="E4160" t="s">
        <v>46</v>
      </c>
      <c r="F4160" t="s">
        <v>47</v>
      </c>
      <c r="G4160" t="s">
        <v>36</v>
      </c>
      <c r="H4160">
        <v>2</v>
      </c>
      <c r="I4160" s="2">
        <v>82.02</v>
      </c>
      <c r="J4160" s="2">
        <v>164.04</v>
      </c>
      <c r="K4160" s="2">
        <f t="shared" si="193"/>
        <v>164.04</v>
      </c>
      <c r="L4160" s="2">
        <f t="shared" si="194"/>
        <v>0</v>
      </c>
      <c r="M4160" t="s">
        <v>25</v>
      </c>
      <c r="N4160" t="s">
        <v>21</v>
      </c>
    </row>
    <row r="4161" spans="1:14" x14ac:dyDescent="0.3">
      <c r="A4161">
        <v>2024005159</v>
      </c>
      <c r="B4161" s="1">
        <v>45605</v>
      </c>
      <c r="C4161" s="11">
        <f t="shared" si="192"/>
        <v>2024</v>
      </c>
      <c r="D4161" t="s">
        <v>59</v>
      </c>
      <c r="E4161" t="s">
        <v>67</v>
      </c>
      <c r="F4161" t="s">
        <v>68</v>
      </c>
      <c r="G4161" t="s">
        <v>36</v>
      </c>
      <c r="H4161">
        <v>2</v>
      </c>
      <c r="I4161" s="2">
        <v>400.58</v>
      </c>
      <c r="J4161" s="2">
        <v>801.16</v>
      </c>
      <c r="K4161" s="2">
        <f t="shared" si="193"/>
        <v>801.16</v>
      </c>
      <c r="L4161" s="2">
        <f t="shared" si="194"/>
        <v>0</v>
      </c>
      <c r="M4161" t="s">
        <v>55</v>
      </c>
      <c r="N4161" t="s">
        <v>16</v>
      </c>
    </row>
    <row r="4162" spans="1:14" x14ac:dyDescent="0.3">
      <c r="A4162">
        <v>2024005160</v>
      </c>
      <c r="B4162" s="1">
        <v>45461</v>
      </c>
      <c r="C4162" s="11">
        <f t="shared" si="192"/>
        <v>2024</v>
      </c>
      <c r="D4162" t="s">
        <v>277</v>
      </c>
      <c r="E4162" t="s">
        <v>67</v>
      </c>
      <c r="F4162" t="s">
        <v>68</v>
      </c>
      <c r="G4162" t="s">
        <v>36</v>
      </c>
      <c r="H4162">
        <v>2</v>
      </c>
      <c r="I4162" s="2">
        <v>397.56</v>
      </c>
      <c r="J4162" s="2">
        <v>795.12</v>
      </c>
      <c r="K4162" s="2">
        <f t="shared" si="193"/>
        <v>795.12</v>
      </c>
      <c r="L4162" s="2">
        <f t="shared" si="194"/>
        <v>0</v>
      </c>
      <c r="M4162" t="s">
        <v>15</v>
      </c>
      <c r="N4162" t="s">
        <v>21</v>
      </c>
    </row>
    <row r="4163" spans="1:14" x14ac:dyDescent="0.3">
      <c r="A4163">
        <v>2024005161</v>
      </c>
      <c r="B4163" s="1">
        <v>45430</v>
      </c>
      <c r="C4163" s="11">
        <f t="shared" ref="C4163:C4226" si="195">YEAR(B4163)</f>
        <v>2024</v>
      </c>
      <c r="D4163" t="s">
        <v>127</v>
      </c>
      <c r="E4163" t="s">
        <v>40</v>
      </c>
      <c r="F4163" t="s">
        <v>41</v>
      </c>
      <c r="G4163" t="s">
        <v>36</v>
      </c>
      <c r="H4163">
        <v>3</v>
      </c>
      <c r="I4163" s="2">
        <v>43.41</v>
      </c>
      <c r="J4163" s="2">
        <v>130.22999999999999</v>
      </c>
      <c r="K4163" s="2">
        <f t="shared" ref="K4163:K4226" si="196">I4163*H4163</f>
        <v>130.22999999999999</v>
      </c>
      <c r="L4163" s="2">
        <f t="shared" ref="L4163:L4226" si="197">J4163-K4163</f>
        <v>0</v>
      </c>
      <c r="M4163" t="s">
        <v>48</v>
      </c>
      <c r="N4163" t="s">
        <v>16</v>
      </c>
    </row>
    <row r="4164" spans="1:14" x14ac:dyDescent="0.3">
      <c r="A4164">
        <v>2024005162</v>
      </c>
      <c r="B4164" s="1">
        <v>45465</v>
      </c>
      <c r="C4164" s="11">
        <f t="shared" si="195"/>
        <v>2024</v>
      </c>
      <c r="D4164" t="s">
        <v>314</v>
      </c>
      <c r="E4164" t="s">
        <v>40</v>
      </c>
      <c r="F4164" t="s">
        <v>41</v>
      </c>
      <c r="G4164" t="s">
        <v>36</v>
      </c>
      <c r="H4164">
        <v>1</v>
      </c>
      <c r="I4164" s="2">
        <v>44.25</v>
      </c>
      <c r="J4164" s="2">
        <v>44.25</v>
      </c>
      <c r="K4164" s="2">
        <f t="shared" si="196"/>
        <v>44.25</v>
      </c>
      <c r="L4164" s="2">
        <f t="shared" si="197"/>
        <v>0</v>
      </c>
      <c r="M4164" t="s">
        <v>48</v>
      </c>
      <c r="N4164" t="s">
        <v>16</v>
      </c>
    </row>
    <row r="4165" spans="1:14" x14ac:dyDescent="0.3">
      <c r="A4165">
        <v>2024005163</v>
      </c>
      <c r="B4165" s="1">
        <v>45310</v>
      </c>
      <c r="C4165" s="11">
        <f t="shared" si="195"/>
        <v>2024</v>
      </c>
      <c r="D4165" t="s">
        <v>215</v>
      </c>
      <c r="E4165" t="s">
        <v>40</v>
      </c>
      <c r="F4165" t="s">
        <v>41</v>
      </c>
      <c r="G4165" t="s">
        <v>36</v>
      </c>
      <c r="H4165">
        <v>1</v>
      </c>
      <c r="I4165" s="2">
        <v>42.45</v>
      </c>
      <c r="J4165" s="2">
        <v>42.45</v>
      </c>
      <c r="K4165" s="2">
        <f t="shared" si="196"/>
        <v>42.45</v>
      </c>
      <c r="L4165" s="2">
        <f t="shared" si="197"/>
        <v>0</v>
      </c>
      <c r="M4165" t="s">
        <v>15</v>
      </c>
      <c r="N4165" t="s">
        <v>32</v>
      </c>
    </row>
    <row r="4166" spans="1:14" x14ac:dyDescent="0.3">
      <c r="A4166">
        <v>2024005164</v>
      </c>
      <c r="B4166" s="1">
        <v>45460</v>
      </c>
      <c r="C4166" s="11">
        <f t="shared" si="195"/>
        <v>2024</v>
      </c>
      <c r="D4166" t="s">
        <v>72</v>
      </c>
      <c r="E4166" t="s">
        <v>67</v>
      </c>
      <c r="F4166" t="s">
        <v>68</v>
      </c>
      <c r="G4166" t="s">
        <v>36</v>
      </c>
      <c r="H4166">
        <v>2</v>
      </c>
      <c r="I4166" s="2">
        <v>388.58</v>
      </c>
      <c r="J4166" s="2">
        <v>777.16</v>
      </c>
      <c r="K4166" s="2">
        <f t="shared" si="196"/>
        <v>777.16</v>
      </c>
      <c r="L4166" s="2">
        <f t="shared" si="197"/>
        <v>0</v>
      </c>
      <c r="M4166" t="s">
        <v>57</v>
      </c>
      <c r="N4166" t="s">
        <v>21</v>
      </c>
    </row>
    <row r="4167" spans="1:14" x14ac:dyDescent="0.3">
      <c r="A4167">
        <v>2024005165</v>
      </c>
      <c r="B4167" s="1">
        <v>45405</v>
      </c>
      <c r="C4167" s="11">
        <f t="shared" si="195"/>
        <v>2024</v>
      </c>
      <c r="D4167" t="s">
        <v>74</v>
      </c>
      <c r="E4167" t="s">
        <v>12</v>
      </c>
      <c r="F4167" t="s">
        <v>13</v>
      </c>
      <c r="G4167" t="s">
        <v>14</v>
      </c>
      <c r="H4167">
        <v>1</v>
      </c>
      <c r="I4167" s="2">
        <v>342.13</v>
      </c>
      <c r="J4167" s="2">
        <v>342.13</v>
      </c>
      <c r="K4167" s="2">
        <f t="shared" si="196"/>
        <v>342.13</v>
      </c>
      <c r="L4167" s="2">
        <f t="shared" si="197"/>
        <v>0</v>
      </c>
      <c r="M4167" t="s">
        <v>48</v>
      </c>
      <c r="N4167" t="s">
        <v>16</v>
      </c>
    </row>
    <row r="4168" spans="1:14" x14ac:dyDescent="0.3">
      <c r="A4168">
        <v>2024005166</v>
      </c>
      <c r="B4168" s="1">
        <v>45328</v>
      </c>
      <c r="C4168" s="11">
        <f t="shared" si="195"/>
        <v>2024</v>
      </c>
      <c r="D4168" t="s">
        <v>97</v>
      </c>
      <c r="E4168" t="s">
        <v>28</v>
      </c>
      <c r="F4168" t="s">
        <v>29</v>
      </c>
      <c r="G4168" t="s">
        <v>30</v>
      </c>
      <c r="H4168">
        <v>3</v>
      </c>
      <c r="I4168" s="2">
        <v>24.2</v>
      </c>
      <c r="J4168" s="2">
        <v>72.599999999999994</v>
      </c>
      <c r="K4168" s="2">
        <f t="shared" si="196"/>
        <v>72.599999999999994</v>
      </c>
      <c r="L4168" s="2">
        <f t="shared" si="197"/>
        <v>0</v>
      </c>
      <c r="M4168" t="s">
        <v>48</v>
      </c>
      <c r="N4168" t="s">
        <v>26</v>
      </c>
    </row>
    <row r="4169" spans="1:14" x14ac:dyDescent="0.3">
      <c r="A4169">
        <v>2024005167</v>
      </c>
      <c r="B4169" s="1">
        <v>45508</v>
      </c>
      <c r="C4169" s="11">
        <f t="shared" si="195"/>
        <v>2024</v>
      </c>
      <c r="D4169" t="s">
        <v>172</v>
      </c>
      <c r="E4169" t="s">
        <v>12</v>
      </c>
      <c r="F4169" t="s">
        <v>13</v>
      </c>
      <c r="G4169" t="s">
        <v>14</v>
      </c>
      <c r="H4169">
        <v>1</v>
      </c>
      <c r="I4169" s="2">
        <v>359.98</v>
      </c>
      <c r="J4169" s="2">
        <v>359.98</v>
      </c>
      <c r="K4169" s="2">
        <f t="shared" si="196"/>
        <v>359.98</v>
      </c>
      <c r="L4169" s="2">
        <f t="shared" si="197"/>
        <v>0</v>
      </c>
      <c r="M4169" t="s">
        <v>15</v>
      </c>
      <c r="N4169" t="s">
        <v>21</v>
      </c>
    </row>
    <row r="4170" spans="1:14" x14ac:dyDescent="0.3">
      <c r="A4170">
        <v>2024005168</v>
      </c>
      <c r="B4170" s="1">
        <v>45531</v>
      </c>
      <c r="C4170" s="11">
        <f t="shared" si="195"/>
        <v>2024</v>
      </c>
      <c r="D4170" t="s">
        <v>212</v>
      </c>
      <c r="E4170" t="s">
        <v>28</v>
      </c>
      <c r="F4170" t="s">
        <v>29</v>
      </c>
      <c r="G4170" t="s">
        <v>30</v>
      </c>
      <c r="H4170">
        <v>1</v>
      </c>
      <c r="I4170" s="2">
        <v>24.34</v>
      </c>
      <c r="J4170" s="2">
        <v>24.34</v>
      </c>
      <c r="K4170" s="2">
        <f t="shared" si="196"/>
        <v>24.34</v>
      </c>
      <c r="L4170" s="2">
        <f t="shared" si="197"/>
        <v>0</v>
      </c>
      <c r="M4170" t="s">
        <v>48</v>
      </c>
      <c r="N4170" t="s">
        <v>21</v>
      </c>
    </row>
    <row r="4171" spans="1:14" x14ac:dyDescent="0.3">
      <c r="A4171">
        <v>2024005169</v>
      </c>
      <c r="B4171" s="1">
        <v>45308</v>
      </c>
      <c r="C4171" s="11">
        <f t="shared" si="195"/>
        <v>2024</v>
      </c>
      <c r="D4171" t="s">
        <v>259</v>
      </c>
      <c r="E4171" t="s">
        <v>12</v>
      </c>
      <c r="F4171" t="s">
        <v>13</v>
      </c>
      <c r="G4171" t="s">
        <v>14</v>
      </c>
      <c r="H4171">
        <v>3</v>
      </c>
      <c r="I4171" s="2">
        <v>358.6</v>
      </c>
      <c r="J4171" s="2">
        <v>1075.8</v>
      </c>
      <c r="K4171" s="2">
        <f t="shared" si="196"/>
        <v>1075.8000000000002</v>
      </c>
      <c r="L4171" s="2">
        <f t="shared" si="197"/>
        <v>0</v>
      </c>
      <c r="M4171" t="s">
        <v>20</v>
      </c>
      <c r="N4171" t="s">
        <v>16</v>
      </c>
    </row>
    <row r="4172" spans="1:14" x14ac:dyDescent="0.3">
      <c r="A4172">
        <v>2024005170</v>
      </c>
      <c r="B4172" s="1">
        <v>45596</v>
      </c>
      <c r="C4172" s="11">
        <f t="shared" si="195"/>
        <v>2024</v>
      </c>
      <c r="D4172" t="s">
        <v>112</v>
      </c>
      <c r="E4172" t="s">
        <v>28</v>
      </c>
      <c r="F4172" t="s">
        <v>29</v>
      </c>
      <c r="G4172" t="s">
        <v>30</v>
      </c>
      <c r="H4172">
        <v>1</v>
      </c>
      <c r="I4172" s="2">
        <v>26.01</v>
      </c>
      <c r="J4172" s="2">
        <v>26.01</v>
      </c>
      <c r="K4172" s="2">
        <f t="shared" si="196"/>
        <v>26.01</v>
      </c>
      <c r="L4172" s="2">
        <f t="shared" si="197"/>
        <v>0</v>
      </c>
      <c r="M4172" t="s">
        <v>25</v>
      </c>
      <c r="N4172" t="s">
        <v>16</v>
      </c>
    </row>
    <row r="4173" spans="1:14" x14ac:dyDescent="0.3">
      <c r="A4173">
        <v>2024005171</v>
      </c>
      <c r="B4173" s="1">
        <v>45318</v>
      </c>
      <c r="C4173" s="11">
        <f t="shared" si="195"/>
        <v>2024</v>
      </c>
      <c r="D4173" t="s">
        <v>321</v>
      </c>
      <c r="E4173" t="s">
        <v>40</v>
      </c>
      <c r="F4173" t="s">
        <v>41</v>
      </c>
      <c r="G4173" t="s">
        <v>36</v>
      </c>
      <c r="H4173">
        <v>2</v>
      </c>
      <c r="I4173" s="2">
        <v>46.38</v>
      </c>
      <c r="J4173" s="2">
        <v>92.76</v>
      </c>
      <c r="K4173" s="2">
        <f t="shared" si="196"/>
        <v>92.76</v>
      </c>
      <c r="L4173" s="2">
        <f t="shared" si="197"/>
        <v>0</v>
      </c>
      <c r="M4173" t="s">
        <v>64</v>
      </c>
      <c r="N4173" t="s">
        <v>21</v>
      </c>
    </row>
    <row r="4174" spans="1:14" x14ac:dyDescent="0.3">
      <c r="A4174">
        <v>2024005172</v>
      </c>
      <c r="B4174" s="1">
        <v>45342</v>
      </c>
      <c r="C4174" s="11">
        <f t="shared" si="195"/>
        <v>2024</v>
      </c>
      <c r="D4174" t="s">
        <v>303</v>
      </c>
      <c r="E4174" t="s">
        <v>40</v>
      </c>
      <c r="F4174" t="s">
        <v>41</v>
      </c>
      <c r="G4174" t="s">
        <v>36</v>
      </c>
      <c r="H4174">
        <v>0</v>
      </c>
      <c r="I4174" s="2">
        <v>48.25</v>
      </c>
      <c r="J4174" s="2">
        <v>0</v>
      </c>
      <c r="K4174" s="2">
        <f t="shared" si="196"/>
        <v>0</v>
      </c>
      <c r="L4174" s="2">
        <f t="shared" si="197"/>
        <v>0</v>
      </c>
      <c r="M4174" t="s">
        <v>20</v>
      </c>
      <c r="N4174" t="s">
        <v>21</v>
      </c>
    </row>
    <row r="4175" spans="1:14" x14ac:dyDescent="0.3">
      <c r="A4175">
        <v>2024005173</v>
      </c>
      <c r="B4175" s="1">
        <v>45319</v>
      </c>
      <c r="C4175" s="11">
        <f t="shared" si="195"/>
        <v>2024</v>
      </c>
      <c r="D4175" t="s">
        <v>11</v>
      </c>
      <c r="E4175" t="s">
        <v>28</v>
      </c>
      <c r="F4175" t="s">
        <v>29</v>
      </c>
      <c r="G4175" t="s">
        <v>30</v>
      </c>
      <c r="H4175">
        <v>1</v>
      </c>
      <c r="I4175" s="2">
        <v>25.94</v>
      </c>
      <c r="J4175" s="2">
        <v>25.94</v>
      </c>
      <c r="K4175" s="2">
        <f t="shared" si="196"/>
        <v>25.94</v>
      </c>
      <c r="L4175" s="2">
        <f t="shared" si="197"/>
        <v>0</v>
      </c>
      <c r="M4175" t="s">
        <v>25</v>
      </c>
      <c r="N4175" t="s">
        <v>32</v>
      </c>
    </row>
    <row r="4176" spans="1:14" x14ac:dyDescent="0.3">
      <c r="A4176">
        <v>2024005174</v>
      </c>
      <c r="B4176" s="1">
        <v>45636</v>
      </c>
      <c r="C4176" s="11">
        <f t="shared" si="195"/>
        <v>2024</v>
      </c>
      <c r="D4176" t="s">
        <v>254</v>
      </c>
      <c r="E4176" t="s">
        <v>46</v>
      </c>
      <c r="F4176" t="s">
        <v>47</v>
      </c>
      <c r="G4176" t="s">
        <v>36</v>
      </c>
      <c r="H4176">
        <v>1</v>
      </c>
      <c r="I4176" s="2">
        <v>93.48</v>
      </c>
      <c r="J4176" s="2">
        <v>93.48</v>
      </c>
      <c r="K4176" s="2">
        <f t="shared" si="196"/>
        <v>93.48</v>
      </c>
      <c r="L4176" s="2">
        <f t="shared" si="197"/>
        <v>0</v>
      </c>
      <c r="M4176" t="s">
        <v>38</v>
      </c>
      <c r="N4176" t="s">
        <v>21</v>
      </c>
    </row>
    <row r="4177" spans="1:14" x14ac:dyDescent="0.3">
      <c r="A4177">
        <v>2024005175</v>
      </c>
      <c r="B4177" s="1">
        <v>45297</v>
      </c>
      <c r="C4177" s="11">
        <f t="shared" si="195"/>
        <v>2024</v>
      </c>
      <c r="D4177" t="s">
        <v>340</v>
      </c>
      <c r="E4177" t="s">
        <v>67</v>
      </c>
      <c r="F4177" t="s">
        <v>68</v>
      </c>
      <c r="G4177" t="s">
        <v>36</v>
      </c>
      <c r="H4177">
        <v>1</v>
      </c>
      <c r="I4177" s="2">
        <v>391.53</v>
      </c>
      <c r="J4177" s="2">
        <v>391.53</v>
      </c>
      <c r="K4177" s="2">
        <f t="shared" si="196"/>
        <v>391.53</v>
      </c>
      <c r="L4177" s="2">
        <f t="shared" si="197"/>
        <v>0</v>
      </c>
      <c r="M4177" t="s">
        <v>31</v>
      </c>
      <c r="N4177" t="s">
        <v>21</v>
      </c>
    </row>
    <row r="4178" spans="1:14" x14ac:dyDescent="0.3">
      <c r="A4178">
        <v>2024005176</v>
      </c>
      <c r="B4178" s="1">
        <v>45565</v>
      </c>
      <c r="C4178" s="11">
        <f t="shared" si="195"/>
        <v>2024</v>
      </c>
      <c r="D4178" t="s">
        <v>245</v>
      </c>
      <c r="E4178" t="s">
        <v>12</v>
      </c>
      <c r="F4178" t="s">
        <v>13</v>
      </c>
      <c r="G4178" t="s">
        <v>14</v>
      </c>
      <c r="H4178">
        <v>1</v>
      </c>
      <c r="I4178" s="2">
        <v>357.81</v>
      </c>
      <c r="J4178" s="2">
        <v>357.81</v>
      </c>
      <c r="K4178" s="2">
        <f t="shared" si="196"/>
        <v>357.81</v>
      </c>
      <c r="L4178" s="2">
        <f t="shared" si="197"/>
        <v>0</v>
      </c>
      <c r="M4178" t="s">
        <v>64</v>
      </c>
      <c r="N4178" t="s">
        <v>16</v>
      </c>
    </row>
    <row r="4179" spans="1:14" x14ac:dyDescent="0.3">
      <c r="A4179">
        <v>2024005177</v>
      </c>
      <c r="B4179" s="1">
        <v>45598</v>
      </c>
      <c r="C4179" s="11">
        <f t="shared" si="195"/>
        <v>2024</v>
      </c>
      <c r="D4179" t="s">
        <v>240</v>
      </c>
      <c r="E4179" t="s">
        <v>28</v>
      </c>
      <c r="F4179" t="s">
        <v>29</v>
      </c>
      <c r="G4179" t="s">
        <v>30</v>
      </c>
      <c r="H4179">
        <v>2</v>
      </c>
      <c r="I4179" s="2">
        <v>24.87</v>
      </c>
      <c r="J4179" s="2">
        <v>49.74</v>
      </c>
      <c r="K4179" s="2">
        <f t="shared" si="196"/>
        <v>49.74</v>
      </c>
      <c r="L4179" s="2">
        <f t="shared" si="197"/>
        <v>0</v>
      </c>
      <c r="M4179" t="s">
        <v>57</v>
      </c>
      <c r="N4179" t="s">
        <v>32</v>
      </c>
    </row>
    <row r="4180" spans="1:14" x14ac:dyDescent="0.3">
      <c r="A4180">
        <v>2024005178</v>
      </c>
      <c r="B4180" s="1">
        <v>45474</v>
      </c>
      <c r="C4180" s="11">
        <f t="shared" si="195"/>
        <v>2024</v>
      </c>
      <c r="D4180" t="s">
        <v>222</v>
      </c>
      <c r="E4180" t="s">
        <v>40</v>
      </c>
      <c r="F4180" t="s">
        <v>41</v>
      </c>
      <c r="G4180" t="s">
        <v>36</v>
      </c>
      <c r="H4180">
        <v>1</v>
      </c>
      <c r="I4180" s="2">
        <v>41.53</v>
      </c>
      <c r="J4180" s="2">
        <v>41.53</v>
      </c>
      <c r="K4180" s="2">
        <f t="shared" si="196"/>
        <v>41.53</v>
      </c>
      <c r="L4180" s="2">
        <f t="shared" si="197"/>
        <v>0</v>
      </c>
      <c r="M4180" t="s">
        <v>31</v>
      </c>
      <c r="N4180" t="s">
        <v>26</v>
      </c>
    </row>
    <row r="4181" spans="1:14" x14ac:dyDescent="0.3">
      <c r="A4181">
        <v>2024005179</v>
      </c>
      <c r="B4181" s="1">
        <v>45608</v>
      </c>
      <c r="C4181" s="11">
        <f t="shared" si="195"/>
        <v>2024</v>
      </c>
      <c r="D4181" t="s">
        <v>227</v>
      </c>
      <c r="E4181" t="s">
        <v>34</v>
      </c>
      <c r="F4181" t="s">
        <v>35</v>
      </c>
      <c r="G4181" t="s">
        <v>36</v>
      </c>
      <c r="H4181">
        <v>4</v>
      </c>
      <c r="I4181" s="2">
        <v>14.52</v>
      </c>
      <c r="J4181" s="2">
        <v>58.08</v>
      </c>
      <c r="K4181" s="2">
        <f t="shared" si="196"/>
        <v>58.08</v>
      </c>
      <c r="L4181" s="2">
        <f t="shared" si="197"/>
        <v>0</v>
      </c>
      <c r="M4181" t="s">
        <v>61</v>
      </c>
      <c r="N4181" t="s">
        <v>16</v>
      </c>
    </row>
    <row r="4182" spans="1:14" x14ac:dyDescent="0.3">
      <c r="A4182">
        <v>2024005180</v>
      </c>
      <c r="B4182" s="1">
        <v>45590</v>
      </c>
      <c r="C4182" s="11">
        <f t="shared" si="195"/>
        <v>2024</v>
      </c>
      <c r="D4182" t="s">
        <v>188</v>
      </c>
      <c r="E4182" t="s">
        <v>53</v>
      </c>
      <c r="F4182" t="s">
        <v>54</v>
      </c>
      <c r="G4182" t="s">
        <v>36</v>
      </c>
      <c r="H4182">
        <v>4</v>
      </c>
      <c r="I4182" s="2">
        <v>118.07</v>
      </c>
      <c r="J4182" s="2">
        <v>472.28</v>
      </c>
      <c r="K4182" s="2">
        <f t="shared" si="196"/>
        <v>472.28</v>
      </c>
      <c r="L4182" s="2">
        <f t="shared" si="197"/>
        <v>0</v>
      </c>
      <c r="M4182" t="s">
        <v>55</v>
      </c>
      <c r="N4182" t="s">
        <v>16</v>
      </c>
    </row>
    <row r="4183" spans="1:14" x14ac:dyDescent="0.3">
      <c r="A4183">
        <v>2024005181</v>
      </c>
      <c r="B4183" s="1">
        <v>45557</v>
      </c>
      <c r="C4183" s="11">
        <f t="shared" si="195"/>
        <v>2024</v>
      </c>
      <c r="D4183" t="s">
        <v>113</v>
      </c>
      <c r="E4183" t="s">
        <v>43</v>
      </c>
      <c r="F4183" t="s">
        <v>44</v>
      </c>
      <c r="G4183" t="s">
        <v>36</v>
      </c>
      <c r="H4183">
        <v>1</v>
      </c>
      <c r="I4183" s="2">
        <v>1195.02</v>
      </c>
      <c r="J4183" s="2">
        <v>1195.02</v>
      </c>
      <c r="K4183" s="2">
        <f t="shared" si="196"/>
        <v>1195.02</v>
      </c>
      <c r="L4183" s="2">
        <f t="shared" si="197"/>
        <v>0</v>
      </c>
      <c r="M4183" t="s">
        <v>20</v>
      </c>
      <c r="N4183" t="s">
        <v>21</v>
      </c>
    </row>
    <row r="4184" spans="1:14" x14ac:dyDescent="0.3">
      <c r="A4184">
        <v>2024005182</v>
      </c>
      <c r="B4184" s="1">
        <v>45453</v>
      </c>
      <c r="C4184" s="11">
        <f t="shared" si="195"/>
        <v>2024</v>
      </c>
      <c r="D4184" t="s">
        <v>210</v>
      </c>
      <c r="E4184" t="s">
        <v>53</v>
      </c>
      <c r="F4184" t="s">
        <v>54</v>
      </c>
      <c r="G4184" t="s">
        <v>36</v>
      </c>
      <c r="H4184">
        <v>1</v>
      </c>
      <c r="I4184" s="2">
        <v>127.89</v>
      </c>
      <c r="J4184" s="2">
        <v>127.89</v>
      </c>
      <c r="K4184" s="2">
        <f t="shared" si="196"/>
        <v>127.89</v>
      </c>
      <c r="L4184" s="2">
        <f t="shared" si="197"/>
        <v>0</v>
      </c>
      <c r="M4184" t="s">
        <v>57</v>
      </c>
      <c r="N4184" t="s">
        <v>21</v>
      </c>
    </row>
    <row r="4185" spans="1:14" x14ac:dyDescent="0.3">
      <c r="A4185">
        <v>2024005183</v>
      </c>
      <c r="B4185" s="1">
        <v>45579</v>
      </c>
      <c r="C4185" s="11">
        <f t="shared" si="195"/>
        <v>2024</v>
      </c>
      <c r="D4185" t="s">
        <v>340</v>
      </c>
      <c r="E4185" t="s">
        <v>23</v>
      </c>
      <c r="F4185" t="s">
        <v>24</v>
      </c>
      <c r="G4185" t="s">
        <v>14</v>
      </c>
      <c r="H4185">
        <v>1</v>
      </c>
      <c r="I4185" s="2">
        <v>81.34</v>
      </c>
      <c r="J4185" s="2">
        <v>81.34</v>
      </c>
      <c r="K4185" s="2">
        <f t="shared" si="196"/>
        <v>81.34</v>
      </c>
      <c r="L4185" s="2">
        <f t="shared" si="197"/>
        <v>0</v>
      </c>
      <c r="M4185" t="s">
        <v>31</v>
      </c>
      <c r="N4185" t="s">
        <v>26</v>
      </c>
    </row>
    <row r="4186" spans="1:14" x14ac:dyDescent="0.3">
      <c r="A4186">
        <v>2024005184</v>
      </c>
      <c r="B4186" s="1">
        <v>45586</v>
      </c>
      <c r="C4186" s="11">
        <f t="shared" si="195"/>
        <v>2024</v>
      </c>
      <c r="D4186" t="s">
        <v>22</v>
      </c>
      <c r="E4186" t="s">
        <v>43</v>
      </c>
      <c r="F4186" t="s">
        <v>44</v>
      </c>
      <c r="G4186" t="s">
        <v>36</v>
      </c>
      <c r="H4186">
        <v>2</v>
      </c>
      <c r="I4186" s="2">
        <v>1141.4000000000001</v>
      </c>
      <c r="J4186" s="2">
        <v>2282.8000000000002</v>
      </c>
      <c r="K4186" s="2">
        <f t="shared" si="196"/>
        <v>2282.8000000000002</v>
      </c>
      <c r="L4186" s="2">
        <f t="shared" si="197"/>
        <v>0</v>
      </c>
      <c r="M4186" t="s">
        <v>31</v>
      </c>
      <c r="N4186" t="s">
        <v>16</v>
      </c>
    </row>
    <row r="4187" spans="1:14" x14ac:dyDescent="0.3">
      <c r="A4187">
        <v>2024005185</v>
      </c>
      <c r="B4187" s="1">
        <v>45535</v>
      </c>
      <c r="C4187" s="11">
        <f t="shared" si="195"/>
        <v>2024</v>
      </c>
      <c r="D4187" t="s">
        <v>123</v>
      </c>
      <c r="E4187" t="s">
        <v>23</v>
      </c>
      <c r="F4187" t="s">
        <v>24</v>
      </c>
      <c r="G4187" t="s">
        <v>14</v>
      </c>
      <c r="H4187">
        <v>1</v>
      </c>
      <c r="I4187" s="2">
        <v>72.8</v>
      </c>
      <c r="J4187" s="2">
        <v>72.8</v>
      </c>
      <c r="K4187" s="2">
        <f t="shared" si="196"/>
        <v>72.8</v>
      </c>
      <c r="L4187" s="2">
        <f t="shared" si="197"/>
        <v>0</v>
      </c>
      <c r="M4187" t="s">
        <v>25</v>
      </c>
      <c r="N4187" t="s">
        <v>16</v>
      </c>
    </row>
    <row r="4188" spans="1:14" x14ac:dyDescent="0.3">
      <c r="A4188">
        <v>2024005186</v>
      </c>
      <c r="B4188" s="1">
        <v>45432</v>
      </c>
      <c r="C4188" s="11">
        <f t="shared" si="195"/>
        <v>2024</v>
      </c>
      <c r="D4188" t="s">
        <v>214</v>
      </c>
      <c r="E4188" t="s">
        <v>18</v>
      </c>
      <c r="F4188" t="s">
        <v>19</v>
      </c>
      <c r="G4188" t="s">
        <v>14</v>
      </c>
      <c r="H4188">
        <v>1</v>
      </c>
      <c r="I4188" s="2">
        <v>603.89</v>
      </c>
      <c r="J4188" s="2">
        <v>603.89</v>
      </c>
      <c r="K4188" s="2">
        <f t="shared" si="196"/>
        <v>603.89</v>
      </c>
      <c r="L4188" s="2">
        <f t="shared" si="197"/>
        <v>0</v>
      </c>
      <c r="M4188" t="s">
        <v>31</v>
      </c>
      <c r="N4188" t="s">
        <v>21</v>
      </c>
    </row>
    <row r="4189" spans="1:14" x14ac:dyDescent="0.3">
      <c r="A4189">
        <v>2024005187</v>
      </c>
      <c r="B4189" s="1">
        <v>45645</v>
      </c>
      <c r="C4189" s="11">
        <f t="shared" si="195"/>
        <v>2024</v>
      </c>
      <c r="D4189" t="s">
        <v>332</v>
      </c>
      <c r="E4189" t="s">
        <v>43</v>
      </c>
      <c r="F4189" t="s">
        <v>44</v>
      </c>
      <c r="G4189" t="s">
        <v>36</v>
      </c>
      <c r="H4189">
        <v>1</v>
      </c>
      <c r="I4189" s="2">
        <v>1146.95</v>
      </c>
      <c r="J4189" s="2">
        <v>1146.95</v>
      </c>
      <c r="K4189" s="2">
        <f t="shared" si="196"/>
        <v>1146.95</v>
      </c>
      <c r="L4189" s="2">
        <f t="shared" si="197"/>
        <v>0</v>
      </c>
      <c r="M4189" t="s">
        <v>64</v>
      </c>
      <c r="N4189" t="s">
        <v>32</v>
      </c>
    </row>
    <row r="4190" spans="1:14" x14ac:dyDescent="0.3">
      <c r="A4190">
        <v>2024005188</v>
      </c>
      <c r="B4190" s="1">
        <v>45655</v>
      </c>
      <c r="C4190" s="11">
        <f t="shared" si="195"/>
        <v>2024</v>
      </c>
      <c r="D4190" t="s">
        <v>73</v>
      </c>
      <c r="E4190" t="s">
        <v>46</v>
      </c>
      <c r="F4190" t="s">
        <v>47</v>
      </c>
      <c r="G4190" t="s">
        <v>36</v>
      </c>
      <c r="H4190">
        <v>3</v>
      </c>
      <c r="I4190" s="2">
        <v>93.35</v>
      </c>
      <c r="J4190" s="2">
        <v>280.05</v>
      </c>
      <c r="K4190" s="2">
        <f t="shared" si="196"/>
        <v>280.04999999999995</v>
      </c>
      <c r="L4190" s="2">
        <f t="shared" si="197"/>
        <v>0</v>
      </c>
      <c r="M4190" t="s">
        <v>15</v>
      </c>
      <c r="N4190" t="s">
        <v>16</v>
      </c>
    </row>
    <row r="4191" spans="1:14" x14ac:dyDescent="0.3">
      <c r="A4191">
        <v>2024005189</v>
      </c>
      <c r="B4191" s="1">
        <v>45406</v>
      </c>
      <c r="C4191" s="11">
        <f t="shared" si="195"/>
        <v>2024</v>
      </c>
      <c r="D4191" t="s">
        <v>270</v>
      </c>
      <c r="E4191" t="s">
        <v>67</v>
      </c>
      <c r="F4191" t="s">
        <v>68</v>
      </c>
      <c r="G4191" t="s">
        <v>36</v>
      </c>
      <c r="H4191">
        <v>2</v>
      </c>
      <c r="I4191" s="2">
        <v>389.33</v>
      </c>
      <c r="J4191" s="2">
        <v>778.66</v>
      </c>
      <c r="K4191" s="2">
        <f t="shared" si="196"/>
        <v>778.66</v>
      </c>
      <c r="L4191" s="2">
        <f t="shared" si="197"/>
        <v>0</v>
      </c>
      <c r="M4191" t="s">
        <v>55</v>
      </c>
      <c r="N4191" t="s">
        <v>16</v>
      </c>
    </row>
    <row r="4192" spans="1:14" x14ac:dyDescent="0.3">
      <c r="A4192">
        <v>2024005190</v>
      </c>
      <c r="B4192" s="1">
        <v>45300</v>
      </c>
      <c r="C4192" s="11">
        <f t="shared" si="195"/>
        <v>2024</v>
      </c>
      <c r="D4192" t="s">
        <v>11</v>
      </c>
      <c r="E4192" t="s">
        <v>12</v>
      </c>
      <c r="F4192" t="s">
        <v>13</v>
      </c>
      <c r="G4192" t="s">
        <v>14</v>
      </c>
      <c r="H4192">
        <v>1</v>
      </c>
      <c r="I4192" s="2">
        <v>354.81</v>
      </c>
      <c r="J4192" s="2">
        <v>354.81</v>
      </c>
      <c r="K4192" s="2">
        <f t="shared" si="196"/>
        <v>354.81</v>
      </c>
      <c r="L4192" s="2">
        <f t="shared" si="197"/>
        <v>0</v>
      </c>
      <c r="M4192" t="s">
        <v>31</v>
      </c>
      <c r="N4192" t="s">
        <v>16</v>
      </c>
    </row>
    <row r="4193" spans="1:14" x14ac:dyDescent="0.3">
      <c r="A4193">
        <v>2024005191</v>
      </c>
      <c r="B4193" s="1">
        <v>45634</v>
      </c>
      <c r="C4193" s="11">
        <f t="shared" si="195"/>
        <v>2024</v>
      </c>
      <c r="D4193" t="s">
        <v>227</v>
      </c>
      <c r="E4193" t="s">
        <v>12</v>
      </c>
      <c r="F4193" t="s">
        <v>13</v>
      </c>
      <c r="G4193" t="s">
        <v>14</v>
      </c>
      <c r="H4193">
        <v>1</v>
      </c>
      <c r="I4193" s="2">
        <v>353.58</v>
      </c>
      <c r="J4193" s="2">
        <v>353.58</v>
      </c>
      <c r="K4193" s="2">
        <f t="shared" si="196"/>
        <v>353.58</v>
      </c>
      <c r="L4193" s="2">
        <f t="shared" si="197"/>
        <v>0</v>
      </c>
      <c r="M4193" t="s">
        <v>38</v>
      </c>
      <c r="N4193" t="s">
        <v>21</v>
      </c>
    </row>
    <row r="4194" spans="1:14" x14ac:dyDescent="0.3">
      <c r="A4194">
        <v>2024005192</v>
      </c>
      <c r="B4194" s="1">
        <v>45646</v>
      </c>
      <c r="C4194" s="11">
        <f t="shared" si="195"/>
        <v>2024</v>
      </c>
      <c r="D4194" t="s">
        <v>183</v>
      </c>
      <c r="E4194" t="s">
        <v>43</v>
      </c>
      <c r="F4194" t="s">
        <v>44</v>
      </c>
      <c r="G4194" t="s">
        <v>36</v>
      </c>
      <c r="H4194">
        <v>2</v>
      </c>
      <c r="I4194" s="2">
        <v>1180.56</v>
      </c>
      <c r="J4194" s="2">
        <v>2361.12</v>
      </c>
      <c r="K4194" s="2">
        <f t="shared" si="196"/>
        <v>2361.12</v>
      </c>
      <c r="L4194" s="2">
        <f t="shared" si="197"/>
        <v>0</v>
      </c>
      <c r="M4194" t="s">
        <v>38</v>
      </c>
      <c r="N4194" t="s">
        <v>26</v>
      </c>
    </row>
    <row r="4195" spans="1:14" x14ac:dyDescent="0.3">
      <c r="A4195">
        <v>2024005193</v>
      </c>
      <c r="B4195" s="1">
        <v>45446</v>
      </c>
      <c r="C4195" s="11">
        <f t="shared" si="195"/>
        <v>2024</v>
      </c>
      <c r="D4195" t="s">
        <v>313</v>
      </c>
      <c r="E4195" t="s">
        <v>12</v>
      </c>
      <c r="F4195" t="s">
        <v>13</v>
      </c>
      <c r="G4195" t="s">
        <v>14</v>
      </c>
      <c r="H4195">
        <v>2</v>
      </c>
      <c r="I4195" s="2">
        <v>323.02999999999997</v>
      </c>
      <c r="J4195" s="2">
        <v>646.05999999999995</v>
      </c>
      <c r="K4195" s="2">
        <f t="shared" si="196"/>
        <v>646.05999999999995</v>
      </c>
      <c r="L4195" s="2">
        <f t="shared" si="197"/>
        <v>0</v>
      </c>
      <c r="M4195" t="s">
        <v>64</v>
      </c>
      <c r="N4195" t="s">
        <v>21</v>
      </c>
    </row>
    <row r="4196" spans="1:14" x14ac:dyDescent="0.3">
      <c r="A4196">
        <v>2024005194</v>
      </c>
      <c r="B4196" s="1">
        <v>45504</v>
      </c>
      <c r="C4196" s="11">
        <f t="shared" si="195"/>
        <v>2024</v>
      </c>
      <c r="D4196" t="s">
        <v>294</v>
      </c>
      <c r="E4196" t="s">
        <v>67</v>
      </c>
      <c r="F4196" t="s">
        <v>68</v>
      </c>
      <c r="G4196" t="s">
        <v>36</v>
      </c>
      <c r="H4196">
        <v>3</v>
      </c>
      <c r="I4196" s="2">
        <v>370.47</v>
      </c>
      <c r="J4196" s="2">
        <v>1111.4100000000001</v>
      </c>
      <c r="K4196" s="2">
        <f t="shared" si="196"/>
        <v>1111.4100000000001</v>
      </c>
      <c r="L4196" s="2">
        <f t="shared" si="197"/>
        <v>0</v>
      </c>
      <c r="M4196" t="s">
        <v>20</v>
      </c>
      <c r="N4196" t="s">
        <v>16</v>
      </c>
    </row>
    <row r="4197" spans="1:14" x14ac:dyDescent="0.3">
      <c r="A4197">
        <v>2024005195</v>
      </c>
      <c r="B4197" s="1">
        <v>45383</v>
      </c>
      <c r="C4197" s="11">
        <f t="shared" si="195"/>
        <v>2024</v>
      </c>
      <c r="D4197" t="s">
        <v>11</v>
      </c>
      <c r="E4197" t="s">
        <v>18</v>
      </c>
      <c r="F4197" t="s">
        <v>19</v>
      </c>
      <c r="G4197" t="s">
        <v>14</v>
      </c>
      <c r="H4197">
        <v>2</v>
      </c>
      <c r="I4197" s="2">
        <v>587.82000000000005</v>
      </c>
      <c r="J4197" s="2">
        <v>1175.6400000000001</v>
      </c>
      <c r="K4197" s="2">
        <f t="shared" si="196"/>
        <v>1175.6400000000001</v>
      </c>
      <c r="L4197" s="2">
        <f t="shared" si="197"/>
        <v>0</v>
      </c>
      <c r="M4197" t="s">
        <v>57</v>
      </c>
      <c r="N4197" t="s">
        <v>16</v>
      </c>
    </row>
    <row r="4198" spans="1:14" x14ac:dyDescent="0.3">
      <c r="A4198">
        <v>2024005196</v>
      </c>
      <c r="B4198" s="1">
        <v>45365</v>
      </c>
      <c r="C4198" s="11">
        <f t="shared" si="195"/>
        <v>2024</v>
      </c>
      <c r="D4198" t="s">
        <v>11</v>
      </c>
      <c r="E4198" t="s">
        <v>23</v>
      </c>
      <c r="F4198" t="s">
        <v>24</v>
      </c>
      <c r="G4198" t="s">
        <v>14</v>
      </c>
      <c r="H4198">
        <v>2</v>
      </c>
      <c r="I4198" s="2">
        <v>81.93</v>
      </c>
      <c r="J4198" s="2">
        <v>163.86</v>
      </c>
      <c r="K4198" s="2">
        <f t="shared" si="196"/>
        <v>163.86</v>
      </c>
      <c r="L4198" s="2">
        <f t="shared" si="197"/>
        <v>0</v>
      </c>
      <c r="M4198" t="s">
        <v>31</v>
      </c>
      <c r="N4198" t="s">
        <v>26</v>
      </c>
    </row>
    <row r="4199" spans="1:14" x14ac:dyDescent="0.3">
      <c r="A4199">
        <v>2024005197</v>
      </c>
      <c r="B4199" s="1">
        <v>45347</v>
      </c>
      <c r="C4199" s="11">
        <f t="shared" si="195"/>
        <v>2024</v>
      </c>
      <c r="D4199" t="s">
        <v>343</v>
      </c>
      <c r="E4199" t="s">
        <v>67</v>
      </c>
      <c r="F4199" t="s">
        <v>68</v>
      </c>
      <c r="G4199" t="s">
        <v>36</v>
      </c>
      <c r="H4199">
        <v>1</v>
      </c>
      <c r="I4199" s="2">
        <v>414.48</v>
      </c>
      <c r="J4199" s="2">
        <v>414.48</v>
      </c>
      <c r="K4199" s="2">
        <f t="shared" si="196"/>
        <v>414.48</v>
      </c>
      <c r="L4199" s="2">
        <f t="shared" si="197"/>
        <v>0</v>
      </c>
      <c r="M4199" t="s">
        <v>48</v>
      </c>
      <c r="N4199" t="s">
        <v>21</v>
      </c>
    </row>
    <row r="4200" spans="1:14" x14ac:dyDescent="0.3">
      <c r="A4200">
        <v>2024005198</v>
      </c>
      <c r="B4200" s="1">
        <v>45633</v>
      </c>
      <c r="C4200" s="11">
        <f t="shared" si="195"/>
        <v>2024</v>
      </c>
      <c r="D4200" t="s">
        <v>124</v>
      </c>
      <c r="E4200" t="s">
        <v>40</v>
      </c>
      <c r="F4200" t="s">
        <v>41</v>
      </c>
      <c r="G4200" t="s">
        <v>36</v>
      </c>
      <c r="H4200">
        <v>2</v>
      </c>
      <c r="I4200" s="2">
        <v>44.21</v>
      </c>
      <c r="J4200" s="2">
        <v>88.42</v>
      </c>
      <c r="K4200" s="2">
        <f t="shared" si="196"/>
        <v>88.42</v>
      </c>
      <c r="L4200" s="2">
        <f t="shared" si="197"/>
        <v>0</v>
      </c>
      <c r="M4200" t="s">
        <v>31</v>
      </c>
      <c r="N4200" t="s">
        <v>32</v>
      </c>
    </row>
    <row r="4201" spans="1:14" x14ac:dyDescent="0.3">
      <c r="A4201">
        <v>2024005199</v>
      </c>
      <c r="B4201" s="1">
        <v>45500</v>
      </c>
      <c r="C4201" s="11">
        <f t="shared" si="195"/>
        <v>2024</v>
      </c>
      <c r="D4201" t="s">
        <v>255</v>
      </c>
      <c r="E4201" t="s">
        <v>12</v>
      </c>
      <c r="F4201" t="s">
        <v>13</v>
      </c>
      <c r="G4201" t="s">
        <v>14</v>
      </c>
      <c r="H4201">
        <v>1</v>
      </c>
      <c r="I4201" s="2">
        <v>370.66</v>
      </c>
      <c r="J4201" s="2">
        <v>370.66</v>
      </c>
      <c r="K4201" s="2">
        <f t="shared" si="196"/>
        <v>370.66</v>
      </c>
      <c r="L4201" s="2">
        <f t="shared" si="197"/>
        <v>0</v>
      </c>
      <c r="M4201" t="s">
        <v>55</v>
      </c>
      <c r="N4201" t="s">
        <v>16</v>
      </c>
    </row>
    <row r="4202" spans="1:14" x14ac:dyDescent="0.3">
      <c r="A4202">
        <v>2024005200</v>
      </c>
      <c r="B4202" s="1">
        <v>45409</v>
      </c>
      <c r="C4202" s="11">
        <f t="shared" si="195"/>
        <v>2024</v>
      </c>
      <c r="D4202" t="s">
        <v>63</v>
      </c>
      <c r="E4202" t="s">
        <v>34</v>
      </c>
      <c r="F4202" t="s">
        <v>35</v>
      </c>
      <c r="G4202" t="s">
        <v>36</v>
      </c>
      <c r="H4202">
        <v>1</v>
      </c>
      <c r="I4202" s="2">
        <v>16.22</v>
      </c>
      <c r="J4202" s="2">
        <v>16.22</v>
      </c>
      <c r="K4202" s="2">
        <f t="shared" si="196"/>
        <v>16.22</v>
      </c>
      <c r="L4202" s="2">
        <f t="shared" si="197"/>
        <v>0</v>
      </c>
      <c r="M4202" t="s">
        <v>48</v>
      </c>
      <c r="N4202" t="s">
        <v>21</v>
      </c>
    </row>
    <row r="4203" spans="1:14" x14ac:dyDescent="0.3">
      <c r="A4203">
        <v>2024005201</v>
      </c>
      <c r="B4203" s="1">
        <v>45519</v>
      </c>
      <c r="C4203" s="11">
        <f t="shared" si="195"/>
        <v>2024</v>
      </c>
      <c r="D4203" t="s">
        <v>265</v>
      </c>
      <c r="E4203" t="s">
        <v>67</v>
      </c>
      <c r="F4203" t="s">
        <v>68</v>
      </c>
      <c r="G4203" t="s">
        <v>36</v>
      </c>
      <c r="H4203">
        <v>4</v>
      </c>
      <c r="I4203" s="2">
        <v>403.92</v>
      </c>
      <c r="J4203" s="2">
        <v>1615.68</v>
      </c>
      <c r="K4203" s="2">
        <f t="shared" si="196"/>
        <v>1615.68</v>
      </c>
      <c r="L4203" s="2">
        <f t="shared" si="197"/>
        <v>0</v>
      </c>
      <c r="M4203" t="s">
        <v>15</v>
      </c>
      <c r="N4203" t="s">
        <v>26</v>
      </c>
    </row>
    <row r="4204" spans="1:14" x14ac:dyDescent="0.3">
      <c r="A4204">
        <v>2024005202</v>
      </c>
      <c r="B4204" s="1">
        <v>45461</v>
      </c>
      <c r="C4204" s="11">
        <f t="shared" si="195"/>
        <v>2024</v>
      </c>
      <c r="D4204" t="s">
        <v>11</v>
      </c>
      <c r="E4204" t="s">
        <v>46</v>
      </c>
      <c r="F4204" t="s">
        <v>47</v>
      </c>
      <c r="G4204" t="s">
        <v>36</v>
      </c>
      <c r="H4204">
        <v>2</v>
      </c>
      <c r="I4204" s="2">
        <v>88.66</v>
      </c>
      <c r="J4204" s="2">
        <v>177.32</v>
      </c>
      <c r="K4204" s="2">
        <f t="shared" si="196"/>
        <v>177.32</v>
      </c>
      <c r="L4204" s="2">
        <f t="shared" si="197"/>
        <v>0</v>
      </c>
      <c r="M4204" t="s">
        <v>20</v>
      </c>
      <c r="N4204" t="s">
        <v>26</v>
      </c>
    </row>
    <row r="4205" spans="1:14" x14ac:dyDescent="0.3">
      <c r="A4205">
        <v>2024005203</v>
      </c>
      <c r="B4205" s="1">
        <v>45548</v>
      </c>
      <c r="C4205" s="11">
        <f t="shared" si="195"/>
        <v>2024</v>
      </c>
      <c r="D4205" t="s">
        <v>171</v>
      </c>
      <c r="E4205" t="s">
        <v>23</v>
      </c>
      <c r="F4205" t="s">
        <v>24</v>
      </c>
      <c r="G4205" t="s">
        <v>14</v>
      </c>
      <c r="H4205">
        <v>4</v>
      </c>
      <c r="I4205" s="2">
        <v>77.930000000000007</v>
      </c>
      <c r="J4205" s="2">
        <v>311.72000000000003</v>
      </c>
      <c r="K4205" s="2">
        <f t="shared" si="196"/>
        <v>311.72000000000003</v>
      </c>
      <c r="L4205" s="2">
        <f t="shared" si="197"/>
        <v>0</v>
      </c>
      <c r="M4205" t="s">
        <v>31</v>
      </c>
      <c r="N4205" t="s">
        <v>32</v>
      </c>
    </row>
    <row r="4206" spans="1:14" x14ac:dyDescent="0.3">
      <c r="A4206">
        <v>2024005204</v>
      </c>
      <c r="B4206" s="1">
        <v>45590</v>
      </c>
      <c r="C4206" s="11">
        <f t="shared" si="195"/>
        <v>2024</v>
      </c>
      <c r="D4206" t="s">
        <v>95</v>
      </c>
      <c r="E4206" t="s">
        <v>53</v>
      </c>
      <c r="F4206" t="s">
        <v>54</v>
      </c>
      <c r="G4206" t="s">
        <v>36</v>
      </c>
      <c r="H4206">
        <v>1</v>
      </c>
      <c r="I4206" s="2">
        <v>128.54</v>
      </c>
      <c r="J4206" s="2">
        <v>128.54</v>
      </c>
      <c r="K4206" s="2">
        <f t="shared" si="196"/>
        <v>128.54</v>
      </c>
      <c r="L4206" s="2">
        <f t="shared" si="197"/>
        <v>0</v>
      </c>
      <c r="M4206" t="s">
        <v>57</v>
      </c>
      <c r="N4206" t="s">
        <v>32</v>
      </c>
    </row>
    <row r="4207" spans="1:14" x14ac:dyDescent="0.3">
      <c r="A4207">
        <v>2024005205</v>
      </c>
      <c r="B4207" s="1">
        <v>45498</v>
      </c>
      <c r="C4207" s="11">
        <f t="shared" si="195"/>
        <v>2024</v>
      </c>
      <c r="D4207" t="s">
        <v>137</v>
      </c>
      <c r="E4207" t="s">
        <v>43</v>
      </c>
      <c r="F4207" t="s">
        <v>44</v>
      </c>
      <c r="G4207" t="s">
        <v>36</v>
      </c>
      <c r="H4207">
        <v>3</v>
      </c>
      <c r="I4207" s="2">
        <v>1226.92</v>
      </c>
      <c r="J4207" s="2">
        <v>3680.76</v>
      </c>
      <c r="K4207" s="2">
        <f t="shared" si="196"/>
        <v>3680.76</v>
      </c>
      <c r="L4207" s="2">
        <f t="shared" si="197"/>
        <v>0</v>
      </c>
      <c r="M4207" t="s">
        <v>64</v>
      </c>
      <c r="N4207" t="s">
        <v>21</v>
      </c>
    </row>
    <row r="4208" spans="1:14" x14ac:dyDescent="0.3">
      <c r="A4208">
        <v>2024005206</v>
      </c>
      <c r="B4208" s="1">
        <v>45550</v>
      </c>
      <c r="C4208" s="11">
        <f t="shared" si="195"/>
        <v>2024</v>
      </c>
      <c r="D4208" t="s">
        <v>143</v>
      </c>
      <c r="E4208" t="s">
        <v>53</v>
      </c>
      <c r="F4208" t="s">
        <v>54</v>
      </c>
      <c r="G4208" t="s">
        <v>36</v>
      </c>
      <c r="H4208">
        <v>1</v>
      </c>
      <c r="I4208" s="2">
        <v>117.24</v>
      </c>
      <c r="J4208" s="2">
        <v>117.24</v>
      </c>
      <c r="K4208" s="2">
        <f t="shared" si="196"/>
        <v>117.24</v>
      </c>
      <c r="L4208" s="2">
        <f t="shared" si="197"/>
        <v>0</v>
      </c>
      <c r="M4208" t="s">
        <v>57</v>
      </c>
      <c r="N4208" t="s">
        <v>32</v>
      </c>
    </row>
    <row r="4209" spans="1:14" x14ac:dyDescent="0.3">
      <c r="A4209">
        <v>2024005207</v>
      </c>
      <c r="B4209" s="1">
        <v>45602</v>
      </c>
      <c r="C4209" s="11">
        <f t="shared" si="195"/>
        <v>2024</v>
      </c>
      <c r="D4209" t="s">
        <v>157</v>
      </c>
      <c r="E4209" t="s">
        <v>46</v>
      </c>
      <c r="F4209" t="s">
        <v>47</v>
      </c>
      <c r="G4209" t="s">
        <v>36</v>
      </c>
      <c r="H4209">
        <v>3</v>
      </c>
      <c r="I4209" s="2">
        <v>90.73</v>
      </c>
      <c r="J4209" s="2">
        <v>272.19</v>
      </c>
      <c r="K4209" s="2">
        <f t="shared" si="196"/>
        <v>272.19</v>
      </c>
      <c r="L4209" s="2">
        <f t="shared" si="197"/>
        <v>0</v>
      </c>
      <c r="M4209" t="s">
        <v>38</v>
      </c>
      <c r="N4209" t="s">
        <v>32</v>
      </c>
    </row>
    <row r="4210" spans="1:14" x14ac:dyDescent="0.3">
      <c r="A4210">
        <v>2024005208</v>
      </c>
      <c r="B4210" s="1">
        <v>45413</v>
      </c>
      <c r="C4210" s="11">
        <f t="shared" si="195"/>
        <v>2024</v>
      </c>
      <c r="D4210" t="s">
        <v>11</v>
      </c>
      <c r="E4210" t="s">
        <v>40</v>
      </c>
      <c r="F4210" t="s">
        <v>41</v>
      </c>
      <c r="G4210" t="s">
        <v>36</v>
      </c>
      <c r="H4210">
        <v>2</v>
      </c>
      <c r="I4210" s="2">
        <v>43.38</v>
      </c>
      <c r="J4210" s="2">
        <v>86.76</v>
      </c>
      <c r="K4210" s="2">
        <f t="shared" si="196"/>
        <v>86.76</v>
      </c>
      <c r="L4210" s="2">
        <f t="shared" si="197"/>
        <v>0</v>
      </c>
      <c r="M4210" t="s">
        <v>48</v>
      </c>
      <c r="N4210" t="s">
        <v>16</v>
      </c>
    </row>
    <row r="4211" spans="1:14" x14ac:dyDescent="0.3">
      <c r="A4211">
        <v>2024005209</v>
      </c>
      <c r="B4211" s="1">
        <v>45414</v>
      </c>
      <c r="C4211" s="11">
        <f t="shared" si="195"/>
        <v>2024</v>
      </c>
      <c r="D4211" t="s">
        <v>317</v>
      </c>
      <c r="E4211" t="s">
        <v>43</v>
      </c>
      <c r="F4211" t="s">
        <v>44</v>
      </c>
      <c r="G4211" t="s">
        <v>36</v>
      </c>
      <c r="H4211">
        <v>2</v>
      </c>
      <c r="I4211" s="2">
        <v>1164.43</v>
      </c>
      <c r="J4211" s="2">
        <v>2328.86</v>
      </c>
      <c r="K4211" s="2">
        <f t="shared" si="196"/>
        <v>2328.86</v>
      </c>
      <c r="L4211" s="2">
        <f t="shared" si="197"/>
        <v>0</v>
      </c>
      <c r="M4211" t="s">
        <v>38</v>
      </c>
      <c r="N4211" t="s">
        <v>26</v>
      </c>
    </row>
    <row r="4212" spans="1:14" x14ac:dyDescent="0.3">
      <c r="A4212">
        <v>2024005210</v>
      </c>
      <c r="B4212" s="1">
        <v>45298</v>
      </c>
      <c r="C4212" s="11">
        <f t="shared" si="195"/>
        <v>2024</v>
      </c>
      <c r="D4212" t="s">
        <v>170</v>
      </c>
      <c r="E4212" t="s">
        <v>34</v>
      </c>
      <c r="F4212" t="s">
        <v>35</v>
      </c>
      <c r="G4212" t="s">
        <v>36</v>
      </c>
      <c r="H4212">
        <v>3</v>
      </c>
      <c r="I4212" s="2">
        <v>14.6</v>
      </c>
      <c r="J4212" s="2">
        <v>43.8</v>
      </c>
      <c r="K4212" s="2">
        <f t="shared" si="196"/>
        <v>43.8</v>
      </c>
      <c r="L4212" s="2">
        <f t="shared" si="197"/>
        <v>0</v>
      </c>
      <c r="M4212" t="s">
        <v>64</v>
      </c>
      <c r="N4212" t="s">
        <v>21</v>
      </c>
    </row>
    <row r="4213" spans="1:14" x14ac:dyDescent="0.3">
      <c r="A4213">
        <v>2024005211</v>
      </c>
      <c r="B4213" s="1">
        <v>45491</v>
      </c>
      <c r="C4213" s="11">
        <f t="shared" si="195"/>
        <v>2024</v>
      </c>
      <c r="D4213" t="s">
        <v>114</v>
      </c>
      <c r="E4213" t="s">
        <v>18</v>
      </c>
      <c r="F4213" t="s">
        <v>19</v>
      </c>
      <c r="G4213" t="s">
        <v>14</v>
      </c>
      <c r="H4213">
        <v>1</v>
      </c>
      <c r="I4213" s="2">
        <v>623.09</v>
      </c>
      <c r="J4213" s="2">
        <v>623.09</v>
      </c>
      <c r="K4213" s="2">
        <f t="shared" si="196"/>
        <v>623.09</v>
      </c>
      <c r="L4213" s="2">
        <f t="shared" si="197"/>
        <v>0</v>
      </c>
      <c r="M4213" t="s">
        <v>55</v>
      </c>
      <c r="N4213" t="s">
        <v>16</v>
      </c>
    </row>
    <row r="4214" spans="1:14" x14ac:dyDescent="0.3">
      <c r="A4214">
        <v>2024005212</v>
      </c>
      <c r="B4214" s="1">
        <v>45652</v>
      </c>
      <c r="C4214" s="11">
        <f t="shared" si="195"/>
        <v>2024</v>
      </c>
      <c r="D4214" t="s">
        <v>244</v>
      </c>
      <c r="E4214" t="s">
        <v>67</v>
      </c>
      <c r="F4214" t="s">
        <v>68</v>
      </c>
      <c r="G4214" t="s">
        <v>36</v>
      </c>
      <c r="H4214">
        <v>1</v>
      </c>
      <c r="I4214" s="2">
        <v>425.21</v>
      </c>
      <c r="J4214" s="2">
        <v>425.21</v>
      </c>
      <c r="K4214" s="2">
        <f t="shared" si="196"/>
        <v>425.21</v>
      </c>
      <c r="L4214" s="2">
        <f t="shared" si="197"/>
        <v>0</v>
      </c>
      <c r="M4214" t="s">
        <v>48</v>
      </c>
      <c r="N4214" t="s">
        <v>26</v>
      </c>
    </row>
    <row r="4215" spans="1:14" x14ac:dyDescent="0.3">
      <c r="A4215">
        <v>2024005213</v>
      </c>
      <c r="B4215" s="1">
        <v>45406</v>
      </c>
      <c r="C4215" s="11">
        <f t="shared" si="195"/>
        <v>2024</v>
      </c>
      <c r="D4215" t="s">
        <v>330</v>
      </c>
      <c r="E4215" t="s">
        <v>43</v>
      </c>
      <c r="F4215" t="s">
        <v>44</v>
      </c>
      <c r="G4215" t="s">
        <v>36</v>
      </c>
      <c r="H4215">
        <v>1</v>
      </c>
      <c r="I4215" s="2">
        <v>1188.49</v>
      </c>
      <c r="J4215" s="2">
        <v>1188.49</v>
      </c>
      <c r="K4215" s="2">
        <f t="shared" si="196"/>
        <v>1188.49</v>
      </c>
      <c r="L4215" s="2">
        <f t="shared" si="197"/>
        <v>0</v>
      </c>
      <c r="M4215" t="s">
        <v>38</v>
      </c>
      <c r="N4215" t="s">
        <v>21</v>
      </c>
    </row>
    <row r="4216" spans="1:14" x14ac:dyDescent="0.3">
      <c r="A4216">
        <v>2024005214</v>
      </c>
      <c r="B4216" s="1">
        <v>45467</v>
      </c>
      <c r="C4216" s="11">
        <f t="shared" si="195"/>
        <v>2024</v>
      </c>
      <c r="D4216" t="s">
        <v>277</v>
      </c>
      <c r="E4216" t="s">
        <v>46</v>
      </c>
      <c r="F4216" t="s">
        <v>47</v>
      </c>
      <c r="G4216" t="s">
        <v>36</v>
      </c>
      <c r="H4216">
        <v>1</v>
      </c>
      <c r="I4216" s="2">
        <v>91.34</v>
      </c>
      <c r="J4216" s="2">
        <v>91.34</v>
      </c>
      <c r="K4216" s="2">
        <f t="shared" si="196"/>
        <v>91.34</v>
      </c>
      <c r="L4216" s="2">
        <f t="shared" si="197"/>
        <v>0</v>
      </c>
      <c r="M4216" t="s">
        <v>31</v>
      </c>
      <c r="N4216" t="s">
        <v>16</v>
      </c>
    </row>
    <row r="4217" spans="1:14" x14ac:dyDescent="0.3">
      <c r="A4217">
        <v>2024005215</v>
      </c>
      <c r="B4217" s="1">
        <v>45365</v>
      </c>
      <c r="C4217" s="11">
        <f t="shared" si="195"/>
        <v>2024</v>
      </c>
      <c r="D4217" t="s">
        <v>62</v>
      </c>
      <c r="E4217" t="s">
        <v>67</v>
      </c>
      <c r="F4217" t="s">
        <v>68</v>
      </c>
      <c r="G4217" t="s">
        <v>36</v>
      </c>
      <c r="H4217">
        <v>3</v>
      </c>
      <c r="I4217" s="2">
        <v>412.14</v>
      </c>
      <c r="J4217" s="2">
        <v>1236.42</v>
      </c>
      <c r="K4217" s="2">
        <f t="shared" si="196"/>
        <v>1236.42</v>
      </c>
      <c r="L4217" s="2">
        <f t="shared" si="197"/>
        <v>0</v>
      </c>
      <c r="M4217" t="s">
        <v>20</v>
      </c>
      <c r="N4217" t="s">
        <v>26</v>
      </c>
    </row>
    <row r="4218" spans="1:14" x14ac:dyDescent="0.3">
      <c r="A4218">
        <v>2024005216</v>
      </c>
      <c r="B4218" s="1">
        <v>45632</v>
      </c>
      <c r="C4218" s="11">
        <f t="shared" si="195"/>
        <v>2024</v>
      </c>
      <c r="D4218" t="s">
        <v>164</v>
      </c>
      <c r="E4218" t="s">
        <v>18</v>
      </c>
      <c r="F4218" t="s">
        <v>19</v>
      </c>
      <c r="G4218" t="s">
        <v>14</v>
      </c>
      <c r="H4218">
        <v>1</v>
      </c>
      <c r="I4218" s="2">
        <v>578.04999999999995</v>
      </c>
      <c r="J4218" s="2">
        <v>578.04999999999995</v>
      </c>
      <c r="K4218" s="2">
        <f t="shared" si="196"/>
        <v>578.04999999999995</v>
      </c>
      <c r="L4218" s="2">
        <f t="shared" si="197"/>
        <v>0</v>
      </c>
      <c r="M4218" t="s">
        <v>20</v>
      </c>
      <c r="N4218" t="s">
        <v>26</v>
      </c>
    </row>
    <row r="4219" spans="1:14" x14ac:dyDescent="0.3">
      <c r="A4219">
        <v>2024005217</v>
      </c>
      <c r="B4219" s="1">
        <v>45557</v>
      </c>
      <c r="C4219" s="11">
        <f t="shared" si="195"/>
        <v>2024</v>
      </c>
      <c r="D4219" t="s">
        <v>132</v>
      </c>
      <c r="E4219" t="s">
        <v>18</v>
      </c>
      <c r="F4219" t="s">
        <v>19</v>
      </c>
      <c r="G4219" t="s">
        <v>14</v>
      </c>
      <c r="H4219">
        <v>0</v>
      </c>
      <c r="I4219" s="2">
        <v>642.54</v>
      </c>
      <c r="J4219" s="2">
        <v>0</v>
      </c>
      <c r="K4219" s="2">
        <f t="shared" si="196"/>
        <v>0</v>
      </c>
      <c r="L4219" s="2">
        <f t="shared" si="197"/>
        <v>0</v>
      </c>
      <c r="M4219" t="s">
        <v>64</v>
      </c>
      <c r="N4219" t="s">
        <v>26</v>
      </c>
    </row>
    <row r="4220" spans="1:14" x14ac:dyDescent="0.3">
      <c r="A4220">
        <v>2024005218</v>
      </c>
      <c r="B4220" s="1">
        <v>45306</v>
      </c>
      <c r="C4220" s="11">
        <f t="shared" si="195"/>
        <v>2024</v>
      </c>
      <c r="D4220" t="s">
        <v>141</v>
      </c>
      <c r="E4220" t="s">
        <v>43</v>
      </c>
      <c r="F4220" t="s">
        <v>44</v>
      </c>
      <c r="G4220" t="s">
        <v>36</v>
      </c>
      <c r="H4220">
        <v>1</v>
      </c>
      <c r="I4220" s="2">
        <v>1227.79</v>
      </c>
      <c r="J4220" s="2">
        <v>1227.79</v>
      </c>
      <c r="K4220" s="2">
        <f t="shared" si="196"/>
        <v>1227.79</v>
      </c>
      <c r="L4220" s="2">
        <f t="shared" si="197"/>
        <v>0</v>
      </c>
      <c r="M4220" t="s">
        <v>48</v>
      </c>
      <c r="N4220" t="s">
        <v>32</v>
      </c>
    </row>
    <row r="4221" spans="1:14" x14ac:dyDescent="0.3">
      <c r="A4221">
        <v>2024005219</v>
      </c>
      <c r="B4221" s="1">
        <v>45505</v>
      </c>
      <c r="C4221" s="11">
        <f t="shared" si="195"/>
        <v>2024</v>
      </c>
      <c r="D4221" t="s">
        <v>344</v>
      </c>
      <c r="E4221" t="s">
        <v>23</v>
      </c>
      <c r="F4221" t="s">
        <v>24</v>
      </c>
      <c r="G4221" t="s">
        <v>14</v>
      </c>
      <c r="H4221">
        <v>1</v>
      </c>
      <c r="I4221" s="2">
        <v>78.569999999999993</v>
      </c>
      <c r="J4221" s="2">
        <v>78.569999999999993</v>
      </c>
      <c r="K4221" s="2">
        <f t="shared" si="196"/>
        <v>78.569999999999993</v>
      </c>
      <c r="L4221" s="2">
        <f t="shared" si="197"/>
        <v>0</v>
      </c>
      <c r="M4221" t="s">
        <v>48</v>
      </c>
      <c r="N4221" t="s">
        <v>32</v>
      </c>
    </row>
    <row r="4222" spans="1:14" x14ac:dyDescent="0.3">
      <c r="A4222">
        <v>2024005220</v>
      </c>
      <c r="B4222" s="1">
        <v>45596</v>
      </c>
      <c r="C4222" s="11">
        <f t="shared" si="195"/>
        <v>2024</v>
      </c>
      <c r="D4222" t="s">
        <v>108</v>
      </c>
      <c r="E4222" t="s">
        <v>34</v>
      </c>
      <c r="F4222" t="s">
        <v>35</v>
      </c>
      <c r="G4222" t="s">
        <v>36</v>
      </c>
      <c r="H4222">
        <v>1</v>
      </c>
      <c r="I4222" s="2">
        <v>15.15</v>
      </c>
      <c r="J4222" s="2">
        <v>15.15</v>
      </c>
      <c r="K4222" s="2">
        <f t="shared" si="196"/>
        <v>15.15</v>
      </c>
      <c r="L4222" s="2">
        <f t="shared" si="197"/>
        <v>0</v>
      </c>
      <c r="M4222" t="s">
        <v>48</v>
      </c>
      <c r="N4222" t="s">
        <v>16</v>
      </c>
    </row>
    <row r="4223" spans="1:14" x14ac:dyDescent="0.3">
      <c r="A4223">
        <v>2024005221</v>
      </c>
      <c r="B4223" s="1">
        <v>45378</v>
      </c>
      <c r="C4223" s="11">
        <f t="shared" si="195"/>
        <v>2024</v>
      </c>
      <c r="D4223" t="s">
        <v>126</v>
      </c>
      <c r="E4223" t="s">
        <v>23</v>
      </c>
      <c r="F4223" t="s">
        <v>24</v>
      </c>
      <c r="G4223" t="s">
        <v>14</v>
      </c>
      <c r="H4223">
        <v>1</v>
      </c>
      <c r="I4223" s="2">
        <v>78.180000000000007</v>
      </c>
      <c r="J4223" s="2">
        <v>78.180000000000007</v>
      </c>
      <c r="K4223" s="2">
        <f t="shared" si="196"/>
        <v>78.180000000000007</v>
      </c>
      <c r="L4223" s="2">
        <f t="shared" si="197"/>
        <v>0</v>
      </c>
      <c r="M4223" t="s">
        <v>38</v>
      </c>
      <c r="N4223" t="s">
        <v>16</v>
      </c>
    </row>
    <row r="4224" spans="1:14" x14ac:dyDescent="0.3">
      <c r="A4224">
        <v>2024005222</v>
      </c>
      <c r="B4224" s="1">
        <v>45546</v>
      </c>
      <c r="C4224" s="11">
        <f t="shared" si="195"/>
        <v>2024</v>
      </c>
      <c r="D4224" t="s">
        <v>253</v>
      </c>
      <c r="E4224" t="s">
        <v>34</v>
      </c>
      <c r="F4224" t="s">
        <v>35</v>
      </c>
      <c r="G4224" t="s">
        <v>36</v>
      </c>
      <c r="H4224">
        <v>2</v>
      </c>
      <c r="I4224" s="2">
        <v>14.21</v>
      </c>
      <c r="J4224" s="2">
        <v>28.42</v>
      </c>
      <c r="K4224" s="2">
        <f t="shared" si="196"/>
        <v>28.42</v>
      </c>
      <c r="L4224" s="2">
        <f t="shared" si="197"/>
        <v>0</v>
      </c>
      <c r="M4224" t="s">
        <v>61</v>
      </c>
      <c r="N4224" t="s">
        <v>21</v>
      </c>
    </row>
    <row r="4225" spans="1:14" x14ac:dyDescent="0.3">
      <c r="A4225">
        <v>2024005223</v>
      </c>
      <c r="B4225" s="1">
        <v>45482</v>
      </c>
      <c r="C4225" s="11">
        <f t="shared" si="195"/>
        <v>2024</v>
      </c>
      <c r="D4225" t="s">
        <v>149</v>
      </c>
      <c r="E4225" t="s">
        <v>12</v>
      </c>
      <c r="F4225" t="s">
        <v>13</v>
      </c>
      <c r="G4225" t="s">
        <v>14</v>
      </c>
      <c r="H4225">
        <v>2</v>
      </c>
      <c r="I4225" s="2">
        <v>336.35</v>
      </c>
      <c r="J4225" s="2">
        <v>672.7</v>
      </c>
      <c r="K4225" s="2">
        <f t="shared" si="196"/>
        <v>672.7</v>
      </c>
      <c r="L4225" s="2">
        <f t="shared" si="197"/>
        <v>0</v>
      </c>
      <c r="M4225" t="s">
        <v>20</v>
      </c>
      <c r="N4225" t="s">
        <v>21</v>
      </c>
    </row>
    <row r="4226" spans="1:14" x14ac:dyDescent="0.3">
      <c r="A4226">
        <v>2024005224</v>
      </c>
      <c r="B4226" s="1">
        <v>45641</v>
      </c>
      <c r="C4226" s="11">
        <f t="shared" si="195"/>
        <v>2024</v>
      </c>
      <c r="D4226" t="s">
        <v>137</v>
      </c>
      <c r="E4226" t="s">
        <v>18</v>
      </c>
      <c r="F4226" t="s">
        <v>19</v>
      </c>
      <c r="G4226" t="s">
        <v>14</v>
      </c>
      <c r="H4226">
        <v>4</v>
      </c>
      <c r="I4226" s="2">
        <v>604.22</v>
      </c>
      <c r="J4226" s="2">
        <v>2416.88</v>
      </c>
      <c r="K4226" s="2">
        <f t="shared" si="196"/>
        <v>2416.88</v>
      </c>
      <c r="L4226" s="2">
        <f t="shared" si="197"/>
        <v>0</v>
      </c>
      <c r="M4226" t="s">
        <v>61</v>
      </c>
      <c r="N4226" t="s">
        <v>21</v>
      </c>
    </row>
    <row r="4227" spans="1:14" x14ac:dyDescent="0.3">
      <c r="A4227">
        <v>2024005225</v>
      </c>
      <c r="B4227" s="1">
        <v>45443</v>
      </c>
      <c r="C4227" s="11">
        <f t="shared" ref="C4227:C4290" si="198">YEAR(B4227)</f>
        <v>2024</v>
      </c>
      <c r="D4227" t="s">
        <v>107</v>
      </c>
      <c r="E4227" t="s">
        <v>43</v>
      </c>
      <c r="F4227" t="s">
        <v>44</v>
      </c>
      <c r="G4227" t="s">
        <v>36</v>
      </c>
      <c r="H4227">
        <v>4</v>
      </c>
      <c r="I4227" s="2">
        <v>1220.58</v>
      </c>
      <c r="J4227" s="2">
        <v>4882.32</v>
      </c>
      <c r="K4227" s="2">
        <f t="shared" ref="K4227:K4290" si="199">I4227*H4227</f>
        <v>4882.32</v>
      </c>
      <c r="L4227" s="2">
        <f t="shared" ref="L4227:L4290" si="200">J4227-K4227</f>
        <v>0</v>
      </c>
      <c r="M4227" t="s">
        <v>57</v>
      </c>
      <c r="N4227" t="s">
        <v>21</v>
      </c>
    </row>
    <row r="4228" spans="1:14" x14ac:dyDescent="0.3">
      <c r="A4228">
        <v>2024004529</v>
      </c>
      <c r="B4228" s="1">
        <v>45570</v>
      </c>
      <c r="C4228" s="11">
        <f t="shared" si="198"/>
        <v>2024</v>
      </c>
      <c r="D4228" t="s">
        <v>273</v>
      </c>
      <c r="E4228" t="s">
        <v>46</v>
      </c>
      <c r="F4228" t="s">
        <v>47</v>
      </c>
      <c r="G4228" t="s">
        <v>36</v>
      </c>
      <c r="H4228">
        <v>2</v>
      </c>
      <c r="I4228" s="2">
        <v>98.99</v>
      </c>
      <c r="J4228" s="2">
        <v>197.98</v>
      </c>
      <c r="K4228" s="2">
        <f t="shared" si="199"/>
        <v>197.98</v>
      </c>
      <c r="L4228" s="2">
        <f t="shared" si="200"/>
        <v>0</v>
      </c>
      <c r="M4228" t="s">
        <v>57</v>
      </c>
      <c r="N4228" t="s">
        <v>32</v>
      </c>
    </row>
    <row r="4229" spans="1:14" x14ac:dyDescent="0.3">
      <c r="A4229">
        <v>2024005227</v>
      </c>
      <c r="B4229" s="1">
        <v>45549</v>
      </c>
      <c r="C4229" s="11">
        <f t="shared" si="198"/>
        <v>2024</v>
      </c>
      <c r="D4229" t="s">
        <v>150</v>
      </c>
      <c r="E4229" t="s">
        <v>28</v>
      </c>
      <c r="F4229" t="s">
        <v>29</v>
      </c>
      <c r="G4229" t="s">
        <v>30</v>
      </c>
      <c r="H4229">
        <v>2</v>
      </c>
      <c r="I4229" s="2">
        <v>23.78</v>
      </c>
      <c r="J4229" s="2">
        <v>47.56</v>
      </c>
      <c r="K4229" s="2">
        <f t="shared" si="199"/>
        <v>47.56</v>
      </c>
      <c r="L4229" s="2">
        <f t="shared" si="200"/>
        <v>0</v>
      </c>
      <c r="M4229" t="s">
        <v>48</v>
      </c>
      <c r="N4229" t="s">
        <v>32</v>
      </c>
    </row>
    <row r="4230" spans="1:14" x14ac:dyDescent="0.3">
      <c r="A4230">
        <v>2024005228</v>
      </c>
      <c r="B4230" s="1">
        <v>45571</v>
      </c>
      <c r="C4230" s="11">
        <f t="shared" si="198"/>
        <v>2024</v>
      </c>
      <c r="D4230" t="s">
        <v>198</v>
      </c>
      <c r="E4230" t="s">
        <v>40</v>
      </c>
      <c r="F4230" t="s">
        <v>41</v>
      </c>
      <c r="G4230" t="s">
        <v>36</v>
      </c>
      <c r="H4230">
        <v>2</v>
      </c>
      <c r="I4230" s="2">
        <v>48.87</v>
      </c>
      <c r="J4230" s="2">
        <v>97.74</v>
      </c>
      <c r="K4230" s="2">
        <f t="shared" si="199"/>
        <v>97.74</v>
      </c>
      <c r="L4230" s="2">
        <f t="shared" si="200"/>
        <v>0</v>
      </c>
      <c r="M4230" t="s">
        <v>57</v>
      </c>
      <c r="N4230" t="s">
        <v>32</v>
      </c>
    </row>
    <row r="4231" spans="1:14" x14ac:dyDescent="0.3">
      <c r="A4231">
        <v>2024005229</v>
      </c>
      <c r="B4231" s="1">
        <v>45626</v>
      </c>
      <c r="C4231" s="11">
        <f t="shared" si="198"/>
        <v>2024</v>
      </c>
      <c r="D4231" t="s">
        <v>167</v>
      </c>
      <c r="E4231" t="s">
        <v>23</v>
      </c>
      <c r="F4231" t="s">
        <v>24</v>
      </c>
      <c r="G4231" t="s">
        <v>14</v>
      </c>
      <c r="H4231">
        <v>1</v>
      </c>
      <c r="I4231" s="2">
        <v>76.83</v>
      </c>
      <c r="J4231" s="2">
        <v>76.83</v>
      </c>
      <c r="K4231" s="2">
        <f t="shared" si="199"/>
        <v>76.83</v>
      </c>
      <c r="L4231" s="2">
        <f t="shared" si="200"/>
        <v>0</v>
      </c>
      <c r="M4231" t="s">
        <v>57</v>
      </c>
      <c r="N4231" t="s">
        <v>26</v>
      </c>
    </row>
    <row r="4232" spans="1:14" x14ac:dyDescent="0.3">
      <c r="A4232">
        <v>2024005230</v>
      </c>
      <c r="B4232" s="1">
        <v>45489</v>
      </c>
      <c r="C4232" s="11">
        <f t="shared" si="198"/>
        <v>2024</v>
      </c>
      <c r="D4232" t="s">
        <v>186</v>
      </c>
      <c r="E4232" t="s">
        <v>67</v>
      </c>
      <c r="F4232" t="s">
        <v>68</v>
      </c>
      <c r="G4232" t="s">
        <v>36</v>
      </c>
      <c r="H4232">
        <v>1</v>
      </c>
      <c r="I4232" s="2">
        <v>420.06</v>
      </c>
      <c r="J4232" s="2">
        <v>420.06</v>
      </c>
      <c r="K4232" s="2">
        <f t="shared" si="199"/>
        <v>420.06</v>
      </c>
      <c r="L4232" s="2">
        <f t="shared" si="200"/>
        <v>0</v>
      </c>
      <c r="M4232" t="s">
        <v>55</v>
      </c>
      <c r="N4232" t="s">
        <v>32</v>
      </c>
    </row>
    <row r="4233" spans="1:14" x14ac:dyDescent="0.3">
      <c r="A4233">
        <v>2024005231</v>
      </c>
      <c r="B4233" s="1">
        <v>45655</v>
      </c>
      <c r="C4233" s="11">
        <f t="shared" si="198"/>
        <v>2024</v>
      </c>
      <c r="D4233" t="s">
        <v>271</v>
      </c>
      <c r="E4233" t="s">
        <v>18</v>
      </c>
      <c r="F4233" t="s">
        <v>19</v>
      </c>
      <c r="G4233" t="s">
        <v>14</v>
      </c>
      <c r="H4233">
        <v>5</v>
      </c>
      <c r="I4233" s="2">
        <v>606.95000000000005</v>
      </c>
      <c r="J4233" s="2">
        <v>3034.75</v>
      </c>
      <c r="K4233" s="2">
        <f t="shared" si="199"/>
        <v>3034.75</v>
      </c>
      <c r="L4233" s="2">
        <f t="shared" si="200"/>
        <v>0</v>
      </c>
      <c r="M4233" t="s">
        <v>31</v>
      </c>
      <c r="N4233" t="s">
        <v>16</v>
      </c>
    </row>
    <row r="4234" spans="1:14" x14ac:dyDescent="0.3">
      <c r="A4234">
        <v>2024005232</v>
      </c>
      <c r="B4234" s="1">
        <v>45371</v>
      </c>
      <c r="C4234" s="11">
        <f t="shared" si="198"/>
        <v>2024</v>
      </c>
      <c r="D4234" t="s">
        <v>341</v>
      </c>
      <c r="E4234" t="s">
        <v>34</v>
      </c>
      <c r="F4234" t="s">
        <v>35</v>
      </c>
      <c r="G4234" t="s">
        <v>36</v>
      </c>
      <c r="H4234">
        <v>1</v>
      </c>
      <c r="I4234" s="2">
        <v>15.83</v>
      </c>
      <c r="J4234" s="2">
        <v>15.83</v>
      </c>
      <c r="K4234" s="2">
        <f t="shared" si="199"/>
        <v>15.83</v>
      </c>
      <c r="L4234" s="2">
        <f t="shared" si="200"/>
        <v>0</v>
      </c>
      <c r="M4234" t="s">
        <v>15</v>
      </c>
      <c r="N4234" t="s">
        <v>26</v>
      </c>
    </row>
    <row r="4235" spans="1:14" x14ac:dyDescent="0.3">
      <c r="A4235">
        <v>2024005233</v>
      </c>
      <c r="B4235" s="1">
        <v>45431</v>
      </c>
      <c r="C4235" s="11">
        <f t="shared" si="198"/>
        <v>2024</v>
      </c>
      <c r="D4235" t="s">
        <v>177</v>
      </c>
      <c r="E4235" t="s">
        <v>18</v>
      </c>
      <c r="F4235" t="s">
        <v>19</v>
      </c>
      <c r="G4235" t="s">
        <v>14</v>
      </c>
      <c r="H4235">
        <v>1</v>
      </c>
      <c r="I4235" s="2">
        <v>618.48</v>
      </c>
      <c r="J4235" s="2">
        <v>618.48</v>
      </c>
      <c r="K4235" s="2">
        <f t="shared" si="199"/>
        <v>618.48</v>
      </c>
      <c r="L4235" s="2">
        <f t="shared" si="200"/>
        <v>0</v>
      </c>
      <c r="M4235" t="s">
        <v>55</v>
      </c>
      <c r="N4235" t="s">
        <v>21</v>
      </c>
    </row>
    <row r="4236" spans="1:14" x14ac:dyDescent="0.3">
      <c r="A4236">
        <v>2024005234</v>
      </c>
      <c r="B4236" s="1">
        <v>45320</v>
      </c>
      <c r="C4236" s="11">
        <f t="shared" si="198"/>
        <v>2024</v>
      </c>
      <c r="D4236" t="s">
        <v>84</v>
      </c>
      <c r="E4236" t="s">
        <v>46</v>
      </c>
      <c r="F4236" t="s">
        <v>47</v>
      </c>
      <c r="G4236" t="s">
        <v>36</v>
      </c>
      <c r="H4236">
        <v>1</v>
      </c>
      <c r="I4236" s="2">
        <v>101.44</v>
      </c>
      <c r="J4236" s="2">
        <v>101.44</v>
      </c>
      <c r="K4236" s="2">
        <f t="shared" si="199"/>
        <v>101.44</v>
      </c>
      <c r="L4236" s="2">
        <f t="shared" si="200"/>
        <v>0</v>
      </c>
      <c r="M4236" t="s">
        <v>31</v>
      </c>
      <c r="N4236" t="s">
        <v>26</v>
      </c>
    </row>
    <row r="4237" spans="1:14" x14ac:dyDescent="0.3">
      <c r="A4237">
        <v>2024005235</v>
      </c>
      <c r="B4237" s="1">
        <v>45354</v>
      </c>
      <c r="C4237" s="11">
        <f t="shared" si="198"/>
        <v>2024</v>
      </c>
      <c r="D4237" t="s">
        <v>300</v>
      </c>
      <c r="E4237" t="s">
        <v>46</v>
      </c>
      <c r="F4237" t="s">
        <v>47</v>
      </c>
      <c r="G4237" t="s">
        <v>36</v>
      </c>
      <c r="H4237">
        <v>3</v>
      </c>
      <c r="I4237" s="2">
        <v>84.37</v>
      </c>
      <c r="J4237" s="2">
        <v>253.11</v>
      </c>
      <c r="K4237" s="2">
        <f t="shared" si="199"/>
        <v>253.11</v>
      </c>
      <c r="L4237" s="2">
        <f t="shared" si="200"/>
        <v>0</v>
      </c>
      <c r="M4237" t="s">
        <v>15</v>
      </c>
      <c r="N4237" t="s">
        <v>21</v>
      </c>
    </row>
    <row r="4238" spans="1:14" x14ac:dyDescent="0.3">
      <c r="A4238">
        <v>2024005236</v>
      </c>
      <c r="B4238" s="1">
        <v>45386</v>
      </c>
      <c r="C4238" s="11">
        <f t="shared" si="198"/>
        <v>2024</v>
      </c>
      <c r="D4238" t="s">
        <v>182</v>
      </c>
      <c r="E4238" t="s">
        <v>18</v>
      </c>
      <c r="F4238" t="s">
        <v>19</v>
      </c>
      <c r="G4238" t="s">
        <v>14</v>
      </c>
      <c r="H4238">
        <v>3</v>
      </c>
      <c r="I4238" s="2">
        <v>618.6</v>
      </c>
      <c r="J4238" s="2">
        <v>1855.8</v>
      </c>
      <c r="K4238" s="2">
        <f t="shared" si="199"/>
        <v>1855.8000000000002</v>
      </c>
      <c r="L4238" s="2">
        <f t="shared" si="200"/>
        <v>0</v>
      </c>
      <c r="M4238" t="s">
        <v>38</v>
      </c>
      <c r="N4238" t="s">
        <v>21</v>
      </c>
    </row>
    <row r="4239" spans="1:14" x14ac:dyDescent="0.3">
      <c r="A4239">
        <v>2024005237</v>
      </c>
      <c r="B4239" s="1">
        <v>45524</v>
      </c>
      <c r="C4239" s="11">
        <f t="shared" si="198"/>
        <v>2024</v>
      </c>
      <c r="D4239" t="s">
        <v>11</v>
      </c>
      <c r="E4239" t="s">
        <v>18</v>
      </c>
      <c r="F4239" t="s">
        <v>19</v>
      </c>
      <c r="G4239" t="s">
        <v>14</v>
      </c>
      <c r="H4239">
        <v>1</v>
      </c>
      <c r="I4239" s="2">
        <v>575.6</v>
      </c>
      <c r="J4239" s="2">
        <v>575.6</v>
      </c>
      <c r="K4239" s="2">
        <f t="shared" si="199"/>
        <v>575.6</v>
      </c>
      <c r="L4239" s="2">
        <f t="shared" si="200"/>
        <v>0</v>
      </c>
      <c r="M4239" t="s">
        <v>48</v>
      </c>
      <c r="N4239" t="s">
        <v>26</v>
      </c>
    </row>
    <row r="4240" spans="1:14" x14ac:dyDescent="0.3">
      <c r="A4240">
        <v>2024005238</v>
      </c>
      <c r="B4240" s="1">
        <v>45640</v>
      </c>
      <c r="C4240" s="11">
        <f t="shared" si="198"/>
        <v>2024</v>
      </c>
      <c r="D4240" t="s">
        <v>216</v>
      </c>
      <c r="E4240" t="s">
        <v>23</v>
      </c>
      <c r="F4240" t="s">
        <v>24</v>
      </c>
      <c r="G4240" t="s">
        <v>14</v>
      </c>
      <c r="H4240">
        <v>3</v>
      </c>
      <c r="I4240" s="2">
        <v>79.55</v>
      </c>
      <c r="J4240" s="2">
        <v>238.65</v>
      </c>
      <c r="K4240" s="2">
        <f t="shared" si="199"/>
        <v>238.64999999999998</v>
      </c>
      <c r="L4240" s="2">
        <f t="shared" si="200"/>
        <v>0</v>
      </c>
      <c r="M4240" t="s">
        <v>55</v>
      </c>
      <c r="N4240" t="s">
        <v>16</v>
      </c>
    </row>
    <row r="4241" spans="1:14" x14ac:dyDescent="0.3">
      <c r="A4241">
        <v>2024005239</v>
      </c>
      <c r="B4241" s="1">
        <v>45377</v>
      </c>
      <c r="C4241" s="11">
        <f t="shared" si="198"/>
        <v>2024</v>
      </c>
      <c r="D4241" t="s">
        <v>200</v>
      </c>
      <c r="E4241" t="s">
        <v>28</v>
      </c>
      <c r="F4241" t="s">
        <v>29</v>
      </c>
      <c r="G4241" t="s">
        <v>30</v>
      </c>
      <c r="H4241">
        <v>2</v>
      </c>
      <c r="I4241" s="2">
        <v>26.19</v>
      </c>
      <c r="J4241" s="2">
        <v>52.38</v>
      </c>
      <c r="K4241" s="2">
        <f t="shared" si="199"/>
        <v>52.38</v>
      </c>
      <c r="L4241" s="2">
        <f t="shared" si="200"/>
        <v>0</v>
      </c>
      <c r="M4241" t="s">
        <v>57</v>
      </c>
      <c r="N4241" t="s">
        <v>26</v>
      </c>
    </row>
    <row r="4242" spans="1:14" x14ac:dyDescent="0.3">
      <c r="A4242">
        <v>2024005240</v>
      </c>
      <c r="B4242" s="1">
        <v>45335</v>
      </c>
      <c r="C4242" s="11">
        <f t="shared" si="198"/>
        <v>2024</v>
      </c>
      <c r="D4242" t="s">
        <v>185</v>
      </c>
      <c r="E4242" t="s">
        <v>40</v>
      </c>
      <c r="F4242" t="s">
        <v>41</v>
      </c>
      <c r="G4242" t="s">
        <v>36</v>
      </c>
      <c r="H4242">
        <v>1</v>
      </c>
      <c r="I4242" s="2">
        <v>44.83</v>
      </c>
      <c r="J4242" s="2">
        <v>44.83</v>
      </c>
      <c r="K4242" s="2">
        <f t="shared" si="199"/>
        <v>44.83</v>
      </c>
      <c r="L4242" s="2">
        <f t="shared" si="200"/>
        <v>0</v>
      </c>
      <c r="M4242" t="s">
        <v>57</v>
      </c>
      <c r="N4242" t="s">
        <v>26</v>
      </c>
    </row>
    <row r="4243" spans="1:14" x14ac:dyDescent="0.3">
      <c r="A4243">
        <v>2024005241</v>
      </c>
      <c r="B4243" s="1">
        <v>45554</v>
      </c>
      <c r="C4243" s="11">
        <f t="shared" si="198"/>
        <v>2024</v>
      </c>
      <c r="D4243" t="s">
        <v>211</v>
      </c>
      <c r="E4243" t="s">
        <v>43</v>
      </c>
      <c r="F4243" t="s">
        <v>44</v>
      </c>
      <c r="G4243" t="s">
        <v>36</v>
      </c>
      <c r="H4243">
        <v>1</v>
      </c>
      <c r="I4243" s="2">
        <v>1187.33</v>
      </c>
      <c r="J4243" s="2">
        <v>1187.33</v>
      </c>
      <c r="K4243" s="2">
        <f t="shared" si="199"/>
        <v>1187.33</v>
      </c>
      <c r="L4243" s="2">
        <f t="shared" si="200"/>
        <v>0</v>
      </c>
      <c r="M4243" t="s">
        <v>64</v>
      </c>
      <c r="N4243" t="s">
        <v>26</v>
      </c>
    </row>
    <row r="4244" spans="1:14" x14ac:dyDescent="0.3">
      <c r="A4244">
        <v>2024005242</v>
      </c>
      <c r="B4244" s="1">
        <v>45310</v>
      </c>
      <c r="C4244" s="11">
        <f t="shared" si="198"/>
        <v>2024</v>
      </c>
      <c r="D4244" t="s">
        <v>312</v>
      </c>
      <c r="E4244" t="s">
        <v>46</v>
      </c>
      <c r="F4244" t="s">
        <v>47</v>
      </c>
      <c r="G4244" t="s">
        <v>36</v>
      </c>
      <c r="H4244">
        <v>2</v>
      </c>
      <c r="I4244" s="2">
        <v>85.93</v>
      </c>
      <c r="J4244" s="2">
        <v>171.86</v>
      </c>
      <c r="K4244" s="2">
        <f t="shared" si="199"/>
        <v>171.86</v>
      </c>
      <c r="L4244" s="2">
        <f t="shared" si="200"/>
        <v>0</v>
      </c>
      <c r="M4244" t="s">
        <v>25</v>
      </c>
      <c r="N4244" t="s">
        <v>16</v>
      </c>
    </row>
    <row r="4245" spans="1:14" x14ac:dyDescent="0.3">
      <c r="A4245">
        <v>2024005243</v>
      </c>
      <c r="B4245" s="1">
        <v>45438</v>
      </c>
      <c r="C4245" s="11">
        <f t="shared" si="198"/>
        <v>2024</v>
      </c>
      <c r="D4245" t="s">
        <v>265</v>
      </c>
      <c r="E4245" t="s">
        <v>67</v>
      </c>
      <c r="F4245" t="s">
        <v>68</v>
      </c>
      <c r="G4245" t="s">
        <v>36</v>
      </c>
      <c r="H4245">
        <v>1</v>
      </c>
      <c r="I4245" s="2">
        <v>422.56</v>
      </c>
      <c r="J4245" s="2">
        <v>422.56</v>
      </c>
      <c r="K4245" s="2">
        <f t="shared" si="199"/>
        <v>422.56</v>
      </c>
      <c r="L4245" s="2">
        <f t="shared" si="200"/>
        <v>0</v>
      </c>
      <c r="M4245" t="s">
        <v>61</v>
      </c>
      <c r="N4245" t="s">
        <v>26</v>
      </c>
    </row>
    <row r="4246" spans="1:14" x14ac:dyDescent="0.3">
      <c r="A4246">
        <v>2024005244</v>
      </c>
      <c r="B4246" s="1">
        <v>45497</v>
      </c>
      <c r="C4246" s="11">
        <f t="shared" si="198"/>
        <v>2024</v>
      </c>
      <c r="D4246" t="s">
        <v>152</v>
      </c>
      <c r="E4246" t="s">
        <v>46</v>
      </c>
      <c r="F4246" t="s">
        <v>47</v>
      </c>
      <c r="G4246" t="s">
        <v>36</v>
      </c>
      <c r="H4246">
        <v>2</v>
      </c>
      <c r="I4246" s="2">
        <v>93.74</v>
      </c>
      <c r="J4246" s="2">
        <v>187.48</v>
      </c>
      <c r="K4246" s="2">
        <f t="shared" si="199"/>
        <v>187.48</v>
      </c>
      <c r="L4246" s="2">
        <f t="shared" si="200"/>
        <v>0</v>
      </c>
      <c r="M4246" t="s">
        <v>25</v>
      </c>
      <c r="N4246" t="s">
        <v>21</v>
      </c>
    </row>
    <row r="4247" spans="1:14" x14ac:dyDescent="0.3">
      <c r="A4247">
        <v>2024005245</v>
      </c>
      <c r="B4247" s="1">
        <v>45419</v>
      </c>
      <c r="C4247" s="11">
        <f t="shared" si="198"/>
        <v>2024</v>
      </c>
      <c r="D4247" t="s">
        <v>164</v>
      </c>
      <c r="E4247" t="s">
        <v>43</v>
      </c>
      <c r="F4247" t="s">
        <v>44</v>
      </c>
      <c r="G4247" t="s">
        <v>36</v>
      </c>
      <c r="H4247">
        <v>2</v>
      </c>
      <c r="I4247" s="2">
        <v>1183.7</v>
      </c>
      <c r="J4247" s="2">
        <v>2367.4</v>
      </c>
      <c r="K4247" s="2">
        <f t="shared" si="199"/>
        <v>2367.4</v>
      </c>
      <c r="L4247" s="2">
        <f t="shared" si="200"/>
        <v>0</v>
      </c>
      <c r="M4247" t="s">
        <v>15</v>
      </c>
      <c r="N4247" t="s">
        <v>21</v>
      </c>
    </row>
    <row r="4248" spans="1:14" x14ac:dyDescent="0.3">
      <c r="A4248">
        <v>2024005246</v>
      </c>
      <c r="B4248" s="1">
        <v>45302</v>
      </c>
      <c r="C4248" s="11">
        <f t="shared" si="198"/>
        <v>2024</v>
      </c>
      <c r="D4248" t="s">
        <v>275</v>
      </c>
      <c r="E4248" t="s">
        <v>23</v>
      </c>
      <c r="F4248" t="s">
        <v>24</v>
      </c>
      <c r="G4248" t="s">
        <v>14</v>
      </c>
      <c r="H4248">
        <v>1</v>
      </c>
      <c r="I4248" s="2">
        <v>78.33</v>
      </c>
      <c r="J4248" s="2">
        <v>78.33</v>
      </c>
      <c r="K4248" s="2">
        <f t="shared" si="199"/>
        <v>78.33</v>
      </c>
      <c r="L4248" s="2">
        <f t="shared" si="200"/>
        <v>0</v>
      </c>
      <c r="M4248" t="s">
        <v>31</v>
      </c>
      <c r="N4248" t="s">
        <v>16</v>
      </c>
    </row>
    <row r="4249" spans="1:14" x14ac:dyDescent="0.3">
      <c r="A4249">
        <v>2024005247</v>
      </c>
      <c r="B4249" s="1">
        <v>45381</v>
      </c>
      <c r="C4249" s="11">
        <f t="shared" si="198"/>
        <v>2024</v>
      </c>
      <c r="D4249" t="s">
        <v>135</v>
      </c>
      <c r="E4249" t="s">
        <v>23</v>
      </c>
      <c r="F4249" t="s">
        <v>24</v>
      </c>
      <c r="G4249" t="s">
        <v>14</v>
      </c>
      <c r="H4249">
        <v>1</v>
      </c>
      <c r="I4249" s="2">
        <v>78.36</v>
      </c>
      <c r="J4249" s="2">
        <v>78.36</v>
      </c>
      <c r="K4249" s="2">
        <f t="shared" si="199"/>
        <v>78.36</v>
      </c>
      <c r="L4249" s="2">
        <f t="shared" si="200"/>
        <v>0</v>
      </c>
      <c r="M4249" t="s">
        <v>15</v>
      </c>
      <c r="N4249" t="s">
        <v>16</v>
      </c>
    </row>
    <row r="4250" spans="1:14" x14ac:dyDescent="0.3">
      <c r="A4250">
        <v>2024005248</v>
      </c>
      <c r="B4250" s="1">
        <v>45409</v>
      </c>
      <c r="C4250" s="11">
        <f t="shared" si="198"/>
        <v>2024</v>
      </c>
      <c r="D4250" t="s">
        <v>109</v>
      </c>
      <c r="E4250" t="s">
        <v>12</v>
      </c>
      <c r="F4250" t="s">
        <v>13</v>
      </c>
      <c r="G4250" t="s">
        <v>14</v>
      </c>
      <c r="H4250">
        <v>3</v>
      </c>
      <c r="I4250" s="2">
        <v>373.63</v>
      </c>
      <c r="J4250" s="2">
        <v>1120.8900000000001</v>
      </c>
      <c r="K4250" s="2">
        <f t="shared" si="199"/>
        <v>1120.8899999999999</v>
      </c>
      <c r="L4250" s="2">
        <f t="shared" si="200"/>
        <v>0</v>
      </c>
      <c r="M4250" t="s">
        <v>25</v>
      </c>
      <c r="N4250" t="s">
        <v>32</v>
      </c>
    </row>
    <row r="4251" spans="1:14" x14ac:dyDescent="0.3">
      <c r="A4251">
        <v>2024005249</v>
      </c>
      <c r="B4251" s="1">
        <v>45463</v>
      </c>
      <c r="C4251" s="11">
        <f t="shared" si="198"/>
        <v>2024</v>
      </c>
      <c r="D4251" t="s">
        <v>161</v>
      </c>
      <c r="E4251" t="s">
        <v>67</v>
      </c>
      <c r="F4251" t="s">
        <v>68</v>
      </c>
      <c r="G4251" t="s">
        <v>36</v>
      </c>
      <c r="H4251">
        <v>3</v>
      </c>
      <c r="I4251" s="2">
        <v>388.61</v>
      </c>
      <c r="J4251" s="2">
        <v>1165.83</v>
      </c>
      <c r="K4251" s="2">
        <f t="shared" si="199"/>
        <v>1165.83</v>
      </c>
      <c r="L4251" s="2">
        <f t="shared" si="200"/>
        <v>0</v>
      </c>
      <c r="M4251" t="s">
        <v>20</v>
      </c>
      <c r="N4251" t="s">
        <v>16</v>
      </c>
    </row>
    <row r="4252" spans="1:14" x14ac:dyDescent="0.3">
      <c r="A4252">
        <v>2024005250</v>
      </c>
      <c r="B4252" s="1">
        <v>45523</v>
      </c>
      <c r="C4252" s="11">
        <f t="shared" si="198"/>
        <v>2024</v>
      </c>
      <c r="D4252" t="s">
        <v>94</v>
      </c>
      <c r="E4252" t="s">
        <v>18</v>
      </c>
      <c r="F4252" t="s">
        <v>19</v>
      </c>
      <c r="G4252" t="s">
        <v>14</v>
      </c>
      <c r="H4252">
        <v>2</v>
      </c>
      <c r="I4252" s="2">
        <v>583.95000000000005</v>
      </c>
      <c r="J4252" s="2">
        <v>1167.9000000000001</v>
      </c>
      <c r="K4252" s="2">
        <f t="shared" si="199"/>
        <v>1167.9000000000001</v>
      </c>
      <c r="L4252" s="2">
        <f t="shared" si="200"/>
        <v>0</v>
      </c>
      <c r="M4252" t="s">
        <v>25</v>
      </c>
      <c r="N4252" t="s">
        <v>16</v>
      </c>
    </row>
    <row r="4253" spans="1:14" x14ac:dyDescent="0.3">
      <c r="A4253">
        <v>2024005251</v>
      </c>
      <c r="B4253" s="1">
        <v>45561</v>
      </c>
      <c r="C4253" s="11">
        <f t="shared" si="198"/>
        <v>2024</v>
      </c>
      <c r="D4253" t="s">
        <v>261</v>
      </c>
      <c r="E4253" t="s">
        <v>46</v>
      </c>
      <c r="F4253" t="s">
        <v>47</v>
      </c>
      <c r="G4253" t="s">
        <v>36</v>
      </c>
      <c r="H4253">
        <v>2</v>
      </c>
      <c r="I4253" s="2">
        <v>82.57</v>
      </c>
      <c r="J4253" s="2">
        <v>165.14</v>
      </c>
      <c r="K4253" s="2">
        <f t="shared" si="199"/>
        <v>165.14</v>
      </c>
      <c r="L4253" s="2">
        <f t="shared" si="200"/>
        <v>0</v>
      </c>
      <c r="M4253" t="s">
        <v>20</v>
      </c>
      <c r="N4253" t="s">
        <v>32</v>
      </c>
    </row>
    <row r="4254" spans="1:14" x14ac:dyDescent="0.3">
      <c r="A4254">
        <v>2024005252</v>
      </c>
      <c r="B4254" s="1">
        <v>45598</v>
      </c>
      <c r="C4254" s="11">
        <f t="shared" si="198"/>
        <v>2024</v>
      </c>
      <c r="D4254" t="s">
        <v>137</v>
      </c>
      <c r="E4254" t="s">
        <v>67</v>
      </c>
      <c r="F4254" t="s">
        <v>68</v>
      </c>
      <c r="G4254" t="s">
        <v>36</v>
      </c>
      <c r="H4254">
        <v>4</v>
      </c>
      <c r="I4254" s="2">
        <v>394.58</v>
      </c>
      <c r="J4254" s="2">
        <v>1578.32</v>
      </c>
      <c r="K4254" s="2">
        <f t="shared" si="199"/>
        <v>1578.32</v>
      </c>
      <c r="L4254" s="2">
        <f t="shared" si="200"/>
        <v>0</v>
      </c>
      <c r="M4254" t="s">
        <v>20</v>
      </c>
      <c r="N4254" t="s">
        <v>16</v>
      </c>
    </row>
    <row r="4255" spans="1:14" x14ac:dyDescent="0.3">
      <c r="A4255">
        <v>2024005253</v>
      </c>
      <c r="B4255" s="1">
        <v>45440</v>
      </c>
      <c r="C4255" s="11">
        <f t="shared" si="198"/>
        <v>2024</v>
      </c>
      <c r="D4255" t="s">
        <v>336</v>
      </c>
      <c r="E4255" t="s">
        <v>34</v>
      </c>
      <c r="F4255" t="s">
        <v>35</v>
      </c>
      <c r="G4255" t="s">
        <v>36</v>
      </c>
      <c r="H4255">
        <v>1</v>
      </c>
      <c r="I4255" s="2">
        <v>16.04</v>
      </c>
      <c r="J4255" s="2">
        <v>16.04</v>
      </c>
      <c r="K4255" s="2">
        <f t="shared" si="199"/>
        <v>16.04</v>
      </c>
      <c r="L4255" s="2">
        <f t="shared" si="200"/>
        <v>0</v>
      </c>
      <c r="M4255" t="s">
        <v>64</v>
      </c>
      <c r="N4255" t="s">
        <v>32</v>
      </c>
    </row>
    <row r="4256" spans="1:14" x14ac:dyDescent="0.3">
      <c r="A4256">
        <v>2024005254</v>
      </c>
      <c r="B4256" s="1">
        <v>45608</v>
      </c>
      <c r="C4256" s="11">
        <f t="shared" si="198"/>
        <v>2024</v>
      </c>
      <c r="D4256" t="s">
        <v>188</v>
      </c>
      <c r="E4256" t="s">
        <v>28</v>
      </c>
      <c r="F4256" t="s">
        <v>29</v>
      </c>
      <c r="G4256" t="s">
        <v>30</v>
      </c>
      <c r="H4256">
        <v>1</v>
      </c>
      <c r="I4256" s="2">
        <v>26.48</v>
      </c>
      <c r="J4256" s="2">
        <v>26.48</v>
      </c>
      <c r="K4256" s="2">
        <f t="shared" si="199"/>
        <v>26.48</v>
      </c>
      <c r="L4256" s="2">
        <f t="shared" si="200"/>
        <v>0</v>
      </c>
      <c r="M4256" t="s">
        <v>55</v>
      </c>
      <c r="N4256" t="s">
        <v>16</v>
      </c>
    </row>
    <row r="4257" spans="1:14" x14ac:dyDescent="0.3">
      <c r="A4257">
        <v>2024005255</v>
      </c>
      <c r="B4257" s="1">
        <v>45541</v>
      </c>
      <c r="C4257" s="11">
        <f t="shared" si="198"/>
        <v>2024</v>
      </c>
      <c r="D4257" t="s">
        <v>11</v>
      </c>
      <c r="E4257" t="s">
        <v>67</v>
      </c>
      <c r="F4257" t="s">
        <v>68</v>
      </c>
      <c r="G4257" t="s">
        <v>36</v>
      </c>
      <c r="H4257">
        <v>1</v>
      </c>
      <c r="I4257" s="2">
        <v>426.9</v>
      </c>
      <c r="J4257" s="2">
        <v>426.9</v>
      </c>
      <c r="K4257" s="2">
        <f t="shared" si="199"/>
        <v>426.9</v>
      </c>
      <c r="L4257" s="2">
        <f t="shared" si="200"/>
        <v>0</v>
      </c>
      <c r="M4257" t="s">
        <v>64</v>
      </c>
      <c r="N4257" t="s">
        <v>16</v>
      </c>
    </row>
    <row r="4258" spans="1:14" x14ac:dyDescent="0.3">
      <c r="A4258">
        <v>2024005256</v>
      </c>
      <c r="B4258" s="1">
        <v>45395</v>
      </c>
      <c r="C4258" s="11">
        <f t="shared" si="198"/>
        <v>2024</v>
      </c>
      <c r="D4258" t="s">
        <v>198</v>
      </c>
      <c r="E4258" t="s">
        <v>12</v>
      </c>
      <c r="F4258" t="s">
        <v>13</v>
      </c>
      <c r="G4258" t="s">
        <v>14</v>
      </c>
      <c r="H4258">
        <v>1</v>
      </c>
      <c r="I4258" s="2">
        <v>366.21</v>
      </c>
      <c r="J4258" s="2">
        <v>366.21</v>
      </c>
      <c r="K4258" s="2">
        <f t="shared" si="199"/>
        <v>366.21</v>
      </c>
      <c r="L4258" s="2">
        <f t="shared" si="200"/>
        <v>0</v>
      </c>
      <c r="M4258" t="s">
        <v>57</v>
      </c>
      <c r="N4258" t="s">
        <v>32</v>
      </c>
    </row>
    <row r="4259" spans="1:14" x14ac:dyDescent="0.3">
      <c r="A4259">
        <v>2024005257</v>
      </c>
      <c r="B4259" s="1">
        <v>45361</v>
      </c>
      <c r="C4259" s="11">
        <f t="shared" si="198"/>
        <v>2024</v>
      </c>
      <c r="D4259" t="s">
        <v>218</v>
      </c>
      <c r="E4259" t="s">
        <v>53</v>
      </c>
      <c r="F4259" t="s">
        <v>54</v>
      </c>
      <c r="G4259" t="s">
        <v>36</v>
      </c>
      <c r="H4259">
        <v>2</v>
      </c>
      <c r="I4259" s="2">
        <v>125.72</v>
      </c>
      <c r="J4259" s="2">
        <v>251.44</v>
      </c>
      <c r="K4259" s="2">
        <f t="shared" si="199"/>
        <v>251.44</v>
      </c>
      <c r="L4259" s="2">
        <f t="shared" si="200"/>
        <v>0</v>
      </c>
      <c r="M4259" t="s">
        <v>61</v>
      </c>
      <c r="N4259" t="s">
        <v>26</v>
      </c>
    </row>
    <row r="4260" spans="1:14" x14ac:dyDescent="0.3">
      <c r="A4260">
        <v>2024005258</v>
      </c>
      <c r="B4260" s="1">
        <v>45307</v>
      </c>
      <c r="C4260" s="11">
        <f t="shared" si="198"/>
        <v>2024</v>
      </c>
      <c r="D4260" t="s">
        <v>265</v>
      </c>
      <c r="E4260" t="s">
        <v>43</v>
      </c>
      <c r="F4260" t="s">
        <v>44</v>
      </c>
      <c r="G4260" t="s">
        <v>36</v>
      </c>
      <c r="H4260">
        <v>3</v>
      </c>
      <c r="I4260" s="2">
        <v>1197.7</v>
      </c>
      <c r="J4260" s="2">
        <v>3593.1</v>
      </c>
      <c r="K4260" s="2">
        <f t="shared" si="199"/>
        <v>3593.1000000000004</v>
      </c>
      <c r="L4260" s="2">
        <f t="shared" si="200"/>
        <v>0</v>
      </c>
      <c r="M4260" t="s">
        <v>25</v>
      </c>
      <c r="N4260" t="s">
        <v>16</v>
      </c>
    </row>
    <row r="4261" spans="1:14" x14ac:dyDescent="0.3">
      <c r="A4261">
        <v>2024005259</v>
      </c>
      <c r="B4261" s="1">
        <v>45328</v>
      </c>
      <c r="C4261" s="11">
        <f t="shared" si="198"/>
        <v>2024</v>
      </c>
      <c r="D4261" t="s">
        <v>286</v>
      </c>
      <c r="E4261" t="s">
        <v>67</v>
      </c>
      <c r="F4261" t="s">
        <v>68</v>
      </c>
      <c r="G4261" t="s">
        <v>36</v>
      </c>
      <c r="H4261">
        <v>4</v>
      </c>
      <c r="I4261" s="2">
        <v>391.28</v>
      </c>
      <c r="J4261" s="2">
        <v>1565.12</v>
      </c>
      <c r="K4261" s="2">
        <f t="shared" si="199"/>
        <v>1565.12</v>
      </c>
      <c r="L4261" s="2">
        <f t="shared" si="200"/>
        <v>0</v>
      </c>
      <c r="M4261" t="s">
        <v>55</v>
      </c>
      <c r="N4261" t="s">
        <v>16</v>
      </c>
    </row>
    <row r="4262" spans="1:14" x14ac:dyDescent="0.3">
      <c r="A4262">
        <v>2024005260</v>
      </c>
      <c r="B4262" s="1">
        <v>45385</v>
      </c>
      <c r="C4262" s="11">
        <f t="shared" si="198"/>
        <v>2024</v>
      </c>
      <c r="D4262" t="s">
        <v>231</v>
      </c>
      <c r="E4262" t="s">
        <v>12</v>
      </c>
      <c r="F4262" t="s">
        <v>13</v>
      </c>
      <c r="G4262" t="s">
        <v>14</v>
      </c>
      <c r="H4262">
        <v>1</v>
      </c>
      <c r="I4262" s="2">
        <v>338.56</v>
      </c>
      <c r="J4262" s="2">
        <v>338.56</v>
      </c>
      <c r="K4262" s="2">
        <f t="shared" si="199"/>
        <v>338.56</v>
      </c>
      <c r="L4262" s="2">
        <f t="shared" si="200"/>
        <v>0</v>
      </c>
      <c r="M4262" t="s">
        <v>55</v>
      </c>
      <c r="N4262" t="s">
        <v>16</v>
      </c>
    </row>
    <row r="4263" spans="1:14" x14ac:dyDescent="0.3">
      <c r="A4263">
        <v>2024005261</v>
      </c>
      <c r="B4263" s="1">
        <v>45373</v>
      </c>
      <c r="C4263" s="11">
        <f t="shared" si="198"/>
        <v>2024</v>
      </c>
      <c r="D4263" t="s">
        <v>196</v>
      </c>
      <c r="E4263" t="s">
        <v>34</v>
      </c>
      <c r="F4263" t="s">
        <v>35</v>
      </c>
      <c r="G4263" t="s">
        <v>36</v>
      </c>
      <c r="H4263">
        <v>5</v>
      </c>
      <c r="I4263" s="2">
        <v>16.11</v>
      </c>
      <c r="J4263" s="2">
        <v>80.55</v>
      </c>
      <c r="K4263" s="2">
        <f t="shared" si="199"/>
        <v>80.55</v>
      </c>
      <c r="L4263" s="2">
        <f t="shared" si="200"/>
        <v>0</v>
      </c>
      <c r="M4263" t="s">
        <v>38</v>
      </c>
      <c r="N4263" t="s">
        <v>32</v>
      </c>
    </row>
    <row r="4264" spans="1:14" x14ac:dyDescent="0.3">
      <c r="A4264">
        <v>2024005262</v>
      </c>
      <c r="B4264" s="1">
        <v>45500</v>
      </c>
      <c r="C4264" s="11">
        <f t="shared" si="198"/>
        <v>2024</v>
      </c>
      <c r="D4264" t="s">
        <v>89</v>
      </c>
      <c r="E4264" t="s">
        <v>18</v>
      </c>
      <c r="F4264" t="s">
        <v>19</v>
      </c>
      <c r="G4264" t="s">
        <v>14</v>
      </c>
      <c r="H4264">
        <v>3</v>
      </c>
      <c r="I4264" s="2">
        <v>605.84</v>
      </c>
      <c r="J4264" s="2">
        <v>1817.52</v>
      </c>
      <c r="K4264" s="2">
        <f t="shared" si="199"/>
        <v>1817.52</v>
      </c>
      <c r="L4264" s="2">
        <f t="shared" si="200"/>
        <v>0</v>
      </c>
      <c r="M4264" t="s">
        <v>38</v>
      </c>
      <c r="N4264" t="s">
        <v>26</v>
      </c>
    </row>
    <row r="4265" spans="1:14" x14ac:dyDescent="0.3">
      <c r="A4265">
        <v>2024005263</v>
      </c>
      <c r="B4265" s="1">
        <v>45528</v>
      </c>
      <c r="C4265" s="11">
        <f t="shared" si="198"/>
        <v>2024</v>
      </c>
      <c r="D4265" t="s">
        <v>236</v>
      </c>
      <c r="E4265" t="s">
        <v>18</v>
      </c>
      <c r="F4265" t="s">
        <v>19</v>
      </c>
      <c r="G4265" t="s">
        <v>14</v>
      </c>
      <c r="H4265">
        <v>2</v>
      </c>
      <c r="I4265" s="2">
        <v>599.53</v>
      </c>
      <c r="J4265" s="2">
        <v>1199.06</v>
      </c>
      <c r="K4265" s="2">
        <f t="shared" si="199"/>
        <v>1199.06</v>
      </c>
      <c r="L4265" s="2">
        <f t="shared" si="200"/>
        <v>0</v>
      </c>
      <c r="M4265" t="s">
        <v>15</v>
      </c>
      <c r="N4265" t="s">
        <v>16</v>
      </c>
    </row>
    <row r="4266" spans="1:14" x14ac:dyDescent="0.3">
      <c r="A4266">
        <v>2024005264</v>
      </c>
      <c r="B4266" s="1">
        <v>45512</v>
      </c>
      <c r="C4266" s="11">
        <f t="shared" si="198"/>
        <v>2024</v>
      </c>
      <c r="D4266" t="s">
        <v>202</v>
      </c>
      <c r="E4266" t="s">
        <v>34</v>
      </c>
      <c r="F4266" t="s">
        <v>35</v>
      </c>
      <c r="G4266" t="s">
        <v>36</v>
      </c>
      <c r="H4266">
        <v>2</v>
      </c>
      <c r="I4266" s="2">
        <v>14.39</v>
      </c>
      <c r="J4266" s="2">
        <v>28.78</v>
      </c>
      <c r="K4266" s="2">
        <f t="shared" si="199"/>
        <v>28.78</v>
      </c>
      <c r="L4266" s="2">
        <f t="shared" si="200"/>
        <v>0</v>
      </c>
      <c r="M4266" t="s">
        <v>48</v>
      </c>
      <c r="N4266" t="s">
        <v>21</v>
      </c>
    </row>
    <row r="4267" spans="1:14" x14ac:dyDescent="0.3">
      <c r="A4267">
        <v>2024005265</v>
      </c>
      <c r="B4267" s="1">
        <v>45294</v>
      </c>
      <c r="C4267" s="11">
        <f t="shared" si="198"/>
        <v>2024</v>
      </c>
      <c r="D4267" t="s">
        <v>222</v>
      </c>
      <c r="E4267" t="s">
        <v>28</v>
      </c>
      <c r="F4267" t="s">
        <v>29</v>
      </c>
      <c r="G4267" t="s">
        <v>30</v>
      </c>
      <c r="H4267">
        <v>1</v>
      </c>
      <c r="I4267" s="2">
        <v>24.19</v>
      </c>
      <c r="J4267" s="2">
        <v>24.19</v>
      </c>
      <c r="K4267" s="2">
        <f t="shared" si="199"/>
        <v>24.19</v>
      </c>
      <c r="L4267" s="2">
        <f t="shared" si="200"/>
        <v>0</v>
      </c>
      <c r="M4267" t="s">
        <v>15</v>
      </c>
      <c r="N4267" t="s">
        <v>26</v>
      </c>
    </row>
    <row r="4268" spans="1:14" x14ac:dyDescent="0.3">
      <c r="A4268">
        <v>2024005266</v>
      </c>
      <c r="B4268" s="1">
        <v>45624</v>
      </c>
      <c r="C4268" s="11">
        <f t="shared" si="198"/>
        <v>2024</v>
      </c>
      <c r="D4268" t="s">
        <v>167</v>
      </c>
      <c r="E4268" t="s">
        <v>67</v>
      </c>
      <c r="F4268" t="s">
        <v>68</v>
      </c>
      <c r="G4268" t="s">
        <v>36</v>
      </c>
      <c r="H4268">
        <v>3</v>
      </c>
      <c r="I4268" s="2">
        <v>411.21</v>
      </c>
      <c r="J4268" s="2">
        <v>1233.6300000000001</v>
      </c>
      <c r="K4268" s="2">
        <f t="shared" si="199"/>
        <v>1233.6299999999999</v>
      </c>
      <c r="L4268" s="2">
        <f t="shared" si="200"/>
        <v>0</v>
      </c>
      <c r="M4268" t="s">
        <v>25</v>
      </c>
      <c r="N4268" t="s">
        <v>26</v>
      </c>
    </row>
    <row r="4269" spans="1:14" x14ac:dyDescent="0.3">
      <c r="A4269">
        <v>2024005267</v>
      </c>
      <c r="B4269" s="1">
        <v>45310</v>
      </c>
      <c r="C4269" s="11">
        <f t="shared" si="198"/>
        <v>2024</v>
      </c>
      <c r="D4269" t="s">
        <v>11</v>
      </c>
      <c r="E4269" t="s">
        <v>18</v>
      </c>
      <c r="F4269" t="s">
        <v>19</v>
      </c>
      <c r="G4269" t="s">
        <v>14</v>
      </c>
      <c r="H4269">
        <v>1</v>
      </c>
      <c r="I4269" s="2">
        <v>571.37</v>
      </c>
      <c r="J4269" s="2">
        <v>571.37</v>
      </c>
      <c r="K4269" s="2">
        <f t="shared" si="199"/>
        <v>571.37</v>
      </c>
      <c r="L4269" s="2">
        <f t="shared" si="200"/>
        <v>0</v>
      </c>
      <c r="M4269" t="s">
        <v>20</v>
      </c>
      <c r="N4269" t="s">
        <v>16</v>
      </c>
    </row>
    <row r="4270" spans="1:14" x14ac:dyDescent="0.3">
      <c r="A4270">
        <v>2024005268</v>
      </c>
      <c r="B4270" s="1">
        <v>45657</v>
      </c>
      <c r="C4270" s="11">
        <f t="shared" si="198"/>
        <v>2024</v>
      </c>
      <c r="D4270" t="s">
        <v>11</v>
      </c>
      <c r="E4270" t="s">
        <v>43</v>
      </c>
      <c r="F4270" t="s">
        <v>44</v>
      </c>
      <c r="G4270" t="s">
        <v>36</v>
      </c>
      <c r="H4270">
        <v>1</v>
      </c>
      <c r="I4270" s="2">
        <v>1203.8499999999999</v>
      </c>
      <c r="J4270" s="2">
        <v>1203.8499999999999</v>
      </c>
      <c r="K4270" s="2">
        <f t="shared" si="199"/>
        <v>1203.8499999999999</v>
      </c>
      <c r="L4270" s="2">
        <f t="shared" si="200"/>
        <v>0</v>
      </c>
      <c r="M4270" t="s">
        <v>31</v>
      </c>
      <c r="N4270" t="s">
        <v>16</v>
      </c>
    </row>
    <row r="4271" spans="1:14" x14ac:dyDescent="0.3">
      <c r="A4271">
        <v>2024005269</v>
      </c>
      <c r="B4271" s="1">
        <v>45507</v>
      </c>
      <c r="C4271" s="11">
        <f t="shared" si="198"/>
        <v>2024</v>
      </c>
      <c r="D4271" t="s">
        <v>56</v>
      </c>
      <c r="E4271" t="s">
        <v>40</v>
      </c>
      <c r="F4271" t="s">
        <v>41</v>
      </c>
      <c r="G4271" t="s">
        <v>36</v>
      </c>
      <c r="H4271">
        <v>1</v>
      </c>
      <c r="I4271" s="2">
        <v>44.67</v>
      </c>
      <c r="J4271" s="2">
        <v>44.67</v>
      </c>
      <c r="K4271" s="2">
        <f t="shared" si="199"/>
        <v>44.67</v>
      </c>
      <c r="L4271" s="2">
        <f t="shared" si="200"/>
        <v>0</v>
      </c>
      <c r="M4271" t="s">
        <v>25</v>
      </c>
      <c r="N4271" t="s">
        <v>16</v>
      </c>
    </row>
    <row r="4272" spans="1:14" x14ac:dyDescent="0.3">
      <c r="A4272">
        <v>2024005270</v>
      </c>
      <c r="B4272" s="1">
        <v>45386</v>
      </c>
      <c r="C4272" s="11">
        <f t="shared" si="198"/>
        <v>2024</v>
      </c>
      <c r="D4272" t="s">
        <v>123</v>
      </c>
      <c r="E4272" t="s">
        <v>43</v>
      </c>
      <c r="F4272" t="s">
        <v>44</v>
      </c>
      <c r="G4272" t="s">
        <v>36</v>
      </c>
      <c r="H4272">
        <v>1</v>
      </c>
      <c r="I4272" s="2">
        <v>1174.0899999999999</v>
      </c>
      <c r="J4272" s="2">
        <v>1174.0899999999999</v>
      </c>
      <c r="K4272" s="2">
        <f t="shared" si="199"/>
        <v>1174.0899999999999</v>
      </c>
      <c r="L4272" s="2">
        <f t="shared" si="200"/>
        <v>0</v>
      </c>
      <c r="M4272" t="s">
        <v>38</v>
      </c>
      <c r="N4272" t="s">
        <v>16</v>
      </c>
    </row>
    <row r="4273" spans="1:14" x14ac:dyDescent="0.3">
      <c r="A4273">
        <v>2024005271</v>
      </c>
      <c r="B4273" s="1">
        <v>45420</v>
      </c>
      <c r="C4273" s="11">
        <f t="shared" si="198"/>
        <v>2024</v>
      </c>
      <c r="D4273" t="s">
        <v>75</v>
      </c>
      <c r="E4273" t="s">
        <v>12</v>
      </c>
      <c r="F4273" t="s">
        <v>13</v>
      </c>
      <c r="G4273" t="s">
        <v>14</v>
      </c>
      <c r="H4273">
        <v>3</v>
      </c>
      <c r="I4273" s="2">
        <v>320.89</v>
      </c>
      <c r="J4273" s="2">
        <v>962.67</v>
      </c>
      <c r="K4273" s="2">
        <f t="shared" si="199"/>
        <v>962.67</v>
      </c>
      <c r="L4273" s="2">
        <f t="shared" si="200"/>
        <v>0</v>
      </c>
      <c r="M4273" t="s">
        <v>25</v>
      </c>
      <c r="N4273" t="s">
        <v>16</v>
      </c>
    </row>
    <row r="4274" spans="1:14" x14ac:dyDescent="0.3">
      <c r="A4274">
        <v>2024005272</v>
      </c>
      <c r="B4274" s="1">
        <v>45333</v>
      </c>
      <c r="C4274" s="11">
        <f t="shared" si="198"/>
        <v>2024</v>
      </c>
      <c r="D4274" t="s">
        <v>202</v>
      </c>
      <c r="E4274" t="s">
        <v>23</v>
      </c>
      <c r="F4274" t="s">
        <v>24</v>
      </c>
      <c r="G4274" t="s">
        <v>14</v>
      </c>
      <c r="H4274">
        <v>1</v>
      </c>
      <c r="I4274" s="2">
        <v>83.4</v>
      </c>
      <c r="J4274" s="2">
        <v>83.4</v>
      </c>
      <c r="K4274" s="2">
        <f t="shared" si="199"/>
        <v>83.4</v>
      </c>
      <c r="L4274" s="2">
        <f t="shared" si="200"/>
        <v>0</v>
      </c>
      <c r="M4274" t="s">
        <v>31</v>
      </c>
      <c r="N4274" t="s">
        <v>16</v>
      </c>
    </row>
    <row r="4275" spans="1:14" x14ac:dyDescent="0.3">
      <c r="A4275">
        <v>2024005273</v>
      </c>
      <c r="B4275" s="1">
        <v>45301</v>
      </c>
      <c r="C4275" s="11">
        <f t="shared" si="198"/>
        <v>2024</v>
      </c>
      <c r="D4275" t="s">
        <v>137</v>
      </c>
      <c r="E4275" t="s">
        <v>53</v>
      </c>
      <c r="F4275" t="s">
        <v>54</v>
      </c>
      <c r="G4275" t="s">
        <v>36</v>
      </c>
      <c r="H4275">
        <v>1</v>
      </c>
      <c r="I4275" s="2">
        <v>122.38</v>
      </c>
      <c r="J4275" s="2">
        <v>122.38</v>
      </c>
      <c r="K4275" s="2">
        <f t="shared" si="199"/>
        <v>122.38</v>
      </c>
      <c r="L4275" s="2">
        <f t="shared" si="200"/>
        <v>0</v>
      </c>
      <c r="M4275" t="s">
        <v>15</v>
      </c>
      <c r="N4275" t="s">
        <v>21</v>
      </c>
    </row>
    <row r="4276" spans="1:14" x14ac:dyDescent="0.3">
      <c r="A4276">
        <v>2024005274</v>
      </c>
      <c r="B4276" s="1">
        <v>45401</v>
      </c>
      <c r="C4276" s="11">
        <f t="shared" si="198"/>
        <v>2024</v>
      </c>
      <c r="D4276" t="s">
        <v>336</v>
      </c>
      <c r="E4276" t="s">
        <v>43</v>
      </c>
      <c r="F4276" t="s">
        <v>44</v>
      </c>
      <c r="G4276" t="s">
        <v>36</v>
      </c>
      <c r="H4276">
        <v>1</v>
      </c>
      <c r="I4276" s="2">
        <v>1103.21</v>
      </c>
      <c r="J4276" s="2">
        <v>1103.21</v>
      </c>
      <c r="K4276" s="2">
        <f t="shared" si="199"/>
        <v>1103.21</v>
      </c>
      <c r="L4276" s="2">
        <f t="shared" si="200"/>
        <v>0</v>
      </c>
      <c r="M4276" t="s">
        <v>57</v>
      </c>
      <c r="N4276" t="s">
        <v>21</v>
      </c>
    </row>
    <row r="4277" spans="1:14" x14ac:dyDescent="0.3">
      <c r="A4277">
        <v>2024005275</v>
      </c>
      <c r="B4277" s="1">
        <v>45334</v>
      </c>
      <c r="C4277" s="11">
        <f t="shared" si="198"/>
        <v>2024</v>
      </c>
      <c r="D4277" t="s">
        <v>154</v>
      </c>
      <c r="E4277" t="s">
        <v>23</v>
      </c>
      <c r="F4277" t="s">
        <v>24</v>
      </c>
      <c r="G4277" t="s">
        <v>14</v>
      </c>
      <c r="H4277">
        <v>2</v>
      </c>
      <c r="I4277" s="2">
        <v>82.48</v>
      </c>
      <c r="J4277" s="2">
        <v>164.96</v>
      </c>
      <c r="K4277" s="2">
        <f t="shared" si="199"/>
        <v>164.96</v>
      </c>
      <c r="L4277" s="2">
        <f t="shared" si="200"/>
        <v>0</v>
      </c>
      <c r="M4277" t="s">
        <v>57</v>
      </c>
      <c r="N4277" t="s">
        <v>26</v>
      </c>
    </row>
    <row r="4278" spans="1:14" x14ac:dyDescent="0.3">
      <c r="A4278">
        <v>2024005276</v>
      </c>
      <c r="B4278" s="1">
        <v>45466</v>
      </c>
      <c r="C4278" s="11">
        <f t="shared" si="198"/>
        <v>2024</v>
      </c>
      <c r="D4278" t="s">
        <v>318</v>
      </c>
      <c r="E4278" t="s">
        <v>12</v>
      </c>
      <c r="F4278" t="s">
        <v>13</v>
      </c>
      <c r="G4278" t="s">
        <v>14</v>
      </c>
      <c r="H4278">
        <v>1</v>
      </c>
      <c r="I4278" s="2">
        <v>351.79</v>
      </c>
      <c r="J4278" s="2">
        <v>351.79</v>
      </c>
      <c r="K4278" s="2">
        <f t="shared" si="199"/>
        <v>351.79</v>
      </c>
      <c r="L4278" s="2">
        <f t="shared" si="200"/>
        <v>0</v>
      </c>
      <c r="M4278" t="s">
        <v>55</v>
      </c>
      <c r="N4278" t="s">
        <v>26</v>
      </c>
    </row>
    <row r="4279" spans="1:14" x14ac:dyDescent="0.3">
      <c r="A4279">
        <v>2024005277</v>
      </c>
      <c r="B4279" s="1">
        <v>45295</v>
      </c>
      <c r="C4279" s="11">
        <f t="shared" si="198"/>
        <v>2024</v>
      </c>
      <c r="D4279" t="s">
        <v>193</v>
      </c>
      <c r="E4279" t="s">
        <v>23</v>
      </c>
      <c r="F4279" t="s">
        <v>24</v>
      </c>
      <c r="G4279" t="s">
        <v>14</v>
      </c>
      <c r="H4279">
        <v>1</v>
      </c>
      <c r="I4279" s="2">
        <v>76.23</v>
      </c>
      <c r="J4279" s="2">
        <v>76.23</v>
      </c>
      <c r="K4279" s="2">
        <f t="shared" si="199"/>
        <v>76.23</v>
      </c>
      <c r="L4279" s="2">
        <f t="shared" si="200"/>
        <v>0</v>
      </c>
      <c r="M4279" t="s">
        <v>25</v>
      </c>
      <c r="N4279" t="s">
        <v>21</v>
      </c>
    </row>
    <row r="4280" spans="1:14" x14ac:dyDescent="0.3">
      <c r="A4280">
        <v>2024005278</v>
      </c>
      <c r="B4280" s="1">
        <v>45616</v>
      </c>
      <c r="C4280" s="11">
        <f t="shared" si="198"/>
        <v>2024</v>
      </c>
      <c r="D4280" t="s">
        <v>115</v>
      </c>
      <c r="E4280" t="s">
        <v>67</v>
      </c>
      <c r="F4280" t="s">
        <v>68</v>
      </c>
      <c r="G4280" t="s">
        <v>36</v>
      </c>
      <c r="H4280">
        <v>1</v>
      </c>
      <c r="I4280" s="2">
        <v>376.67</v>
      </c>
      <c r="J4280" s="2">
        <v>376.67</v>
      </c>
      <c r="K4280" s="2">
        <f t="shared" si="199"/>
        <v>376.67</v>
      </c>
      <c r="L4280" s="2">
        <f t="shared" si="200"/>
        <v>0</v>
      </c>
      <c r="M4280" t="s">
        <v>55</v>
      </c>
      <c r="N4280" t="s">
        <v>16</v>
      </c>
    </row>
    <row r="4281" spans="1:14" x14ac:dyDescent="0.3">
      <c r="A4281">
        <v>2024005279</v>
      </c>
      <c r="B4281" s="1">
        <v>45403</v>
      </c>
      <c r="C4281" s="11">
        <f t="shared" si="198"/>
        <v>2024</v>
      </c>
      <c r="D4281" t="s">
        <v>186</v>
      </c>
      <c r="E4281" t="s">
        <v>43</v>
      </c>
      <c r="F4281" t="s">
        <v>44</v>
      </c>
      <c r="G4281" t="s">
        <v>36</v>
      </c>
      <c r="H4281">
        <v>1</v>
      </c>
      <c r="I4281" s="2">
        <v>1160.25</v>
      </c>
      <c r="J4281" s="2">
        <v>1160.25</v>
      </c>
      <c r="K4281" s="2">
        <f t="shared" si="199"/>
        <v>1160.25</v>
      </c>
      <c r="L4281" s="2">
        <f t="shared" si="200"/>
        <v>0</v>
      </c>
      <c r="M4281" t="s">
        <v>31</v>
      </c>
      <c r="N4281" t="s">
        <v>32</v>
      </c>
    </row>
    <row r="4282" spans="1:14" x14ac:dyDescent="0.3">
      <c r="A4282">
        <v>2024005280</v>
      </c>
      <c r="B4282" s="1">
        <v>45365</v>
      </c>
      <c r="C4282" s="11">
        <f t="shared" si="198"/>
        <v>2024</v>
      </c>
      <c r="D4282" t="s">
        <v>184</v>
      </c>
      <c r="E4282" t="s">
        <v>28</v>
      </c>
      <c r="F4282" t="s">
        <v>29</v>
      </c>
      <c r="G4282" t="s">
        <v>30</v>
      </c>
      <c r="H4282">
        <v>3</v>
      </c>
      <c r="I4282" s="2">
        <v>26.17</v>
      </c>
      <c r="J4282" s="2">
        <v>78.510000000000005</v>
      </c>
      <c r="K4282" s="2">
        <f t="shared" si="199"/>
        <v>78.510000000000005</v>
      </c>
      <c r="L4282" s="2">
        <f t="shared" si="200"/>
        <v>0</v>
      </c>
      <c r="M4282" t="s">
        <v>25</v>
      </c>
      <c r="N4282" t="s">
        <v>32</v>
      </c>
    </row>
    <row r="4283" spans="1:14" x14ac:dyDescent="0.3">
      <c r="A4283">
        <v>2024005281</v>
      </c>
      <c r="B4283" s="1">
        <v>45607</v>
      </c>
      <c r="C4283" s="11">
        <f t="shared" si="198"/>
        <v>2024</v>
      </c>
      <c r="D4283" t="s">
        <v>339</v>
      </c>
      <c r="E4283" t="s">
        <v>46</v>
      </c>
      <c r="F4283" t="s">
        <v>47</v>
      </c>
      <c r="G4283" t="s">
        <v>36</v>
      </c>
      <c r="H4283">
        <v>4</v>
      </c>
      <c r="I4283" s="2">
        <v>88.27</v>
      </c>
      <c r="J4283" s="2">
        <v>353.08</v>
      </c>
      <c r="K4283" s="2">
        <f t="shared" si="199"/>
        <v>353.08</v>
      </c>
      <c r="L4283" s="2">
        <f t="shared" si="200"/>
        <v>0</v>
      </c>
      <c r="M4283" t="s">
        <v>38</v>
      </c>
      <c r="N4283" t="s">
        <v>32</v>
      </c>
    </row>
    <row r="4284" spans="1:14" x14ac:dyDescent="0.3">
      <c r="A4284">
        <v>2024005282</v>
      </c>
      <c r="B4284" s="1">
        <v>45317</v>
      </c>
      <c r="C4284" s="11">
        <f t="shared" si="198"/>
        <v>2024</v>
      </c>
      <c r="D4284" t="s">
        <v>305</v>
      </c>
      <c r="E4284" t="s">
        <v>28</v>
      </c>
      <c r="F4284" t="s">
        <v>29</v>
      </c>
      <c r="G4284" t="s">
        <v>30</v>
      </c>
      <c r="H4284">
        <v>3</v>
      </c>
      <c r="I4284" s="2">
        <v>24.96</v>
      </c>
      <c r="J4284" s="2">
        <v>74.88</v>
      </c>
      <c r="K4284" s="2">
        <f t="shared" si="199"/>
        <v>74.88</v>
      </c>
      <c r="L4284" s="2">
        <f t="shared" si="200"/>
        <v>0</v>
      </c>
      <c r="M4284" t="s">
        <v>55</v>
      </c>
      <c r="N4284" t="s">
        <v>16</v>
      </c>
    </row>
    <row r="4285" spans="1:14" x14ac:dyDescent="0.3">
      <c r="A4285">
        <v>2024005283</v>
      </c>
      <c r="B4285" s="1">
        <v>45460</v>
      </c>
      <c r="C4285" s="11">
        <f t="shared" si="198"/>
        <v>2024</v>
      </c>
      <c r="D4285" t="s">
        <v>81</v>
      </c>
      <c r="E4285" t="s">
        <v>18</v>
      </c>
      <c r="F4285" t="s">
        <v>19</v>
      </c>
      <c r="G4285" t="s">
        <v>14</v>
      </c>
      <c r="H4285">
        <v>3</v>
      </c>
      <c r="I4285" s="2">
        <v>570.71</v>
      </c>
      <c r="J4285" s="2">
        <v>1712.13</v>
      </c>
      <c r="K4285" s="2">
        <f t="shared" si="199"/>
        <v>1712.13</v>
      </c>
      <c r="L4285" s="2">
        <f t="shared" si="200"/>
        <v>0</v>
      </c>
      <c r="M4285" t="s">
        <v>15</v>
      </c>
      <c r="N4285" t="s">
        <v>21</v>
      </c>
    </row>
    <row r="4286" spans="1:14" x14ac:dyDescent="0.3">
      <c r="A4286">
        <v>2024005284</v>
      </c>
      <c r="B4286" s="1">
        <v>45521</v>
      </c>
      <c r="C4286" s="11">
        <f t="shared" si="198"/>
        <v>2024</v>
      </c>
      <c r="D4286" t="s">
        <v>86</v>
      </c>
      <c r="E4286" t="s">
        <v>67</v>
      </c>
      <c r="F4286" t="s">
        <v>68</v>
      </c>
      <c r="G4286" t="s">
        <v>36</v>
      </c>
      <c r="H4286">
        <v>1</v>
      </c>
      <c r="I4286" s="2">
        <v>418.79</v>
      </c>
      <c r="J4286" s="2">
        <v>418.79</v>
      </c>
      <c r="K4286" s="2">
        <f t="shared" si="199"/>
        <v>418.79</v>
      </c>
      <c r="L4286" s="2">
        <f t="shared" si="200"/>
        <v>0</v>
      </c>
      <c r="M4286" t="s">
        <v>38</v>
      </c>
      <c r="N4286" t="s">
        <v>21</v>
      </c>
    </row>
    <row r="4287" spans="1:14" x14ac:dyDescent="0.3">
      <c r="A4287">
        <v>2024005285</v>
      </c>
      <c r="B4287" s="1">
        <v>45408</v>
      </c>
      <c r="C4287" s="11">
        <f t="shared" si="198"/>
        <v>2024</v>
      </c>
      <c r="D4287" t="s">
        <v>135</v>
      </c>
      <c r="E4287" t="s">
        <v>46</v>
      </c>
      <c r="F4287" t="s">
        <v>47</v>
      </c>
      <c r="G4287" t="s">
        <v>36</v>
      </c>
      <c r="H4287">
        <v>1</v>
      </c>
      <c r="I4287" s="2">
        <v>92.86</v>
      </c>
      <c r="J4287" s="2">
        <v>92.86</v>
      </c>
      <c r="K4287" s="2">
        <f t="shared" si="199"/>
        <v>92.86</v>
      </c>
      <c r="L4287" s="2">
        <f t="shared" si="200"/>
        <v>0</v>
      </c>
      <c r="M4287" t="s">
        <v>57</v>
      </c>
      <c r="N4287" t="s">
        <v>16</v>
      </c>
    </row>
    <row r="4288" spans="1:14" x14ac:dyDescent="0.3">
      <c r="A4288">
        <v>2024003629</v>
      </c>
      <c r="B4288" s="1">
        <v>45516</v>
      </c>
      <c r="C4288" s="11">
        <f t="shared" si="198"/>
        <v>2024</v>
      </c>
      <c r="D4288" t="s">
        <v>206</v>
      </c>
      <c r="E4288" t="s">
        <v>18</v>
      </c>
      <c r="F4288" t="s">
        <v>19</v>
      </c>
      <c r="G4288" t="s">
        <v>14</v>
      </c>
      <c r="H4288">
        <v>1</v>
      </c>
      <c r="I4288" s="2">
        <v>573.05999999999995</v>
      </c>
      <c r="J4288" s="2">
        <v>573.05999999999995</v>
      </c>
      <c r="K4288" s="2">
        <f t="shared" si="199"/>
        <v>573.05999999999995</v>
      </c>
      <c r="L4288" s="2">
        <f t="shared" si="200"/>
        <v>0</v>
      </c>
      <c r="M4288" t="s">
        <v>15</v>
      </c>
      <c r="N4288" t="s">
        <v>16</v>
      </c>
    </row>
    <row r="4289" spans="1:14" x14ac:dyDescent="0.3">
      <c r="A4289">
        <v>2024005287</v>
      </c>
      <c r="B4289" s="1">
        <v>45476</v>
      </c>
      <c r="C4289" s="11">
        <f t="shared" si="198"/>
        <v>2024</v>
      </c>
      <c r="D4289" t="s">
        <v>87</v>
      </c>
      <c r="E4289" t="s">
        <v>53</v>
      </c>
      <c r="F4289" t="s">
        <v>54</v>
      </c>
      <c r="G4289" t="s">
        <v>36</v>
      </c>
      <c r="H4289">
        <v>1</v>
      </c>
      <c r="I4289" s="2">
        <v>123.78</v>
      </c>
      <c r="J4289" s="2">
        <v>123.78</v>
      </c>
      <c r="K4289" s="2">
        <f t="shared" si="199"/>
        <v>123.78</v>
      </c>
      <c r="L4289" s="2">
        <f t="shared" si="200"/>
        <v>0</v>
      </c>
      <c r="M4289" t="s">
        <v>31</v>
      </c>
      <c r="N4289" t="s">
        <v>26</v>
      </c>
    </row>
    <row r="4290" spans="1:14" x14ac:dyDescent="0.3">
      <c r="A4290">
        <v>2024005288</v>
      </c>
      <c r="B4290" s="1">
        <v>45455</v>
      </c>
      <c r="C4290" s="11">
        <f t="shared" si="198"/>
        <v>2024</v>
      </c>
      <c r="D4290" t="s">
        <v>240</v>
      </c>
      <c r="E4290" t="s">
        <v>23</v>
      </c>
      <c r="F4290" t="s">
        <v>24</v>
      </c>
      <c r="G4290" t="s">
        <v>14</v>
      </c>
      <c r="H4290">
        <v>2</v>
      </c>
      <c r="I4290" s="2">
        <v>77.849999999999994</v>
      </c>
      <c r="J4290" s="2">
        <v>155.69999999999999</v>
      </c>
      <c r="K4290" s="2">
        <f t="shared" si="199"/>
        <v>155.69999999999999</v>
      </c>
      <c r="L4290" s="2">
        <f t="shared" si="200"/>
        <v>0</v>
      </c>
      <c r="M4290" t="s">
        <v>57</v>
      </c>
      <c r="N4290" t="s">
        <v>26</v>
      </c>
    </row>
    <row r="4291" spans="1:14" x14ac:dyDescent="0.3">
      <c r="A4291">
        <v>2024005289</v>
      </c>
      <c r="B4291" s="1">
        <v>45307</v>
      </c>
      <c r="C4291" s="11">
        <f t="shared" ref="C4291:C4354" si="201">YEAR(B4291)</f>
        <v>2024</v>
      </c>
      <c r="D4291" t="s">
        <v>134</v>
      </c>
      <c r="E4291" t="s">
        <v>67</v>
      </c>
      <c r="F4291" t="s">
        <v>68</v>
      </c>
      <c r="G4291" t="s">
        <v>36</v>
      </c>
      <c r="H4291">
        <v>2</v>
      </c>
      <c r="I4291" s="2">
        <v>394.41</v>
      </c>
      <c r="J4291" s="2">
        <v>788.82</v>
      </c>
      <c r="K4291" s="2">
        <f t="shared" ref="K4291:K4354" si="202">I4291*H4291</f>
        <v>788.82</v>
      </c>
      <c r="L4291" s="2">
        <f t="shared" ref="L4291:L4354" si="203">J4291-K4291</f>
        <v>0</v>
      </c>
      <c r="M4291" t="s">
        <v>31</v>
      </c>
      <c r="N4291" t="s">
        <v>26</v>
      </c>
    </row>
    <row r="4292" spans="1:14" x14ac:dyDescent="0.3">
      <c r="A4292">
        <v>2024005290</v>
      </c>
      <c r="B4292" s="1">
        <v>45349</v>
      </c>
      <c r="C4292" s="11">
        <f t="shared" si="201"/>
        <v>2024</v>
      </c>
      <c r="D4292" t="s">
        <v>11</v>
      </c>
      <c r="E4292" t="s">
        <v>46</v>
      </c>
      <c r="F4292" t="s">
        <v>47</v>
      </c>
      <c r="G4292" t="s">
        <v>36</v>
      </c>
      <c r="H4292">
        <v>1</v>
      </c>
      <c r="I4292" s="2">
        <v>93.88</v>
      </c>
      <c r="J4292" s="2">
        <v>93.88</v>
      </c>
      <c r="K4292" s="2">
        <f t="shared" si="202"/>
        <v>93.88</v>
      </c>
      <c r="L4292" s="2">
        <f t="shared" si="203"/>
        <v>0</v>
      </c>
      <c r="M4292" t="s">
        <v>15</v>
      </c>
      <c r="N4292" t="s">
        <v>26</v>
      </c>
    </row>
    <row r="4293" spans="1:14" x14ac:dyDescent="0.3">
      <c r="A4293">
        <v>2024005291</v>
      </c>
      <c r="B4293" s="1">
        <v>45380</v>
      </c>
      <c r="C4293" s="11">
        <f t="shared" si="201"/>
        <v>2024</v>
      </c>
      <c r="D4293" t="s">
        <v>137</v>
      </c>
      <c r="E4293" t="s">
        <v>23</v>
      </c>
      <c r="F4293" t="s">
        <v>24</v>
      </c>
      <c r="G4293" t="s">
        <v>14</v>
      </c>
      <c r="H4293">
        <v>1</v>
      </c>
      <c r="I4293" s="2">
        <v>68.73</v>
      </c>
      <c r="J4293" s="2">
        <v>68.73</v>
      </c>
      <c r="K4293" s="2">
        <f t="shared" si="202"/>
        <v>68.73</v>
      </c>
      <c r="L4293" s="2">
        <f t="shared" si="203"/>
        <v>0</v>
      </c>
      <c r="M4293" t="s">
        <v>31</v>
      </c>
      <c r="N4293" t="s">
        <v>21</v>
      </c>
    </row>
    <row r="4294" spans="1:14" x14ac:dyDescent="0.3">
      <c r="A4294">
        <v>2024005292</v>
      </c>
      <c r="B4294" s="1">
        <v>45514</v>
      </c>
      <c r="C4294" s="11">
        <f t="shared" si="201"/>
        <v>2024</v>
      </c>
      <c r="D4294" t="s">
        <v>259</v>
      </c>
      <c r="E4294" t="s">
        <v>43</v>
      </c>
      <c r="F4294" t="s">
        <v>44</v>
      </c>
      <c r="G4294" t="s">
        <v>36</v>
      </c>
      <c r="H4294">
        <v>2</v>
      </c>
      <c r="I4294" s="2">
        <v>1134.3</v>
      </c>
      <c r="J4294" s="2">
        <v>2268.6</v>
      </c>
      <c r="K4294" s="2">
        <f t="shared" si="202"/>
        <v>2268.6</v>
      </c>
      <c r="L4294" s="2">
        <f t="shared" si="203"/>
        <v>0</v>
      </c>
      <c r="M4294" t="s">
        <v>31</v>
      </c>
      <c r="N4294" t="s">
        <v>26</v>
      </c>
    </row>
    <row r="4295" spans="1:14" x14ac:dyDescent="0.3">
      <c r="A4295">
        <v>2024005293</v>
      </c>
      <c r="B4295" s="1">
        <v>45297</v>
      </c>
      <c r="C4295" s="11">
        <f t="shared" si="201"/>
        <v>2024</v>
      </c>
      <c r="D4295" t="s">
        <v>109</v>
      </c>
      <c r="E4295" t="s">
        <v>67</v>
      </c>
      <c r="F4295" t="s">
        <v>68</v>
      </c>
      <c r="G4295" t="s">
        <v>36</v>
      </c>
      <c r="H4295">
        <v>1</v>
      </c>
      <c r="I4295" s="2">
        <v>397.31</v>
      </c>
      <c r="J4295" s="2">
        <v>397.31</v>
      </c>
      <c r="K4295" s="2">
        <f t="shared" si="202"/>
        <v>397.31</v>
      </c>
      <c r="L4295" s="2">
        <f t="shared" si="203"/>
        <v>0</v>
      </c>
      <c r="M4295" t="s">
        <v>38</v>
      </c>
      <c r="N4295" t="s">
        <v>32</v>
      </c>
    </row>
    <row r="4296" spans="1:14" x14ac:dyDescent="0.3">
      <c r="A4296">
        <v>2024005294</v>
      </c>
      <c r="B4296" s="1">
        <v>45605</v>
      </c>
      <c r="C4296" s="11">
        <f t="shared" si="201"/>
        <v>2024</v>
      </c>
      <c r="D4296" t="s">
        <v>229</v>
      </c>
      <c r="E4296" t="s">
        <v>46</v>
      </c>
      <c r="F4296" t="s">
        <v>47</v>
      </c>
      <c r="G4296" t="s">
        <v>36</v>
      </c>
      <c r="H4296">
        <v>3</v>
      </c>
      <c r="I4296" s="2">
        <v>88.29</v>
      </c>
      <c r="J4296" s="2">
        <v>264.87</v>
      </c>
      <c r="K4296" s="2">
        <f t="shared" si="202"/>
        <v>264.87</v>
      </c>
      <c r="L4296" s="2">
        <f t="shared" si="203"/>
        <v>0</v>
      </c>
      <c r="M4296" t="s">
        <v>20</v>
      </c>
      <c r="N4296" t="s">
        <v>21</v>
      </c>
    </row>
    <row r="4297" spans="1:14" x14ac:dyDescent="0.3">
      <c r="A4297">
        <v>2024005295</v>
      </c>
      <c r="B4297" s="1">
        <v>45372</v>
      </c>
      <c r="C4297" s="11">
        <f t="shared" si="201"/>
        <v>2024</v>
      </c>
      <c r="D4297" t="s">
        <v>205</v>
      </c>
      <c r="E4297" t="s">
        <v>28</v>
      </c>
      <c r="F4297" t="s">
        <v>29</v>
      </c>
      <c r="G4297" t="s">
        <v>30</v>
      </c>
      <c r="H4297">
        <v>2</v>
      </c>
      <c r="I4297" s="2">
        <v>25.03</v>
      </c>
      <c r="J4297" s="2">
        <v>50.06</v>
      </c>
      <c r="K4297" s="2">
        <f t="shared" si="202"/>
        <v>50.06</v>
      </c>
      <c r="L4297" s="2">
        <f t="shared" si="203"/>
        <v>0</v>
      </c>
      <c r="M4297" t="s">
        <v>25</v>
      </c>
      <c r="N4297" t="s">
        <v>32</v>
      </c>
    </row>
    <row r="4298" spans="1:14" x14ac:dyDescent="0.3">
      <c r="A4298">
        <v>2024005296</v>
      </c>
      <c r="B4298" s="1">
        <v>45572</v>
      </c>
      <c r="C4298" s="11">
        <f t="shared" si="201"/>
        <v>2024</v>
      </c>
      <c r="D4298" t="s">
        <v>301</v>
      </c>
      <c r="E4298" t="s">
        <v>53</v>
      </c>
      <c r="F4298" t="s">
        <v>54</v>
      </c>
      <c r="G4298" t="s">
        <v>36</v>
      </c>
      <c r="H4298">
        <v>1</v>
      </c>
      <c r="I4298" s="2">
        <v>123.41</v>
      </c>
      <c r="J4298" s="2">
        <v>123.41</v>
      </c>
      <c r="K4298" s="2">
        <f t="shared" si="202"/>
        <v>123.41</v>
      </c>
      <c r="L4298" s="2">
        <f t="shared" si="203"/>
        <v>0</v>
      </c>
      <c r="M4298" t="s">
        <v>31</v>
      </c>
      <c r="N4298" t="s">
        <v>16</v>
      </c>
    </row>
    <row r="4299" spans="1:14" x14ac:dyDescent="0.3">
      <c r="A4299">
        <v>2024005297</v>
      </c>
      <c r="B4299" s="1">
        <v>45522</v>
      </c>
      <c r="C4299" s="11">
        <f t="shared" si="201"/>
        <v>2024</v>
      </c>
      <c r="D4299" t="s">
        <v>178</v>
      </c>
      <c r="E4299" t="s">
        <v>28</v>
      </c>
      <c r="F4299" t="s">
        <v>29</v>
      </c>
      <c r="G4299" t="s">
        <v>30</v>
      </c>
      <c r="H4299">
        <v>2</v>
      </c>
      <c r="I4299" s="2">
        <v>26.01</v>
      </c>
      <c r="J4299" s="2">
        <v>52.02</v>
      </c>
      <c r="K4299" s="2">
        <f t="shared" si="202"/>
        <v>52.02</v>
      </c>
      <c r="L4299" s="2">
        <f t="shared" si="203"/>
        <v>0</v>
      </c>
      <c r="M4299" t="s">
        <v>31</v>
      </c>
      <c r="N4299" t="s">
        <v>26</v>
      </c>
    </row>
    <row r="4300" spans="1:14" x14ac:dyDescent="0.3">
      <c r="A4300">
        <v>2024005298</v>
      </c>
      <c r="B4300" s="1">
        <v>45386</v>
      </c>
      <c r="C4300" s="11">
        <f t="shared" si="201"/>
        <v>2024</v>
      </c>
      <c r="D4300" t="s">
        <v>77</v>
      </c>
      <c r="E4300" t="s">
        <v>46</v>
      </c>
      <c r="F4300" t="s">
        <v>47</v>
      </c>
      <c r="G4300" t="s">
        <v>36</v>
      </c>
      <c r="H4300">
        <v>1</v>
      </c>
      <c r="I4300" s="2">
        <v>89.6</v>
      </c>
      <c r="J4300" s="2">
        <v>89.6</v>
      </c>
      <c r="K4300" s="2">
        <f t="shared" si="202"/>
        <v>89.6</v>
      </c>
      <c r="L4300" s="2">
        <f t="shared" si="203"/>
        <v>0</v>
      </c>
      <c r="M4300" t="s">
        <v>64</v>
      </c>
      <c r="N4300" t="s">
        <v>32</v>
      </c>
    </row>
    <row r="4301" spans="1:14" x14ac:dyDescent="0.3">
      <c r="A4301">
        <v>2024005299</v>
      </c>
      <c r="B4301" s="1">
        <v>45542</v>
      </c>
      <c r="C4301" s="11">
        <f t="shared" si="201"/>
        <v>2024</v>
      </c>
      <c r="D4301" t="s">
        <v>155</v>
      </c>
      <c r="E4301" t="s">
        <v>46</v>
      </c>
      <c r="F4301" t="s">
        <v>47</v>
      </c>
      <c r="G4301" t="s">
        <v>36</v>
      </c>
      <c r="H4301">
        <v>2</v>
      </c>
      <c r="I4301" s="2">
        <v>81.33</v>
      </c>
      <c r="J4301" s="2">
        <v>162.66</v>
      </c>
      <c r="K4301" s="2">
        <f t="shared" si="202"/>
        <v>162.66</v>
      </c>
      <c r="L4301" s="2">
        <f t="shared" si="203"/>
        <v>0</v>
      </c>
      <c r="M4301" t="s">
        <v>48</v>
      </c>
      <c r="N4301" t="s">
        <v>32</v>
      </c>
    </row>
    <row r="4302" spans="1:14" x14ac:dyDescent="0.3">
      <c r="A4302">
        <v>2024005300</v>
      </c>
      <c r="B4302" s="1">
        <v>45583</v>
      </c>
      <c r="C4302" s="11">
        <f t="shared" si="201"/>
        <v>2024</v>
      </c>
      <c r="D4302" t="s">
        <v>140</v>
      </c>
      <c r="E4302" t="s">
        <v>28</v>
      </c>
      <c r="F4302" t="s">
        <v>29</v>
      </c>
      <c r="G4302" t="s">
        <v>30</v>
      </c>
      <c r="H4302">
        <v>1</v>
      </c>
      <c r="I4302" s="2">
        <v>23.63</v>
      </c>
      <c r="J4302" s="2">
        <v>23.63</v>
      </c>
      <c r="K4302" s="2">
        <f t="shared" si="202"/>
        <v>23.63</v>
      </c>
      <c r="L4302" s="2">
        <f t="shared" si="203"/>
        <v>0</v>
      </c>
      <c r="M4302" t="s">
        <v>15</v>
      </c>
      <c r="N4302" t="s">
        <v>21</v>
      </c>
    </row>
    <row r="4303" spans="1:14" x14ac:dyDescent="0.3">
      <c r="A4303">
        <v>2024005301</v>
      </c>
      <c r="B4303" s="1">
        <v>45615</v>
      </c>
      <c r="C4303" s="11">
        <f t="shared" si="201"/>
        <v>2024</v>
      </c>
      <c r="D4303" t="s">
        <v>82</v>
      </c>
      <c r="E4303" t="s">
        <v>46</v>
      </c>
      <c r="F4303" t="s">
        <v>47</v>
      </c>
      <c r="G4303" t="s">
        <v>36</v>
      </c>
      <c r="H4303">
        <v>1</v>
      </c>
      <c r="I4303" s="2">
        <v>93.25</v>
      </c>
      <c r="J4303" s="2">
        <v>93.25</v>
      </c>
      <c r="K4303" s="2">
        <f t="shared" si="202"/>
        <v>93.25</v>
      </c>
      <c r="L4303" s="2">
        <f t="shared" si="203"/>
        <v>0</v>
      </c>
      <c r="M4303" t="s">
        <v>61</v>
      </c>
      <c r="N4303" t="s">
        <v>32</v>
      </c>
    </row>
    <row r="4304" spans="1:14" x14ac:dyDescent="0.3">
      <c r="A4304">
        <v>2024005302</v>
      </c>
      <c r="B4304" s="1">
        <v>45344</v>
      </c>
      <c r="C4304" s="11">
        <f t="shared" si="201"/>
        <v>2024</v>
      </c>
      <c r="D4304" t="s">
        <v>134</v>
      </c>
      <c r="E4304" t="s">
        <v>46</v>
      </c>
      <c r="F4304" t="s">
        <v>47</v>
      </c>
      <c r="G4304" t="s">
        <v>36</v>
      </c>
      <c r="H4304">
        <v>3</v>
      </c>
      <c r="I4304" s="2">
        <v>90.5</v>
      </c>
      <c r="J4304" s="2">
        <v>271.5</v>
      </c>
      <c r="K4304" s="2">
        <f t="shared" si="202"/>
        <v>271.5</v>
      </c>
      <c r="L4304" s="2">
        <f t="shared" si="203"/>
        <v>0</v>
      </c>
      <c r="M4304" t="s">
        <v>20</v>
      </c>
      <c r="N4304" t="s">
        <v>32</v>
      </c>
    </row>
    <row r="4305" spans="1:14" x14ac:dyDescent="0.3">
      <c r="A4305">
        <v>2024005303</v>
      </c>
      <c r="B4305" s="1">
        <v>45600</v>
      </c>
      <c r="C4305" s="11">
        <f t="shared" si="201"/>
        <v>2024</v>
      </c>
      <c r="D4305" t="s">
        <v>104</v>
      </c>
      <c r="E4305" t="s">
        <v>43</v>
      </c>
      <c r="F4305" t="s">
        <v>44</v>
      </c>
      <c r="G4305" t="s">
        <v>36</v>
      </c>
      <c r="H4305">
        <v>2</v>
      </c>
      <c r="I4305" s="2">
        <v>1372.55</v>
      </c>
      <c r="J4305" s="2">
        <v>2745.1</v>
      </c>
      <c r="K4305" s="2">
        <f t="shared" si="202"/>
        <v>2745.1</v>
      </c>
      <c r="L4305" s="2">
        <f t="shared" si="203"/>
        <v>0</v>
      </c>
      <c r="M4305" t="s">
        <v>55</v>
      </c>
      <c r="N4305" t="s">
        <v>32</v>
      </c>
    </row>
    <row r="4306" spans="1:14" x14ac:dyDescent="0.3">
      <c r="A4306">
        <v>2024005304</v>
      </c>
      <c r="B4306" s="1">
        <v>45564</v>
      </c>
      <c r="C4306" s="11">
        <f t="shared" si="201"/>
        <v>2024</v>
      </c>
      <c r="D4306" t="s">
        <v>139</v>
      </c>
      <c r="E4306" t="s">
        <v>18</v>
      </c>
      <c r="F4306" t="s">
        <v>19</v>
      </c>
      <c r="G4306" t="s">
        <v>14</v>
      </c>
      <c r="H4306">
        <v>2</v>
      </c>
      <c r="I4306" s="2">
        <v>632.39</v>
      </c>
      <c r="J4306" s="2">
        <v>1264.78</v>
      </c>
      <c r="K4306" s="2">
        <f t="shared" si="202"/>
        <v>1264.78</v>
      </c>
      <c r="L4306" s="2">
        <f t="shared" si="203"/>
        <v>0</v>
      </c>
      <c r="M4306" t="s">
        <v>31</v>
      </c>
      <c r="N4306" t="s">
        <v>16</v>
      </c>
    </row>
    <row r="4307" spans="1:14" x14ac:dyDescent="0.3">
      <c r="A4307">
        <v>2024005305</v>
      </c>
      <c r="B4307" s="1">
        <v>45624</v>
      </c>
      <c r="C4307" s="11">
        <f t="shared" si="201"/>
        <v>2024</v>
      </c>
      <c r="D4307" t="s">
        <v>293</v>
      </c>
      <c r="E4307" t="s">
        <v>43</v>
      </c>
      <c r="F4307" t="s">
        <v>44</v>
      </c>
      <c r="G4307" t="s">
        <v>36</v>
      </c>
      <c r="H4307">
        <v>4</v>
      </c>
      <c r="I4307" s="2">
        <v>1180.17</v>
      </c>
      <c r="J4307" s="2">
        <v>4720.68</v>
      </c>
      <c r="K4307" s="2">
        <f t="shared" si="202"/>
        <v>4720.68</v>
      </c>
      <c r="L4307" s="2">
        <f t="shared" si="203"/>
        <v>0</v>
      </c>
      <c r="M4307" t="s">
        <v>20</v>
      </c>
      <c r="N4307" t="s">
        <v>21</v>
      </c>
    </row>
    <row r="4308" spans="1:14" x14ac:dyDescent="0.3">
      <c r="A4308">
        <v>2024005306</v>
      </c>
      <c r="B4308" s="1">
        <v>45623</v>
      </c>
      <c r="C4308" s="11">
        <f t="shared" si="201"/>
        <v>2024</v>
      </c>
      <c r="D4308" t="s">
        <v>151</v>
      </c>
      <c r="E4308" t="s">
        <v>23</v>
      </c>
      <c r="F4308" t="s">
        <v>24</v>
      </c>
      <c r="G4308" t="s">
        <v>14</v>
      </c>
      <c r="H4308">
        <v>2</v>
      </c>
      <c r="I4308" s="2">
        <v>80.59</v>
      </c>
      <c r="J4308" s="2">
        <v>161.18</v>
      </c>
      <c r="K4308" s="2">
        <f t="shared" si="202"/>
        <v>161.18</v>
      </c>
      <c r="L4308" s="2">
        <f t="shared" si="203"/>
        <v>0</v>
      </c>
      <c r="M4308" t="s">
        <v>38</v>
      </c>
      <c r="N4308" t="s">
        <v>21</v>
      </c>
    </row>
    <row r="4309" spans="1:14" x14ac:dyDescent="0.3">
      <c r="A4309">
        <v>2024005307</v>
      </c>
      <c r="B4309" s="1">
        <v>45316</v>
      </c>
      <c r="C4309" s="11">
        <f t="shared" si="201"/>
        <v>2024</v>
      </c>
      <c r="D4309" t="s">
        <v>233</v>
      </c>
      <c r="E4309" t="s">
        <v>18</v>
      </c>
      <c r="F4309" t="s">
        <v>19</v>
      </c>
      <c r="G4309" t="s">
        <v>14</v>
      </c>
      <c r="H4309">
        <v>1</v>
      </c>
      <c r="I4309" s="2">
        <v>581.34</v>
      </c>
      <c r="J4309" s="2">
        <v>581.34</v>
      </c>
      <c r="K4309" s="2">
        <f t="shared" si="202"/>
        <v>581.34</v>
      </c>
      <c r="L4309" s="2">
        <f t="shared" si="203"/>
        <v>0</v>
      </c>
      <c r="M4309" t="s">
        <v>61</v>
      </c>
      <c r="N4309" t="s">
        <v>16</v>
      </c>
    </row>
    <row r="4310" spans="1:14" x14ac:dyDescent="0.3">
      <c r="A4310">
        <v>2024005308</v>
      </c>
      <c r="B4310" s="1">
        <v>45493</v>
      </c>
      <c r="C4310" s="11">
        <f t="shared" si="201"/>
        <v>2024</v>
      </c>
      <c r="D4310" t="s">
        <v>11</v>
      </c>
      <c r="E4310" t="s">
        <v>40</v>
      </c>
      <c r="F4310" t="s">
        <v>41</v>
      </c>
      <c r="G4310" t="s">
        <v>36</v>
      </c>
      <c r="H4310">
        <v>1</v>
      </c>
      <c r="I4310" s="2">
        <v>42.07</v>
      </c>
      <c r="J4310" s="2">
        <v>42.07</v>
      </c>
      <c r="K4310" s="2">
        <f t="shared" si="202"/>
        <v>42.07</v>
      </c>
      <c r="L4310" s="2">
        <f t="shared" si="203"/>
        <v>0</v>
      </c>
      <c r="M4310" t="s">
        <v>25</v>
      </c>
      <c r="N4310" t="s">
        <v>32</v>
      </c>
    </row>
    <row r="4311" spans="1:14" x14ac:dyDescent="0.3">
      <c r="A4311">
        <v>2024005309</v>
      </c>
      <c r="B4311" s="1">
        <v>45532</v>
      </c>
      <c r="C4311" s="11">
        <f t="shared" si="201"/>
        <v>2024</v>
      </c>
      <c r="D4311" t="s">
        <v>141</v>
      </c>
      <c r="E4311" t="s">
        <v>40</v>
      </c>
      <c r="F4311" t="s">
        <v>41</v>
      </c>
      <c r="G4311" t="s">
        <v>36</v>
      </c>
      <c r="H4311">
        <v>3</v>
      </c>
      <c r="I4311" s="2">
        <v>42.73</v>
      </c>
      <c r="J4311" s="2">
        <v>128.19</v>
      </c>
      <c r="K4311" s="2">
        <f t="shared" si="202"/>
        <v>128.19</v>
      </c>
      <c r="L4311" s="2">
        <f t="shared" si="203"/>
        <v>0</v>
      </c>
      <c r="M4311" t="s">
        <v>64</v>
      </c>
      <c r="N4311" t="s">
        <v>21</v>
      </c>
    </row>
    <row r="4312" spans="1:14" x14ac:dyDescent="0.3">
      <c r="A4312">
        <v>2024005310</v>
      </c>
      <c r="B4312" s="1">
        <v>45331</v>
      </c>
      <c r="C4312" s="11">
        <f t="shared" si="201"/>
        <v>2024</v>
      </c>
      <c r="D4312" t="s">
        <v>136</v>
      </c>
      <c r="E4312" t="s">
        <v>18</v>
      </c>
      <c r="F4312" t="s">
        <v>19</v>
      </c>
      <c r="G4312" t="s">
        <v>14</v>
      </c>
      <c r="H4312">
        <v>2</v>
      </c>
      <c r="I4312" s="2">
        <v>600.95000000000005</v>
      </c>
      <c r="J4312" s="2">
        <v>1201.9000000000001</v>
      </c>
      <c r="K4312" s="2">
        <f t="shared" si="202"/>
        <v>1201.9000000000001</v>
      </c>
      <c r="L4312" s="2">
        <f t="shared" si="203"/>
        <v>0</v>
      </c>
      <c r="M4312" t="s">
        <v>38</v>
      </c>
      <c r="N4312" t="s">
        <v>26</v>
      </c>
    </row>
    <row r="4313" spans="1:14" x14ac:dyDescent="0.3">
      <c r="A4313">
        <v>2024005311</v>
      </c>
      <c r="B4313" s="1">
        <v>45609</v>
      </c>
      <c r="C4313" s="11">
        <f t="shared" si="201"/>
        <v>2024</v>
      </c>
      <c r="D4313" t="s">
        <v>102</v>
      </c>
      <c r="E4313" t="s">
        <v>34</v>
      </c>
      <c r="F4313" t="s">
        <v>35</v>
      </c>
      <c r="G4313" t="s">
        <v>36</v>
      </c>
      <c r="H4313">
        <v>2</v>
      </c>
      <c r="I4313" s="2">
        <v>15.58</v>
      </c>
      <c r="J4313" s="2">
        <v>31.16</v>
      </c>
      <c r="K4313" s="2">
        <f t="shared" si="202"/>
        <v>31.16</v>
      </c>
      <c r="L4313" s="2">
        <f t="shared" si="203"/>
        <v>0</v>
      </c>
      <c r="M4313" t="s">
        <v>57</v>
      </c>
      <c r="N4313" t="s">
        <v>21</v>
      </c>
    </row>
    <row r="4314" spans="1:14" x14ac:dyDescent="0.3">
      <c r="A4314">
        <v>2024005312</v>
      </c>
      <c r="B4314" s="1">
        <v>45398</v>
      </c>
      <c r="C4314" s="11">
        <f t="shared" si="201"/>
        <v>2024</v>
      </c>
      <c r="D4314" t="s">
        <v>303</v>
      </c>
      <c r="E4314" t="s">
        <v>53</v>
      </c>
      <c r="F4314" t="s">
        <v>54</v>
      </c>
      <c r="G4314" t="s">
        <v>36</v>
      </c>
      <c r="H4314">
        <v>1</v>
      </c>
      <c r="I4314" s="2">
        <v>131.15</v>
      </c>
      <c r="J4314" s="2">
        <v>131.15</v>
      </c>
      <c r="K4314" s="2">
        <f t="shared" si="202"/>
        <v>131.15</v>
      </c>
      <c r="L4314" s="2">
        <f t="shared" si="203"/>
        <v>0</v>
      </c>
      <c r="M4314" t="s">
        <v>15</v>
      </c>
      <c r="N4314" t="s">
        <v>21</v>
      </c>
    </row>
    <row r="4315" spans="1:14" x14ac:dyDescent="0.3">
      <c r="A4315">
        <v>2024005313</v>
      </c>
      <c r="B4315" s="1">
        <v>45620</v>
      </c>
      <c r="C4315" s="11">
        <f t="shared" si="201"/>
        <v>2024</v>
      </c>
      <c r="D4315" t="s">
        <v>106</v>
      </c>
      <c r="E4315" t="s">
        <v>67</v>
      </c>
      <c r="F4315" t="s">
        <v>68</v>
      </c>
      <c r="G4315" t="s">
        <v>36</v>
      </c>
      <c r="H4315">
        <v>2</v>
      </c>
      <c r="I4315" s="2">
        <v>390.56</v>
      </c>
      <c r="J4315" s="2">
        <v>781.12</v>
      </c>
      <c r="K4315" s="2">
        <f t="shared" si="202"/>
        <v>781.12</v>
      </c>
      <c r="L4315" s="2">
        <f t="shared" si="203"/>
        <v>0</v>
      </c>
      <c r="M4315" t="s">
        <v>15</v>
      </c>
      <c r="N4315" t="s">
        <v>16</v>
      </c>
    </row>
    <row r="4316" spans="1:14" x14ac:dyDescent="0.3">
      <c r="A4316">
        <v>2024005314</v>
      </c>
      <c r="B4316" s="1">
        <v>45295</v>
      </c>
      <c r="C4316" s="11">
        <f t="shared" si="201"/>
        <v>2024</v>
      </c>
      <c r="D4316" t="s">
        <v>134</v>
      </c>
      <c r="E4316" t="s">
        <v>23</v>
      </c>
      <c r="F4316" t="s">
        <v>24</v>
      </c>
      <c r="G4316" t="s">
        <v>14</v>
      </c>
      <c r="H4316">
        <v>4</v>
      </c>
      <c r="I4316" s="2">
        <v>83</v>
      </c>
      <c r="J4316" s="2">
        <v>332</v>
      </c>
      <c r="K4316" s="2">
        <f t="shared" si="202"/>
        <v>332</v>
      </c>
      <c r="L4316" s="2">
        <f t="shared" si="203"/>
        <v>0</v>
      </c>
      <c r="M4316" t="s">
        <v>38</v>
      </c>
      <c r="N4316" t="s">
        <v>26</v>
      </c>
    </row>
    <row r="4317" spans="1:14" x14ac:dyDescent="0.3">
      <c r="A4317">
        <v>2024005315</v>
      </c>
      <c r="B4317" s="1">
        <v>45544</v>
      </c>
      <c r="C4317" s="11">
        <f t="shared" si="201"/>
        <v>2024</v>
      </c>
      <c r="D4317" t="s">
        <v>22</v>
      </c>
      <c r="E4317" t="s">
        <v>23</v>
      </c>
      <c r="F4317" t="s">
        <v>24</v>
      </c>
      <c r="G4317" t="s">
        <v>14</v>
      </c>
      <c r="H4317">
        <v>2</v>
      </c>
      <c r="I4317" s="2">
        <v>78.09</v>
      </c>
      <c r="J4317" s="2">
        <v>156.18</v>
      </c>
      <c r="K4317" s="2">
        <f t="shared" si="202"/>
        <v>156.18</v>
      </c>
      <c r="L4317" s="2">
        <f t="shared" si="203"/>
        <v>0</v>
      </c>
      <c r="M4317" t="s">
        <v>15</v>
      </c>
      <c r="N4317" t="s">
        <v>32</v>
      </c>
    </row>
    <row r="4318" spans="1:14" x14ac:dyDescent="0.3">
      <c r="A4318">
        <v>2024005316</v>
      </c>
      <c r="B4318" s="1">
        <v>45388</v>
      </c>
      <c r="C4318" s="11">
        <f t="shared" si="201"/>
        <v>2024</v>
      </c>
      <c r="D4318" t="s">
        <v>110</v>
      </c>
      <c r="E4318" t="s">
        <v>23</v>
      </c>
      <c r="F4318" t="s">
        <v>24</v>
      </c>
      <c r="G4318" t="s">
        <v>14</v>
      </c>
      <c r="H4318">
        <v>2</v>
      </c>
      <c r="I4318" s="2">
        <v>76.59</v>
      </c>
      <c r="J4318" s="2">
        <v>153.18</v>
      </c>
      <c r="K4318" s="2">
        <f t="shared" si="202"/>
        <v>153.18</v>
      </c>
      <c r="L4318" s="2">
        <f t="shared" si="203"/>
        <v>0</v>
      </c>
      <c r="M4318" t="s">
        <v>64</v>
      </c>
      <c r="N4318" t="s">
        <v>26</v>
      </c>
    </row>
    <row r="4319" spans="1:14" x14ac:dyDescent="0.3">
      <c r="A4319">
        <v>2024005317</v>
      </c>
      <c r="B4319" s="1">
        <v>45369</v>
      </c>
      <c r="C4319" s="11">
        <f t="shared" si="201"/>
        <v>2024</v>
      </c>
      <c r="D4319" t="s">
        <v>202</v>
      </c>
      <c r="E4319" t="s">
        <v>23</v>
      </c>
      <c r="F4319" t="s">
        <v>24</v>
      </c>
      <c r="G4319" t="s">
        <v>14</v>
      </c>
      <c r="H4319">
        <v>1</v>
      </c>
      <c r="I4319" s="2">
        <v>80.959999999999994</v>
      </c>
      <c r="J4319" s="2">
        <v>80.959999999999994</v>
      </c>
      <c r="K4319" s="2">
        <f t="shared" si="202"/>
        <v>80.959999999999994</v>
      </c>
      <c r="L4319" s="2">
        <f t="shared" si="203"/>
        <v>0</v>
      </c>
      <c r="M4319" t="s">
        <v>64</v>
      </c>
      <c r="N4319" t="s">
        <v>32</v>
      </c>
    </row>
    <row r="4320" spans="1:14" x14ac:dyDescent="0.3">
      <c r="A4320">
        <v>2024005318</v>
      </c>
      <c r="B4320" s="1">
        <v>45536</v>
      </c>
      <c r="C4320" s="11">
        <f t="shared" si="201"/>
        <v>2024</v>
      </c>
      <c r="D4320" t="s">
        <v>11</v>
      </c>
      <c r="E4320" t="s">
        <v>34</v>
      </c>
      <c r="F4320" t="s">
        <v>35</v>
      </c>
      <c r="G4320" t="s">
        <v>36</v>
      </c>
      <c r="H4320">
        <v>1</v>
      </c>
      <c r="I4320" s="2">
        <v>15.97</v>
      </c>
      <c r="J4320" s="2">
        <v>15.97</v>
      </c>
      <c r="K4320" s="2">
        <f t="shared" si="202"/>
        <v>15.97</v>
      </c>
      <c r="L4320" s="2">
        <f t="shared" si="203"/>
        <v>0</v>
      </c>
      <c r="M4320" t="s">
        <v>55</v>
      </c>
      <c r="N4320" t="s">
        <v>16</v>
      </c>
    </row>
    <row r="4321" spans="1:14" x14ac:dyDescent="0.3">
      <c r="A4321">
        <v>2024005319</v>
      </c>
      <c r="B4321" s="1">
        <v>45657</v>
      </c>
      <c r="C4321" s="11">
        <f t="shared" si="201"/>
        <v>2024</v>
      </c>
      <c r="D4321" t="s">
        <v>307</v>
      </c>
      <c r="E4321" t="s">
        <v>53</v>
      </c>
      <c r="F4321" t="s">
        <v>54</v>
      </c>
      <c r="G4321" t="s">
        <v>36</v>
      </c>
      <c r="H4321">
        <v>3</v>
      </c>
      <c r="I4321" s="2">
        <v>111.62</v>
      </c>
      <c r="J4321" s="2">
        <v>334.86</v>
      </c>
      <c r="K4321" s="2">
        <f t="shared" si="202"/>
        <v>334.86</v>
      </c>
      <c r="L4321" s="2">
        <f t="shared" si="203"/>
        <v>0</v>
      </c>
      <c r="M4321" t="s">
        <v>61</v>
      </c>
      <c r="N4321" t="s">
        <v>21</v>
      </c>
    </row>
    <row r="4322" spans="1:14" x14ac:dyDescent="0.3">
      <c r="A4322">
        <v>2024005320</v>
      </c>
      <c r="B4322" s="1">
        <v>45657</v>
      </c>
      <c r="C4322" s="11">
        <f t="shared" si="201"/>
        <v>2024</v>
      </c>
      <c r="D4322" t="s">
        <v>104</v>
      </c>
      <c r="E4322" t="s">
        <v>34</v>
      </c>
      <c r="F4322" t="s">
        <v>35</v>
      </c>
      <c r="G4322" t="s">
        <v>36</v>
      </c>
      <c r="H4322">
        <v>1</v>
      </c>
      <c r="I4322" s="2">
        <v>14.56</v>
      </c>
      <c r="J4322" s="2">
        <v>14.56</v>
      </c>
      <c r="K4322" s="2">
        <f t="shared" si="202"/>
        <v>14.56</v>
      </c>
      <c r="L4322" s="2">
        <f t="shared" si="203"/>
        <v>0</v>
      </c>
      <c r="M4322" t="s">
        <v>31</v>
      </c>
      <c r="N4322" t="s">
        <v>21</v>
      </c>
    </row>
    <row r="4323" spans="1:14" x14ac:dyDescent="0.3">
      <c r="A4323">
        <v>2024005321</v>
      </c>
      <c r="B4323" s="1">
        <v>45439</v>
      </c>
      <c r="C4323" s="11">
        <f t="shared" si="201"/>
        <v>2024</v>
      </c>
      <c r="D4323" t="s">
        <v>203</v>
      </c>
      <c r="E4323" t="s">
        <v>34</v>
      </c>
      <c r="F4323" t="s">
        <v>35</v>
      </c>
      <c r="G4323" t="s">
        <v>36</v>
      </c>
      <c r="H4323">
        <v>1</v>
      </c>
      <c r="I4323" s="2">
        <v>15.62</v>
      </c>
      <c r="J4323" s="2">
        <v>15.62</v>
      </c>
      <c r="K4323" s="2">
        <f t="shared" si="202"/>
        <v>15.62</v>
      </c>
      <c r="L4323" s="2">
        <f t="shared" si="203"/>
        <v>0</v>
      </c>
      <c r="M4323" t="s">
        <v>20</v>
      </c>
      <c r="N4323" t="s">
        <v>26</v>
      </c>
    </row>
    <row r="4324" spans="1:14" x14ac:dyDescent="0.3">
      <c r="A4324">
        <v>2024005322</v>
      </c>
      <c r="B4324" s="1">
        <v>45346</v>
      </c>
      <c r="C4324" s="11">
        <f t="shared" si="201"/>
        <v>2024</v>
      </c>
      <c r="D4324" t="s">
        <v>270</v>
      </c>
      <c r="E4324" t="s">
        <v>28</v>
      </c>
      <c r="F4324" t="s">
        <v>29</v>
      </c>
      <c r="G4324" t="s">
        <v>30</v>
      </c>
      <c r="H4324">
        <v>1</v>
      </c>
      <c r="I4324" s="2">
        <v>26.41</v>
      </c>
      <c r="J4324" s="2">
        <v>26.41</v>
      </c>
      <c r="K4324" s="2">
        <f t="shared" si="202"/>
        <v>26.41</v>
      </c>
      <c r="L4324" s="2">
        <f t="shared" si="203"/>
        <v>0</v>
      </c>
      <c r="M4324" t="s">
        <v>57</v>
      </c>
      <c r="N4324" t="s">
        <v>32</v>
      </c>
    </row>
    <row r="4325" spans="1:14" x14ac:dyDescent="0.3">
      <c r="A4325">
        <v>2024005323</v>
      </c>
      <c r="B4325" s="1">
        <v>45340</v>
      </c>
      <c r="C4325" s="11">
        <f t="shared" si="201"/>
        <v>2024</v>
      </c>
      <c r="D4325" t="s">
        <v>255</v>
      </c>
      <c r="E4325" t="s">
        <v>67</v>
      </c>
      <c r="F4325" t="s">
        <v>68</v>
      </c>
      <c r="G4325" t="s">
        <v>36</v>
      </c>
      <c r="H4325">
        <v>2</v>
      </c>
      <c r="I4325" s="2">
        <v>410.72</v>
      </c>
      <c r="J4325" s="2">
        <v>821.44</v>
      </c>
      <c r="K4325" s="2">
        <f t="shared" si="202"/>
        <v>821.44</v>
      </c>
      <c r="L4325" s="2">
        <f t="shared" si="203"/>
        <v>0</v>
      </c>
      <c r="M4325" t="s">
        <v>57</v>
      </c>
      <c r="N4325" t="s">
        <v>32</v>
      </c>
    </row>
    <row r="4326" spans="1:14" x14ac:dyDescent="0.3">
      <c r="A4326">
        <v>2024005324</v>
      </c>
      <c r="B4326" s="1">
        <v>45413</v>
      </c>
      <c r="C4326" s="11">
        <f t="shared" si="201"/>
        <v>2024</v>
      </c>
      <c r="D4326" t="s">
        <v>185</v>
      </c>
      <c r="E4326" t="s">
        <v>40</v>
      </c>
      <c r="F4326" t="s">
        <v>41</v>
      </c>
      <c r="G4326" t="s">
        <v>36</v>
      </c>
      <c r="H4326">
        <v>1</v>
      </c>
      <c r="I4326" s="2">
        <v>43.84</v>
      </c>
      <c r="J4326" s="2">
        <v>43.84</v>
      </c>
      <c r="K4326" s="2">
        <f t="shared" si="202"/>
        <v>43.84</v>
      </c>
      <c r="L4326" s="2">
        <f t="shared" si="203"/>
        <v>0</v>
      </c>
      <c r="M4326" t="s">
        <v>15</v>
      </c>
      <c r="N4326" t="s">
        <v>16</v>
      </c>
    </row>
    <row r="4327" spans="1:14" x14ac:dyDescent="0.3">
      <c r="A4327">
        <v>2024005325</v>
      </c>
      <c r="B4327" s="1">
        <v>45588</v>
      </c>
      <c r="C4327" s="11">
        <f t="shared" si="201"/>
        <v>2024</v>
      </c>
      <c r="D4327" t="s">
        <v>231</v>
      </c>
      <c r="E4327" t="s">
        <v>34</v>
      </c>
      <c r="F4327" t="s">
        <v>35</v>
      </c>
      <c r="G4327" t="s">
        <v>36</v>
      </c>
      <c r="H4327">
        <v>1</v>
      </c>
      <c r="I4327" s="2">
        <v>15.11</v>
      </c>
      <c r="J4327" s="2">
        <v>15.11</v>
      </c>
      <c r="K4327" s="2">
        <f t="shared" si="202"/>
        <v>15.11</v>
      </c>
      <c r="L4327" s="2">
        <f t="shared" si="203"/>
        <v>0</v>
      </c>
      <c r="M4327" t="s">
        <v>15</v>
      </c>
      <c r="N4327" t="s">
        <v>32</v>
      </c>
    </row>
    <row r="4328" spans="1:14" x14ac:dyDescent="0.3">
      <c r="A4328">
        <v>2024005326</v>
      </c>
      <c r="B4328" s="1">
        <v>45341</v>
      </c>
      <c r="C4328" s="11">
        <f t="shared" si="201"/>
        <v>2024</v>
      </c>
      <c r="D4328" t="s">
        <v>341</v>
      </c>
      <c r="E4328" t="s">
        <v>18</v>
      </c>
      <c r="F4328" t="s">
        <v>19</v>
      </c>
      <c r="G4328" t="s">
        <v>14</v>
      </c>
      <c r="H4328">
        <v>2</v>
      </c>
      <c r="I4328" s="2">
        <v>599.11</v>
      </c>
      <c r="J4328" s="2">
        <v>1198.22</v>
      </c>
      <c r="K4328" s="2">
        <f t="shared" si="202"/>
        <v>1198.22</v>
      </c>
      <c r="L4328" s="2">
        <f t="shared" si="203"/>
        <v>0</v>
      </c>
      <c r="M4328" t="s">
        <v>57</v>
      </c>
      <c r="N4328" t="s">
        <v>32</v>
      </c>
    </row>
    <row r="4329" spans="1:14" x14ac:dyDescent="0.3">
      <c r="A4329">
        <v>2024005327</v>
      </c>
      <c r="B4329" s="1">
        <v>45329</v>
      </c>
      <c r="C4329" s="11">
        <f t="shared" si="201"/>
        <v>2024</v>
      </c>
      <c r="D4329" t="s">
        <v>177</v>
      </c>
      <c r="E4329" t="s">
        <v>18</v>
      </c>
      <c r="F4329" t="s">
        <v>19</v>
      </c>
      <c r="G4329" t="s">
        <v>14</v>
      </c>
      <c r="H4329">
        <v>1</v>
      </c>
      <c r="I4329" s="2">
        <v>560.05999999999995</v>
      </c>
      <c r="J4329" s="2">
        <v>560.05999999999995</v>
      </c>
      <c r="K4329" s="2">
        <f t="shared" si="202"/>
        <v>560.05999999999995</v>
      </c>
      <c r="L4329" s="2">
        <f t="shared" si="203"/>
        <v>0</v>
      </c>
      <c r="M4329" t="s">
        <v>38</v>
      </c>
      <c r="N4329" t="s">
        <v>32</v>
      </c>
    </row>
    <row r="4330" spans="1:14" x14ac:dyDescent="0.3">
      <c r="A4330">
        <v>2024005328</v>
      </c>
      <c r="B4330" s="1">
        <v>45471</v>
      </c>
      <c r="C4330" s="11">
        <f t="shared" si="201"/>
        <v>2024</v>
      </c>
      <c r="D4330" t="s">
        <v>123</v>
      </c>
      <c r="E4330" t="s">
        <v>43</v>
      </c>
      <c r="F4330" t="s">
        <v>44</v>
      </c>
      <c r="G4330" t="s">
        <v>36</v>
      </c>
      <c r="H4330">
        <v>2</v>
      </c>
      <c r="I4330" s="2">
        <v>1124.1300000000001</v>
      </c>
      <c r="J4330" s="2">
        <v>2248.2600000000002</v>
      </c>
      <c r="K4330" s="2">
        <f t="shared" si="202"/>
        <v>2248.2600000000002</v>
      </c>
      <c r="L4330" s="2">
        <f t="shared" si="203"/>
        <v>0</v>
      </c>
      <c r="M4330" t="s">
        <v>48</v>
      </c>
      <c r="N4330" t="s">
        <v>16</v>
      </c>
    </row>
    <row r="4331" spans="1:14" x14ac:dyDescent="0.3">
      <c r="A4331">
        <v>2024005329</v>
      </c>
      <c r="B4331" s="1">
        <v>45479</v>
      </c>
      <c r="C4331" s="11">
        <f t="shared" si="201"/>
        <v>2024</v>
      </c>
      <c r="D4331" t="s">
        <v>69</v>
      </c>
      <c r="E4331" t="s">
        <v>46</v>
      </c>
      <c r="F4331" t="s">
        <v>47</v>
      </c>
      <c r="G4331" t="s">
        <v>36</v>
      </c>
      <c r="H4331">
        <v>2</v>
      </c>
      <c r="I4331" s="2">
        <v>93.25</v>
      </c>
      <c r="J4331" s="2">
        <v>186.5</v>
      </c>
      <c r="K4331" s="2">
        <f t="shared" si="202"/>
        <v>186.5</v>
      </c>
      <c r="L4331" s="2">
        <f t="shared" si="203"/>
        <v>0</v>
      </c>
      <c r="M4331" t="s">
        <v>38</v>
      </c>
      <c r="N4331" t="s">
        <v>32</v>
      </c>
    </row>
    <row r="4332" spans="1:14" x14ac:dyDescent="0.3">
      <c r="A4332">
        <v>2024005330</v>
      </c>
      <c r="B4332" s="1">
        <v>45577</v>
      </c>
      <c r="C4332" s="11">
        <f t="shared" si="201"/>
        <v>2024</v>
      </c>
      <c r="D4332" t="s">
        <v>302</v>
      </c>
      <c r="E4332" t="s">
        <v>53</v>
      </c>
      <c r="F4332" t="s">
        <v>54</v>
      </c>
      <c r="G4332" t="s">
        <v>36</v>
      </c>
      <c r="H4332">
        <v>1</v>
      </c>
      <c r="I4332" s="2">
        <v>116.59</v>
      </c>
      <c r="J4332" s="2">
        <v>116.59</v>
      </c>
      <c r="K4332" s="2">
        <f t="shared" si="202"/>
        <v>116.59</v>
      </c>
      <c r="L4332" s="2">
        <f t="shared" si="203"/>
        <v>0</v>
      </c>
      <c r="M4332" t="s">
        <v>55</v>
      </c>
      <c r="N4332" t="s">
        <v>21</v>
      </c>
    </row>
    <row r="4333" spans="1:14" x14ac:dyDescent="0.3">
      <c r="A4333">
        <v>2024005331</v>
      </c>
      <c r="B4333" s="1">
        <v>45315</v>
      </c>
      <c r="C4333" s="11">
        <f t="shared" si="201"/>
        <v>2024</v>
      </c>
      <c r="D4333" t="s">
        <v>275</v>
      </c>
      <c r="E4333" t="s">
        <v>46</v>
      </c>
      <c r="F4333" t="s">
        <v>47</v>
      </c>
      <c r="G4333" t="s">
        <v>36</v>
      </c>
      <c r="H4333">
        <v>2</v>
      </c>
      <c r="I4333" s="2">
        <v>87.17</v>
      </c>
      <c r="J4333" s="2">
        <v>174.34</v>
      </c>
      <c r="K4333" s="2">
        <f t="shared" si="202"/>
        <v>174.34</v>
      </c>
      <c r="L4333" s="2">
        <f t="shared" si="203"/>
        <v>0</v>
      </c>
      <c r="M4333" t="s">
        <v>20</v>
      </c>
      <c r="N4333" t="s">
        <v>16</v>
      </c>
    </row>
    <row r="4334" spans="1:14" x14ac:dyDescent="0.3">
      <c r="A4334">
        <v>2024005332</v>
      </c>
      <c r="B4334" s="1">
        <v>45634</v>
      </c>
      <c r="C4334" s="11">
        <f t="shared" si="201"/>
        <v>2024</v>
      </c>
      <c r="D4334" t="s">
        <v>283</v>
      </c>
      <c r="E4334" t="s">
        <v>28</v>
      </c>
      <c r="F4334" t="s">
        <v>29</v>
      </c>
      <c r="G4334" t="s">
        <v>30</v>
      </c>
      <c r="H4334">
        <v>2</v>
      </c>
      <c r="I4334" s="2">
        <v>25.33</v>
      </c>
      <c r="J4334" s="2">
        <v>50.66</v>
      </c>
      <c r="K4334" s="2">
        <f t="shared" si="202"/>
        <v>50.66</v>
      </c>
      <c r="L4334" s="2">
        <f t="shared" si="203"/>
        <v>0</v>
      </c>
      <c r="M4334" t="s">
        <v>20</v>
      </c>
      <c r="N4334" t="s">
        <v>21</v>
      </c>
    </row>
    <row r="4335" spans="1:14" x14ac:dyDescent="0.3">
      <c r="A4335">
        <v>2024005333</v>
      </c>
      <c r="B4335" s="1">
        <v>45538</v>
      </c>
      <c r="C4335" s="11">
        <f t="shared" si="201"/>
        <v>2024</v>
      </c>
      <c r="D4335" t="s">
        <v>118</v>
      </c>
      <c r="E4335" t="s">
        <v>28</v>
      </c>
      <c r="F4335" t="s">
        <v>29</v>
      </c>
      <c r="G4335" t="s">
        <v>30</v>
      </c>
      <c r="H4335">
        <v>1</v>
      </c>
      <c r="I4335" s="2">
        <v>24.82</v>
      </c>
      <c r="J4335" s="2">
        <v>24.82</v>
      </c>
      <c r="K4335" s="2">
        <f t="shared" si="202"/>
        <v>24.82</v>
      </c>
      <c r="L4335" s="2">
        <f t="shared" si="203"/>
        <v>0</v>
      </c>
      <c r="M4335" t="s">
        <v>48</v>
      </c>
      <c r="N4335" t="s">
        <v>26</v>
      </c>
    </row>
    <row r="4336" spans="1:14" x14ac:dyDescent="0.3">
      <c r="A4336">
        <v>2024005334</v>
      </c>
      <c r="B4336" s="1">
        <v>45296</v>
      </c>
      <c r="C4336" s="11">
        <f t="shared" si="201"/>
        <v>2024</v>
      </c>
      <c r="D4336" t="s">
        <v>251</v>
      </c>
      <c r="E4336" t="s">
        <v>67</v>
      </c>
      <c r="F4336" t="s">
        <v>68</v>
      </c>
      <c r="G4336" t="s">
        <v>36</v>
      </c>
      <c r="H4336">
        <v>1</v>
      </c>
      <c r="I4336" s="2">
        <v>375.98</v>
      </c>
      <c r="J4336" s="2">
        <v>375.98</v>
      </c>
      <c r="K4336" s="2">
        <f t="shared" si="202"/>
        <v>375.98</v>
      </c>
      <c r="L4336" s="2">
        <f t="shared" si="203"/>
        <v>0</v>
      </c>
      <c r="M4336" t="s">
        <v>64</v>
      </c>
      <c r="N4336" t="s">
        <v>21</v>
      </c>
    </row>
    <row r="4337" spans="1:14" x14ac:dyDescent="0.3">
      <c r="A4337">
        <v>2024005335</v>
      </c>
      <c r="B4337" s="1">
        <v>45381</v>
      </c>
      <c r="C4337" s="11">
        <f t="shared" si="201"/>
        <v>2024</v>
      </c>
      <c r="D4337" t="s">
        <v>42</v>
      </c>
      <c r="E4337" t="s">
        <v>46</v>
      </c>
      <c r="F4337" t="s">
        <v>47</v>
      </c>
      <c r="G4337" t="s">
        <v>36</v>
      </c>
      <c r="H4337">
        <v>5</v>
      </c>
      <c r="I4337" s="2">
        <v>86.23</v>
      </c>
      <c r="J4337" s="2">
        <v>431.15</v>
      </c>
      <c r="K4337" s="2">
        <f t="shared" si="202"/>
        <v>431.15000000000003</v>
      </c>
      <c r="L4337" s="2">
        <f t="shared" si="203"/>
        <v>0</v>
      </c>
      <c r="M4337" t="s">
        <v>57</v>
      </c>
      <c r="N4337" t="s">
        <v>21</v>
      </c>
    </row>
    <row r="4338" spans="1:14" x14ac:dyDescent="0.3">
      <c r="A4338">
        <v>2024005336</v>
      </c>
      <c r="B4338" s="1">
        <v>45359</v>
      </c>
      <c r="C4338" s="11">
        <f t="shared" si="201"/>
        <v>2024</v>
      </c>
      <c r="D4338" t="s">
        <v>231</v>
      </c>
      <c r="E4338" t="s">
        <v>40</v>
      </c>
      <c r="F4338" t="s">
        <v>41</v>
      </c>
      <c r="G4338" t="s">
        <v>36</v>
      </c>
      <c r="H4338">
        <v>1</v>
      </c>
      <c r="I4338" s="2">
        <v>44.84</v>
      </c>
      <c r="J4338" s="2">
        <v>44.84</v>
      </c>
      <c r="K4338" s="2">
        <f t="shared" si="202"/>
        <v>44.84</v>
      </c>
      <c r="L4338" s="2">
        <f t="shared" si="203"/>
        <v>0</v>
      </c>
      <c r="M4338" t="s">
        <v>20</v>
      </c>
      <c r="N4338" t="s">
        <v>16</v>
      </c>
    </row>
    <row r="4339" spans="1:14" x14ac:dyDescent="0.3">
      <c r="A4339">
        <v>2024005337</v>
      </c>
      <c r="B4339" s="1">
        <v>45569</v>
      </c>
      <c r="C4339" s="11">
        <f t="shared" si="201"/>
        <v>2024</v>
      </c>
      <c r="D4339" t="s">
        <v>320</v>
      </c>
      <c r="E4339" t="s">
        <v>43</v>
      </c>
      <c r="F4339" t="s">
        <v>44</v>
      </c>
      <c r="G4339" t="s">
        <v>36</v>
      </c>
      <c r="H4339">
        <v>1</v>
      </c>
      <c r="I4339" s="2">
        <v>1306.99</v>
      </c>
      <c r="J4339" s="2">
        <v>1306.99</v>
      </c>
      <c r="K4339" s="2">
        <f t="shared" si="202"/>
        <v>1306.99</v>
      </c>
      <c r="L4339" s="2">
        <f t="shared" si="203"/>
        <v>0</v>
      </c>
      <c r="M4339" t="s">
        <v>61</v>
      </c>
      <c r="N4339" t="s">
        <v>21</v>
      </c>
    </row>
    <row r="4340" spans="1:14" x14ac:dyDescent="0.3">
      <c r="A4340">
        <v>2024005338</v>
      </c>
      <c r="B4340" s="1">
        <v>45602</v>
      </c>
      <c r="C4340" s="11">
        <f t="shared" si="201"/>
        <v>2024</v>
      </c>
      <c r="D4340" t="s">
        <v>11</v>
      </c>
      <c r="E4340" t="s">
        <v>67</v>
      </c>
      <c r="F4340" t="s">
        <v>68</v>
      </c>
      <c r="G4340" t="s">
        <v>36</v>
      </c>
      <c r="H4340">
        <v>4</v>
      </c>
      <c r="I4340" s="2">
        <v>386</v>
      </c>
      <c r="J4340" s="2">
        <v>1544</v>
      </c>
      <c r="K4340" s="2">
        <f t="shared" si="202"/>
        <v>1544</v>
      </c>
      <c r="L4340" s="2">
        <f t="shared" si="203"/>
        <v>0</v>
      </c>
      <c r="M4340" t="s">
        <v>31</v>
      </c>
      <c r="N4340" t="s">
        <v>21</v>
      </c>
    </row>
    <row r="4341" spans="1:14" x14ac:dyDescent="0.3">
      <c r="A4341">
        <v>2024005339</v>
      </c>
      <c r="B4341" s="1">
        <v>45416</v>
      </c>
      <c r="C4341" s="11">
        <f t="shared" si="201"/>
        <v>2024</v>
      </c>
      <c r="D4341" t="s">
        <v>144</v>
      </c>
      <c r="E4341" t="s">
        <v>18</v>
      </c>
      <c r="F4341" t="s">
        <v>19</v>
      </c>
      <c r="G4341" t="s">
        <v>14</v>
      </c>
      <c r="H4341">
        <v>1</v>
      </c>
      <c r="I4341" s="2">
        <v>580.52</v>
      </c>
      <c r="J4341" s="2">
        <v>580.52</v>
      </c>
      <c r="K4341" s="2">
        <f t="shared" si="202"/>
        <v>580.52</v>
      </c>
      <c r="L4341" s="2">
        <f t="shared" si="203"/>
        <v>0</v>
      </c>
      <c r="M4341" t="s">
        <v>25</v>
      </c>
      <c r="N4341" t="s">
        <v>26</v>
      </c>
    </row>
    <row r="4342" spans="1:14" x14ac:dyDescent="0.3">
      <c r="A4342">
        <v>2024005340</v>
      </c>
      <c r="B4342" s="1">
        <v>45292</v>
      </c>
      <c r="C4342" s="11">
        <f t="shared" si="201"/>
        <v>2024</v>
      </c>
      <c r="D4342" t="s">
        <v>286</v>
      </c>
      <c r="E4342" t="s">
        <v>28</v>
      </c>
      <c r="F4342" t="s">
        <v>29</v>
      </c>
      <c r="G4342" t="s">
        <v>30</v>
      </c>
      <c r="H4342">
        <v>1</v>
      </c>
      <c r="I4342" s="2">
        <v>26.56</v>
      </c>
      <c r="J4342" s="2">
        <v>26.56</v>
      </c>
      <c r="K4342" s="2">
        <f t="shared" si="202"/>
        <v>26.56</v>
      </c>
      <c r="L4342" s="2">
        <f t="shared" si="203"/>
        <v>0</v>
      </c>
      <c r="M4342" t="s">
        <v>25</v>
      </c>
      <c r="N4342" t="s">
        <v>26</v>
      </c>
    </row>
    <row r="4343" spans="1:14" x14ac:dyDescent="0.3">
      <c r="A4343">
        <v>2024005341</v>
      </c>
      <c r="B4343" s="1">
        <v>45529</v>
      </c>
      <c r="C4343" s="11">
        <f t="shared" si="201"/>
        <v>2024</v>
      </c>
      <c r="D4343" t="s">
        <v>209</v>
      </c>
      <c r="E4343" t="s">
        <v>53</v>
      </c>
      <c r="F4343" t="s">
        <v>54</v>
      </c>
      <c r="G4343" t="s">
        <v>36</v>
      </c>
      <c r="H4343">
        <v>1</v>
      </c>
      <c r="I4343" s="2">
        <v>112.96</v>
      </c>
      <c r="J4343" s="2">
        <v>112.96</v>
      </c>
      <c r="K4343" s="2">
        <f t="shared" si="202"/>
        <v>112.96</v>
      </c>
      <c r="L4343" s="2">
        <f t="shared" si="203"/>
        <v>0</v>
      </c>
      <c r="M4343" t="s">
        <v>64</v>
      </c>
      <c r="N4343" t="s">
        <v>32</v>
      </c>
    </row>
    <row r="4344" spans="1:14" x14ac:dyDescent="0.3">
      <c r="A4344">
        <v>2024005342</v>
      </c>
      <c r="B4344" s="1">
        <v>45634</v>
      </c>
      <c r="C4344" s="11">
        <f t="shared" si="201"/>
        <v>2024</v>
      </c>
      <c r="D4344" t="s">
        <v>273</v>
      </c>
      <c r="E4344" t="s">
        <v>40</v>
      </c>
      <c r="F4344" t="s">
        <v>41</v>
      </c>
      <c r="G4344" t="s">
        <v>36</v>
      </c>
      <c r="H4344">
        <v>2</v>
      </c>
      <c r="I4344" s="2">
        <v>43.23</v>
      </c>
      <c r="J4344" s="2">
        <v>86.46</v>
      </c>
      <c r="K4344" s="2">
        <f t="shared" si="202"/>
        <v>86.46</v>
      </c>
      <c r="L4344" s="2">
        <f t="shared" si="203"/>
        <v>0</v>
      </c>
      <c r="M4344" t="s">
        <v>31</v>
      </c>
      <c r="N4344" t="s">
        <v>16</v>
      </c>
    </row>
    <row r="4345" spans="1:14" x14ac:dyDescent="0.3">
      <c r="A4345">
        <v>2024005343</v>
      </c>
      <c r="B4345" s="1">
        <v>45329</v>
      </c>
      <c r="C4345" s="11">
        <f t="shared" si="201"/>
        <v>2024</v>
      </c>
      <c r="D4345" t="s">
        <v>272</v>
      </c>
      <c r="E4345" t="s">
        <v>53</v>
      </c>
      <c r="F4345" t="s">
        <v>54</v>
      </c>
      <c r="G4345" t="s">
        <v>36</v>
      </c>
      <c r="H4345">
        <v>1</v>
      </c>
      <c r="I4345" s="2">
        <v>126.76</v>
      </c>
      <c r="J4345" s="2">
        <v>126.76</v>
      </c>
      <c r="K4345" s="2">
        <f t="shared" si="202"/>
        <v>126.76</v>
      </c>
      <c r="L4345" s="2">
        <f t="shared" si="203"/>
        <v>0</v>
      </c>
      <c r="M4345" t="s">
        <v>38</v>
      </c>
      <c r="N4345" t="s">
        <v>32</v>
      </c>
    </row>
    <row r="4346" spans="1:14" x14ac:dyDescent="0.3">
      <c r="A4346">
        <v>2024005344</v>
      </c>
      <c r="B4346" s="1">
        <v>45307</v>
      </c>
      <c r="C4346" s="11">
        <f t="shared" si="201"/>
        <v>2024</v>
      </c>
      <c r="D4346" t="s">
        <v>214</v>
      </c>
      <c r="E4346" t="s">
        <v>40</v>
      </c>
      <c r="F4346" t="s">
        <v>41</v>
      </c>
      <c r="G4346" t="s">
        <v>36</v>
      </c>
      <c r="H4346">
        <v>3</v>
      </c>
      <c r="I4346" s="2">
        <v>44.97</v>
      </c>
      <c r="J4346" s="2">
        <v>134.91</v>
      </c>
      <c r="K4346" s="2">
        <f t="shared" si="202"/>
        <v>134.91</v>
      </c>
      <c r="L4346" s="2">
        <f t="shared" si="203"/>
        <v>0</v>
      </c>
      <c r="M4346" t="s">
        <v>15</v>
      </c>
      <c r="N4346" t="s">
        <v>32</v>
      </c>
    </row>
    <row r="4347" spans="1:14" x14ac:dyDescent="0.3">
      <c r="A4347">
        <v>2024005345</v>
      </c>
      <c r="B4347" s="1">
        <v>45320</v>
      </c>
      <c r="C4347" s="11">
        <f t="shared" si="201"/>
        <v>2024</v>
      </c>
      <c r="D4347" t="s">
        <v>266</v>
      </c>
      <c r="E4347" t="s">
        <v>34</v>
      </c>
      <c r="F4347" t="s">
        <v>35</v>
      </c>
      <c r="G4347" t="s">
        <v>36</v>
      </c>
      <c r="H4347">
        <v>2</v>
      </c>
      <c r="I4347" s="2">
        <v>16.18</v>
      </c>
      <c r="J4347" s="2">
        <v>32.36</v>
      </c>
      <c r="K4347" s="2">
        <f t="shared" si="202"/>
        <v>32.36</v>
      </c>
      <c r="L4347" s="2">
        <f t="shared" si="203"/>
        <v>0</v>
      </c>
      <c r="M4347" t="s">
        <v>15</v>
      </c>
      <c r="N4347" t="s">
        <v>16</v>
      </c>
    </row>
    <row r="4348" spans="1:14" x14ac:dyDescent="0.3">
      <c r="A4348">
        <v>2024005346</v>
      </c>
      <c r="B4348" s="1">
        <v>45426</v>
      </c>
      <c r="C4348" s="11">
        <f t="shared" si="201"/>
        <v>2024</v>
      </c>
      <c r="D4348" t="s">
        <v>296</v>
      </c>
      <c r="E4348" t="s">
        <v>40</v>
      </c>
      <c r="F4348" t="s">
        <v>41</v>
      </c>
      <c r="G4348" t="s">
        <v>36</v>
      </c>
      <c r="H4348">
        <v>3</v>
      </c>
      <c r="I4348" s="2">
        <v>43.47</v>
      </c>
      <c r="J4348" s="2">
        <v>130.41</v>
      </c>
      <c r="K4348" s="2">
        <f t="shared" si="202"/>
        <v>130.41</v>
      </c>
      <c r="L4348" s="2">
        <f t="shared" si="203"/>
        <v>0</v>
      </c>
      <c r="M4348" t="s">
        <v>64</v>
      </c>
      <c r="N4348" t="s">
        <v>16</v>
      </c>
    </row>
    <row r="4349" spans="1:14" x14ac:dyDescent="0.3">
      <c r="A4349">
        <v>2024005347</v>
      </c>
      <c r="B4349" s="1">
        <v>45657</v>
      </c>
      <c r="C4349" s="11">
        <f t="shared" si="201"/>
        <v>2024</v>
      </c>
      <c r="D4349" t="s">
        <v>321</v>
      </c>
      <c r="E4349" t="s">
        <v>40</v>
      </c>
      <c r="F4349" t="s">
        <v>41</v>
      </c>
      <c r="G4349" t="s">
        <v>36</v>
      </c>
      <c r="H4349">
        <v>1</v>
      </c>
      <c r="I4349" s="2">
        <v>45.65</v>
      </c>
      <c r="J4349" s="2">
        <v>45.65</v>
      </c>
      <c r="K4349" s="2">
        <f t="shared" si="202"/>
        <v>45.65</v>
      </c>
      <c r="L4349" s="2">
        <f t="shared" si="203"/>
        <v>0</v>
      </c>
      <c r="M4349" t="s">
        <v>20</v>
      </c>
      <c r="N4349" t="s">
        <v>32</v>
      </c>
    </row>
    <row r="4350" spans="1:14" x14ac:dyDescent="0.3">
      <c r="A4350">
        <v>2024005348</v>
      </c>
      <c r="B4350" s="1">
        <v>45576</v>
      </c>
      <c r="C4350" s="11">
        <f t="shared" si="201"/>
        <v>2024</v>
      </c>
      <c r="D4350" t="s">
        <v>195</v>
      </c>
      <c r="E4350" t="s">
        <v>40</v>
      </c>
      <c r="F4350" t="s">
        <v>41</v>
      </c>
      <c r="G4350" t="s">
        <v>36</v>
      </c>
      <c r="H4350">
        <v>1</v>
      </c>
      <c r="I4350" s="2">
        <v>42.51</v>
      </c>
      <c r="J4350" s="2">
        <v>42.51</v>
      </c>
      <c r="K4350" s="2">
        <f t="shared" si="202"/>
        <v>42.51</v>
      </c>
      <c r="L4350" s="2">
        <f t="shared" si="203"/>
        <v>0</v>
      </c>
      <c r="M4350" t="s">
        <v>57</v>
      </c>
      <c r="N4350" t="s">
        <v>32</v>
      </c>
    </row>
    <row r="4351" spans="1:14" x14ac:dyDescent="0.3">
      <c r="A4351">
        <v>2024005349</v>
      </c>
      <c r="B4351" s="1">
        <v>45343</v>
      </c>
      <c r="C4351" s="11">
        <f t="shared" si="201"/>
        <v>2024</v>
      </c>
      <c r="D4351" t="s">
        <v>109</v>
      </c>
      <c r="E4351" t="s">
        <v>23</v>
      </c>
      <c r="F4351" t="s">
        <v>24</v>
      </c>
      <c r="G4351" t="s">
        <v>14</v>
      </c>
      <c r="H4351">
        <v>2</v>
      </c>
      <c r="I4351" s="2">
        <v>83.44</v>
      </c>
      <c r="J4351" s="2">
        <v>166.88</v>
      </c>
      <c r="K4351" s="2">
        <f t="shared" si="202"/>
        <v>166.88</v>
      </c>
      <c r="L4351" s="2">
        <f t="shared" si="203"/>
        <v>0</v>
      </c>
      <c r="M4351" t="s">
        <v>20</v>
      </c>
      <c r="N4351" t="s">
        <v>26</v>
      </c>
    </row>
    <row r="4352" spans="1:14" x14ac:dyDescent="0.3">
      <c r="A4352">
        <v>2024005350</v>
      </c>
      <c r="B4352" s="1">
        <v>45431</v>
      </c>
      <c r="C4352" s="11">
        <f t="shared" si="201"/>
        <v>2024</v>
      </c>
      <c r="D4352" t="s">
        <v>266</v>
      </c>
      <c r="E4352" t="s">
        <v>18</v>
      </c>
      <c r="F4352" t="s">
        <v>19</v>
      </c>
      <c r="G4352" t="s">
        <v>14</v>
      </c>
      <c r="H4352">
        <v>1</v>
      </c>
      <c r="I4352" s="2">
        <v>650.49</v>
      </c>
      <c r="J4352" s="2">
        <v>650.49</v>
      </c>
      <c r="K4352" s="2">
        <f t="shared" si="202"/>
        <v>650.49</v>
      </c>
      <c r="L4352" s="2">
        <f t="shared" si="203"/>
        <v>0</v>
      </c>
      <c r="M4352" t="s">
        <v>61</v>
      </c>
      <c r="N4352" t="s">
        <v>26</v>
      </c>
    </row>
    <row r="4353" spans="1:14" x14ac:dyDescent="0.3">
      <c r="A4353">
        <v>2024005351</v>
      </c>
      <c r="B4353" s="1">
        <v>45540</v>
      </c>
      <c r="C4353" s="11">
        <f t="shared" si="201"/>
        <v>2024</v>
      </c>
      <c r="D4353" t="s">
        <v>146</v>
      </c>
      <c r="E4353" t="s">
        <v>23</v>
      </c>
      <c r="F4353" t="s">
        <v>24</v>
      </c>
      <c r="G4353" t="s">
        <v>14</v>
      </c>
      <c r="H4353">
        <v>2</v>
      </c>
      <c r="I4353" s="2">
        <v>82.61</v>
      </c>
      <c r="J4353" s="2">
        <v>165.22</v>
      </c>
      <c r="K4353" s="2">
        <f t="shared" si="202"/>
        <v>165.22</v>
      </c>
      <c r="L4353" s="2">
        <f t="shared" si="203"/>
        <v>0</v>
      </c>
      <c r="M4353" t="s">
        <v>61</v>
      </c>
      <c r="N4353" t="s">
        <v>26</v>
      </c>
    </row>
    <row r="4354" spans="1:14" x14ac:dyDescent="0.3">
      <c r="A4354">
        <v>2024005352</v>
      </c>
      <c r="B4354" s="1">
        <v>45562</v>
      </c>
      <c r="C4354" s="11">
        <f t="shared" si="201"/>
        <v>2024</v>
      </c>
      <c r="D4354" t="s">
        <v>111</v>
      </c>
      <c r="E4354" t="s">
        <v>40</v>
      </c>
      <c r="F4354" t="s">
        <v>41</v>
      </c>
      <c r="G4354" t="s">
        <v>36</v>
      </c>
      <c r="H4354">
        <v>1</v>
      </c>
      <c r="I4354" s="2">
        <v>46.53</v>
      </c>
      <c r="J4354" s="2">
        <v>46.53</v>
      </c>
      <c r="K4354" s="2">
        <f t="shared" si="202"/>
        <v>46.53</v>
      </c>
      <c r="L4354" s="2">
        <f t="shared" si="203"/>
        <v>0</v>
      </c>
      <c r="M4354" t="s">
        <v>20</v>
      </c>
      <c r="N4354" t="s">
        <v>16</v>
      </c>
    </row>
    <row r="4355" spans="1:14" x14ac:dyDescent="0.3">
      <c r="A4355">
        <v>2024005353</v>
      </c>
      <c r="B4355" s="1">
        <v>45409</v>
      </c>
      <c r="C4355" s="11">
        <f t="shared" ref="C4355:C4418" si="204">YEAR(B4355)</f>
        <v>2024</v>
      </c>
      <c r="D4355" t="s">
        <v>145</v>
      </c>
      <c r="E4355" t="s">
        <v>40</v>
      </c>
      <c r="F4355" t="s">
        <v>41</v>
      </c>
      <c r="G4355" t="s">
        <v>36</v>
      </c>
      <c r="H4355">
        <v>1</v>
      </c>
      <c r="I4355" s="2">
        <v>44.11</v>
      </c>
      <c r="J4355" s="2">
        <v>44.11</v>
      </c>
      <c r="K4355" s="2">
        <f t="shared" ref="K4355:K4418" si="205">I4355*H4355</f>
        <v>44.11</v>
      </c>
      <c r="L4355" s="2">
        <f t="shared" ref="L4355:L4418" si="206">J4355-K4355</f>
        <v>0</v>
      </c>
      <c r="M4355" t="s">
        <v>64</v>
      </c>
      <c r="N4355" t="s">
        <v>16</v>
      </c>
    </row>
    <row r="4356" spans="1:14" x14ac:dyDescent="0.3">
      <c r="A4356">
        <v>2024005354</v>
      </c>
      <c r="B4356" s="1">
        <v>45312</v>
      </c>
      <c r="C4356" s="11">
        <f t="shared" si="204"/>
        <v>2024</v>
      </c>
      <c r="D4356" t="s">
        <v>287</v>
      </c>
      <c r="E4356" t="s">
        <v>67</v>
      </c>
      <c r="F4356" t="s">
        <v>68</v>
      </c>
      <c r="G4356" t="s">
        <v>36</v>
      </c>
      <c r="H4356">
        <v>2</v>
      </c>
      <c r="I4356" s="2">
        <v>382.5</v>
      </c>
      <c r="J4356" s="2">
        <v>765</v>
      </c>
      <c r="K4356" s="2">
        <f t="shared" si="205"/>
        <v>765</v>
      </c>
      <c r="L4356" s="2">
        <f t="shared" si="206"/>
        <v>0</v>
      </c>
      <c r="M4356" t="s">
        <v>48</v>
      </c>
      <c r="N4356" t="s">
        <v>16</v>
      </c>
    </row>
    <row r="4357" spans="1:14" x14ac:dyDescent="0.3">
      <c r="A4357">
        <v>2024005355</v>
      </c>
      <c r="B4357" s="1">
        <v>45441</v>
      </c>
      <c r="C4357" s="11">
        <f t="shared" si="204"/>
        <v>2024</v>
      </c>
      <c r="D4357" t="s">
        <v>106</v>
      </c>
      <c r="E4357" t="s">
        <v>46</v>
      </c>
      <c r="F4357" t="s">
        <v>47</v>
      </c>
      <c r="G4357" t="s">
        <v>36</v>
      </c>
      <c r="H4357">
        <v>1</v>
      </c>
      <c r="I4357" s="2">
        <v>85.61</v>
      </c>
      <c r="J4357" s="2">
        <v>85.61</v>
      </c>
      <c r="K4357" s="2">
        <f t="shared" si="205"/>
        <v>85.61</v>
      </c>
      <c r="L4357" s="2">
        <f t="shared" si="206"/>
        <v>0</v>
      </c>
      <c r="M4357" t="s">
        <v>31</v>
      </c>
      <c r="N4357" t="s">
        <v>32</v>
      </c>
    </row>
    <row r="4358" spans="1:14" x14ac:dyDescent="0.3">
      <c r="A4358">
        <v>2024005356</v>
      </c>
      <c r="B4358" s="1">
        <v>45324</v>
      </c>
      <c r="C4358" s="11">
        <f t="shared" si="204"/>
        <v>2024</v>
      </c>
      <c r="D4358" t="s">
        <v>303</v>
      </c>
      <c r="E4358" t="s">
        <v>12</v>
      </c>
      <c r="F4358" t="s">
        <v>13</v>
      </c>
      <c r="G4358" t="s">
        <v>14</v>
      </c>
      <c r="H4358">
        <v>4</v>
      </c>
      <c r="I4358" s="2">
        <v>369.95</v>
      </c>
      <c r="J4358" s="2">
        <v>1479.8</v>
      </c>
      <c r="K4358" s="2">
        <f t="shared" si="205"/>
        <v>1479.8</v>
      </c>
      <c r="L4358" s="2">
        <f t="shared" si="206"/>
        <v>0</v>
      </c>
      <c r="M4358" t="s">
        <v>31</v>
      </c>
      <c r="N4358" t="s">
        <v>32</v>
      </c>
    </row>
    <row r="4359" spans="1:14" x14ac:dyDescent="0.3">
      <c r="A4359">
        <v>2024005357</v>
      </c>
      <c r="B4359" s="1">
        <v>45383</v>
      </c>
      <c r="C4359" s="11">
        <f t="shared" si="204"/>
        <v>2024</v>
      </c>
      <c r="D4359" t="s">
        <v>11</v>
      </c>
      <c r="E4359" t="s">
        <v>46</v>
      </c>
      <c r="F4359" t="s">
        <v>47</v>
      </c>
      <c r="G4359" t="s">
        <v>36</v>
      </c>
      <c r="H4359">
        <v>1</v>
      </c>
      <c r="I4359" s="2">
        <v>93.61</v>
      </c>
      <c r="J4359" s="2">
        <v>93.61</v>
      </c>
      <c r="K4359" s="2">
        <f t="shared" si="205"/>
        <v>93.61</v>
      </c>
      <c r="L4359" s="2">
        <f t="shared" si="206"/>
        <v>0</v>
      </c>
      <c r="M4359" t="s">
        <v>61</v>
      </c>
      <c r="N4359" t="s">
        <v>21</v>
      </c>
    </row>
    <row r="4360" spans="1:14" x14ac:dyDescent="0.3">
      <c r="A4360">
        <v>2024005358</v>
      </c>
      <c r="B4360" s="1">
        <v>45466</v>
      </c>
      <c r="C4360" s="11">
        <f t="shared" si="204"/>
        <v>2024</v>
      </c>
      <c r="D4360" t="s">
        <v>11</v>
      </c>
      <c r="E4360" t="s">
        <v>23</v>
      </c>
      <c r="F4360" t="s">
        <v>24</v>
      </c>
      <c r="G4360" t="s">
        <v>14</v>
      </c>
      <c r="H4360">
        <v>1</v>
      </c>
      <c r="I4360" s="2">
        <v>77.23</v>
      </c>
      <c r="J4360" s="2">
        <v>77.23</v>
      </c>
      <c r="K4360" s="2">
        <f t="shared" si="205"/>
        <v>77.23</v>
      </c>
      <c r="L4360" s="2">
        <f t="shared" si="206"/>
        <v>0</v>
      </c>
      <c r="M4360" t="s">
        <v>20</v>
      </c>
      <c r="N4360" t="s">
        <v>26</v>
      </c>
    </row>
    <row r="4361" spans="1:14" x14ac:dyDescent="0.3">
      <c r="A4361">
        <v>2024005359</v>
      </c>
      <c r="B4361" s="1">
        <v>45600</v>
      </c>
      <c r="C4361" s="11">
        <f t="shared" si="204"/>
        <v>2024</v>
      </c>
      <c r="D4361" t="s">
        <v>92</v>
      </c>
      <c r="E4361" t="s">
        <v>67</v>
      </c>
      <c r="F4361" t="s">
        <v>68</v>
      </c>
      <c r="G4361" t="s">
        <v>36</v>
      </c>
      <c r="H4361">
        <v>1</v>
      </c>
      <c r="I4361" s="2">
        <v>409.8</v>
      </c>
      <c r="J4361" s="2">
        <v>409.8</v>
      </c>
      <c r="K4361" s="2">
        <f t="shared" si="205"/>
        <v>409.8</v>
      </c>
      <c r="L4361" s="2">
        <f t="shared" si="206"/>
        <v>0</v>
      </c>
      <c r="M4361" t="s">
        <v>57</v>
      </c>
      <c r="N4361" t="s">
        <v>16</v>
      </c>
    </row>
    <row r="4362" spans="1:14" x14ac:dyDescent="0.3">
      <c r="A4362">
        <v>2024005360</v>
      </c>
      <c r="B4362" s="1">
        <v>45558</v>
      </c>
      <c r="C4362" s="11">
        <f t="shared" si="204"/>
        <v>2024</v>
      </c>
      <c r="D4362" t="s">
        <v>11</v>
      </c>
      <c r="E4362" t="s">
        <v>34</v>
      </c>
      <c r="F4362" t="s">
        <v>35</v>
      </c>
      <c r="G4362" t="s">
        <v>36</v>
      </c>
      <c r="H4362">
        <v>2</v>
      </c>
      <c r="I4362" s="2">
        <v>14.58</v>
      </c>
      <c r="J4362" s="2">
        <v>29.16</v>
      </c>
      <c r="K4362" s="2">
        <f t="shared" si="205"/>
        <v>29.16</v>
      </c>
      <c r="L4362" s="2">
        <f t="shared" si="206"/>
        <v>0</v>
      </c>
      <c r="M4362" t="s">
        <v>64</v>
      </c>
      <c r="N4362" t="s">
        <v>32</v>
      </c>
    </row>
    <row r="4363" spans="1:14" x14ac:dyDescent="0.3">
      <c r="A4363">
        <v>2024005361</v>
      </c>
      <c r="B4363" s="1">
        <v>45525</v>
      </c>
      <c r="C4363" s="11">
        <f t="shared" si="204"/>
        <v>2024</v>
      </c>
      <c r="D4363" t="s">
        <v>272</v>
      </c>
      <c r="E4363" t="s">
        <v>28</v>
      </c>
      <c r="F4363" t="s">
        <v>29</v>
      </c>
      <c r="G4363" t="s">
        <v>30</v>
      </c>
      <c r="H4363">
        <v>1</v>
      </c>
      <c r="I4363" s="2">
        <v>25.62</v>
      </c>
      <c r="J4363" s="2">
        <v>25.62</v>
      </c>
      <c r="K4363" s="2">
        <f t="shared" si="205"/>
        <v>25.62</v>
      </c>
      <c r="L4363" s="2">
        <f t="shared" si="206"/>
        <v>0</v>
      </c>
      <c r="M4363" t="s">
        <v>48</v>
      </c>
      <c r="N4363" t="s">
        <v>16</v>
      </c>
    </row>
    <row r="4364" spans="1:14" x14ac:dyDescent="0.3">
      <c r="A4364">
        <v>2024005362</v>
      </c>
      <c r="B4364" s="1">
        <v>45335</v>
      </c>
      <c r="C4364" s="11">
        <f t="shared" si="204"/>
        <v>2024</v>
      </c>
      <c r="D4364" t="s">
        <v>66</v>
      </c>
      <c r="E4364" t="s">
        <v>18</v>
      </c>
      <c r="F4364" t="s">
        <v>19</v>
      </c>
      <c r="G4364" t="s">
        <v>14</v>
      </c>
      <c r="H4364">
        <v>1</v>
      </c>
      <c r="I4364" s="2">
        <v>613.23</v>
      </c>
      <c r="J4364" s="2">
        <v>613.23</v>
      </c>
      <c r="K4364" s="2">
        <f t="shared" si="205"/>
        <v>613.23</v>
      </c>
      <c r="L4364" s="2">
        <f t="shared" si="206"/>
        <v>0</v>
      </c>
      <c r="M4364" t="s">
        <v>31</v>
      </c>
      <c r="N4364" t="s">
        <v>32</v>
      </c>
    </row>
    <row r="4365" spans="1:14" x14ac:dyDescent="0.3">
      <c r="A4365">
        <v>2024005363</v>
      </c>
      <c r="B4365" s="1">
        <v>45354</v>
      </c>
      <c r="C4365" s="11">
        <f t="shared" si="204"/>
        <v>2024</v>
      </c>
      <c r="D4365" t="s">
        <v>197</v>
      </c>
      <c r="E4365" t="s">
        <v>23</v>
      </c>
      <c r="F4365" t="s">
        <v>24</v>
      </c>
      <c r="G4365" t="s">
        <v>14</v>
      </c>
      <c r="H4365">
        <v>0</v>
      </c>
      <c r="I4365" s="2">
        <v>77.040000000000006</v>
      </c>
      <c r="J4365" s="2">
        <v>0</v>
      </c>
      <c r="K4365" s="2">
        <f t="shared" si="205"/>
        <v>0</v>
      </c>
      <c r="L4365" s="2">
        <f t="shared" si="206"/>
        <v>0</v>
      </c>
      <c r="M4365" t="s">
        <v>20</v>
      </c>
      <c r="N4365" t="s">
        <v>32</v>
      </c>
    </row>
    <row r="4366" spans="1:14" x14ac:dyDescent="0.3">
      <c r="A4366">
        <v>2024005364</v>
      </c>
      <c r="B4366" s="1">
        <v>45484</v>
      </c>
      <c r="C4366" s="11">
        <f t="shared" si="204"/>
        <v>2024</v>
      </c>
      <c r="D4366" t="s">
        <v>266</v>
      </c>
      <c r="E4366" t="s">
        <v>53</v>
      </c>
      <c r="F4366" t="s">
        <v>54</v>
      </c>
      <c r="G4366" t="s">
        <v>36</v>
      </c>
      <c r="H4366">
        <v>3</v>
      </c>
      <c r="I4366" s="2">
        <v>124.02</v>
      </c>
      <c r="J4366" s="2">
        <v>372.06</v>
      </c>
      <c r="K4366" s="2">
        <f t="shared" si="205"/>
        <v>372.06</v>
      </c>
      <c r="L4366" s="2">
        <f t="shared" si="206"/>
        <v>0</v>
      </c>
      <c r="M4366" t="s">
        <v>64</v>
      </c>
      <c r="N4366" t="s">
        <v>26</v>
      </c>
    </row>
    <row r="4367" spans="1:14" x14ac:dyDescent="0.3">
      <c r="A4367">
        <v>2024005365</v>
      </c>
      <c r="B4367" s="1">
        <v>45543</v>
      </c>
      <c r="C4367" s="11">
        <f t="shared" si="204"/>
        <v>2024</v>
      </c>
      <c r="D4367" t="s">
        <v>117</v>
      </c>
      <c r="E4367" t="s">
        <v>53</v>
      </c>
      <c r="F4367" t="s">
        <v>54</v>
      </c>
      <c r="G4367" t="s">
        <v>36</v>
      </c>
      <c r="H4367">
        <v>2</v>
      </c>
      <c r="I4367" s="2">
        <v>119.46</v>
      </c>
      <c r="J4367" s="2">
        <v>238.92</v>
      </c>
      <c r="K4367" s="2">
        <f t="shared" si="205"/>
        <v>238.92</v>
      </c>
      <c r="L4367" s="2">
        <f t="shared" si="206"/>
        <v>0</v>
      </c>
      <c r="M4367" t="s">
        <v>61</v>
      </c>
      <c r="N4367" t="s">
        <v>21</v>
      </c>
    </row>
    <row r="4368" spans="1:14" x14ac:dyDescent="0.3">
      <c r="A4368">
        <v>2024005366</v>
      </c>
      <c r="B4368" s="1">
        <v>45406</v>
      </c>
      <c r="C4368" s="11">
        <f t="shared" si="204"/>
        <v>2024</v>
      </c>
      <c r="D4368" t="s">
        <v>134</v>
      </c>
      <c r="E4368" t="s">
        <v>18</v>
      </c>
      <c r="F4368" t="s">
        <v>19</v>
      </c>
      <c r="G4368" t="s">
        <v>14</v>
      </c>
      <c r="H4368">
        <v>1</v>
      </c>
      <c r="I4368" s="2">
        <v>568.07000000000005</v>
      </c>
      <c r="J4368" s="2">
        <v>568.07000000000005</v>
      </c>
      <c r="K4368" s="2">
        <f t="shared" si="205"/>
        <v>568.07000000000005</v>
      </c>
      <c r="L4368" s="2">
        <f t="shared" si="206"/>
        <v>0</v>
      </c>
      <c r="M4368" t="s">
        <v>57</v>
      </c>
      <c r="N4368" t="s">
        <v>16</v>
      </c>
    </row>
    <row r="4369" spans="1:14" x14ac:dyDescent="0.3">
      <c r="A4369">
        <v>2024005367</v>
      </c>
      <c r="B4369" s="1">
        <v>45516</v>
      </c>
      <c r="C4369" s="11">
        <f t="shared" si="204"/>
        <v>2024</v>
      </c>
      <c r="D4369" t="s">
        <v>11</v>
      </c>
      <c r="E4369" t="s">
        <v>67</v>
      </c>
      <c r="F4369" t="s">
        <v>68</v>
      </c>
      <c r="G4369" t="s">
        <v>36</v>
      </c>
      <c r="H4369">
        <v>4</v>
      </c>
      <c r="I4369" s="2">
        <v>413.18</v>
      </c>
      <c r="J4369" s="2">
        <v>1652.72</v>
      </c>
      <c r="K4369" s="2">
        <f t="shared" si="205"/>
        <v>1652.72</v>
      </c>
      <c r="L4369" s="2">
        <f t="shared" si="206"/>
        <v>0</v>
      </c>
      <c r="M4369" t="s">
        <v>48</v>
      </c>
      <c r="N4369" t="s">
        <v>32</v>
      </c>
    </row>
    <row r="4370" spans="1:14" x14ac:dyDescent="0.3">
      <c r="A4370">
        <v>2024005368</v>
      </c>
      <c r="B4370" s="1">
        <v>45482</v>
      </c>
      <c r="C4370" s="11">
        <f t="shared" si="204"/>
        <v>2024</v>
      </c>
      <c r="D4370" t="s">
        <v>147</v>
      </c>
      <c r="E4370" t="s">
        <v>18</v>
      </c>
      <c r="F4370" t="s">
        <v>19</v>
      </c>
      <c r="G4370" t="s">
        <v>14</v>
      </c>
      <c r="H4370">
        <v>1</v>
      </c>
      <c r="I4370" s="2">
        <v>594.54999999999995</v>
      </c>
      <c r="J4370" s="2">
        <v>594.54999999999995</v>
      </c>
      <c r="K4370" s="2">
        <f t="shared" si="205"/>
        <v>594.54999999999995</v>
      </c>
      <c r="L4370" s="2">
        <f t="shared" si="206"/>
        <v>0</v>
      </c>
      <c r="M4370" t="s">
        <v>20</v>
      </c>
      <c r="N4370" t="s">
        <v>26</v>
      </c>
    </row>
    <row r="4371" spans="1:14" x14ac:dyDescent="0.3">
      <c r="A4371">
        <v>2024005369</v>
      </c>
      <c r="B4371" s="1">
        <v>45562</v>
      </c>
      <c r="C4371" s="11">
        <f t="shared" si="204"/>
        <v>2024</v>
      </c>
      <c r="D4371" t="s">
        <v>323</v>
      </c>
      <c r="E4371" t="s">
        <v>23</v>
      </c>
      <c r="F4371" t="s">
        <v>24</v>
      </c>
      <c r="G4371" t="s">
        <v>14</v>
      </c>
      <c r="H4371">
        <v>1</v>
      </c>
      <c r="I4371" s="2">
        <v>73.98</v>
      </c>
      <c r="J4371" s="2">
        <v>73.98</v>
      </c>
      <c r="K4371" s="2">
        <f t="shared" si="205"/>
        <v>73.98</v>
      </c>
      <c r="L4371" s="2">
        <f t="shared" si="206"/>
        <v>0</v>
      </c>
      <c r="M4371" t="s">
        <v>20</v>
      </c>
      <c r="N4371" t="s">
        <v>21</v>
      </c>
    </row>
    <row r="4372" spans="1:14" x14ac:dyDescent="0.3">
      <c r="A4372">
        <v>2024005370</v>
      </c>
      <c r="B4372" s="1">
        <v>45426</v>
      </c>
      <c r="C4372" s="11">
        <f t="shared" si="204"/>
        <v>2024</v>
      </c>
      <c r="D4372" t="s">
        <v>11</v>
      </c>
      <c r="E4372" t="s">
        <v>40</v>
      </c>
      <c r="F4372" t="s">
        <v>41</v>
      </c>
      <c r="G4372" t="s">
        <v>36</v>
      </c>
      <c r="H4372">
        <v>2</v>
      </c>
      <c r="I4372" s="2">
        <v>45.55</v>
      </c>
      <c r="J4372" s="2">
        <v>91.1</v>
      </c>
      <c r="K4372" s="2">
        <f t="shared" si="205"/>
        <v>91.1</v>
      </c>
      <c r="L4372" s="2">
        <f t="shared" si="206"/>
        <v>0</v>
      </c>
      <c r="M4372" t="s">
        <v>20</v>
      </c>
      <c r="N4372" t="s">
        <v>21</v>
      </c>
    </row>
    <row r="4373" spans="1:14" x14ac:dyDescent="0.3">
      <c r="A4373">
        <v>2024005371</v>
      </c>
      <c r="B4373" s="1">
        <v>45375</v>
      </c>
      <c r="C4373" s="11">
        <f t="shared" si="204"/>
        <v>2024</v>
      </c>
      <c r="D4373" t="s">
        <v>204</v>
      </c>
      <c r="E4373" t="s">
        <v>43</v>
      </c>
      <c r="F4373" t="s">
        <v>44</v>
      </c>
      <c r="G4373" t="s">
        <v>36</v>
      </c>
      <c r="H4373">
        <v>5</v>
      </c>
      <c r="I4373" s="2">
        <v>1265.9100000000001</v>
      </c>
      <c r="J4373" s="2">
        <v>6329.55</v>
      </c>
      <c r="K4373" s="2">
        <f t="shared" si="205"/>
        <v>6329.55</v>
      </c>
      <c r="L4373" s="2">
        <f t="shared" si="206"/>
        <v>0</v>
      </c>
      <c r="M4373" t="s">
        <v>38</v>
      </c>
      <c r="N4373" t="s">
        <v>21</v>
      </c>
    </row>
    <row r="4374" spans="1:14" x14ac:dyDescent="0.3">
      <c r="A4374">
        <v>2024005372</v>
      </c>
      <c r="B4374" s="1">
        <v>45651</v>
      </c>
      <c r="C4374" s="11">
        <f t="shared" si="204"/>
        <v>2024</v>
      </c>
      <c r="D4374" t="s">
        <v>86</v>
      </c>
      <c r="E4374" t="s">
        <v>18</v>
      </c>
      <c r="F4374" t="s">
        <v>19</v>
      </c>
      <c r="G4374" t="s">
        <v>14</v>
      </c>
      <c r="H4374">
        <v>1</v>
      </c>
      <c r="I4374" s="2">
        <v>547.98</v>
      </c>
      <c r="J4374" s="2">
        <v>547.98</v>
      </c>
      <c r="K4374" s="2">
        <f t="shared" si="205"/>
        <v>547.98</v>
      </c>
      <c r="L4374" s="2">
        <f t="shared" si="206"/>
        <v>0</v>
      </c>
      <c r="M4374" t="s">
        <v>57</v>
      </c>
      <c r="N4374" t="s">
        <v>32</v>
      </c>
    </row>
    <row r="4375" spans="1:14" x14ac:dyDescent="0.3">
      <c r="A4375">
        <v>2024005373</v>
      </c>
      <c r="B4375" s="1">
        <v>45518</v>
      </c>
      <c r="C4375" s="11">
        <f t="shared" si="204"/>
        <v>2024</v>
      </c>
      <c r="D4375" t="s">
        <v>194</v>
      </c>
      <c r="E4375" t="s">
        <v>12</v>
      </c>
      <c r="F4375" t="s">
        <v>13</v>
      </c>
      <c r="G4375" t="s">
        <v>14</v>
      </c>
      <c r="H4375">
        <v>1</v>
      </c>
      <c r="I4375" s="2">
        <v>322.58999999999997</v>
      </c>
      <c r="J4375" s="2">
        <v>322.58999999999997</v>
      </c>
      <c r="K4375" s="2">
        <f t="shared" si="205"/>
        <v>322.58999999999997</v>
      </c>
      <c r="L4375" s="2">
        <f t="shared" si="206"/>
        <v>0</v>
      </c>
      <c r="M4375" t="s">
        <v>55</v>
      </c>
      <c r="N4375" t="s">
        <v>16</v>
      </c>
    </row>
    <row r="4376" spans="1:14" x14ac:dyDescent="0.3">
      <c r="A4376">
        <v>2024005374</v>
      </c>
      <c r="B4376" s="1">
        <v>45653</v>
      </c>
      <c r="C4376" s="11">
        <f t="shared" si="204"/>
        <v>2024</v>
      </c>
      <c r="D4376" t="s">
        <v>155</v>
      </c>
      <c r="E4376" t="s">
        <v>18</v>
      </c>
      <c r="F4376" t="s">
        <v>19</v>
      </c>
      <c r="G4376" t="s">
        <v>14</v>
      </c>
      <c r="H4376">
        <v>2</v>
      </c>
      <c r="I4376" s="2">
        <v>596.03</v>
      </c>
      <c r="J4376" s="2">
        <v>1192.06</v>
      </c>
      <c r="K4376" s="2">
        <f t="shared" si="205"/>
        <v>1192.06</v>
      </c>
      <c r="L4376" s="2">
        <f t="shared" si="206"/>
        <v>0</v>
      </c>
      <c r="M4376" t="s">
        <v>31</v>
      </c>
      <c r="N4376" t="s">
        <v>32</v>
      </c>
    </row>
    <row r="4377" spans="1:14" x14ac:dyDescent="0.3">
      <c r="A4377">
        <v>2024005375</v>
      </c>
      <c r="B4377" s="1">
        <v>45627</v>
      </c>
      <c r="C4377" s="11">
        <f t="shared" si="204"/>
        <v>2024</v>
      </c>
      <c r="D4377" t="s">
        <v>287</v>
      </c>
      <c r="E4377" t="s">
        <v>43</v>
      </c>
      <c r="F4377" t="s">
        <v>44</v>
      </c>
      <c r="G4377" t="s">
        <v>36</v>
      </c>
      <c r="H4377">
        <v>1</v>
      </c>
      <c r="I4377" s="2">
        <v>1222.79</v>
      </c>
      <c r="J4377" s="2">
        <v>1222.79</v>
      </c>
      <c r="K4377" s="2">
        <f t="shared" si="205"/>
        <v>1222.79</v>
      </c>
      <c r="L4377" s="2">
        <f t="shared" si="206"/>
        <v>0</v>
      </c>
      <c r="M4377" t="s">
        <v>55</v>
      </c>
      <c r="N4377" t="s">
        <v>32</v>
      </c>
    </row>
    <row r="4378" spans="1:14" x14ac:dyDescent="0.3">
      <c r="A4378">
        <v>2024005376</v>
      </c>
      <c r="B4378" s="1">
        <v>45333</v>
      </c>
      <c r="C4378" s="11">
        <f t="shared" si="204"/>
        <v>2024</v>
      </c>
      <c r="D4378" t="s">
        <v>202</v>
      </c>
      <c r="E4378" t="s">
        <v>28</v>
      </c>
      <c r="F4378" t="s">
        <v>29</v>
      </c>
      <c r="G4378" t="s">
        <v>30</v>
      </c>
      <c r="H4378">
        <v>2</v>
      </c>
      <c r="I4378" s="2">
        <v>24.77</v>
      </c>
      <c r="J4378" s="2">
        <v>49.54</v>
      </c>
      <c r="K4378" s="2">
        <f t="shared" si="205"/>
        <v>49.54</v>
      </c>
      <c r="L4378" s="2">
        <f t="shared" si="206"/>
        <v>0</v>
      </c>
      <c r="M4378" t="s">
        <v>55</v>
      </c>
      <c r="N4378" t="s">
        <v>16</v>
      </c>
    </row>
    <row r="4379" spans="1:14" x14ac:dyDescent="0.3">
      <c r="A4379">
        <v>2024005377</v>
      </c>
      <c r="B4379" s="1">
        <v>45400</v>
      </c>
      <c r="C4379" s="11">
        <f t="shared" si="204"/>
        <v>2024</v>
      </c>
      <c r="D4379" t="s">
        <v>117</v>
      </c>
      <c r="E4379" t="s">
        <v>28</v>
      </c>
      <c r="F4379" t="s">
        <v>29</v>
      </c>
      <c r="G4379" t="s">
        <v>30</v>
      </c>
      <c r="H4379">
        <v>2</v>
      </c>
      <c r="I4379" s="2">
        <v>24.78</v>
      </c>
      <c r="J4379" s="2">
        <v>49.56</v>
      </c>
      <c r="K4379" s="2">
        <f t="shared" si="205"/>
        <v>49.56</v>
      </c>
      <c r="L4379" s="2">
        <f t="shared" si="206"/>
        <v>0</v>
      </c>
      <c r="M4379" t="s">
        <v>38</v>
      </c>
      <c r="N4379" t="s">
        <v>26</v>
      </c>
    </row>
    <row r="4380" spans="1:14" x14ac:dyDescent="0.3">
      <c r="A4380">
        <v>2024005378</v>
      </c>
      <c r="B4380" s="1">
        <v>45500</v>
      </c>
      <c r="C4380" s="11">
        <f t="shared" si="204"/>
        <v>2024</v>
      </c>
      <c r="D4380" t="s">
        <v>270</v>
      </c>
      <c r="E4380" t="s">
        <v>40</v>
      </c>
      <c r="F4380" t="s">
        <v>41</v>
      </c>
      <c r="G4380" t="s">
        <v>36</v>
      </c>
      <c r="H4380">
        <v>2</v>
      </c>
      <c r="I4380" s="2">
        <v>44.64</v>
      </c>
      <c r="J4380" s="2">
        <v>89.28</v>
      </c>
      <c r="K4380" s="2">
        <f t="shared" si="205"/>
        <v>89.28</v>
      </c>
      <c r="L4380" s="2">
        <f t="shared" si="206"/>
        <v>0</v>
      </c>
      <c r="M4380" t="s">
        <v>31</v>
      </c>
      <c r="N4380" t="s">
        <v>21</v>
      </c>
    </row>
    <row r="4381" spans="1:14" x14ac:dyDescent="0.3">
      <c r="A4381">
        <v>2024005137</v>
      </c>
      <c r="B4381" s="1">
        <v>45421</v>
      </c>
      <c r="C4381" s="11">
        <f t="shared" si="204"/>
        <v>2024</v>
      </c>
      <c r="D4381" t="s">
        <v>107</v>
      </c>
      <c r="E4381" t="s">
        <v>28</v>
      </c>
      <c r="F4381" t="s">
        <v>29</v>
      </c>
      <c r="G4381" t="s">
        <v>30</v>
      </c>
      <c r="H4381">
        <v>1</v>
      </c>
      <c r="I4381" s="2">
        <v>24.41</v>
      </c>
      <c r="J4381" s="2">
        <v>24.41</v>
      </c>
      <c r="K4381" s="2">
        <f t="shared" si="205"/>
        <v>24.41</v>
      </c>
      <c r="L4381" s="2">
        <f t="shared" si="206"/>
        <v>0</v>
      </c>
      <c r="M4381" t="s">
        <v>61</v>
      </c>
      <c r="N4381" t="s">
        <v>16</v>
      </c>
    </row>
    <row r="4382" spans="1:14" x14ac:dyDescent="0.3">
      <c r="A4382">
        <v>2024005380</v>
      </c>
      <c r="B4382" s="1">
        <v>45398</v>
      </c>
      <c r="C4382" s="11">
        <f t="shared" si="204"/>
        <v>2024</v>
      </c>
      <c r="D4382" t="s">
        <v>261</v>
      </c>
      <c r="E4382" t="s">
        <v>53</v>
      </c>
      <c r="F4382" t="s">
        <v>54</v>
      </c>
      <c r="G4382" t="s">
        <v>36</v>
      </c>
      <c r="H4382">
        <v>1</v>
      </c>
      <c r="I4382" s="2">
        <v>115.84</v>
      </c>
      <c r="J4382" s="2">
        <v>115.84</v>
      </c>
      <c r="K4382" s="2">
        <f t="shared" si="205"/>
        <v>115.84</v>
      </c>
      <c r="L4382" s="2">
        <f t="shared" si="206"/>
        <v>0</v>
      </c>
      <c r="M4382" t="s">
        <v>20</v>
      </c>
      <c r="N4382" t="s">
        <v>16</v>
      </c>
    </row>
    <row r="4383" spans="1:14" x14ac:dyDescent="0.3">
      <c r="A4383">
        <v>2024005381</v>
      </c>
      <c r="B4383" s="1">
        <v>45644</v>
      </c>
      <c r="C4383" s="11">
        <f t="shared" si="204"/>
        <v>2024</v>
      </c>
      <c r="D4383" t="s">
        <v>132</v>
      </c>
      <c r="E4383" t="s">
        <v>12</v>
      </c>
      <c r="F4383" t="s">
        <v>13</v>
      </c>
      <c r="G4383" t="s">
        <v>14</v>
      </c>
      <c r="H4383">
        <v>1</v>
      </c>
      <c r="I4383" s="2">
        <v>392.26</v>
      </c>
      <c r="J4383" s="2">
        <v>392.26</v>
      </c>
      <c r="K4383" s="2">
        <f t="shared" si="205"/>
        <v>392.26</v>
      </c>
      <c r="L4383" s="2">
        <f t="shared" si="206"/>
        <v>0</v>
      </c>
      <c r="M4383" t="s">
        <v>57</v>
      </c>
      <c r="N4383" t="s">
        <v>32</v>
      </c>
    </row>
    <row r="4384" spans="1:14" x14ac:dyDescent="0.3">
      <c r="A4384">
        <v>2024005382</v>
      </c>
      <c r="B4384" s="1">
        <v>45339</v>
      </c>
      <c r="C4384" s="11">
        <f t="shared" si="204"/>
        <v>2024</v>
      </c>
      <c r="D4384" t="s">
        <v>150</v>
      </c>
      <c r="E4384" t="s">
        <v>23</v>
      </c>
      <c r="F4384" t="s">
        <v>24</v>
      </c>
      <c r="G4384" t="s">
        <v>14</v>
      </c>
      <c r="H4384">
        <v>1</v>
      </c>
      <c r="I4384" s="2">
        <v>87.74</v>
      </c>
      <c r="J4384" s="2">
        <v>87.74</v>
      </c>
      <c r="K4384" s="2">
        <f t="shared" si="205"/>
        <v>87.74</v>
      </c>
      <c r="L4384" s="2">
        <f t="shared" si="206"/>
        <v>0</v>
      </c>
      <c r="M4384" t="s">
        <v>31</v>
      </c>
      <c r="N4384" t="s">
        <v>32</v>
      </c>
    </row>
    <row r="4385" spans="1:14" x14ac:dyDescent="0.3">
      <c r="A4385">
        <v>2024005383</v>
      </c>
      <c r="B4385" s="1">
        <v>45334</v>
      </c>
      <c r="C4385" s="11">
        <f t="shared" si="204"/>
        <v>2024</v>
      </c>
      <c r="D4385" t="s">
        <v>287</v>
      </c>
      <c r="E4385" t="s">
        <v>40</v>
      </c>
      <c r="F4385" t="s">
        <v>41</v>
      </c>
      <c r="G4385" t="s">
        <v>36</v>
      </c>
      <c r="H4385">
        <v>3</v>
      </c>
      <c r="I4385" s="2">
        <v>45.01</v>
      </c>
      <c r="J4385" s="2">
        <v>135.03</v>
      </c>
      <c r="K4385" s="2">
        <f t="shared" si="205"/>
        <v>135.03</v>
      </c>
      <c r="L4385" s="2">
        <f t="shared" si="206"/>
        <v>0</v>
      </c>
      <c r="M4385" t="s">
        <v>48</v>
      </c>
      <c r="N4385" t="s">
        <v>21</v>
      </c>
    </row>
    <row r="4386" spans="1:14" x14ac:dyDescent="0.3">
      <c r="A4386">
        <v>2024005384</v>
      </c>
      <c r="B4386" s="1">
        <v>45371</v>
      </c>
      <c r="C4386" s="11">
        <f t="shared" si="204"/>
        <v>2024</v>
      </c>
      <c r="D4386" t="s">
        <v>11</v>
      </c>
      <c r="E4386" t="s">
        <v>67</v>
      </c>
      <c r="F4386" t="s">
        <v>68</v>
      </c>
      <c r="G4386" t="s">
        <v>36</v>
      </c>
      <c r="H4386">
        <v>1</v>
      </c>
      <c r="I4386" s="2">
        <v>446.3</v>
      </c>
      <c r="J4386" s="2">
        <v>446.3</v>
      </c>
      <c r="K4386" s="2">
        <f t="shared" si="205"/>
        <v>446.3</v>
      </c>
      <c r="L4386" s="2">
        <f t="shared" si="206"/>
        <v>0</v>
      </c>
      <c r="M4386" t="s">
        <v>61</v>
      </c>
      <c r="N4386" t="s">
        <v>32</v>
      </c>
    </row>
    <row r="4387" spans="1:14" x14ac:dyDescent="0.3">
      <c r="A4387">
        <v>2024005385</v>
      </c>
      <c r="B4387" s="1">
        <v>45477</v>
      </c>
      <c r="C4387" s="11">
        <f t="shared" si="204"/>
        <v>2024</v>
      </c>
      <c r="D4387" t="s">
        <v>119</v>
      </c>
      <c r="E4387" t="s">
        <v>34</v>
      </c>
      <c r="F4387" t="s">
        <v>35</v>
      </c>
      <c r="G4387" t="s">
        <v>36</v>
      </c>
      <c r="H4387">
        <v>2</v>
      </c>
      <c r="I4387" s="2">
        <v>14.82</v>
      </c>
      <c r="J4387" s="2">
        <v>29.64</v>
      </c>
      <c r="K4387" s="2">
        <f t="shared" si="205"/>
        <v>29.64</v>
      </c>
      <c r="L4387" s="2">
        <f t="shared" si="206"/>
        <v>0</v>
      </c>
      <c r="M4387" t="s">
        <v>61</v>
      </c>
      <c r="N4387" t="s">
        <v>26</v>
      </c>
    </row>
    <row r="4388" spans="1:14" x14ac:dyDescent="0.3">
      <c r="A4388">
        <v>2024005386</v>
      </c>
      <c r="B4388" s="1">
        <v>45626</v>
      </c>
      <c r="C4388" s="11">
        <f t="shared" si="204"/>
        <v>2024</v>
      </c>
      <c r="D4388" t="s">
        <v>220</v>
      </c>
      <c r="E4388" t="s">
        <v>40</v>
      </c>
      <c r="F4388" t="s">
        <v>41</v>
      </c>
      <c r="G4388" t="s">
        <v>36</v>
      </c>
      <c r="H4388">
        <v>1</v>
      </c>
      <c r="I4388" s="2">
        <v>46.33</v>
      </c>
      <c r="J4388" s="2">
        <v>46.33</v>
      </c>
      <c r="K4388" s="2">
        <f t="shared" si="205"/>
        <v>46.33</v>
      </c>
      <c r="L4388" s="2">
        <f t="shared" si="206"/>
        <v>0</v>
      </c>
      <c r="M4388" t="s">
        <v>55</v>
      </c>
      <c r="N4388" t="s">
        <v>32</v>
      </c>
    </row>
    <row r="4389" spans="1:14" x14ac:dyDescent="0.3">
      <c r="A4389">
        <v>2024005387</v>
      </c>
      <c r="B4389" s="1">
        <v>45503</v>
      </c>
      <c r="C4389" s="11">
        <f t="shared" si="204"/>
        <v>2024</v>
      </c>
      <c r="D4389" t="s">
        <v>65</v>
      </c>
      <c r="E4389" t="s">
        <v>12</v>
      </c>
      <c r="F4389" t="s">
        <v>13</v>
      </c>
      <c r="G4389" t="s">
        <v>14</v>
      </c>
      <c r="H4389">
        <v>3</v>
      </c>
      <c r="I4389" s="2">
        <v>332.01</v>
      </c>
      <c r="J4389" s="2">
        <v>996.03</v>
      </c>
      <c r="K4389" s="2">
        <f t="shared" si="205"/>
        <v>996.03</v>
      </c>
      <c r="L4389" s="2">
        <f t="shared" si="206"/>
        <v>0</v>
      </c>
      <c r="M4389" t="s">
        <v>25</v>
      </c>
      <c r="N4389" t="s">
        <v>32</v>
      </c>
    </row>
    <row r="4390" spans="1:14" x14ac:dyDescent="0.3">
      <c r="A4390">
        <v>2024005388</v>
      </c>
      <c r="B4390" s="1">
        <v>45384</v>
      </c>
      <c r="C4390" s="11">
        <f t="shared" si="204"/>
        <v>2024</v>
      </c>
      <c r="D4390" t="s">
        <v>238</v>
      </c>
      <c r="E4390" t="s">
        <v>12</v>
      </c>
      <c r="F4390" t="s">
        <v>13</v>
      </c>
      <c r="G4390" t="s">
        <v>14</v>
      </c>
      <c r="H4390">
        <v>1</v>
      </c>
      <c r="I4390" s="2">
        <v>354.65</v>
      </c>
      <c r="J4390" s="2">
        <v>354.65</v>
      </c>
      <c r="K4390" s="2">
        <f t="shared" si="205"/>
        <v>354.65</v>
      </c>
      <c r="L4390" s="2">
        <f t="shared" si="206"/>
        <v>0</v>
      </c>
      <c r="M4390" t="s">
        <v>20</v>
      </c>
      <c r="N4390" t="s">
        <v>26</v>
      </c>
    </row>
    <row r="4391" spans="1:14" x14ac:dyDescent="0.3">
      <c r="A4391">
        <v>2024005389</v>
      </c>
      <c r="B4391" s="1">
        <v>45484</v>
      </c>
      <c r="C4391" s="11">
        <f t="shared" si="204"/>
        <v>2024</v>
      </c>
      <c r="D4391" t="s">
        <v>11</v>
      </c>
      <c r="E4391" t="s">
        <v>34</v>
      </c>
      <c r="F4391" t="s">
        <v>35</v>
      </c>
      <c r="G4391" t="s">
        <v>36</v>
      </c>
      <c r="H4391">
        <v>1</v>
      </c>
      <c r="I4391" s="2">
        <v>14.33</v>
      </c>
      <c r="J4391" s="2">
        <v>14.33</v>
      </c>
      <c r="K4391" s="2">
        <f t="shared" si="205"/>
        <v>14.33</v>
      </c>
      <c r="L4391" s="2">
        <f t="shared" si="206"/>
        <v>0</v>
      </c>
      <c r="M4391" t="s">
        <v>20</v>
      </c>
      <c r="N4391" t="s">
        <v>26</v>
      </c>
    </row>
    <row r="4392" spans="1:14" x14ac:dyDescent="0.3">
      <c r="A4392">
        <v>2024005390</v>
      </c>
      <c r="B4392" s="1">
        <v>45495</v>
      </c>
      <c r="C4392" s="11">
        <f t="shared" si="204"/>
        <v>2024</v>
      </c>
      <c r="D4392" t="s">
        <v>167</v>
      </c>
      <c r="E4392" t="s">
        <v>28</v>
      </c>
      <c r="F4392" t="s">
        <v>29</v>
      </c>
      <c r="G4392" t="s">
        <v>30</v>
      </c>
      <c r="H4392">
        <v>1</v>
      </c>
      <c r="I4392" s="2">
        <v>23.22</v>
      </c>
      <c r="J4392" s="2">
        <v>23.22</v>
      </c>
      <c r="K4392" s="2">
        <f t="shared" si="205"/>
        <v>23.22</v>
      </c>
      <c r="L4392" s="2">
        <f t="shared" si="206"/>
        <v>0</v>
      </c>
      <c r="M4392" t="s">
        <v>38</v>
      </c>
      <c r="N4392" t="s">
        <v>21</v>
      </c>
    </row>
    <row r="4393" spans="1:14" x14ac:dyDescent="0.3">
      <c r="A4393">
        <v>2024005391</v>
      </c>
      <c r="B4393" s="1">
        <v>45557</v>
      </c>
      <c r="C4393" s="11">
        <f t="shared" si="204"/>
        <v>2024</v>
      </c>
      <c r="D4393" t="s">
        <v>346</v>
      </c>
      <c r="E4393" t="s">
        <v>67</v>
      </c>
      <c r="F4393" t="s">
        <v>68</v>
      </c>
      <c r="G4393" t="s">
        <v>36</v>
      </c>
      <c r="H4393">
        <v>1</v>
      </c>
      <c r="I4393" s="2">
        <v>406.99</v>
      </c>
      <c r="J4393" s="2">
        <v>406.99</v>
      </c>
      <c r="K4393" s="2">
        <f t="shared" si="205"/>
        <v>406.99</v>
      </c>
      <c r="L4393" s="2">
        <f t="shared" si="206"/>
        <v>0</v>
      </c>
      <c r="M4393" t="s">
        <v>38</v>
      </c>
      <c r="N4393" t="s">
        <v>32</v>
      </c>
    </row>
    <row r="4394" spans="1:14" x14ac:dyDescent="0.3">
      <c r="A4394">
        <v>2024005392</v>
      </c>
      <c r="B4394" s="1">
        <v>45552</v>
      </c>
      <c r="C4394" s="11">
        <f t="shared" si="204"/>
        <v>2024</v>
      </c>
      <c r="D4394" t="s">
        <v>320</v>
      </c>
      <c r="E4394" t="s">
        <v>67</v>
      </c>
      <c r="F4394" t="s">
        <v>68</v>
      </c>
      <c r="G4394" t="s">
        <v>36</v>
      </c>
      <c r="H4394">
        <v>2</v>
      </c>
      <c r="I4394" s="2">
        <v>394.43</v>
      </c>
      <c r="J4394" s="2">
        <v>788.86</v>
      </c>
      <c r="K4394" s="2">
        <f t="shared" si="205"/>
        <v>788.86</v>
      </c>
      <c r="L4394" s="2">
        <f t="shared" si="206"/>
        <v>0</v>
      </c>
      <c r="M4394" t="s">
        <v>15</v>
      </c>
      <c r="N4394" t="s">
        <v>32</v>
      </c>
    </row>
    <row r="4395" spans="1:14" x14ac:dyDescent="0.3">
      <c r="A4395">
        <v>2024005393</v>
      </c>
      <c r="B4395" s="1">
        <v>45437</v>
      </c>
      <c r="C4395" s="11">
        <f t="shared" si="204"/>
        <v>2024</v>
      </c>
      <c r="D4395" t="s">
        <v>330</v>
      </c>
      <c r="E4395" t="s">
        <v>67</v>
      </c>
      <c r="F4395" t="s">
        <v>68</v>
      </c>
      <c r="G4395" t="s">
        <v>36</v>
      </c>
      <c r="H4395">
        <v>1</v>
      </c>
      <c r="I4395" s="2">
        <v>426.35</v>
      </c>
      <c r="J4395" s="2">
        <v>426.35</v>
      </c>
      <c r="K4395" s="2">
        <f t="shared" si="205"/>
        <v>426.35</v>
      </c>
      <c r="L4395" s="2">
        <f t="shared" si="206"/>
        <v>0</v>
      </c>
      <c r="M4395" t="s">
        <v>20</v>
      </c>
      <c r="N4395" t="s">
        <v>26</v>
      </c>
    </row>
    <row r="4396" spans="1:14" x14ac:dyDescent="0.3">
      <c r="A4396">
        <v>2024005394</v>
      </c>
      <c r="B4396" s="1">
        <v>45308</v>
      </c>
      <c r="C4396" s="11">
        <f t="shared" si="204"/>
        <v>2024</v>
      </c>
      <c r="D4396" t="s">
        <v>185</v>
      </c>
      <c r="E4396" t="s">
        <v>34</v>
      </c>
      <c r="F4396" t="s">
        <v>35</v>
      </c>
      <c r="G4396" t="s">
        <v>36</v>
      </c>
      <c r="H4396">
        <v>1</v>
      </c>
      <c r="I4396" s="2">
        <v>14.54</v>
      </c>
      <c r="J4396" s="2">
        <v>14.54</v>
      </c>
      <c r="K4396" s="2">
        <f t="shared" si="205"/>
        <v>14.54</v>
      </c>
      <c r="L4396" s="2">
        <f t="shared" si="206"/>
        <v>0</v>
      </c>
      <c r="M4396" t="s">
        <v>25</v>
      </c>
      <c r="N4396" t="s">
        <v>21</v>
      </c>
    </row>
    <row r="4397" spans="1:14" x14ac:dyDescent="0.3">
      <c r="A4397">
        <v>2024005395</v>
      </c>
      <c r="B4397" s="1">
        <v>45516</v>
      </c>
      <c r="C4397" s="11">
        <f t="shared" si="204"/>
        <v>2024</v>
      </c>
      <c r="D4397" t="s">
        <v>269</v>
      </c>
      <c r="E4397" t="s">
        <v>46</v>
      </c>
      <c r="F4397" t="s">
        <v>47</v>
      </c>
      <c r="G4397" t="s">
        <v>36</v>
      </c>
      <c r="H4397">
        <v>1</v>
      </c>
      <c r="I4397" s="2">
        <v>83.88</v>
      </c>
      <c r="J4397" s="2">
        <v>83.88</v>
      </c>
      <c r="K4397" s="2">
        <f t="shared" si="205"/>
        <v>83.88</v>
      </c>
      <c r="L4397" s="2">
        <f t="shared" si="206"/>
        <v>0</v>
      </c>
      <c r="M4397" t="s">
        <v>15</v>
      </c>
      <c r="N4397" t="s">
        <v>32</v>
      </c>
    </row>
    <row r="4398" spans="1:14" x14ac:dyDescent="0.3">
      <c r="A4398">
        <v>2024005396</v>
      </c>
      <c r="B4398" s="1">
        <v>45300</v>
      </c>
      <c r="C4398" s="11">
        <f t="shared" si="204"/>
        <v>2024</v>
      </c>
      <c r="D4398" t="s">
        <v>11</v>
      </c>
      <c r="E4398" t="s">
        <v>43</v>
      </c>
      <c r="F4398" t="s">
        <v>44</v>
      </c>
      <c r="G4398" t="s">
        <v>36</v>
      </c>
      <c r="H4398">
        <v>3</v>
      </c>
      <c r="I4398" s="2">
        <v>1160.05</v>
      </c>
      <c r="J4398" s="2">
        <v>3480.15</v>
      </c>
      <c r="K4398" s="2">
        <f t="shared" si="205"/>
        <v>3480.1499999999996</v>
      </c>
      <c r="L4398" s="2">
        <f t="shared" si="206"/>
        <v>0</v>
      </c>
      <c r="M4398" t="s">
        <v>57</v>
      </c>
      <c r="N4398" t="s">
        <v>16</v>
      </c>
    </row>
    <row r="4399" spans="1:14" x14ac:dyDescent="0.3">
      <c r="A4399">
        <v>2024005397</v>
      </c>
      <c r="B4399" s="1">
        <v>45521</v>
      </c>
      <c r="C4399" s="11">
        <f t="shared" si="204"/>
        <v>2024</v>
      </c>
      <c r="D4399" t="s">
        <v>122</v>
      </c>
      <c r="E4399" t="s">
        <v>12</v>
      </c>
      <c r="F4399" t="s">
        <v>13</v>
      </c>
      <c r="G4399" t="s">
        <v>14</v>
      </c>
      <c r="H4399">
        <v>2</v>
      </c>
      <c r="I4399" s="2">
        <v>323.85000000000002</v>
      </c>
      <c r="J4399" s="2">
        <v>647.70000000000005</v>
      </c>
      <c r="K4399" s="2">
        <f t="shared" si="205"/>
        <v>647.70000000000005</v>
      </c>
      <c r="L4399" s="2">
        <f t="shared" si="206"/>
        <v>0</v>
      </c>
      <c r="M4399" t="s">
        <v>31</v>
      </c>
      <c r="N4399" t="s">
        <v>26</v>
      </c>
    </row>
    <row r="4400" spans="1:14" x14ac:dyDescent="0.3">
      <c r="A4400">
        <v>2024005398</v>
      </c>
      <c r="B4400" s="1">
        <v>45454</v>
      </c>
      <c r="C4400" s="11">
        <f t="shared" si="204"/>
        <v>2024</v>
      </c>
      <c r="D4400" t="s">
        <v>213</v>
      </c>
      <c r="E4400" t="s">
        <v>43</v>
      </c>
      <c r="F4400" t="s">
        <v>44</v>
      </c>
      <c r="G4400" t="s">
        <v>36</v>
      </c>
      <c r="H4400">
        <v>1</v>
      </c>
      <c r="I4400" s="2">
        <v>1093.98</v>
      </c>
      <c r="J4400" s="2">
        <v>1093.98</v>
      </c>
      <c r="K4400" s="2">
        <f t="shared" si="205"/>
        <v>1093.98</v>
      </c>
      <c r="L4400" s="2">
        <f t="shared" si="206"/>
        <v>0</v>
      </c>
      <c r="M4400" t="s">
        <v>38</v>
      </c>
      <c r="N4400" t="s">
        <v>32</v>
      </c>
    </row>
    <row r="4401" spans="1:14" x14ac:dyDescent="0.3">
      <c r="A4401">
        <v>2024005399</v>
      </c>
      <c r="B4401" s="1">
        <v>45478</v>
      </c>
      <c r="C4401" s="11">
        <f t="shared" si="204"/>
        <v>2024</v>
      </c>
      <c r="D4401" t="s">
        <v>129</v>
      </c>
      <c r="E4401" t="s">
        <v>23</v>
      </c>
      <c r="F4401" t="s">
        <v>24</v>
      </c>
      <c r="G4401" t="s">
        <v>14</v>
      </c>
      <c r="H4401">
        <v>1</v>
      </c>
      <c r="I4401" s="2">
        <v>85.72</v>
      </c>
      <c r="J4401" s="2">
        <v>85.72</v>
      </c>
      <c r="K4401" s="2">
        <f t="shared" si="205"/>
        <v>85.72</v>
      </c>
      <c r="L4401" s="2">
        <f t="shared" si="206"/>
        <v>0</v>
      </c>
      <c r="M4401" t="s">
        <v>31</v>
      </c>
      <c r="N4401" t="s">
        <v>32</v>
      </c>
    </row>
    <row r="4402" spans="1:14" x14ac:dyDescent="0.3">
      <c r="A4402">
        <v>2024005400</v>
      </c>
      <c r="B4402" s="1">
        <v>45428</v>
      </c>
      <c r="C4402" s="11">
        <f t="shared" si="204"/>
        <v>2024</v>
      </c>
      <c r="D4402" t="s">
        <v>185</v>
      </c>
      <c r="E4402" t="s">
        <v>43</v>
      </c>
      <c r="F4402" t="s">
        <v>44</v>
      </c>
      <c r="G4402" t="s">
        <v>36</v>
      </c>
      <c r="H4402">
        <v>3</v>
      </c>
      <c r="I4402" s="2">
        <v>1103.28</v>
      </c>
      <c r="J4402" s="2">
        <v>3309.84</v>
      </c>
      <c r="K4402" s="2">
        <f t="shared" si="205"/>
        <v>3309.84</v>
      </c>
      <c r="L4402" s="2">
        <f t="shared" si="206"/>
        <v>0</v>
      </c>
      <c r="M4402" t="s">
        <v>15</v>
      </c>
      <c r="N4402" t="s">
        <v>16</v>
      </c>
    </row>
    <row r="4403" spans="1:14" x14ac:dyDescent="0.3">
      <c r="A4403">
        <v>2024005401</v>
      </c>
      <c r="B4403" s="1">
        <v>45528</v>
      </c>
      <c r="C4403" s="11">
        <f t="shared" si="204"/>
        <v>2024</v>
      </c>
      <c r="D4403" t="s">
        <v>120</v>
      </c>
      <c r="E4403" t="s">
        <v>28</v>
      </c>
      <c r="F4403" t="s">
        <v>29</v>
      </c>
      <c r="G4403" t="s">
        <v>30</v>
      </c>
      <c r="H4403">
        <v>1</v>
      </c>
      <c r="I4403" s="2">
        <v>25.43</v>
      </c>
      <c r="J4403" s="2">
        <v>25.43</v>
      </c>
      <c r="K4403" s="2">
        <f t="shared" si="205"/>
        <v>25.43</v>
      </c>
      <c r="L4403" s="2">
        <f t="shared" si="206"/>
        <v>0</v>
      </c>
      <c r="M4403" t="s">
        <v>64</v>
      </c>
      <c r="N4403" t="s">
        <v>21</v>
      </c>
    </row>
    <row r="4404" spans="1:14" x14ac:dyDescent="0.3">
      <c r="A4404">
        <v>2024005402</v>
      </c>
      <c r="B4404" s="1">
        <v>45586</v>
      </c>
      <c r="C4404" s="11">
        <f t="shared" si="204"/>
        <v>2024</v>
      </c>
      <c r="D4404" t="s">
        <v>264</v>
      </c>
      <c r="E4404" t="s">
        <v>34</v>
      </c>
      <c r="F4404" t="s">
        <v>35</v>
      </c>
      <c r="G4404" t="s">
        <v>36</v>
      </c>
      <c r="H4404">
        <v>2</v>
      </c>
      <c r="I4404" s="2">
        <v>14.13</v>
      </c>
      <c r="J4404" s="2">
        <v>28.26</v>
      </c>
      <c r="K4404" s="2">
        <f t="shared" si="205"/>
        <v>28.26</v>
      </c>
      <c r="L4404" s="2">
        <f t="shared" si="206"/>
        <v>0</v>
      </c>
      <c r="M4404" t="s">
        <v>64</v>
      </c>
      <c r="N4404" t="s">
        <v>21</v>
      </c>
    </row>
    <row r="4405" spans="1:14" x14ac:dyDescent="0.3">
      <c r="A4405">
        <v>2024005403</v>
      </c>
      <c r="B4405" s="1">
        <v>45618</v>
      </c>
      <c r="C4405" s="11">
        <f t="shared" si="204"/>
        <v>2024</v>
      </c>
      <c r="D4405" t="s">
        <v>132</v>
      </c>
      <c r="E4405" t="s">
        <v>43</v>
      </c>
      <c r="F4405" t="s">
        <v>44</v>
      </c>
      <c r="G4405" t="s">
        <v>36</v>
      </c>
      <c r="H4405">
        <v>2</v>
      </c>
      <c r="I4405" s="2">
        <v>1130.44</v>
      </c>
      <c r="J4405" s="2">
        <v>2260.88</v>
      </c>
      <c r="K4405" s="2">
        <f t="shared" si="205"/>
        <v>2260.88</v>
      </c>
      <c r="L4405" s="2">
        <f t="shared" si="206"/>
        <v>0</v>
      </c>
      <c r="M4405" t="s">
        <v>61</v>
      </c>
      <c r="N4405" t="s">
        <v>26</v>
      </c>
    </row>
    <row r="4406" spans="1:14" x14ac:dyDescent="0.3">
      <c r="A4406">
        <v>2024005404</v>
      </c>
      <c r="B4406" s="1">
        <v>45361</v>
      </c>
      <c r="C4406" s="11">
        <f t="shared" si="204"/>
        <v>2024</v>
      </c>
      <c r="D4406" t="s">
        <v>11</v>
      </c>
      <c r="E4406" t="s">
        <v>40</v>
      </c>
      <c r="F4406" t="s">
        <v>41</v>
      </c>
      <c r="G4406" t="s">
        <v>36</v>
      </c>
      <c r="H4406">
        <v>2</v>
      </c>
      <c r="I4406" s="2">
        <v>42.42</v>
      </c>
      <c r="J4406" s="2">
        <v>84.84</v>
      </c>
      <c r="K4406" s="2">
        <f t="shared" si="205"/>
        <v>84.84</v>
      </c>
      <c r="L4406" s="2">
        <f t="shared" si="206"/>
        <v>0</v>
      </c>
      <c r="M4406" t="s">
        <v>20</v>
      </c>
      <c r="N4406" t="s">
        <v>26</v>
      </c>
    </row>
    <row r="4407" spans="1:14" x14ac:dyDescent="0.3">
      <c r="A4407">
        <v>2024005405</v>
      </c>
      <c r="B4407" s="1">
        <v>45634</v>
      </c>
      <c r="C4407" s="11">
        <f t="shared" si="204"/>
        <v>2024</v>
      </c>
      <c r="D4407" t="s">
        <v>11</v>
      </c>
      <c r="E4407" t="s">
        <v>53</v>
      </c>
      <c r="F4407" t="s">
        <v>54</v>
      </c>
      <c r="G4407" t="s">
        <v>36</v>
      </c>
      <c r="H4407">
        <v>1</v>
      </c>
      <c r="I4407" s="2">
        <v>123.66</v>
      </c>
      <c r="J4407" s="2">
        <v>123.66</v>
      </c>
      <c r="K4407" s="2">
        <f t="shared" si="205"/>
        <v>123.66</v>
      </c>
      <c r="L4407" s="2">
        <f t="shared" si="206"/>
        <v>0</v>
      </c>
      <c r="M4407" t="s">
        <v>38</v>
      </c>
      <c r="N4407" t="s">
        <v>16</v>
      </c>
    </row>
    <row r="4408" spans="1:14" x14ac:dyDescent="0.3">
      <c r="A4408">
        <v>2024005406</v>
      </c>
      <c r="B4408" s="1">
        <v>45538</v>
      </c>
      <c r="C4408" s="11">
        <f t="shared" si="204"/>
        <v>2024</v>
      </c>
      <c r="D4408" t="s">
        <v>122</v>
      </c>
      <c r="E4408" t="s">
        <v>43</v>
      </c>
      <c r="F4408" t="s">
        <v>44</v>
      </c>
      <c r="G4408" t="s">
        <v>36</v>
      </c>
      <c r="H4408">
        <v>2</v>
      </c>
      <c r="I4408" s="2">
        <v>1217.98</v>
      </c>
      <c r="J4408" s="2">
        <v>2435.96</v>
      </c>
      <c r="K4408" s="2">
        <f t="shared" si="205"/>
        <v>2435.96</v>
      </c>
      <c r="L4408" s="2">
        <f t="shared" si="206"/>
        <v>0</v>
      </c>
      <c r="M4408" t="s">
        <v>55</v>
      </c>
      <c r="N4408" t="s">
        <v>26</v>
      </c>
    </row>
    <row r="4409" spans="1:14" x14ac:dyDescent="0.3">
      <c r="A4409">
        <v>2024005407</v>
      </c>
      <c r="B4409" s="1">
        <v>45527</v>
      </c>
      <c r="C4409" s="11">
        <f t="shared" si="204"/>
        <v>2024</v>
      </c>
      <c r="D4409" t="s">
        <v>335</v>
      </c>
      <c r="E4409" t="s">
        <v>67</v>
      </c>
      <c r="F4409" t="s">
        <v>68</v>
      </c>
      <c r="G4409" t="s">
        <v>36</v>
      </c>
      <c r="H4409">
        <v>1</v>
      </c>
      <c r="I4409" s="2">
        <v>398.85</v>
      </c>
      <c r="J4409" s="2">
        <v>398.85</v>
      </c>
      <c r="K4409" s="2">
        <f t="shared" si="205"/>
        <v>398.85</v>
      </c>
      <c r="L4409" s="2">
        <f t="shared" si="206"/>
        <v>0</v>
      </c>
      <c r="M4409" t="s">
        <v>61</v>
      </c>
      <c r="N4409" t="s">
        <v>26</v>
      </c>
    </row>
    <row r="4410" spans="1:14" x14ac:dyDescent="0.3">
      <c r="A4410">
        <v>2024005408</v>
      </c>
      <c r="B4410" s="1">
        <v>45548</v>
      </c>
      <c r="C4410" s="11">
        <f t="shared" si="204"/>
        <v>2024</v>
      </c>
      <c r="D4410" t="s">
        <v>11</v>
      </c>
      <c r="E4410" t="s">
        <v>67</v>
      </c>
      <c r="F4410" t="s">
        <v>68</v>
      </c>
      <c r="G4410" t="s">
        <v>36</v>
      </c>
      <c r="H4410">
        <v>1</v>
      </c>
      <c r="I4410" s="2">
        <v>401.17</v>
      </c>
      <c r="J4410" s="2">
        <v>401.17</v>
      </c>
      <c r="K4410" s="2">
        <f t="shared" si="205"/>
        <v>401.17</v>
      </c>
      <c r="L4410" s="2">
        <f t="shared" si="206"/>
        <v>0</v>
      </c>
      <c r="M4410" t="s">
        <v>57</v>
      </c>
      <c r="N4410" t="s">
        <v>32</v>
      </c>
    </row>
    <row r="4411" spans="1:14" x14ac:dyDescent="0.3">
      <c r="A4411">
        <v>2024005409</v>
      </c>
      <c r="B4411" s="1">
        <v>45574</v>
      </c>
      <c r="C4411" s="11">
        <f t="shared" si="204"/>
        <v>2024</v>
      </c>
      <c r="D4411" t="s">
        <v>308</v>
      </c>
      <c r="E4411" t="s">
        <v>53</v>
      </c>
      <c r="F4411" t="s">
        <v>54</v>
      </c>
      <c r="G4411" t="s">
        <v>36</v>
      </c>
      <c r="H4411">
        <v>1</v>
      </c>
      <c r="I4411" s="2">
        <v>120.51</v>
      </c>
      <c r="J4411" s="2">
        <v>120.51</v>
      </c>
      <c r="K4411" s="2">
        <f t="shared" si="205"/>
        <v>120.51</v>
      </c>
      <c r="L4411" s="2">
        <f t="shared" si="206"/>
        <v>0</v>
      </c>
      <c r="M4411" t="s">
        <v>25</v>
      </c>
      <c r="N4411" t="s">
        <v>32</v>
      </c>
    </row>
    <row r="4412" spans="1:14" x14ac:dyDescent="0.3">
      <c r="A4412">
        <v>2024005410</v>
      </c>
      <c r="B4412" s="1">
        <v>45512</v>
      </c>
      <c r="C4412" s="11">
        <f t="shared" si="204"/>
        <v>2024</v>
      </c>
      <c r="D4412" t="s">
        <v>77</v>
      </c>
      <c r="E4412" t="s">
        <v>12</v>
      </c>
      <c r="F4412" t="s">
        <v>13</v>
      </c>
      <c r="G4412" t="s">
        <v>14</v>
      </c>
      <c r="H4412">
        <v>4</v>
      </c>
      <c r="I4412" s="2">
        <v>354.92</v>
      </c>
      <c r="J4412" s="2">
        <v>1419.68</v>
      </c>
      <c r="K4412" s="2">
        <f t="shared" si="205"/>
        <v>1419.68</v>
      </c>
      <c r="L4412" s="2">
        <f t="shared" si="206"/>
        <v>0</v>
      </c>
      <c r="M4412" t="s">
        <v>55</v>
      </c>
      <c r="N4412" t="s">
        <v>21</v>
      </c>
    </row>
    <row r="4413" spans="1:14" x14ac:dyDescent="0.3">
      <c r="A4413">
        <v>2024005411</v>
      </c>
      <c r="B4413" s="1">
        <v>45588</v>
      </c>
      <c r="C4413" s="11">
        <f t="shared" si="204"/>
        <v>2024</v>
      </c>
      <c r="D4413" t="s">
        <v>284</v>
      </c>
      <c r="E4413" t="s">
        <v>28</v>
      </c>
      <c r="F4413" t="s">
        <v>29</v>
      </c>
      <c r="G4413" t="s">
        <v>30</v>
      </c>
      <c r="H4413">
        <v>3</v>
      </c>
      <c r="I4413" s="2">
        <v>24.85</v>
      </c>
      <c r="J4413" s="2">
        <v>74.55</v>
      </c>
      <c r="K4413" s="2">
        <f t="shared" si="205"/>
        <v>74.550000000000011</v>
      </c>
      <c r="L4413" s="2">
        <f t="shared" si="206"/>
        <v>0</v>
      </c>
      <c r="M4413" t="s">
        <v>55</v>
      </c>
      <c r="N4413" t="s">
        <v>21</v>
      </c>
    </row>
    <row r="4414" spans="1:14" x14ac:dyDescent="0.3">
      <c r="A4414">
        <v>2024005412</v>
      </c>
      <c r="B4414" s="1">
        <v>45440</v>
      </c>
      <c r="C4414" s="11">
        <f t="shared" si="204"/>
        <v>2024</v>
      </c>
      <c r="D4414" t="s">
        <v>342</v>
      </c>
      <c r="E4414" t="s">
        <v>40</v>
      </c>
      <c r="F4414" t="s">
        <v>41</v>
      </c>
      <c r="G4414" t="s">
        <v>36</v>
      </c>
      <c r="H4414">
        <v>1</v>
      </c>
      <c r="I4414" s="2">
        <v>44.46</v>
      </c>
      <c r="J4414" s="2">
        <v>44.46</v>
      </c>
      <c r="K4414" s="2">
        <f t="shared" si="205"/>
        <v>44.46</v>
      </c>
      <c r="L4414" s="2">
        <f t="shared" si="206"/>
        <v>0</v>
      </c>
      <c r="M4414" t="s">
        <v>25</v>
      </c>
      <c r="N4414" t="s">
        <v>32</v>
      </c>
    </row>
    <row r="4415" spans="1:14" x14ac:dyDescent="0.3">
      <c r="A4415">
        <v>2024005413</v>
      </c>
      <c r="B4415" s="1">
        <v>45495</v>
      </c>
      <c r="C4415" s="11">
        <f t="shared" si="204"/>
        <v>2024</v>
      </c>
      <c r="D4415" t="s">
        <v>273</v>
      </c>
      <c r="E4415" t="s">
        <v>67</v>
      </c>
      <c r="F4415" t="s">
        <v>68</v>
      </c>
      <c r="G4415" t="s">
        <v>36</v>
      </c>
      <c r="H4415">
        <v>3</v>
      </c>
      <c r="I4415" s="2">
        <v>362.47</v>
      </c>
      <c r="J4415" s="2">
        <v>1087.4100000000001</v>
      </c>
      <c r="K4415" s="2">
        <f t="shared" si="205"/>
        <v>1087.4100000000001</v>
      </c>
      <c r="L4415" s="2">
        <f t="shared" si="206"/>
        <v>0</v>
      </c>
      <c r="M4415" t="s">
        <v>55</v>
      </c>
      <c r="N4415" t="s">
        <v>16</v>
      </c>
    </row>
    <row r="4416" spans="1:14" x14ac:dyDescent="0.3">
      <c r="A4416">
        <v>2024005414</v>
      </c>
      <c r="B4416" s="1">
        <v>45361</v>
      </c>
      <c r="C4416" s="11">
        <f t="shared" si="204"/>
        <v>2024</v>
      </c>
      <c r="D4416" t="s">
        <v>282</v>
      </c>
      <c r="E4416" t="s">
        <v>12</v>
      </c>
      <c r="F4416" t="s">
        <v>13</v>
      </c>
      <c r="G4416" t="s">
        <v>14</v>
      </c>
      <c r="H4416">
        <v>1</v>
      </c>
      <c r="I4416" s="2">
        <v>383.18</v>
      </c>
      <c r="J4416" s="2">
        <v>383.18</v>
      </c>
      <c r="K4416" s="2">
        <f t="shared" si="205"/>
        <v>383.18</v>
      </c>
      <c r="L4416" s="2">
        <f t="shared" si="206"/>
        <v>0</v>
      </c>
      <c r="M4416" t="s">
        <v>64</v>
      </c>
      <c r="N4416" t="s">
        <v>21</v>
      </c>
    </row>
    <row r="4417" spans="1:14" x14ac:dyDescent="0.3">
      <c r="A4417">
        <v>2024005415</v>
      </c>
      <c r="B4417" s="1">
        <v>45495</v>
      </c>
      <c r="C4417" s="11">
        <f t="shared" si="204"/>
        <v>2024</v>
      </c>
      <c r="D4417" t="s">
        <v>166</v>
      </c>
      <c r="E4417" t="s">
        <v>46</v>
      </c>
      <c r="F4417" t="s">
        <v>47</v>
      </c>
      <c r="G4417" t="s">
        <v>36</v>
      </c>
      <c r="H4417">
        <v>2</v>
      </c>
      <c r="I4417" s="2">
        <v>92.52</v>
      </c>
      <c r="J4417" s="2">
        <v>185.04</v>
      </c>
      <c r="K4417" s="2">
        <f t="shared" si="205"/>
        <v>185.04</v>
      </c>
      <c r="L4417" s="2">
        <f t="shared" si="206"/>
        <v>0</v>
      </c>
      <c r="M4417" t="s">
        <v>38</v>
      </c>
      <c r="N4417" t="s">
        <v>32</v>
      </c>
    </row>
    <row r="4418" spans="1:14" x14ac:dyDescent="0.3">
      <c r="A4418">
        <v>2024005416</v>
      </c>
      <c r="B4418" s="1">
        <v>45534</v>
      </c>
      <c r="C4418" s="11">
        <f t="shared" si="204"/>
        <v>2024</v>
      </c>
      <c r="D4418" t="s">
        <v>150</v>
      </c>
      <c r="E4418" t="s">
        <v>12</v>
      </c>
      <c r="F4418" t="s">
        <v>13</v>
      </c>
      <c r="G4418" t="s">
        <v>14</v>
      </c>
      <c r="H4418">
        <v>1</v>
      </c>
      <c r="I4418" s="2">
        <v>342.93</v>
      </c>
      <c r="J4418" s="2">
        <v>342.93</v>
      </c>
      <c r="K4418" s="2">
        <f t="shared" si="205"/>
        <v>342.93</v>
      </c>
      <c r="L4418" s="2">
        <f t="shared" si="206"/>
        <v>0</v>
      </c>
      <c r="M4418" t="s">
        <v>15</v>
      </c>
      <c r="N4418" t="s">
        <v>26</v>
      </c>
    </row>
    <row r="4419" spans="1:14" x14ac:dyDescent="0.3">
      <c r="A4419">
        <v>2024005417</v>
      </c>
      <c r="B4419" s="1">
        <v>45374</v>
      </c>
      <c r="C4419" s="11">
        <f t="shared" ref="C4419:C4482" si="207">YEAR(B4419)</f>
        <v>2024</v>
      </c>
      <c r="D4419" t="s">
        <v>111</v>
      </c>
      <c r="E4419" t="s">
        <v>53</v>
      </c>
      <c r="F4419" t="s">
        <v>54</v>
      </c>
      <c r="G4419" t="s">
        <v>36</v>
      </c>
      <c r="H4419">
        <v>2</v>
      </c>
      <c r="I4419" s="2">
        <v>110.12</v>
      </c>
      <c r="J4419" s="2">
        <v>220.24</v>
      </c>
      <c r="K4419" s="2">
        <f t="shared" ref="K4419:K4482" si="208">I4419*H4419</f>
        <v>220.24</v>
      </c>
      <c r="L4419" s="2">
        <f t="shared" ref="L4419:L4482" si="209">J4419-K4419</f>
        <v>0</v>
      </c>
      <c r="M4419" t="s">
        <v>55</v>
      </c>
      <c r="N4419" t="s">
        <v>32</v>
      </c>
    </row>
    <row r="4420" spans="1:14" x14ac:dyDescent="0.3">
      <c r="A4420">
        <v>2024005418</v>
      </c>
      <c r="B4420" s="1">
        <v>45405</v>
      </c>
      <c r="C4420" s="11">
        <f t="shared" si="207"/>
        <v>2024</v>
      </c>
      <c r="D4420" t="s">
        <v>312</v>
      </c>
      <c r="E4420" t="s">
        <v>46</v>
      </c>
      <c r="F4420" t="s">
        <v>47</v>
      </c>
      <c r="G4420" t="s">
        <v>36</v>
      </c>
      <c r="H4420">
        <v>5</v>
      </c>
      <c r="I4420" s="2">
        <v>104.02</v>
      </c>
      <c r="J4420" s="2">
        <v>520.1</v>
      </c>
      <c r="K4420" s="2">
        <f t="shared" si="208"/>
        <v>520.1</v>
      </c>
      <c r="L4420" s="2">
        <f t="shared" si="209"/>
        <v>0</v>
      </c>
      <c r="M4420" t="s">
        <v>38</v>
      </c>
      <c r="N4420" t="s">
        <v>21</v>
      </c>
    </row>
    <row r="4421" spans="1:14" x14ac:dyDescent="0.3">
      <c r="A4421">
        <v>2024005419</v>
      </c>
      <c r="B4421" s="1">
        <v>45397</v>
      </c>
      <c r="C4421" s="11">
        <f t="shared" si="207"/>
        <v>2024</v>
      </c>
      <c r="D4421" t="s">
        <v>197</v>
      </c>
      <c r="E4421" t="s">
        <v>43</v>
      </c>
      <c r="F4421" t="s">
        <v>44</v>
      </c>
      <c r="G4421" t="s">
        <v>36</v>
      </c>
      <c r="H4421">
        <v>2</v>
      </c>
      <c r="I4421" s="2">
        <v>1243.33</v>
      </c>
      <c r="J4421" s="2">
        <v>2486.66</v>
      </c>
      <c r="K4421" s="2">
        <f t="shared" si="208"/>
        <v>2486.66</v>
      </c>
      <c r="L4421" s="2">
        <f t="shared" si="209"/>
        <v>0</v>
      </c>
      <c r="M4421" t="s">
        <v>20</v>
      </c>
      <c r="N4421" t="s">
        <v>16</v>
      </c>
    </row>
    <row r="4422" spans="1:14" x14ac:dyDescent="0.3">
      <c r="A4422">
        <v>2024005420</v>
      </c>
      <c r="B4422" s="1">
        <v>45425</v>
      </c>
      <c r="C4422" s="11">
        <f t="shared" si="207"/>
        <v>2024</v>
      </c>
      <c r="D4422" t="s">
        <v>220</v>
      </c>
      <c r="E4422" t="s">
        <v>34</v>
      </c>
      <c r="F4422" t="s">
        <v>35</v>
      </c>
      <c r="G4422" t="s">
        <v>36</v>
      </c>
      <c r="H4422">
        <v>3</v>
      </c>
      <c r="I4422" s="2">
        <v>14.35</v>
      </c>
      <c r="J4422" s="2">
        <v>43.05</v>
      </c>
      <c r="K4422" s="2">
        <f t="shared" si="208"/>
        <v>43.05</v>
      </c>
      <c r="L4422" s="2">
        <f t="shared" si="209"/>
        <v>0</v>
      </c>
      <c r="M4422" t="s">
        <v>61</v>
      </c>
      <c r="N4422" t="s">
        <v>26</v>
      </c>
    </row>
    <row r="4423" spans="1:14" x14ac:dyDescent="0.3">
      <c r="A4423">
        <v>2024005421</v>
      </c>
      <c r="B4423" s="1">
        <v>45461</v>
      </c>
      <c r="C4423" s="11">
        <f t="shared" si="207"/>
        <v>2024</v>
      </c>
      <c r="D4423" t="s">
        <v>258</v>
      </c>
      <c r="E4423" t="s">
        <v>40</v>
      </c>
      <c r="F4423" t="s">
        <v>41</v>
      </c>
      <c r="G4423" t="s">
        <v>36</v>
      </c>
      <c r="H4423">
        <v>2</v>
      </c>
      <c r="I4423" s="2">
        <v>46.22</v>
      </c>
      <c r="J4423" s="2">
        <v>92.44</v>
      </c>
      <c r="K4423" s="2">
        <f t="shared" si="208"/>
        <v>92.44</v>
      </c>
      <c r="L4423" s="2">
        <f t="shared" si="209"/>
        <v>0</v>
      </c>
      <c r="M4423" t="s">
        <v>25</v>
      </c>
      <c r="N4423" t="s">
        <v>16</v>
      </c>
    </row>
    <row r="4424" spans="1:14" x14ac:dyDescent="0.3">
      <c r="A4424">
        <v>2024005422</v>
      </c>
      <c r="B4424" s="1">
        <v>45618</v>
      </c>
      <c r="C4424" s="11">
        <f t="shared" si="207"/>
        <v>2024</v>
      </c>
      <c r="D4424" t="s">
        <v>214</v>
      </c>
      <c r="E4424" t="s">
        <v>23</v>
      </c>
      <c r="F4424" t="s">
        <v>24</v>
      </c>
      <c r="G4424" t="s">
        <v>14</v>
      </c>
      <c r="H4424">
        <v>1</v>
      </c>
      <c r="I4424" s="2">
        <v>83.16</v>
      </c>
      <c r="J4424" s="2">
        <v>83.16</v>
      </c>
      <c r="K4424" s="2">
        <f t="shared" si="208"/>
        <v>83.16</v>
      </c>
      <c r="L4424" s="2">
        <f t="shared" si="209"/>
        <v>0</v>
      </c>
      <c r="M4424" t="s">
        <v>25</v>
      </c>
      <c r="N4424" t="s">
        <v>26</v>
      </c>
    </row>
    <row r="4425" spans="1:14" x14ac:dyDescent="0.3">
      <c r="A4425">
        <v>2024005423</v>
      </c>
      <c r="B4425" s="1">
        <v>45579</v>
      </c>
      <c r="C4425" s="11">
        <f t="shared" si="207"/>
        <v>2024</v>
      </c>
      <c r="D4425" t="s">
        <v>11</v>
      </c>
      <c r="E4425" t="s">
        <v>40</v>
      </c>
      <c r="F4425" t="s">
        <v>41</v>
      </c>
      <c r="G4425" t="s">
        <v>36</v>
      </c>
      <c r="H4425">
        <v>1</v>
      </c>
      <c r="I4425" s="2">
        <v>43.98</v>
      </c>
      <c r="J4425" s="2">
        <v>43.98</v>
      </c>
      <c r="K4425" s="2">
        <f t="shared" si="208"/>
        <v>43.98</v>
      </c>
      <c r="L4425" s="2">
        <f t="shared" si="209"/>
        <v>0</v>
      </c>
      <c r="M4425" t="s">
        <v>31</v>
      </c>
      <c r="N4425" t="s">
        <v>32</v>
      </c>
    </row>
    <row r="4426" spans="1:14" x14ac:dyDescent="0.3">
      <c r="A4426">
        <v>2024005424</v>
      </c>
      <c r="B4426" s="1">
        <v>45494</v>
      </c>
      <c r="C4426" s="11">
        <f t="shared" si="207"/>
        <v>2024</v>
      </c>
      <c r="D4426" t="s">
        <v>258</v>
      </c>
      <c r="E4426" t="s">
        <v>46</v>
      </c>
      <c r="F4426" t="s">
        <v>47</v>
      </c>
      <c r="G4426" t="s">
        <v>36</v>
      </c>
      <c r="H4426">
        <v>1</v>
      </c>
      <c r="I4426" s="2">
        <v>91.95</v>
      </c>
      <c r="J4426" s="2">
        <v>91.95</v>
      </c>
      <c r="K4426" s="2">
        <f t="shared" si="208"/>
        <v>91.95</v>
      </c>
      <c r="L4426" s="2">
        <f t="shared" si="209"/>
        <v>0</v>
      </c>
      <c r="M4426" t="s">
        <v>15</v>
      </c>
      <c r="N4426" t="s">
        <v>16</v>
      </c>
    </row>
    <row r="4427" spans="1:14" x14ac:dyDescent="0.3">
      <c r="A4427">
        <v>2024005425</v>
      </c>
      <c r="B4427" s="1">
        <v>45622</v>
      </c>
      <c r="C4427" s="11">
        <f t="shared" si="207"/>
        <v>2024</v>
      </c>
      <c r="D4427" t="s">
        <v>175</v>
      </c>
      <c r="E4427" t="s">
        <v>34</v>
      </c>
      <c r="F4427" t="s">
        <v>35</v>
      </c>
      <c r="G4427" t="s">
        <v>36</v>
      </c>
      <c r="H4427">
        <v>5</v>
      </c>
      <c r="I4427" s="2">
        <v>15.02</v>
      </c>
      <c r="J4427" s="2">
        <v>75.099999999999994</v>
      </c>
      <c r="K4427" s="2">
        <f t="shared" si="208"/>
        <v>75.099999999999994</v>
      </c>
      <c r="L4427" s="2">
        <f t="shared" si="209"/>
        <v>0</v>
      </c>
      <c r="M4427" t="s">
        <v>57</v>
      </c>
      <c r="N4427" t="s">
        <v>26</v>
      </c>
    </row>
    <row r="4428" spans="1:14" x14ac:dyDescent="0.3">
      <c r="A4428">
        <v>2024005426</v>
      </c>
      <c r="B4428" s="1">
        <v>45606</v>
      </c>
      <c r="C4428" s="11">
        <f t="shared" si="207"/>
        <v>2024</v>
      </c>
      <c r="D4428" t="s">
        <v>45</v>
      </c>
      <c r="E4428" t="s">
        <v>23</v>
      </c>
      <c r="F4428" t="s">
        <v>24</v>
      </c>
      <c r="G4428" t="s">
        <v>14</v>
      </c>
      <c r="H4428">
        <v>2</v>
      </c>
      <c r="I4428" s="2">
        <v>82.74</v>
      </c>
      <c r="J4428" s="2">
        <v>165.48</v>
      </c>
      <c r="K4428" s="2">
        <f t="shared" si="208"/>
        <v>165.48</v>
      </c>
      <c r="L4428" s="2">
        <f t="shared" si="209"/>
        <v>0</v>
      </c>
      <c r="M4428" t="s">
        <v>20</v>
      </c>
      <c r="N4428" t="s">
        <v>16</v>
      </c>
    </row>
    <row r="4429" spans="1:14" x14ac:dyDescent="0.3">
      <c r="A4429">
        <v>2024005427</v>
      </c>
      <c r="B4429" s="1">
        <v>45342</v>
      </c>
      <c r="C4429" s="11">
        <f t="shared" si="207"/>
        <v>2024</v>
      </c>
      <c r="D4429" t="s">
        <v>297</v>
      </c>
      <c r="E4429" t="s">
        <v>18</v>
      </c>
      <c r="F4429" t="s">
        <v>19</v>
      </c>
      <c r="G4429" t="s">
        <v>14</v>
      </c>
      <c r="H4429">
        <v>2</v>
      </c>
      <c r="I4429" s="2">
        <v>653.91999999999996</v>
      </c>
      <c r="J4429" s="2">
        <v>1307.8399999999999</v>
      </c>
      <c r="K4429" s="2">
        <f t="shared" si="208"/>
        <v>1307.8399999999999</v>
      </c>
      <c r="L4429" s="2">
        <f t="shared" si="209"/>
        <v>0</v>
      </c>
      <c r="M4429" t="s">
        <v>31</v>
      </c>
      <c r="N4429" t="s">
        <v>21</v>
      </c>
    </row>
    <row r="4430" spans="1:14" x14ac:dyDescent="0.3">
      <c r="A4430">
        <v>2024005428</v>
      </c>
      <c r="B4430" s="1">
        <v>45482</v>
      </c>
      <c r="C4430" s="11">
        <f t="shared" si="207"/>
        <v>2024</v>
      </c>
      <c r="D4430" t="s">
        <v>148</v>
      </c>
      <c r="E4430" t="s">
        <v>34</v>
      </c>
      <c r="F4430" t="s">
        <v>35</v>
      </c>
      <c r="G4430" t="s">
        <v>36</v>
      </c>
      <c r="H4430">
        <v>1</v>
      </c>
      <c r="I4430" s="2">
        <v>15.54</v>
      </c>
      <c r="J4430" s="2">
        <v>15.54</v>
      </c>
      <c r="K4430" s="2">
        <f t="shared" si="208"/>
        <v>15.54</v>
      </c>
      <c r="L4430" s="2">
        <f t="shared" si="209"/>
        <v>0</v>
      </c>
      <c r="M4430" t="s">
        <v>15</v>
      </c>
      <c r="N4430" t="s">
        <v>32</v>
      </c>
    </row>
    <row r="4431" spans="1:14" x14ac:dyDescent="0.3">
      <c r="A4431">
        <v>2024005429</v>
      </c>
      <c r="B4431" s="1">
        <v>45354</v>
      </c>
      <c r="C4431" s="11">
        <f t="shared" si="207"/>
        <v>2024</v>
      </c>
      <c r="D4431" t="s">
        <v>231</v>
      </c>
      <c r="E4431" t="s">
        <v>34</v>
      </c>
      <c r="F4431" t="s">
        <v>35</v>
      </c>
      <c r="G4431" t="s">
        <v>36</v>
      </c>
      <c r="H4431">
        <v>1</v>
      </c>
      <c r="I4431" s="2">
        <v>15.49</v>
      </c>
      <c r="J4431" s="2">
        <v>15.49</v>
      </c>
      <c r="K4431" s="2">
        <f t="shared" si="208"/>
        <v>15.49</v>
      </c>
      <c r="L4431" s="2">
        <f t="shared" si="209"/>
        <v>0</v>
      </c>
      <c r="M4431" t="s">
        <v>25</v>
      </c>
      <c r="N4431" t="s">
        <v>21</v>
      </c>
    </row>
    <row r="4432" spans="1:14" x14ac:dyDescent="0.3">
      <c r="A4432">
        <v>2024005430</v>
      </c>
      <c r="B4432" s="1">
        <v>45467</v>
      </c>
      <c r="C4432" s="11">
        <f t="shared" si="207"/>
        <v>2024</v>
      </c>
      <c r="D4432" t="s">
        <v>280</v>
      </c>
      <c r="E4432" t="s">
        <v>18</v>
      </c>
      <c r="F4432" t="s">
        <v>19</v>
      </c>
      <c r="G4432" t="s">
        <v>14</v>
      </c>
      <c r="H4432">
        <v>1</v>
      </c>
      <c r="I4432" s="2">
        <v>599.38</v>
      </c>
      <c r="J4432" s="2">
        <v>599.38</v>
      </c>
      <c r="K4432" s="2">
        <f t="shared" si="208"/>
        <v>599.38</v>
      </c>
      <c r="L4432" s="2">
        <f t="shared" si="209"/>
        <v>0</v>
      </c>
      <c r="M4432" t="s">
        <v>20</v>
      </c>
      <c r="N4432" t="s">
        <v>21</v>
      </c>
    </row>
    <row r="4433" spans="1:14" x14ac:dyDescent="0.3">
      <c r="A4433">
        <v>2024005431</v>
      </c>
      <c r="B4433" s="1">
        <v>45538</v>
      </c>
      <c r="C4433" s="11">
        <f t="shared" si="207"/>
        <v>2024</v>
      </c>
      <c r="D4433" t="s">
        <v>37</v>
      </c>
      <c r="E4433" t="s">
        <v>34</v>
      </c>
      <c r="F4433" t="s">
        <v>35</v>
      </c>
      <c r="G4433" t="s">
        <v>36</v>
      </c>
      <c r="H4433">
        <v>1</v>
      </c>
      <c r="I4433" s="2">
        <v>16.079999999999998</v>
      </c>
      <c r="J4433" s="2">
        <v>16.079999999999998</v>
      </c>
      <c r="K4433" s="2">
        <f t="shared" si="208"/>
        <v>16.079999999999998</v>
      </c>
      <c r="L4433" s="2">
        <f t="shared" si="209"/>
        <v>0</v>
      </c>
      <c r="M4433" t="s">
        <v>20</v>
      </c>
      <c r="N4433" t="s">
        <v>32</v>
      </c>
    </row>
    <row r="4434" spans="1:14" x14ac:dyDescent="0.3">
      <c r="A4434">
        <v>2024005432</v>
      </c>
      <c r="B4434" s="1">
        <v>45454</v>
      </c>
      <c r="C4434" s="11">
        <f t="shared" si="207"/>
        <v>2024</v>
      </c>
      <c r="D4434" t="s">
        <v>129</v>
      </c>
      <c r="E4434" t="s">
        <v>34</v>
      </c>
      <c r="F4434" t="s">
        <v>35</v>
      </c>
      <c r="G4434" t="s">
        <v>36</v>
      </c>
      <c r="H4434">
        <v>2</v>
      </c>
      <c r="I4434" s="2">
        <v>15.88</v>
      </c>
      <c r="J4434" s="2">
        <v>31.76</v>
      </c>
      <c r="K4434" s="2">
        <f t="shared" si="208"/>
        <v>31.76</v>
      </c>
      <c r="L4434" s="2">
        <f t="shared" si="209"/>
        <v>0</v>
      </c>
      <c r="M4434" t="s">
        <v>61</v>
      </c>
      <c r="N4434" t="s">
        <v>26</v>
      </c>
    </row>
    <row r="4435" spans="1:14" x14ac:dyDescent="0.3">
      <c r="A4435">
        <v>2024005433</v>
      </c>
      <c r="B4435" s="1">
        <v>45440</v>
      </c>
      <c r="C4435" s="11">
        <f t="shared" si="207"/>
        <v>2024</v>
      </c>
      <c r="D4435" t="s">
        <v>75</v>
      </c>
      <c r="E4435" t="s">
        <v>28</v>
      </c>
      <c r="F4435" t="s">
        <v>29</v>
      </c>
      <c r="G4435" t="s">
        <v>30</v>
      </c>
      <c r="H4435">
        <v>1</v>
      </c>
      <c r="I4435" s="2">
        <v>23</v>
      </c>
      <c r="J4435" s="2">
        <v>23</v>
      </c>
      <c r="K4435" s="2">
        <f t="shared" si="208"/>
        <v>23</v>
      </c>
      <c r="L4435" s="2">
        <f t="shared" si="209"/>
        <v>0</v>
      </c>
      <c r="M4435" t="s">
        <v>31</v>
      </c>
      <c r="N4435" t="s">
        <v>16</v>
      </c>
    </row>
    <row r="4436" spans="1:14" x14ac:dyDescent="0.3">
      <c r="A4436">
        <v>2024005434</v>
      </c>
      <c r="B4436" s="1">
        <v>45515</v>
      </c>
      <c r="C4436" s="11">
        <f t="shared" si="207"/>
        <v>2024</v>
      </c>
      <c r="D4436" t="s">
        <v>301</v>
      </c>
      <c r="E4436" t="s">
        <v>46</v>
      </c>
      <c r="F4436" t="s">
        <v>47</v>
      </c>
      <c r="G4436" t="s">
        <v>36</v>
      </c>
      <c r="H4436">
        <v>1</v>
      </c>
      <c r="I4436" s="2">
        <v>91.55</v>
      </c>
      <c r="J4436" s="2">
        <v>91.55</v>
      </c>
      <c r="K4436" s="2">
        <f t="shared" si="208"/>
        <v>91.55</v>
      </c>
      <c r="L4436" s="2">
        <f t="shared" si="209"/>
        <v>0</v>
      </c>
      <c r="M4436" t="s">
        <v>57</v>
      </c>
      <c r="N4436" t="s">
        <v>16</v>
      </c>
    </row>
    <row r="4437" spans="1:14" x14ac:dyDescent="0.3">
      <c r="A4437">
        <v>2024005435</v>
      </c>
      <c r="B4437" s="1">
        <v>45332</v>
      </c>
      <c r="C4437" s="11">
        <f t="shared" si="207"/>
        <v>2024</v>
      </c>
      <c r="D4437" t="s">
        <v>191</v>
      </c>
      <c r="E4437" t="s">
        <v>53</v>
      </c>
      <c r="F4437" t="s">
        <v>54</v>
      </c>
      <c r="G4437" t="s">
        <v>36</v>
      </c>
      <c r="H4437">
        <v>2</v>
      </c>
      <c r="I4437" s="2">
        <v>124.53</v>
      </c>
      <c r="J4437" s="2">
        <v>249.06</v>
      </c>
      <c r="K4437" s="2">
        <f t="shared" si="208"/>
        <v>249.06</v>
      </c>
      <c r="L4437" s="2">
        <f t="shared" si="209"/>
        <v>0</v>
      </c>
      <c r="M4437" t="s">
        <v>64</v>
      </c>
      <c r="N4437" t="s">
        <v>26</v>
      </c>
    </row>
    <row r="4438" spans="1:14" x14ac:dyDescent="0.3">
      <c r="A4438">
        <v>2024005436</v>
      </c>
      <c r="B4438" s="1">
        <v>45457</v>
      </c>
      <c r="C4438" s="11">
        <f t="shared" si="207"/>
        <v>2024</v>
      </c>
      <c r="D4438" t="s">
        <v>11</v>
      </c>
      <c r="E4438" t="s">
        <v>23</v>
      </c>
      <c r="F4438" t="s">
        <v>24</v>
      </c>
      <c r="G4438" t="s">
        <v>14</v>
      </c>
      <c r="H4438">
        <v>1</v>
      </c>
      <c r="I4438" s="2">
        <v>79.16</v>
      </c>
      <c r="J4438" s="2">
        <v>79.16</v>
      </c>
      <c r="K4438" s="2">
        <f t="shared" si="208"/>
        <v>79.16</v>
      </c>
      <c r="L4438" s="2">
        <f t="shared" si="209"/>
        <v>0</v>
      </c>
      <c r="M4438" t="s">
        <v>55</v>
      </c>
      <c r="N4438" t="s">
        <v>16</v>
      </c>
    </row>
    <row r="4439" spans="1:14" x14ac:dyDescent="0.3">
      <c r="A4439">
        <v>2024005437</v>
      </c>
      <c r="B4439" s="1">
        <v>45436</v>
      </c>
      <c r="C4439" s="11">
        <f t="shared" si="207"/>
        <v>2024</v>
      </c>
      <c r="D4439" t="s">
        <v>336</v>
      </c>
      <c r="E4439" t="s">
        <v>18</v>
      </c>
      <c r="F4439" t="s">
        <v>19</v>
      </c>
      <c r="G4439" t="s">
        <v>14</v>
      </c>
      <c r="H4439">
        <v>2</v>
      </c>
      <c r="I4439" s="2">
        <v>623.09</v>
      </c>
      <c r="J4439" s="2">
        <v>1246.18</v>
      </c>
      <c r="K4439" s="2">
        <f t="shared" si="208"/>
        <v>1246.18</v>
      </c>
      <c r="L4439" s="2">
        <f t="shared" si="209"/>
        <v>0</v>
      </c>
      <c r="M4439" t="s">
        <v>38</v>
      </c>
      <c r="N4439" t="s">
        <v>32</v>
      </c>
    </row>
    <row r="4440" spans="1:14" x14ac:dyDescent="0.3">
      <c r="A4440">
        <v>2024005438</v>
      </c>
      <c r="B4440" s="1">
        <v>45398</v>
      </c>
      <c r="C4440" s="11">
        <f t="shared" si="207"/>
        <v>2024</v>
      </c>
      <c r="D4440" t="s">
        <v>216</v>
      </c>
      <c r="E4440" t="s">
        <v>53</v>
      </c>
      <c r="F4440" t="s">
        <v>54</v>
      </c>
      <c r="G4440" t="s">
        <v>36</v>
      </c>
      <c r="H4440">
        <v>1</v>
      </c>
      <c r="I4440" s="2">
        <v>118.05</v>
      </c>
      <c r="J4440" s="2">
        <v>118.05</v>
      </c>
      <c r="K4440" s="2">
        <f t="shared" si="208"/>
        <v>118.05</v>
      </c>
      <c r="L4440" s="2">
        <f t="shared" si="209"/>
        <v>0</v>
      </c>
      <c r="M4440" t="s">
        <v>25</v>
      </c>
      <c r="N4440" t="s">
        <v>32</v>
      </c>
    </row>
    <row r="4441" spans="1:14" x14ac:dyDescent="0.3">
      <c r="A4441">
        <v>2024005439</v>
      </c>
      <c r="B4441" s="1">
        <v>45478</v>
      </c>
      <c r="C4441" s="11">
        <f t="shared" si="207"/>
        <v>2024</v>
      </c>
      <c r="D4441" t="s">
        <v>283</v>
      </c>
      <c r="E4441" t="s">
        <v>28</v>
      </c>
      <c r="F4441" t="s">
        <v>29</v>
      </c>
      <c r="G4441" t="s">
        <v>30</v>
      </c>
      <c r="H4441">
        <v>2</v>
      </c>
      <c r="I4441" s="2">
        <v>26.49</v>
      </c>
      <c r="J4441" s="2">
        <v>52.98</v>
      </c>
      <c r="K4441" s="2">
        <f t="shared" si="208"/>
        <v>52.98</v>
      </c>
      <c r="L4441" s="2">
        <f t="shared" si="209"/>
        <v>0</v>
      </c>
      <c r="M4441" t="s">
        <v>31</v>
      </c>
      <c r="N4441" t="s">
        <v>26</v>
      </c>
    </row>
    <row r="4442" spans="1:14" x14ac:dyDescent="0.3">
      <c r="A4442">
        <v>2024005440</v>
      </c>
      <c r="B4442" s="1">
        <v>45344</v>
      </c>
      <c r="C4442" s="11">
        <f t="shared" si="207"/>
        <v>2024</v>
      </c>
      <c r="D4442" t="s">
        <v>11</v>
      </c>
      <c r="E4442" t="s">
        <v>43</v>
      </c>
      <c r="F4442" t="s">
        <v>44</v>
      </c>
      <c r="G4442" t="s">
        <v>36</v>
      </c>
      <c r="H4442">
        <v>3</v>
      </c>
      <c r="I4442" s="2">
        <v>1177.6199999999999</v>
      </c>
      <c r="J4442" s="2">
        <v>3532.86</v>
      </c>
      <c r="K4442" s="2">
        <f t="shared" si="208"/>
        <v>3532.8599999999997</v>
      </c>
      <c r="L4442" s="2">
        <f t="shared" si="209"/>
        <v>0</v>
      </c>
      <c r="M4442" t="s">
        <v>15</v>
      </c>
      <c r="N4442" t="s">
        <v>21</v>
      </c>
    </row>
    <row r="4443" spans="1:14" x14ac:dyDescent="0.3">
      <c r="A4443">
        <v>2024005441</v>
      </c>
      <c r="B4443" s="1">
        <v>45602</v>
      </c>
      <c r="C4443" s="11">
        <f t="shared" si="207"/>
        <v>2024</v>
      </c>
      <c r="D4443" t="s">
        <v>257</v>
      </c>
      <c r="E4443" t="s">
        <v>34</v>
      </c>
      <c r="F4443" t="s">
        <v>35</v>
      </c>
      <c r="G4443" t="s">
        <v>36</v>
      </c>
      <c r="H4443">
        <v>3</v>
      </c>
      <c r="I4443" s="2">
        <v>14.14</v>
      </c>
      <c r="J4443" s="2">
        <v>42.42</v>
      </c>
      <c r="K4443" s="2">
        <f t="shared" si="208"/>
        <v>42.42</v>
      </c>
      <c r="L4443" s="2">
        <f t="shared" si="209"/>
        <v>0</v>
      </c>
      <c r="M4443" t="s">
        <v>25</v>
      </c>
      <c r="N4443" t="s">
        <v>32</v>
      </c>
    </row>
    <row r="4444" spans="1:14" x14ac:dyDescent="0.3">
      <c r="A4444">
        <v>2024005442</v>
      </c>
      <c r="B4444" s="1">
        <v>45490</v>
      </c>
      <c r="C4444" s="11">
        <f t="shared" si="207"/>
        <v>2024</v>
      </c>
      <c r="D4444" t="s">
        <v>292</v>
      </c>
      <c r="E4444" t="s">
        <v>53</v>
      </c>
      <c r="F4444" t="s">
        <v>54</v>
      </c>
      <c r="G4444" t="s">
        <v>36</v>
      </c>
      <c r="H4444">
        <v>2</v>
      </c>
      <c r="I4444" s="2">
        <v>124.75</v>
      </c>
      <c r="J4444" s="2">
        <v>249.5</v>
      </c>
      <c r="K4444" s="2">
        <f t="shared" si="208"/>
        <v>249.5</v>
      </c>
      <c r="L4444" s="2">
        <f t="shared" si="209"/>
        <v>0</v>
      </c>
      <c r="M4444" t="s">
        <v>38</v>
      </c>
      <c r="N4444" t="s">
        <v>26</v>
      </c>
    </row>
    <row r="4445" spans="1:14" x14ac:dyDescent="0.3">
      <c r="A4445">
        <v>2024005443</v>
      </c>
      <c r="B4445" s="1">
        <v>45509</v>
      </c>
      <c r="C4445" s="11">
        <f t="shared" si="207"/>
        <v>2024</v>
      </c>
      <c r="D4445" t="s">
        <v>96</v>
      </c>
      <c r="E4445" t="s">
        <v>67</v>
      </c>
      <c r="F4445" t="s">
        <v>68</v>
      </c>
      <c r="G4445" t="s">
        <v>36</v>
      </c>
      <c r="H4445">
        <v>1</v>
      </c>
      <c r="I4445" s="2">
        <v>380.01</v>
      </c>
      <c r="J4445" s="2">
        <v>380.01</v>
      </c>
      <c r="K4445" s="2">
        <f t="shared" si="208"/>
        <v>380.01</v>
      </c>
      <c r="L4445" s="2">
        <f t="shared" si="209"/>
        <v>0</v>
      </c>
      <c r="M4445" t="s">
        <v>38</v>
      </c>
      <c r="N4445" t="s">
        <v>32</v>
      </c>
    </row>
    <row r="4446" spans="1:14" x14ac:dyDescent="0.3">
      <c r="A4446">
        <v>2024005444</v>
      </c>
      <c r="B4446" s="1">
        <v>45480</v>
      </c>
      <c r="C4446" s="11">
        <f t="shared" si="207"/>
        <v>2024</v>
      </c>
      <c r="D4446" t="s">
        <v>72</v>
      </c>
      <c r="E4446" t="s">
        <v>43</v>
      </c>
      <c r="F4446" t="s">
        <v>44</v>
      </c>
      <c r="G4446" t="s">
        <v>36</v>
      </c>
      <c r="H4446">
        <v>2</v>
      </c>
      <c r="I4446" s="2">
        <v>1200.17</v>
      </c>
      <c r="J4446" s="2">
        <v>2400.34</v>
      </c>
      <c r="K4446" s="2">
        <f t="shared" si="208"/>
        <v>2400.34</v>
      </c>
      <c r="L4446" s="2">
        <f t="shared" si="209"/>
        <v>0</v>
      </c>
      <c r="M4446" t="s">
        <v>31</v>
      </c>
      <c r="N4446" t="s">
        <v>21</v>
      </c>
    </row>
    <row r="4447" spans="1:14" x14ac:dyDescent="0.3">
      <c r="A4447">
        <v>2024005445</v>
      </c>
      <c r="B4447" s="1">
        <v>45511</v>
      </c>
      <c r="C4447" s="11">
        <f t="shared" si="207"/>
        <v>2024</v>
      </c>
      <c r="D4447" t="s">
        <v>319</v>
      </c>
      <c r="E4447" t="s">
        <v>67</v>
      </c>
      <c r="F4447" t="s">
        <v>68</v>
      </c>
      <c r="G4447" t="s">
        <v>36</v>
      </c>
      <c r="H4447">
        <v>2</v>
      </c>
      <c r="I4447" s="2">
        <v>397.22</v>
      </c>
      <c r="J4447" s="2">
        <v>794.44</v>
      </c>
      <c r="K4447" s="2">
        <f t="shared" si="208"/>
        <v>794.44</v>
      </c>
      <c r="L4447" s="2">
        <f t="shared" si="209"/>
        <v>0</v>
      </c>
      <c r="M4447" t="s">
        <v>48</v>
      </c>
      <c r="N4447" t="s">
        <v>16</v>
      </c>
    </row>
    <row r="4448" spans="1:14" x14ac:dyDescent="0.3">
      <c r="A4448">
        <v>2024005446</v>
      </c>
      <c r="B4448" s="1">
        <v>45441</v>
      </c>
      <c r="C4448" s="11">
        <f t="shared" si="207"/>
        <v>2024</v>
      </c>
      <c r="D4448" t="s">
        <v>272</v>
      </c>
      <c r="E4448" t="s">
        <v>34</v>
      </c>
      <c r="F4448" t="s">
        <v>35</v>
      </c>
      <c r="G4448" t="s">
        <v>36</v>
      </c>
      <c r="H4448">
        <v>3</v>
      </c>
      <c r="I4448" s="2">
        <v>14.19</v>
      </c>
      <c r="J4448" s="2">
        <v>42.57</v>
      </c>
      <c r="K4448" s="2">
        <f t="shared" si="208"/>
        <v>42.57</v>
      </c>
      <c r="L4448" s="2">
        <f t="shared" si="209"/>
        <v>0</v>
      </c>
      <c r="M4448" t="s">
        <v>20</v>
      </c>
      <c r="N4448" t="s">
        <v>21</v>
      </c>
    </row>
    <row r="4449" spans="1:14" x14ac:dyDescent="0.3">
      <c r="A4449">
        <v>2024005447</v>
      </c>
      <c r="B4449" s="1">
        <v>45583</v>
      </c>
      <c r="C4449" s="11">
        <f t="shared" si="207"/>
        <v>2024</v>
      </c>
      <c r="D4449" t="s">
        <v>252</v>
      </c>
      <c r="E4449" t="s">
        <v>46</v>
      </c>
      <c r="F4449" t="s">
        <v>47</v>
      </c>
      <c r="G4449" t="s">
        <v>36</v>
      </c>
      <c r="H4449">
        <v>1</v>
      </c>
      <c r="I4449" s="2">
        <v>85.71</v>
      </c>
      <c r="J4449" s="2">
        <v>85.71</v>
      </c>
      <c r="K4449" s="2">
        <f t="shared" si="208"/>
        <v>85.71</v>
      </c>
      <c r="L4449" s="2">
        <f t="shared" si="209"/>
        <v>0</v>
      </c>
      <c r="M4449" t="s">
        <v>31</v>
      </c>
      <c r="N4449" t="s">
        <v>16</v>
      </c>
    </row>
    <row r="4450" spans="1:14" x14ac:dyDescent="0.3">
      <c r="A4450">
        <v>2024005448</v>
      </c>
      <c r="B4450" s="1">
        <v>45628</v>
      </c>
      <c r="C4450" s="11">
        <f t="shared" si="207"/>
        <v>2024</v>
      </c>
      <c r="D4450" t="s">
        <v>11</v>
      </c>
      <c r="E4450" t="s">
        <v>46</v>
      </c>
      <c r="F4450" t="s">
        <v>47</v>
      </c>
      <c r="G4450" t="s">
        <v>36</v>
      </c>
      <c r="H4450">
        <v>2</v>
      </c>
      <c r="I4450" s="2">
        <v>94.04</v>
      </c>
      <c r="J4450" s="2">
        <v>188.08</v>
      </c>
      <c r="K4450" s="2">
        <f t="shared" si="208"/>
        <v>188.08</v>
      </c>
      <c r="L4450" s="2">
        <f t="shared" si="209"/>
        <v>0</v>
      </c>
      <c r="M4450" t="s">
        <v>25</v>
      </c>
      <c r="N4450" t="s">
        <v>32</v>
      </c>
    </row>
    <row r="4451" spans="1:14" x14ac:dyDescent="0.3">
      <c r="A4451">
        <v>2024005449</v>
      </c>
      <c r="B4451" s="1">
        <v>45649</v>
      </c>
      <c r="C4451" s="11">
        <f t="shared" si="207"/>
        <v>2024</v>
      </c>
      <c r="D4451" t="s">
        <v>273</v>
      </c>
      <c r="E4451" t="s">
        <v>53</v>
      </c>
      <c r="F4451" t="s">
        <v>54</v>
      </c>
      <c r="G4451" t="s">
        <v>36</v>
      </c>
      <c r="H4451">
        <v>4</v>
      </c>
      <c r="I4451" s="2">
        <v>117.22</v>
      </c>
      <c r="J4451" s="2">
        <v>468.88</v>
      </c>
      <c r="K4451" s="2">
        <f t="shared" si="208"/>
        <v>468.88</v>
      </c>
      <c r="L4451" s="2">
        <f t="shared" si="209"/>
        <v>0</v>
      </c>
      <c r="M4451" t="s">
        <v>55</v>
      </c>
      <c r="N4451" t="s">
        <v>16</v>
      </c>
    </row>
    <row r="4452" spans="1:14" x14ac:dyDescent="0.3">
      <c r="A4452">
        <v>2024005450</v>
      </c>
      <c r="B4452" s="1">
        <v>45560</v>
      </c>
      <c r="C4452" s="11">
        <f t="shared" si="207"/>
        <v>2024</v>
      </c>
      <c r="D4452" t="s">
        <v>11</v>
      </c>
      <c r="E4452" t="s">
        <v>28</v>
      </c>
      <c r="F4452" t="s">
        <v>29</v>
      </c>
      <c r="G4452" t="s">
        <v>30</v>
      </c>
      <c r="H4452">
        <v>1</v>
      </c>
      <c r="I4452" s="2">
        <v>25.63</v>
      </c>
      <c r="J4452" s="2">
        <v>25.63</v>
      </c>
      <c r="K4452" s="2">
        <f t="shared" si="208"/>
        <v>25.63</v>
      </c>
      <c r="L4452" s="2">
        <f t="shared" si="209"/>
        <v>0</v>
      </c>
      <c r="M4452" t="s">
        <v>61</v>
      </c>
      <c r="N4452" t="s">
        <v>32</v>
      </c>
    </row>
    <row r="4453" spans="1:14" x14ac:dyDescent="0.3">
      <c r="A4453">
        <v>2024005451</v>
      </c>
      <c r="B4453" s="1">
        <v>45477</v>
      </c>
      <c r="C4453" s="11">
        <f t="shared" si="207"/>
        <v>2024</v>
      </c>
      <c r="D4453" t="s">
        <v>11</v>
      </c>
      <c r="E4453" t="s">
        <v>28</v>
      </c>
      <c r="F4453" t="s">
        <v>29</v>
      </c>
      <c r="G4453" t="s">
        <v>30</v>
      </c>
      <c r="H4453">
        <v>3</v>
      </c>
      <c r="I4453" s="2">
        <v>24.54</v>
      </c>
      <c r="J4453" s="2">
        <v>73.62</v>
      </c>
      <c r="K4453" s="2">
        <f t="shared" si="208"/>
        <v>73.62</v>
      </c>
      <c r="L4453" s="2">
        <f t="shared" si="209"/>
        <v>0</v>
      </c>
      <c r="M4453" t="s">
        <v>15</v>
      </c>
      <c r="N4453" t="s">
        <v>32</v>
      </c>
    </row>
    <row r="4454" spans="1:14" x14ac:dyDescent="0.3">
      <c r="A4454">
        <v>2024005452</v>
      </c>
      <c r="B4454" s="1">
        <v>45479</v>
      </c>
      <c r="C4454" s="11">
        <f t="shared" si="207"/>
        <v>2024</v>
      </c>
      <c r="D4454" t="s">
        <v>225</v>
      </c>
      <c r="E4454" t="s">
        <v>46</v>
      </c>
      <c r="F4454" t="s">
        <v>47</v>
      </c>
      <c r="G4454" t="s">
        <v>36</v>
      </c>
      <c r="H4454">
        <v>3</v>
      </c>
      <c r="I4454" s="2">
        <v>87.21</v>
      </c>
      <c r="J4454" s="2">
        <v>261.63</v>
      </c>
      <c r="K4454" s="2">
        <f t="shared" si="208"/>
        <v>261.63</v>
      </c>
      <c r="L4454" s="2">
        <f t="shared" si="209"/>
        <v>0</v>
      </c>
      <c r="M4454" t="s">
        <v>57</v>
      </c>
      <c r="N4454" t="s">
        <v>26</v>
      </c>
    </row>
    <row r="4455" spans="1:14" x14ac:dyDescent="0.3">
      <c r="A4455">
        <v>2024005453</v>
      </c>
      <c r="B4455" s="1">
        <v>45465</v>
      </c>
      <c r="C4455" s="11">
        <f t="shared" si="207"/>
        <v>2024</v>
      </c>
      <c r="D4455" t="s">
        <v>176</v>
      </c>
      <c r="E4455" t="s">
        <v>34</v>
      </c>
      <c r="F4455" t="s">
        <v>35</v>
      </c>
      <c r="G4455" t="s">
        <v>36</v>
      </c>
      <c r="H4455">
        <v>4</v>
      </c>
      <c r="I4455" s="2">
        <v>14.66</v>
      </c>
      <c r="J4455" s="2">
        <v>58.64</v>
      </c>
      <c r="K4455" s="2">
        <f t="shared" si="208"/>
        <v>58.64</v>
      </c>
      <c r="L4455" s="2">
        <f t="shared" si="209"/>
        <v>0</v>
      </c>
      <c r="M4455" t="s">
        <v>64</v>
      </c>
      <c r="N4455" t="s">
        <v>32</v>
      </c>
    </row>
    <row r="4456" spans="1:14" x14ac:dyDescent="0.3">
      <c r="A4456">
        <v>2024005454</v>
      </c>
      <c r="B4456" s="1">
        <v>45622</v>
      </c>
      <c r="C4456" s="11">
        <f t="shared" si="207"/>
        <v>2024</v>
      </c>
      <c r="D4456" t="s">
        <v>183</v>
      </c>
      <c r="E4456" t="s">
        <v>28</v>
      </c>
      <c r="F4456" t="s">
        <v>29</v>
      </c>
      <c r="G4456" t="s">
        <v>30</v>
      </c>
      <c r="H4456">
        <v>3</v>
      </c>
      <c r="I4456" s="2">
        <v>25.41</v>
      </c>
      <c r="J4456" s="2">
        <v>76.23</v>
      </c>
      <c r="K4456" s="2">
        <f t="shared" si="208"/>
        <v>76.23</v>
      </c>
      <c r="L4456" s="2">
        <f t="shared" si="209"/>
        <v>0</v>
      </c>
      <c r="M4456" t="s">
        <v>20</v>
      </c>
      <c r="N4456" t="s">
        <v>32</v>
      </c>
    </row>
    <row r="4457" spans="1:14" x14ac:dyDescent="0.3">
      <c r="A4457">
        <v>2024005455</v>
      </c>
      <c r="B4457" s="1">
        <v>45495</v>
      </c>
      <c r="C4457" s="11">
        <f t="shared" si="207"/>
        <v>2024</v>
      </c>
      <c r="D4457" t="s">
        <v>262</v>
      </c>
      <c r="E4457" t="s">
        <v>67</v>
      </c>
      <c r="F4457" t="s">
        <v>68</v>
      </c>
      <c r="G4457" t="s">
        <v>36</v>
      </c>
      <c r="H4457">
        <v>1</v>
      </c>
      <c r="I4457" s="2">
        <v>410.53</v>
      </c>
      <c r="J4457" s="2">
        <v>410.53</v>
      </c>
      <c r="K4457" s="2">
        <f t="shared" si="208"/>
        <v>410.53</v>
      </c>
      <c r="L4457" s="2">
        <f t="shared" si="209"/>
        <v>0</v>
      </c>
      <c r="M4457" t="s">
        <v>64</v>
      </c>
      <c r="N4457" t="s">
        <v>21</v>
      </c>
    </row>
    <row r="4458" spans="1:14" x14ac:dyDescent="0.3">
      <c r="A4458">
        <v>2024005456</v>
      </c>
      <c r="B4458" s="1">
        <v>45455</v>
      </c>
      <c r="C4458" s="11">
        <f t="shared" si="207"/>
        <v>2024</v>
      </c>
      <c r="D4458" t="s">
        <v>181</v>
      </c>
      <c r="E4458" t="s">
        <v>43</v>
      </c>
      <c r="F4458" t="s">
        <v>44</v>
      </c>
      <c r="G4458" t="s">
        <v>36</v>
      </c>
      <c r="H4458">
        <v>5</v>
      </c>
      <c r="I4458" s="2">
        <v>1215.8900000000001</v>
      </c>
      <c r="J4458" s="2">
        <v>6079.45</v>
      </c>
      <c r="K4458" s="2">
        <f t="shared" si="208"/>
        <v>6079.4500000000007</v>
      </c>
      <c r="L4458" s="2">
        <f t="shared" si="209"/>
        <v>0</v>
      </c>
      <c r="M4458" t="s">
        <v>15</v>
      </c>
      <c r="N4458" t="s">
        <v>32</v>
      </c>
    </row>
    <row r="4459" spans="1:14" x14ac:dyDescent="0.3">
      <c r="A4459">
        <v>2024005457</v>
      </c>
      <c r="B4459" s="1">
        <v>45309</v>
      </c>
      <c r="C4459" s="11">
        <f t="shared" si="207"/>
        <v>2024</v>
      </c>
      <c r="D4459" t="s">
        <v>321</v>
      </c>
      <c r="E4459" t="s">
        <v>28</v>
      </c>
      <c r="F4459" t="s">
        <v>29</v>
      </c>
      <c r="G4459" t="s">
        <v>30</v>
      </c>
      <c r="H4459">
        <v>1</v>
      </c>
      <c r="I4459" s="2">
        <v>22.74</v>
      </c>
      <c r="J4459" s="2">
        <v>22.74</v>
      </c>
      <c r="K4459" s="2">
        <f t="shared" si="208"/>
        <v>22.74</v>
      </c>
      <c r="L4459" s="2">
        <f t="shared" si="209"/>
        <v>0</v>
      </c>
      <c r="M4459" t="s">
        <v>31</v>
      </c>
      <c r="N4459" t="s">
        <v>26</v>
      </c>
    </row>
    <row r="4460" spans="1:14" x14ac:dyDescent="0.3">
      <c r="A4460">
        <v>2024005458</v>
      </c>
      <c r="B4460" s="1">
        <v>45624</v>
      </c>
      <c r="C4460" s="11">
        <f t="shared" si="207"/>
        <v>2024</v>
      </c>
      <c r="D4460" t="s">
        <v>11</v>
      </c>
      <c r="E4460" t="s">
        <v>12</v>
      </c>
      <c r="F4460" t="s">
        <v>13</v>
      </c>
      <c r="G4460" t="s">
        <v>14</v>
      </c>
      <c r="H4460">
        <v>1</v>
      </c>
      <c r="I4460" s="2">
        <v>330.05</v>
      </c>
      <c r="J4460" s="2">
        <v>330.05</v>
      </c>
      <c r="K4460" s="2">
        <f t="shared" si="208"/>
        <v>330.05</v>
      </c>
      <c r="L4460" s="2">
        <f t="shared" si="209"/>
        <v>0</v>
      </c>
      <c r="M4460" t="s">
        <v>25</v>
      </c>
      <c r="N4460" t="s">
        <v>21</v>
      </c>
    </row>
    <row r="4461" spans="1:14" x14ac:dyDescent="0.3">
      <c r="A4461">
        <v>2024005459</v>
      </c>
      <c r="B4461" s="1">
        <v>45598</v>
      </c>
      <c r="C4461" s="11">
        <f t="shared" si="207"/>
        <v>2024</v>
      </c>
      <c r="D4461" t="s">
        <v>151</v>
      </c>
      <c r="E4461" t="s">
        <v>12</v>
      </c>
      <c r="F4461" t="s">
        <v>13</v>
      </c>
      <c r="G4461" t="s">
        <v>14</v>
      </c>
      <c r="H4461">
        <v>1</v>
      </c>
      <c r="I4461" s="2">
        <v>327.08999999999997</v>
      </c>
      <c r="J4461" s="2">
        <v>327.08999999999997</v>
      </c>
      <c r="K4461" s="2">
        <f t="shared" si="208"/>
        <v>327.08999999999997</v>
      </c>
      <c r="L4461" s="2">
        <f t="shared" si="209"/>
        <v>0</v>
      </c>
      <c r="M4461" t="s">
        <v>15</v>
      </c>
      <c r="N4461" t="s">
        <v>26</v>
      </c>
    </row>
    <row r="4462" spans="1:14" x14ac:dyDescent="0.3">
      <c r="A4462">
        <v>2024005460</v>
      </c>
      <c r="B4462" s="1">
        <v>45306</v>
      </c>
      <c r="C4462" s="11">
        <f t="shared" si="207"/>
        <v>2024</v>
      </c>
      <c r="D4462" t="s">
        <v>96</v>
      </c>
      <c r="E4462" t="s">
        <v>23</v>
      </c>
      <c r="F4462" t="s">
        <v>24</v>
      </c>
      <c r="G4462" t="s">
        <v>14</v>
      </c>
      <c r="H4462">
        <v>1</v>
      </c>
      <c r="I4462" s="2">
        <v>78.03</v>
      </c>
      <c r="J4462" s="2">
        <v>78.03</v>
      </c>
      <c r="K4462" s="2">
        <f t="shared" si="208"/>
        <v>78.03</v>
      </c>
      <c r="L4462" s="2">
        <f t="shared" si="209"/>
        <v>0</v>
      </c>
      <c r="M4462" t="s">
        <v>25</v>
      </c>
      <c r="N4462" t="s">
        <v>32</v>
      </c>
    </row>
    <row r="4463" spans="1:14" x14ac:dyDescent="0.3">
      <c r="A4463">
        <v>2024005461</v>
      </c>
      <c r="B4463" s="1">
        <v>45376</v>
      </c>
      <c r="C4463" s="11">
        <f t="shared" si="207"/>
        <v>2024</v>
      </c>
      <c r="D4463" t="s">
        <v>294</v>
      </c>
      <c r="E4463" t="s">
        <v>53</v>
      </c>
      <c r="F4463" t="s">
        <v>54</v>
      </c>
      <c r="G4463" t="s">
        <v>36</v>
      </c>
      <c r="H4463">
        <v>2</v>
      </c>
      <c r="I4463" s="2">
        <v>127.27</v>
      </c>
      <c r="J4463" s="2">
        <v>254.54</v>
      </c>
      <c r="K4463" s="2">
        <f t="shared" si="208"/>
        <v>254.54</v>
      </c>
      <c r="L4463" s="2">
        <f t="shared" si="209"/>
        <v>0</v>
      </c>
      <c r="M4463" t="s">
        <v>64</v>
      </c>
      <c r="N4463" t="s">
        <v>26</v>
      </c>
    </row>
    <row r="4464" spans="1:14" x14ac:dyDescent="0.3">
      <c r="A4464">
        <v>2024005462</v>
      </c>
      <c r="B4464" s="1">
        <v>45510</v>
      </c>
      <c r="C4464" s="11">
        <f t="shared" si="207"/>
        <v>2024</v>
      </c>
      <c r="D4464" t="s">
        <v>300</v>
      </c>
      <c r="E4464" t="s">
        <v>67</v>
      </c>
      <c r="F4464" t="s">
        <v>68</v>
      </c>
      <c r="G4464" t="s">
        <v>36</v>
      </c>
      <c r="H4464">
        <v>1</v>
      </c>
      <c r="I4464" s="2">
        <v>396.64</v>
      </c>
      <c r="J4464" s="2">
        <v>396.64</v>
      </c>
      <c r="K4464" s="2">
        <f t="shared" si="208"/>
        <v>396.64</v>
      </c>
      <c r="L4464" s="2">
        <f t="shared" si="209"/>
        <v>0</v>
      </c>
      <c r="M4464" t="s">
        <v>20</v>
      </c>
      <c r="N4464" t="s">
        <v>32</v>
      </c>
    </row>
    <row r="4465" spans="1:14" x14ac:dyDescent="0.3">
      <c r="A4465">
        <v>2024005463</v>
      </c>
      <c r="B4465" s="1">
        <v>45330</v>
      </c>
      <c r="C4465" s="11">
        <f t="shared" si="207"/>
        <v>2024</v>
      </c>
      <c r="D4465" t="s">
        <v>313</v>
      </c>
      <c r="E4465" t="s">
        <v>28</v>
      </c>
      <c r="F4465" t="s">
        <v>29</v>
      </c>
      <c r="G4465" t="s">
        <v>30</v>
      </c>
      <c r="H4465">
        <v>1</v>
      </c>
      <c r="I4465" s="2">
        <v>25.32</v>
      </c>
      <c r="J4465" s="2">
        <v>25.32</v>
      </c>
      <c r="K4465" s="2">
        <f t="shared" si="208"/>
        <v>25.32</v>
      </c>
      <c r="L4465" s="2">
        <f t="shared" si="209"/>
        <v>0</v>
      </c>
      <c r="M4465" t="s">
        <v>25</v>
      </c>
      <c r="N4465" t="s">
        <v>26</v>
      </c>
    </row>
    <row r="4466" spans="1:14" x14ac:dyDescent="0.3">
      <c r="A4466">
        <v>2024005464</v>
      </c>
      <c r="B4466" s="1">
        <v>45408</v>
      </c>
      <c r="C4466" s="11">
        <f t="shared" si="207"/>
        <v>2024</v>
      </c>
      <c r="D4466" t="s">
        <v>161</v>
      </c>
      <c r="E4466" t="s">
        <v>12</v>
      </c>
      <c r="F4466" t="s">
        <v>13</v>
      </c>
      <c r="G4466" t="s">
        <v>14</v>
      </c>
      <c r="H4466">
        <v>1</v>
      </c>
      <c r="I4466" s="2">
        <v>355.07</v>
      </c>
      <c r="J4466" s="2">
        <v>355.07</v>
      </c>
      <c r="K4466" s="2">
        <f t="shared" si="208"/>
        <v>355.07</v>
      </c>
      <c r="L4466" s="2">
        <f t="shared" si="209"/>
        <v>0</v>
      </c>
      <c r="M4466" t="s">
        <v>25</v>
      </c>
      <c r="N4466" t="s">
        <v>26</v>
      </c>
    </row>
    <row r="4467" spans="1:14" x14ac:dyDescent="0.3">
      <c r="A4467">
        <v>2024005465</v>
      </c>
      <c r="B4467" s="1">
        <v>45539</v>
      </c>
      <c r="C4467" s="11">
        <f t="shared" si="207"/>
        <v>2024</v>
      </c>
      <c r="D4467" t="s">
        <v>60</v>
      </c>
      <c r="E4467" t="s">
        <v>40</v>
      </c>
      <c r="F4467" t="s">
        <v>41</v>
      </c>
      <c r="G4467" t="s">
        <v>36</v>
      </c>
      <c r="H4467">
        <v>3</v>
      </c>
      <c r="I4467" s="2">
        <v>42.77</v>
      </c>
      <c r="J4467" s="2">
        <v>128.31</v>
      </c>
      <c r="K4467" s="2">
        <f t="shared" si="208"/>
        <v>128.31</v>
      </c>
      <c r="L4467" s="2">
        <f t="shared" si="209"/>
        <v>0</v>
      </c>
      <c r="M4467" t="s">
        <v>57</v>
      </c>
      <c r="N4467" t="s">
        <v>16</v>
      </c>
    </row>
    <row r="4468" spans="1:14" x14ac:dyDescent="0.3">
      <c r="A4468">
        <v>2024005466</v>
      </c>
      <c r="B4468" s="1">
        <v>45339</v>
      </c>
      <c r="C4468" s="11">
        <f t="shared" si="207"/>
        <v>2024</v>
      </c>
      <c r="D4468" t="s">
        <v>11</v>
      </c>
      <c r="E4468" t="s">
        <v>53</v>
      </c>
      <c r="F4468" t="s">
        <v>54</v>
      </c>
      <c r="G4468" t="s">
        <v>36</v>
      </c>
      <c r="H4468">
        <v>5</v>
      </c>
      <c r="I4468" s="2">
        <v>118.45</v>
      </c>
      <c r="J4468" s="2">
        <v>592.25</v>
      </c>
      <c r="K4468" s="2">
        <f t="shared" si="208"/>
        <v>592.25</v>
      </c>
      <c r="L4468" s="2">
        <f t="shared" si="209"/>
        <v>0</v>
      </c>
      <c r="M4468" t="s">
        <v>61</v>
      </c>
      <c r="N4468" t="s">
        <v>16</v>
      </c>
    </row>
    <row r="4469" spans="1:14" x14ac:dyDescent="0.3">
      <c r="A4469">
        <v>2024005467</v>
      </c>
      <c r="B4469" s="1">
        <v>45630</v>
      </c>
      <c r="C4469" s="11">
        <f t="shared" si="207"/>
        <v>2024</v>
      </c>
      <c r="D4469" t="s">
        <v>294</v>
      </c>
      <c r="E4469" t="s">
        <v>34</v>
      </c>
      <c r="F4469" t="s">
        <v>35</v>
      </c>
      <c r="G4469" t="s">
        <v>36</v>
      </c>
      <c r="H4469">
        <v>1</v>
      </c>
      <c r="I4469" s="2">
        <v>15.75</v>
      </c>
      <c r="J4469" s="2">
        <v>15.75</v>
      </c>
      <c r="K4469" s="2">
        <f t="shared" si="208"/>
        <v>15.75</v>
      </c>
      <c r="L4469" s="2">
        <f t="shared" si="209"/>
        <v>0</v>
      </c>
      <c r="M4469" t="s">
        <v>48</v>
      </c>
      <c r="N4469" t="s">
        <v>32</v>
      </c>
    </row>
    <row r="4470" spans="1:14" x14ac:dyDescent="0.3">
      <c r="A4470">
        <v>2024005468</v>
      </c>
      <c r="B4470" s="1">
        <v>45467</v>
      </c>
      <c r="C4470" s="11">
        <f t="shared" si="207"/>
        <v>2024</v>
      </c>
      <c r="D4470" t="s">
        <v>223</v>
      </c>
      <c r="E4470" t="s">
        <v>12</v>
      </c>
      <c r="F4470" t="s">
        <v>13</v>
      </c>
      <c r="G4470" t="s">
        <v>14</v>
      </c>
      <c r="H4470">
        <v>2</v>
      </c>
      <c r="I4470" s="2">
        <v>322.57</v>
      </c>
      <c r="J4470" s="2">
        <v>645.14</v>
      </c>
      <c r="K4470" s="2">
        <f t="shared" si="208"/>
        <v>645.14</v>
      </c>
      <c r="L4470" s="2">
        <f t="shared" si="209"/>
        <v>0</v>
      </c>
      <c r="M4470" t="s">
        <v>61</v>
      </c>
      <c r="N4470" t="s">
        <v>21</v>
      </c>
    </row>
    <row r="4471" spans="1:14" x14ac:dyDescent="0.3">
      <c r="A4471">
        <v>2024005469</v>
      </c>
      <c r="B4471" s="1">
        <v>45479</v>
      </c>
      <c r="C4471" s="11">
        <f t="shared" si="207"/>
        <v>2024</v>
      </c>
      <c r="D4471" t="s">
        <v>11</v>
      </c>
      <c r="E4471" t="s">
        <v>12</v>
      </c>
      <c r="F4471" t="s">
        <v>13</v>
      </c>
      <c r="G4471" t="s">
        <v>14</v>
      </c>
      <c r="H4471">
        <v>1</v>
      </c>
      <c r="I4471" s="2">
        <v>358.4</v>
      </c>
      <c r="J4471" s="2">
        <v>358.4</v>
      </c>
      <c r="K4471" s="2">
        <f t="shared" si="208"/>
        <v>358.4</v>
      </c>
      <c r="L4471" s="2">
        <f t="shared" si="209"/>
        <v>0</v>
      </c>
      <c r="M4471" t="s">
        <v>15</v>
      </c>
      <c r="N4471" t="s">
        <v>21</v>
      </c>
    </row>
    <row r="4472" spans="1:14" x14ac:dyDescent="0.3">
      <c r="A4472">
        <v>2024005470</v>
      </c>
      <c r="B4472" s="1">
        <v>45562</v>
      </c>
      <c r="C4472" s="11">
        <f t="shared" si="207"/>
        <v>2024</v>
      </c>
      <c r="D4472" t="s">
        <v>11</v>
      </c>
      <c r="E4472" t="s">
        <v>12</v>
      </c>
      <c r="F4472" t="s">
        <v>13</v>
      </c>
      <c r="G4472" t="s">
        <v>14</v>
      </c>
      <c r="H4472">
        <v>2</v>
      </c>
      <c r="I4472" s="2">
        <v>330.41</v>
      </c>
      <c r="J4472" s="2">
        <v>660.82</v>
      </c>
      <c r="K4472" s="2">
        <f t="shared" si="208"/>
        <v>660.82</v>
      </c>
      <c r="L4472" s="2">
        <f t="shared" si="209"/>
        <v>0</v>
      </c>
      <c r="M4472" t="s">
        <v>31</v>
      </c>
      <c r="N4472" t="s">
        <v>16</v>
      </c>
    </row>
    <row r="4473" spans="1:14" x14ac:dyDescent="0.3">
      <c r="A4473">
        <v>2024005471</v>
      </c>
      <c r="B4473" s="1">
        <v>45471</v>
      </c>
      <c r="C4473" s="11">
        <f t="shared" si="207"/>
        <v>2024</v>
      </c>
      <c r="D4473" t="s">
        <v>210</v>
      </c>
      <c r="E4473" t="s">
        <v>34</v>
      </c>
      <c r="F4473" t="s">
        <v>35</v>
      </c>
      <c r="G4473" t="s">
        <v>36</v>
      </c>
      <c r="H4473">
        <v>4</v>
      </c>
      <c r="I4473" s="2">
        <v>16.09</v>
      </c>
      <c r="J4473" s="2">
        <v>64.36</v>
      </c>
      <c r="K4473" s="2">
        <f t="shared" si="208"/>
        <v>64.36</v>
      </c>
      <c r="L4473" s="2">
        <f t="shared" si="209"/>
        <v>0</v>
      </c>
      <c r="M4473" t="s">
        <v>38</v>
      </c>
      <c r="N4473" t="s">
        <v>16</v>
      </c>
    </row>
    <row r="4474" spans="1:14" x14ac:dyDescent="0.3">
      <c r="A4474">
        <v>2024005472</v>
      </c>
      <c r="B4474" s="1">
        <v>45307</v>
      </c>
      <c r="C4474" s="11">
        <f t="shared" si="207"/>
        <v>2024</v>
      </c>
      <c r="D4474" t="s">
        <v>37</v>
      </c>
      <c r="E4474" t="s">
        <v>43</v>
      </c>
      <c r="F4474" t="s">
        <v>44</v>
      </c>
      <c r="G4474" t="s">
        <v>36</v>
      </c>
      <c r="H4474">
        <v>2</v>
      </c>
      <c r="I4474" s="2">
        <v>1200.25</v>
      </c>
      <c r="J4474" s="2">
        <v>2400.5</v>
      </c>
      <c r="K4474" s="2">
        <f t="shared" si="208"/>
        <v>2400.5</v>
      </c>
      <c r="L4474" s="2">
        <f t="shared" si="209"/>
        <v>0</v>
      </c>
      <c r="M4474" t="s">
        <v>38</v>
      </c>
      <c r="N4474" t="s">
        <v>26</v>
      </c>
    </row>
    <row r="4475" spans="1:14" x14ac:dyDescent="0.3">
      <c r="A4475">
        <v>2024005473</v>
      </c>
      <c r="B4475" s="1">
        <v>45591</v>
      </c>
      <c r="C4475" s="11">
        <f t="shared" si="207"/>
        <v>2024</v>
      </c>
      <c r="D4475" t="s">
        <v>222</v>
      </c>
      <c r="E4475" t="s">
        <v>34</v>
      </c>
      <c r="F4475" t="s">
        <v>35</v>
      </c>
      <c r="G4475" t="s">
        <v>36</v>
      </c>
      <c r="H4475">
        <v>1</v>
      </c>
      <c r="I4475" s="2">
        <v>15.09</v>
      </c>
      <c r="J4475" s="2">
        <v>15.09</v>
      </c>
      <c r="K4475" s="2">
        <f t="shared" si="208"/>
        <v>15.09</v>
      </c>
      <c r="L4475" s="2">
        <f t="shared" si="209"/>
        <v>0</v>
      </c>
      <c r="M4475" t="s">
        <v>15</v>
      </c>
      <c r="N4475" t="s">
        <v>16</v>
      </c>
    </row>
    <row r="4476" spans="1:14" x14ac:dyDescent="0.3">
      <c r="A4476">
        <v>2024005474</v>
      </c>
      <c r="B4476" s="1">
        <v>45509</v>
      </c>
      <c r="C4476" s="11">
        <f t="shared" si="207"/>
        <v>2024</v>
      </c>
      <c r="D4476" t="s">
        <v>265</v>
      </c>
      <c r="E4476" t="s">
        <v>12</v>
      </c>
      <c r="F4476" t="s">
        <v>13</v>
      </c>
      <c r="G4476" t="s">
        <v>14</v>
      </c>
      <c r="H4476">
        <v>2</v>
      </c>
      <c r="I4476" s="2">
        <v>332.14</v>
      </c>
      <c r="J4476" s="2">
        <v>664.28</v>
      </c>
      <c r="K4476" s="2">
        <f t="shared" si="208"/>
        <v>664.28</v>
      </c>
      <c r="L4476" s="2">
        <f t="shared" si="209"/>
        <v>0</v>
      </c>
      <c r="M4476" t="s">
        <v>61</v>
      </c>
      <c r="N4476" t="s">
        <v>21</v>
      </c>
    </row>
    <row r="4477" spans="1:14" x14ac:dyDescent="0.3">
      <c r="A4477">
        <v>2024005475</v>
      </c>
      <c r="B4477" s="1">
        <v>45584</v>
      </c>
      <c r="C4477" s="11">
        <f t="shared" si="207"/>
        <v>2024</v>
      </c>
      <c r="D4477" t="s">
        <v>11</v>
      </c>
      <c r="E4477" t="s">
        <v>67</v>
      </c>
      <c r="F4477" t="s">
        <v>68</v>
      </c>
      <c r="G4477" t="s">
        <v>36</v>
      </c>
      <c r="H4477">
        <v>3</v>
      </c>
      <c r="I4477" s="2">
        <v>383.68</v>
      </c>
      <c r="J4477" s="2">
        <v>1151.04</v>
      </c>
      <c r="K4477" s="2">
        <f t="shared" si="208"/>
        <v>1151.04</v>
      </c>
      <c r="L4477" s="2">
        <f t="shared" si="209"/>
        <v>0</v>
      </c>
      <c r="M4477" t="s">
        <v>64</v>
      </c>
      <c r="N4477" t="s">
        <v>21</v>
      </c>
    </row>
    <row r="4478" spans="1:14" x14ac:dyDescent="0.3">
      <c r="A4478">
        <v>2024005476</v>
      </c>
      <c r="B4478" s="1">
        <v>45619</v>
      </c>
      <c r="C4478" s="11">
        <f t="shared" si="207"/>
        <v>2024</v>
      </c>
      <c r="D4478" t="s">
        <v>225</v>
      </c>
      <c r="E4478" t="s">
        <v>12</v>
      </c>
      <c r="F4478" t="s">
        <v>13</v>
      </c>
      <c r="G4478" t="s">
        <v>14</v>
      </c>
      <c r="H4478">
        <v>2</v>
      </c>
      <c r="I4478" s="2">
        <v>399.96</v>
      </c>
      <c r="J4478" s="2">
        <v>799.92</v>
      </c>
      <c r="K4478" s="2">
        <f t="shared" si="208"/>
        <v>799.92</v>
      </c>
      <c r="L4478" s="2">
        <f t="shared" si="209"/>
        <v>0</v>
      </c>
      <c r="M4478" t="s">
        <v>20</v>
      </c>
      <c r="N4478" t="s">
        <v>21</v>
      </c>
    </row>
    <row r="4479" spans="1:14" x14ac:dyDescent="0.3">
      <c r="A4479">
        <v>2024005477</v>
      </c>
      <c r="B4479" s="1">
        <v>45409</v>
      </c>
      <c r="C4479" s="11">
        <f t="shared" si="207"/>
        <v>2024</v>
      </c>
      <c r="D4479" t="s">
        <v>11</v>
      </c>
      <c r="E4479" t="s">
        <v>34</v>
      </c>
      <c r="F4479" t="s">
        <v>35</v>
      </c>
      <c r="G4479" t="s">
        <v>36</v>
      </c>
      <c r="H4479">
        <v>1</v>
      </c>
      <c r="I4479" s="2">
        <v>13.91</v>
      </c>
      <c r="J4479" s="2">
        <v>13.91</v>
      </c>
      <c r="K4479" s="2">
        <f t="shared" si="208"/>
        <v>13.91</v>
      </c>
      <c r="L4479" s="2">
        <f t="shared" si="209"/>
        <v>0</v>
      </c>
      <c r="M4479" t="s">
        <v>38</v>
      </c>
      <c r="N4479" t="s">
        <v>32</v>
      </c>
    </row>
    <row r="4480" spans="1:14" x14ac:dyDescent="0.3">
      <c r="A4480">
        <v>2024005478</v>
      </c>
      <c r="B4480" s="1">
        <v>45452</v>
      </c>
      <c r="C4480" s="11">
        <f t="shared" si="207"/>
        <v>2024</v>
      </c>
      <c r="D4480" t="s">
        <v>77</v>
      </c>
      <c r="E4480" t="s">
        <v>28</v>
      </c>
      <c r="F4480" t="s">
        <v>29</v>
      </c>
      <c r="G4480" t="s">
        <v>30</v>
      </c>
      <c r="H4480">
        <v>3</v>
      </c>
      <c r="I4480" s="2">
        <v>26.42</v>
      </c>
      <c r="J4480" s="2">
        <v>79.260000000000005</v>
      </c>
      <c r="K4480" s="2">
        <f t="shared" si="208"/>
        <v>79.260000000000005</v>
      </c>
      <c r="L4480" s="2">
        <f t="shared" si="209"/>
        <v>0</v>
      </c>
      <c r="M4480" t="s">
        <v>61</v>
      </c>
      <c r="N4480" t="s">
        <v>16</v>
      </c>
    </row>
    <row r="4481" spans="1:14" x14ac:dyDescent="0.3">
      <c r="A4481">
        <v>2024004948</v>
      </c>
      <c r="B4481" s="1">
        <v>45246</v>
      </c>
      <c r="C4481" s="11">
        <f t="shared" si="207"/>
        <v>2023</v>
      </c>
      <c r="D4481" t="s">
        <v>305</v>
      </c>
      <c r="E4481" t="s">
        <v>43</v>
      </c>
      <c r="F4481" t="s">
        <v>44</v>
      </c>
      <c r="G4481" t="s">
        <v>36</v>
      </c>
      <c r="H4481">
        <v>1</v>
      </c>
      <c r="I4481" s="2">
        <v>1181.6099999999999</v>
      </c>
      <c r="J4481" s="2">
        <v>1181.6099999999999</v>
      </c>
      <c r="K4481" s="2">
        <f t="shared" si="208"/>
        <v>1181.6099999999999</v>
      </c>
      <c r="L4481" s="2">
        <f t="shared" si="209"/>
        <v>0</v>
      </c>
      <c r="M4481" t="s">
        <v>55</v>
      </c>
      <c r="N4481" t="s">
        <v>32</v>
      </c>
    </row>
    <row r="4482" spans="1:14" x14ac:dyDescent="0.3">
      <c r="A4482">
        <v>2024005480</v>
      </c>
      <c r="B4482" s="1">
        <v>45424</v>
      </c>
      <c r="C4482" s="11">
        <f t="shared" si="207"/>
        <v>2024</v>
      </c>
      <c r="D4482" t="s">
        <v>262</v>
      </c>
      <c r="E4482" t="s">
        <v>18</v>
      </c>
      <c r="F4482" t="s">
        <v>19</v>
      </c>
      <c r="G4482" t="s">
        <v>14</v>
      </c>
      <c r="H4482">
        <v>4</v>
      </c>
      <c r="I4482" s="2">
        <v>660.26</v>
      </c>
      <c r="J4482" s="2">
        <v>2641.04</v>
      </c>
      <c r="K4482" s="2">
        <f t="shared" si="208"/>
        <v>2641.04</v>
      </c>
      <c r="L4482" s="2">
        <f t="shared" si="209"/>
        <v>0</v>
      </c>
      <c r="M4482" t="s">
        <v>31</v>
      </c>
      <c r="N4482" t="s">
        <v>16</v>
      </c>
    </row>
    <row r="4483" spans="1:14" x14ac:dyDescent="0.3">
      <c r="A4483">
        <v>2024005481</v>
      </c>
      <c r="B4483" s="1">
        <v>45411</v>
      </c>
      <c r="C4483" s="11">
        <f t="shared" ref="C4483:C4546" si="210">YEAR(B4483)</f>
        <v>2024</v>
      </c>
      <c r="D4483" t="s">
        <v>11</v>
      </c>
      <c r="E4483" t="s">
        <v>43</v>
      </c>
      <c r="F4483" t="s">
        <v>44</v>
      </c>
      <c r="G4483" t="s">
        <v>36</v>
      </c>
      <c r="H4483">
        <v>1</v>
      </c>
      <c r="I4483" s="2">
        <v>1204.8499999999999</v>
      </c>
      <c r="J4483" s="2">
        <v>1204.8499999999999</v>
      </c>
      <c r="K4483" s="2">
        <f t="shared" ref="K4483:K4546" si="211">I4483*H4483</f>
        <v>1204.8499999999999</v>
      </c>
      <c r="L4483" s="2">
        <f t="shared" ref="L4483:L4546" si="212">J4483-K4483</f>
        <v>0</v>
      </c>
      <c r="M4483" t="s">
        <v>55</v>
      </c>
      <c r="N4483" t="s">
        <v>21</v>
      </c>
    </row>
    <row r="4484" spans="1:14" x14ac:dyDescent="0.3">
      <c r="A4484">
        <v>2024005482</v>
      </c>
      <c r="B4484" s="1">
        <v>45554</v>
      </c>
      <c r="C4484" s="11">
        <f t="shared" si="210"/>
        <v>2024</v>
      </c>
      <c r="D4484" t="s">
        <v>272</v>
      </c>
      <c r="E4484" t="s">
        <v>46</v>
      </c>
      <c r="F4484" t="s">
        <v>47</v>
      </c>
      <c r="G4484" t="s">
        <v>36</v>
      </c>
      <c r="H4484">
        <v>3</v>
      </c>
      <c r="I4484" s="2">
        <v>94.24</v>
      </c>
      <c r="J4484" s="2">
        <v>282.72000000000003</v>
      </c>
      <c r="K4484" s="2">
        <f t="shared" si="211"/>
        <v>282.71999999999997</v>
      </c>
      <c r="L4484" s="2">
        <f t="shared" si="212"/>
        <v>0</v>
      </c>
      <c r="M4484" t="s">
        <v>57</v>
      </c>
      <c r="N4484" t="s">
        <v>26</v>
      </c>
    </row>
    <row r="4485" spans="1:14" x14ac:dyDescent="0.3">
      <c r="A4485">
        <v>2024005483</v>
      </c>
      <c r="B4485" s="1">
        <v>45626</v>
      </c>
      <c r="C4485" s="11">
        <f t="shared" si="210"/>
        <v>2024</v>
      </c>
      <c r="D4485" t="s">
        <v>233</v>
      </c>
      <c r="E4485" t="s">
        <v>23</v>
      </c>
      <c r="F4485" t="s">
        <v>24</v>
      </c>
      <c r="G4485" t="s">
        <v>14</v>
      </c>
      <c r="H4485">
        <v>1</v>
      </c>
      <c r="I4485" s="2">
        <v>81.12</v>
      </c>
      <c r="J4485" s="2">
        <v>81.12</v>
      </c>
      <c r="K4485" s="2">
        <f t="shared" si="211"/>
        <v>81.12</v>
      </c>
      <c r="L4485" s="2">
        <f t="shared" si="212"/>
        <v>0</v>
      </c>
      <c r="M4485" t="s">
        <v>15</v>
      </c>
      <c r="N4485" t="s">
        <v>16</v>
      </c>
    </row>
    <row r="4486" spans="1:14" x14ac:dyDescent="0.3">
      <c r="A4486">
        <v>2024005484</v>
      </c>
      <c r="B4486" s="1">
        <v>45542</v>
      </c>
      <c r="C4486" s="11">
        <f t="shared" si="210"/>
        <v>2024</v>
      </c>
      <c r="D4486" t="s">
        <v>250</v>
      </c>
      <c r="E4486" t="s">
        <v>40</v>
      </c>
      <c r="F4486" t="s">
        <v>41</v>
      </c>
      <c r="G4486" t="s">
        <v>36</v>
      </c>
      <c r="H4486">
        <v>1</v>
      </c>
      <c r="I4486" s="2">
        <v>42.81</v>
      </c>
      <c r="J4486" s="2">
        <v>42.81</v>
      </c>
      <c r="K4486" s="2">
        <f t="shared" si="211"/>
        <v>42.81</v>
      </c>
      <c r="L4486" s="2">
        <f t="shared" si="212"/>
        <v>0</v>
      </c>
      <c r="M4486" t="s">
        <v>38</v>
      </c>
      <c r="N4486" t="s">
        <v>32</v>
      </c>
    </row>
    <row r="4487" spans="1:14" x14ac:dyDescent="0.3">
      <c r="A4487">
        <v>2024005485</v>
      </c>
      <c r="B4487" s="1">
        <v>45387</v>
      </c>
      <c r="C4487" s="11">
        <f t="shared" si="210"/>
        <v>2024</v>
      </c>
      <c r="D4487" t="s">
        <v>107</v>
      </c>
      <c r="E4487" t="s">
        <v>67</v>
      </c>
      <c r="F4487" t="s">
        <v>68</v>
      </c>
      <c r="G4487" t="s">
        <v>36</v>
      </c>
      <c r="H4487">
        <v>1</v>
      </c>
      <c r="I4487" s="2">
        <v>431.15</v>
      </c>
      <c r="J4487" s="2">
        <v>431.15</v>
      </c>
      <c r="K4487" s="2">
        <f t="shared" si="211"/>
        <v>431.15</v>
      </c>
      <c r="L4487" s="2">
        <f t="shared" si="212"/>
        <v>0</v>
      </c>
      <c r="M4487" t="s">
        <v>48</v>
      </c>
      <c r="N4487" t="s">
        <v>21</v>
      </c>
    </row>
    <row r="4488" spans="1:14" x14ac:dyDescent="0.3">
      <c r="A4488">
        <v>2024005486</v>
      </c>
      <c r="B4488" s="1">
        <v>45452</v>
      </c>
      <c r="C4488" s="11">
        <f t="shared" si="210"/>
        <v>2024</v>
      </c>
      <c r="D4488" t="s">
        <v>119</v>
      </c>
      <c r="E4488" t="s">
        <v>18</v>
      </c>
      <c r="F4488" t="s">
        <v>19</v>
      </c>
      <c r="G4488" t="s">
        <v>14</v>
      </c>
      <c r="H4488">
        <v>2</v>
      </c>
      <c r="I4488" s="2">
        <v>582.82000000000005</v>
      </c>
      <c r="J4488" s="2">
        <v>1165.6400000000001</v>
      </c>
      <c r="K4488" s="2">
        <f t="shared" si="211"/>
        <v>1165.6400000000001</v>
      </c>
      <c r="L4488" s="2">
        <f t="shared" si="212"/>
        <v>0</v>
      </c>
      <c r="M4488" t="s">
        <v>31</v>
      </c>
      <c r="N4488" t="s">
        <v>26</v>
      </c>
    </row>
    <row r="4489" spans="1:14" x14ac:dyDescent="0.3">
      <c r="A4489">
        <v>2024005487</v>
      </c>
      <c r="B4489" s="1">
        <v>45299</v>
      </c>
      <c r="C4489" s="11">
        <f t="shared" si="210"/>
        <v>2024</v>
      </c>
      <c r="D4489" t="s">
        <v>171</v>
      </c>
      <c r="E4489" t="s">
        <v>43</v>
      </c>
      <c r="F4489" t="s">
        <v>44</v>
      </c>
      <c r="G4489" t="s">
        <v>36</v>
      </c>
      <c r="H4489">
        <v>1</v>
      </c>
      <c r="I4489" s="2">
        <v>1155.1099999999999</v>
      </c>
      <c r="J4489" s="2">
        <v>1155.1099999999999</v>
      </c>
      <c r="K4489" s="2">
        <f t="shared" si="211"/>
        <v>1155.1099999999999</v>
      </c>
      <c r="L4489" s="2">
        <f t="shared" si="212"/>
        <v>0</v>
      </c>
      <c r="M4489" t="s">
        <v>15</v>
      </c>
      <c r="N4489" t="s">
        <v>16</v>
      </c>
    </row>
    <row r="4490" spans="1:14" x14ac:dyDescent="0.3">
      <c r="A4490">
        <v>2024005488</v>
      </c>
      <c r="B4490" s="1">
        <v>45402</v>
      </c>
      <c r="C4490" s="11">
        <f t="shared" si="210"/>
        <v>2024</v>
      </c>
      <c r="D4490" t="s">
        <v>230</v>
      </c>
      <c r="E4490" t="s">
        <v>23</v>
      </c>
      <c r="F4490" t="s">
        <v>24</v>
      </c>
      <c r="G4490" t="s">
        <v>14</v>
      </c>
      <c r="H4490">
        <v>3</v>
      </c>
      <c r="I4490" s="2">
        <v>80.239999999999995</v>
      </c>
      <c r="J4490" s="2">
        <v>240.72</v>
      </c>
      <c r="K4490" s="2">
        <f t="shared" si="211"/>
        <v>240.71999999999997</v>
      </c>
      <c r="L4490" s="2">
        <f t="shared" si="212"/>
        <v>0</v>
      </c>
      <c r="M4490" t="s">
        <v>20</v>
      </c>
      <c r="N4490" t="s">
        <v>21</v>
      </c>
    </row>
    <row r="4491" spans="1:14" x14ac:dyDescent="0.3">
      <c r="A4491">
        <v>2024005489</v>
      </c>
      <c r="B4491" s="1">
        <v>45477</v>
      </c>
      <c r="C4491" s="11">
        <f t="shared" si="210"/>
        <v>2024</v>
      </c>
      <c r="D4491" t="s">
        <v>125</v>
      </c>
      <c r="E4491" t="s">
        <v>12</v>
      </c>
      <c r="F4491" t="s">
        <v>13</v>
      </c>
      <c r="G4491" t="s">
        <v>14</v>
      </c>
      <c r="H4491">
        <v>3</v>
      </c>
      <c r="I4491" s="2">
        <v>338.09</v>
      </c>
      <c r="J4491" s="2">
        <v>1014.27</v>
      </c>
      <c r="K4491" s="2">
        <f t="shared" si="211"/>
        <v>1014.27</v>
      </c>
      <c r="L4491" s="2">
        <f t="shared" si="212"/>
        <v>0</v>
      </c>
      <c r="M4491" t="s">
        <v>64</v>
      </c>
      <c r="N4491" t="s">
        <v>16</v>
      </c>
    </row>
    <row r="4492" spans="1:14" x14ac:dyDescent="0.3">
      <c r="A4492">
        <v>2024005490</v>
      </c>
      <c r="B4492" s="1">
        <v>45418</v>
      </c>
      <c r="C4492" s="11">
        <f t="shared" si="210"/>
        <v>2024</v>
      </c>
      <c r="D4492" t="s">
        <v>94</v>
      </c>
      <c r="E4492" t="s">
        <v>46</v>
      </c>
      <c r="F4492" t="s">
        <v>47</v>
      </c>
      <c r="G4492" t="s">
        <v>36</v>
      </c>
      <c r="H4492">
        <v>1</v>
      </c>
      <c r="I4492" s="2">
        <v>91.81</v>
      </c>
      <c r="J4492" s="2">
        <v>91.81</v>
      </c>
      <c r="K4492" s="2">
        <f t="shared" si="211"/>
        <v>91.81</v>
      </c>
      <c r="L4492" s="2">
        <f t="shared" si="212"/>
        <v>0</v>
      </c>
      <c r="M4492" t="s">
        <v>48</v>
      </c>
      <c r="N4492" t="s">
        <v>32</v>
      </c>
    </row>
    <row r="4493" spans="1:14" x14ac:dyDescent="0.3">
      <c r="A4493">
        <v>2024005491</v>
      </c>
      <c r="B4493" s="1">
        <v>45504</v>
      </c>
      <c r="C4493" s="11">
        <f t="shared" si="210"/>
        <v>2024</v>
      </c>
      <c r="D4493" t="s">
        <v>302</v>
      </c>
      <c r="E4493" t="s">
        <v>40</v>
      </c>
      <c r="F4493" t="s">
        <v>41</v>
      </c>
      <c r="G4493" t="s">
        <v>36</v>
      </c>
      <c r="H4493">
        <v>1</v>
      </c>
      <c r="I4493" s="2">
        <v>45.41</v>
      </c>
      <c r="J4493" s="2">
        <v>45.41</v>
      </c>
      <c r="K4493" s="2">
        <f t="shared" si="211"/>
        <v>45.41</v>
      </c>
      <c r="L4493" s="2">
        <f t="shared" si="212"/>
        <v>0</v>
      </c>
      <c r="M4493" t="s">
        <v>20</v>
      </c>
      <c r="N4493" t="s">
        <v>32</v>
      </c>
    </row>
    <row r="4494" spans="1:14" x14ac:dyDescent="0.3">
      <c r="A4494">
        <v>2024005492</v>
      </c>
      <c r="B4494" s="1">
        <v>45529</v>
      </c>
      <c r="C4494" s="11">
        <f t="shared" si="210"/>
        <v>2024</v>
      </c>
      <c r="D4494" t="s">
        <v>140</v>
      </c>
      <c r="E4494" t="s">
        <v>43</v>
      </c>
      <c r="F4494" t="s">
        <v>44</v>
      </c>
      <c r="G4494" t="s">
        <v>36</v>
      </c>
      <c r="H4494">
        <v>1</v>
      </c>
      <c r="I4494" s="2">
        <v>1373.51</v>
      </c>
      <c r="J4494" s="2">
        <v>1373.51</v>
      </c>
      <c r="K4494" s="2">
        <f t="shared" si="211"/>
        <v>1373.51</v>
      </c>
      <c r="L4494" s="2">
        <f t="shared" si="212"/>
        <v>0</v>
      </c>
      <c r="M4494" t="s">
        <v>55</v>
      </c>
      <c r="N4494" t="s">
        <v>32</v>
      </c>
    </row>
    <row r="4495" spans="1:14" x14ac:dyDescent="0.3">
      <c r="A4495">
        <v>2024005493</v>
      </c>
      <c r="B4495" s="1">
        <v>45512</v>
      </c>
      <c r="C4495" s="11">
        <f t="shared" si="210"/>
        <v>2024</v>
      </c>
      <c r="D4495" t="s">
        <v>113</v>
      </c>
      <c r="E4495" t="s">
        <v>18</v>
      </c>
      <c r="F4495" t="s">
        <v>19</v>
      </c>
      <c r="G4495" t="s">
        <v>14</v>
      </c>
      <c r="H4495">
        <v>1</v>
      </c>
      <c r="I4495" s="2">
        <v>617.59</v>
      </c>
      <c r="J4495" s="2">
        <v>617.59</v>
      </c>
      <c r="K4495" s="2">
        <f t="shared" si="211"/>
        <v>617.59</v>
      </c>
      <c r="L4495" s="2">
        <f t="shared" si="212"/>
        <v>0</v>
      </c>
      <c r="M4495" t="s">
        <v>48</v>
      </c>
      <c r="N4495" t="s">
        <v>26</v>
      </c>
    </row>
    <row r="4496" spans="1:14" x14ac:dyDescent="0.3">
      <c r="A4496">
        <v>2024005494</v>
      </c>
      <c r="B4496" s="1">
        <v>45501</v>
      </c>
      <c r="C4496" s="11">
        <f t="shared" si="210"/>
        <v>2024</v>
      </c>
      <c r="D4496" t="s">
        <v>91</v>
      </c>
      <c r="E4496" t="s">
        <v>67</v>
      </c>
      <c r="F4496" t="s">
        <v>68</v>
      </c>
      <c r="G4496" t="s">
        <v>36</v>
      </c>
      <c r="H4496">
        <v>2</v>
      </c>
      <c r="I4496" s="2">
        <v>432.73</v>
      </c>
      <c r="J4496" s="2">
        <v>865.46</v>
      </c>
      <c r="K4496" s="2">
        <f t="shared" si="211"/>
        <v>865.46</v>
      </c>
      <c r="L4496" s="2">
        <f t="shared" si="212"/>
        <v>0</v>
      </c>
      <c r="M4496" t="s">
        <v>57</v>
      </c>
      <c r="N4496" t="s">
        <v>21</v>
      </c>
    </row>
    <row r="4497" spans="1:14" x14ac:dyDescent="0.3">
      <c r="A4497">
        <v>2024005495</v>
      </c>
      <c r="B4497" s="1">
        <v>45443</v>
      </c>
      <c r="C4497" s="11">
        <f t="shared" si="210"/>
        <v>2024</v>
      </c>
      <c r="D4497" t="s">
        <v>11</v>
      </c>
      <c r="E4497" t="s">
        <v>46</v>
      </c>
      <c r="F4497" t="s">
        <v>47</v>
      </c>
      <c r="G4497" t="s">
        <v>36</v>
      </c>
      <c r="H4497">
        <v>2</v>
      </c>
      <c r="I4497" s="2">
        <v>85.78</v>
      </c>
      <c r="J4497" s="2">
        <v>171.56</v>
      </c>
      <c r="K4497" s="2">
        <f t="shared" si="211"/>
        <v>171.56</v>
      </c>
      <c r="L4497" s="2">
        <f t="shared" si="212"/>
        <v>0</v>
      </c>
      <c r="M4497" t="s">
        <v>38</v>
      </c>
      <c r="N4497" t="s">
        <v>26</v>
      </c>
    </row>
    <row r="4498" spans="1:14" x14ac:dyDescent="0.3">
      <c r="A4498">
        <v>2024005496</v>
      </c>
      <c r="B4498" s="1">
        <v>45489</v>
      </c>
      <c r="C4498" s="11">
        <f t="shared" si="210"/>
        <v>2024</v>
      </c>
      <c r="D4498" t="s">
        <v>99</v>
      </c>
      <c r="E4498" t="s">
        <v>34</v>
      </c>
      <c r="F4498" t="s">
        <v>35</v>
      </c>
      <c r="G4498" t="s">
        <v>36</v>
      </c>
      <c r="H4498">
        <v>4</v>
      </c>
      <c r="I4498" s="2">
        <v>15.16</v>
      </c>
      <c r="J4498" s="2">
        <v>60.64</v>
      </c>
      <c r="K4498" s="2">
        <f t="shared" si="211"/>
        <v>60.64</v>
      </c>
      <c r="L4498" s="2">
        <f t="shared" si="212"/>
        <v>0</v>
      </c>
      <c r="M4498" t="s">
        <v>25</v>
      </c>
      <c r="N4498" t="s">
        <v>32</v>
      </c>
    </row>
    <row r="4499" spans="1:14" x14ac:dyDescent="0.3">
      <c r="A4499">
        <v>2024005497</v>
      </c>
      <c r="B4499" s="1">
        <v>45430</v>
      </c>
      <c r="C4499" s="11">
        <f t="shared" si="210"/>
        <v>2024</v>
      </c>
      <c r="D4499" t="s">
        <v>103</v>
      </c>
      <c r="E4499" t="s">
        <v>53</v>
      </c>
      <c r="F4499" t="s">
        <v>54</v>
      </c>
      <c r="G4499" t="s">
        <v>36</v>
      </c>
      <c r="H4499">
        <v>1</v>
      </c>
      <c r="I4499" s="2">
        <v>127.07</v>
      </c>
      <c r="J4499" s="2">
        <v>127.07</v>
      </c>
      <c r="K4499" s="2">
        <f t="shared" si="211"/>
        <v>127.07</v>
      </c>
      <c r="L4499" s="2">
        <f t="shared" si="212"/>
        <v>0</v>
      </c>
      <c r="M4499" t="s">
        <v>57</v>
      </c>
      <c r="N4499" t="s">
        <v>26</v>
      </c>
    </row>
    <row r="4500" spans="1:14" x14ac:dyDescent="0.3">
      <c r="A4500">
        <v>2024005498</v>
      </c>
      <c r="B4500" s="1">
        <v>45368</v>
      </c>
      <c r="C4500" s="11">
        <f t="shared" si="210"/>
        <v>2024</v>
      </c>
      <c r="D4500" t="s">
        <v>106</v>
      </c>
      <c r="E4500" t="s">
        <v>53</v>
      </c>
      <c r="F4500" t="s">
        <v>54</v>
      </c>
      <c r="G4500" t="s">
        <v>36</v>
      </c>
      <c r="H4500">
        <v>2</v>
      </c>
      <c r="I4500" s="2">
        <v>112.86</v>
      </c>
      <c r="J4500" s="2">
        <v>225.72</v>
      </c>
      <c r="K4500" s="2">
        <f t="shared" si="211"/>
        <v>225.72</v>
      </c>
      <c r="L4500" s="2">
        <f t="shared" si="212"/>
        <v>0</v>
      </c>
      <c r="M4500" t="s">
        <v>25</v>
      </c>
      <c r="N4500" t="s">
        <v>32</v>
      </c>
    </row>
    <row r="4501" spans="1:14" x14ac:dyDescent="0.3">
      <c r="A4501">
        <v>2024005499</v>
      </c>
      <c r="B4501" s="1">
        <v>45500</v>
      </c>
      <c r="C4501" s="11">
        <f t="shared" si="210"/>
        <v>2024</v>
      </c>
      <c r="D4501" t="s">
        <v>344</v>
      </c>
      <c r="E4501" t="s">
        <v>43</v>
      </c>
      <c r="F4501" t="s">
        <v>44</v>
      </c>
      <c r="G4501" t="s">
        <v>36</v>
      </c>
      <c r="H4501">
        <v>3</v>
      </c>
      <c r="I4501" s="2">
        <v>1181.1099999999999</v>
      </c>
      <c r="J4501" s="2">
        <v>3543.33</v>
      </c>
      <c r="K4501" s="2">
        <f t="shared" si="211"/>
        <v>3543.33</v>
      </c>
      <c r="L4501" s="2">
        <f t="shared" si="212"/>
        <v>0</v>
      </c>
      <c r="M4501" t="s">
        <v>38</v>
      </c>
      <c r="N4501" t="s">
        <v>21</v>
      </c>
    </row>
    <row r="4502" spans="1:14" x14ac:dyDescent="0.3">
      <c r="A4502">
        <v>2024005500</v>
      </c>
      <c r="B4502" s="1">
        <v>45356</v>
      </c>
      <c r="C4502" s="11">
        <f t="shared" si="210"/>
        <v>2024</v>
      </c>
      <c r="D4502" t="s">
        <v>312</v>
      </c>
      <c r="E4502" t="s">
        <v>23</v>
      </c>
      <c r="F4502" t="s">
        <v>24</v>
      </c>
      <c r="G4502" t="s">
        <v>14</v>
      </c>
      <c r="H4502">
        <v>1</v>
      </c>
      <c r="I4502" s="2">
        <v>78.23</v>
      </c>
      <c r="J4502" s="2">
        <v>78.23</v>
      </c>
      <c r="K4502" s="2">
        <f t="shared" si="211"/>
        <v>78.23</v>
      </c>
      <c r="L4502" s="2">
        <f t="shared" si="212"/>
        <v>0</v>
      </c>
      <c r="M4502" t="s">
        <v>15</v>
      </c>
      <c r="N4502" t="s">
        <v>16</v>
      </c>
    </row>
    <row r="4503" spans="1:14" x14ac:dyDescent="0.3">
      <c r="A4503">
        <v>2024005501</v>
      </c>
      <c r="B4503" s="1">
        <v>45439</v>
      </c>
      <c r="C4503" s="11">
        <f t="shared" si="210"/>
        <v>2024</v>
      </c>
      <c r="D4503" t="s">
        <v>190</v>
      </c>
      <c r="E4503" t="s">
        <v>28</v>
      </c>
      <c r="F4503" t="s">
        <v>29</v>
      </c>
      <c r="G4503" t="s">
        <v>30</v>
      </c>
      <c r="H4503">
        <v>2</v>
      </c>
      <c r="I4503" s="2">
        <v>24.78</v>
      </c>
      <c r="J4503" s="2">
        <v>49.56</v>
      </c>
      <c r="K4503" s="2">
        <f t="shared" si="211"/>
        <v>49.56</v>
      </c>
      <c r="L4503" s="2">
        <f t="shared" si="212"/>
        <v>0</v>
      </c>
      <c r="M4503" t="s">
        <v>61</v>
      </c>
      <c r="N4503" t="s">
        <v>21</v>
      </c>
    </row>
    <row r="4504" spans="1:14" x14ac:dyDescent="0.3">
      <c r="A4504">
        <v>2024005502</v>
      </c>
      <c r="B4504" s="1">
        <v>45405</v>
      </c>
      <c r="C4504" s="11">
        <f t="shared" si="210"/>
        <v>2024</v>
      </c>
      <c r="D4504" t="s">
        <v>302</v>
      </c>
      <c r="E4504" t="s">
        <v>53</v>
      </c>
      <c r="F4504" t="s">
        <v>54</v>
      </c>
      <c r="G4504" t="s">
        <v>36</v>
      </c>
      <c r="H4504">
        <v>1</v>
      </c>
      <c r="I4504" s="2">
        <v>122.54</v>
      </c>
      <c r="J4504" s="2">
        <v>122.54</v>
      </c>
      <c r="K4504" s="2">
        <f t="shared" si="211"/>
        <v>122.54</v>
      </c>
      <c r="L4504" s="2">
        <f t="shared" si="212"/>
        <v>0</v>
      </c>
      <c r="M4504" t="s">
        <v>48</v>
      </c>
      <c r="N4504" t="s">
        <v>16</v>
      </c>
    </row>
    <row r="4505" spans="1:14" x14ac:dyDescent="0.3">
      <c r="A4505">
        <v>2024005503</v>
      </c>
      <c r="B4505" s="1">
        <v>45575</v>
      </c>
      <c r="C4505" s="11">
        <f t="shared" si="210"/>
        <v>2024</v>
      </c>
      <c r="D4505" t="s">
        <v>144</v>
      </c>
      <c r="E4505" t="s">
        <v>53</v>
      </c>
      <c r="F4505" t="s">
        <v>54</v>
      </c>
      <c r="G4505" t="s">
        <v>36</v>
      </c>
      <c r="H4505">
        <v>2</v>
      </c>
      <c r="I4505" s="2">
        <v>108.19</v>
      </c>
      <c r="J4505" s="2">
        <v>216.38</v>
      </c>
      <c r="K4505" s="2">
        <f t="shared" si="211"/>
        <v>216.38</v>
      </c>
      <c r="L4505" s="2">
        <f t="shared" si="212"/>
        <v>0</v>
      </c>
      <c r="M4505" t="s">
        <v>38</v>
      </c>
      <c r="N4505" t="s">
        <v>21</v>
      </c>
    </row>
    <row r="4506" spans="1:14" x14ac:dyDescent="0.3">
      <c r="A4506">
        <v>2024005504</v>
      </c>
      <c r="B4506" s="1">
        <v>45412</v>
      </c>
      <c r="C4506" s="11">
        <f t="shared" si="210"/>
        <v>2024</v>
      </c>
      <c r="D4506" t="s">
        <v>112</v>
      </c>
      <c r="E4506" t="s">
        <v>53</v>
      </c>
      <c r="F4506" t="s">
        <v>54</v>
      </c>
      <c r="G4506" t="s">
        <v>36</v>
      </c>
      <c r="H4506">
        <v>5</v>
      </c>
      <c r="I4506" s="2">
        <v>136.22</v>
      </c>
      <c r="J4506" s="2">
        <v>681.1</v>
      </c>
      <c r="K4506" s="2">
        <f t="shared" si="211"/>
        <v>681.1</v>
      </c>
      <c r="L4506" s="2">
        <f t="shared" si="212"/>
        <v>0</v>
      </c>
      <c r="M4506" t="s">
        <v>31</v>
      </c>
      <c r="N4506" t="s">
        <v>32</v>
      </c>
    </row>
    <row r="4507" spans="1:14" x14ac:dyDescent="0.3">
      <c r="A4507">
        <v>2024005505</v>
      </c>
      <c r="B4507" s="1">
        <v>45639</v>
      </c>
      <c r="C4507" s="11">
        <f t="shared" si="210"/>
        <v>2024</v>
      </c>
      <c r="D4507" t="s">
        <v>11</v>
      </c>
      <c r="E4507" t="s">
        <v>34</v>
      </c>
      <c r="F4507" t="s">
        <v>35</v>
      </c>
      <c r="G4507" t="s">
        <v>36</v>
      </c>
      <c r="H4507">
        <v>1</v>
      </c>
      <c r="I4507" s="2">
        <v>16.04</v>
      </c>
      <c r="J4507" s="2">
        <v>16.04</v>
      </c>
      <c r="K4507" s="2">
        <f t="shared" si="211"/>
        <v>16.04</v>
      </c>
      <c r="L4507" s="2">
        <f t="shared" si="212"/>
        <v>0</v>
      </c>
      <c r="M4507" t="s">
        <v>25</v>
      </c>
      <c r="N4507" t="s">
        <v>26</v>
      </c>
    </row>
    <row r="4508" spans="1:14" x14ac:dyDescent="0.3">
      <c r="A4508">
        <v>2024005506</v>
      </c>
      <c r="B4508" s="1">
        <v>45424</v>
      </c>
      <c r="C4508" s="11">
        <f t="shared" si="210"/>
        <v>2024</v>
      </c>
      <c r="D4508" t="s">
        <v>141</v>
      </c>
      <c r="E4508" t="s">
        <v>28</v>
      </c>
      <c r="F4508" t="s">
        <v>29</v>
      </c>
      <c r="G4508" t="s">
        <v>30</v>
      </c>
      <c r="H4508">
        <v>1</v>
      </c>
      <c r="I4508" s="2">
        <v>25.33</v>
      </c>
      <c r="J4508" s="2">
        <v>25.33</v>
      </c>
      <c r="K4508" s="2">
        <f t="shared" si="211"/>
        <v>25.33</v>
      </c>
      <c r="L4508" s="2">
        <f t="shared" si="212"/>
        <v>0</v>
      </c>
      <c r="M4508" t="s">
        <v>15</v>
      </c>
      <c r="N4508" t="s">
        <v>32</v>
      </c>
    </row>
    <row r="4509" spans="1:14" x14ac:dyDescent="0.3">
      <c r="A4509">
        <v>2024005507</v>
      </c>
      <c r="B4509" s="1">
        <v>45585</v>
      </c>
      <c r="C4509" s="11">
        <f t="shared" si="210"/>
        <v>2024</v>
      </c>
      <c r="D4509" t="s">
        <v>234</v>
      </c>
      <c r="E4509" t="s">
        <v>34</v>
      </c>
      <c r="F4509" t="s">
        <v>35</v>
      </c>
      <c r="G4509" t="s">
        <v>36</v>
      </c>
      <c r="H4509">
        <v>2</v>
      </c>
      <c r="I4509" s="2">
        <v>14.97</v>
      </c>
      <c r="J4509" s="2">
        <v>29.94</v>
      </c>
      <c r="K4509" s="2">
        <f t="shared" si="211"/>
        <v>29.94</v>
      </c>
      <c r="L4509" s="2">
        <f t="shared" si="212"/>
        <v>0</v>
      </c>
      <c r="M4509" t="s">
        <v>38</v>
      </c>
      <c r="N4509" t="s">
        <v>21</v>
      </c>
    </row>
    <row r="4510" spans="1:14" x14ac:dyDescent="0.3">
      <c r="A4510">
        <v>2024005508</v>
      </c>
      <c r="B4510" s="1">
        <v>45409</v>
      </c>
      <c r="C4510" s="11">
        <f t="shared" si="210"/>
        <v>2024</v>
      </c>
      <c r="D4510" t="s">
        <v>11</v>
      </c>
      <c r="E4510" t="s">
        <v>53</v>
      </c>
      <c r="F4510" t="s">
        <v>54</v>
      </c>
      <c r="G4510" t="s">
        <v>36</v>
      </c>
      <c r="H4510">
        <v>2</v>
      </c>
      <c r="I4510" s="2">
        <v>128.96</v>
      </c>
      <c r="J4510" s="2">
        <v>257.92</v>
      </c>
      <c r="K4510" s="2">
        <f t="shared" si="211"/>
        <v>257.92</v>
      </c>
      <c r="L4510" s="2">
        <f t="shared" si="212"/>
        <v>0</v>
      </c>
      <c r="M4510" t="s">
        <v>15</v>
      </c>
      <c r="N4510" t="s">
        <v>26</v>
      </c>
    </row>
    <row r="4511" spans="1:14" x14ac:dyDescent="0.3">
      <c r="A4511">
        <v>2024005509</v>
      </c>
      <c r="B4511" s="1">
        <v>45340</v>
      </c>
      <c r="C4511" s="11">
        <f t="shared" si="210"/>
        <v>2024</v>
      </c>
      <c r="D4511" t="s">
        <v>11</v>
      </c>
      <c r="E4511" t="s">
        <v>46</v>
      </c>
      <c r="F4511" t="s">
        <v>47</v>
      </c>
      <c r="G4511" t="s">
        <v>36</v>
      </c>
      <c r="H4511">
        <v>1</v>
      </c>
      <c r="I4511" s="2">
        <v>92.81</v>
      </c>
      <c r="J4511" s="2">
        <v>92.81</v>
      </c>
      <c r="K4511" s="2">
        <f t="shared" si="211"/>
        <v>92.81</v>
      </c>
      <c r="L4511" s="2">
        <f t="shared" si="212"/>
        <v>0</v>
      </c>
      <c r="M4511" t="s">
        <v>48</v>
      </c>
      <c r="N4511" t="s">
        <v>16</v>
      </c>
    </row>
    <row r="4512" spans="1:14" x14ac:dyDescent="0.3">
      <c r="A4512">
        <v>2024005510</v>
      </c>
      <c r="B4512" s="1">
        <v>45652</v>
      </c>
      <c r="C4512" s="11">
        <f t="shared" si="210"/>
        <v>2024</v>
      </c>
      <c r="D4512" t="s">
        <v>259</v>
      </c>
      <c r="E4512" t="s">
        <v>28</v>
      </c>
      <c r="F4512" t="s">
        <v>29</v>
      </c>
      <c r="G4512" t="s">
        <v>30</v>
      </c>
      <c r="H4512">
        <v>1</v>
      </c>
      <c r="I4512" s="2">
        <v>24.02</v>
      </c>
      <c r="J4512" s="2">
        <v>24.02</v>
      </c>
      <c r="K4512" s="2">
        <f t="shared" si="211"/>
        <v>24.02</v>
      </c>
      <c r="L4512" s="2">
        <f t="shared" si="212"/>
        <v>0</v>
      </c>
      <c r="M4512" t="s">
        <v>25</v>
      </c>
      <c r="N4512" t="s">
        <v>26</v>
      </c>
    </row>
    <row r="4513" spans="1:14" x14ac:dyDescent="0.3">
      <c r="A4513">
        <v>2024005511</v>
      </c>
      <c r="B4513" s="1">
        <v>45477</v>
      </c>
      <c r="C4513" s="11">
        <f t="shared" si="210"/>
        <v>2024</v>
      </c>
      <c r="D4513" t="s">
        <v>322</v>
      </c>
      <c r="E4513" t="s">
        <v>67</v>
      </c>
      <c r="F4513" t="s">
        <v>68</v>
      </c>
      <c r="G4513" t="s">
        <v>36</v>
      </c>
      <c r="H4513">
        <v>1</v>
      </c>
      <c r="I4513" s="2">
        <v>390.86</v>
      </c>
      <c r="J4513" s="2">
        <v>390.86</v>
      </c>
      <c r="K4513" s="2">
        <f t="shared" si="211"/>
        <v>390.86</v>
      </c>
      <c r="L4513" s="2">
        <f t="shared" si="212"/>
        <v>0</v>
      </c>
      <c r="M4513" t="s">
        <v>15</v>
      </c>
      <c r="N4513" t="s">
        <v>21</v>
      </c>
    </row>
    <row r="4514" spans="1:14" x14ac:dyDescent="0.3">
      <c r="A4514">
        <v>2024005512</v>
      </c>
      <c r="B4514" s="1">
        <v>45645</v>
      </c>
      <c r="C4514" s="11">
        <f t="shared" si="210"/>
        <v>2024</v>
      </c>
      <c r="D4514" t="s">
        <v>297</v>
      </c>
      <c r="E4514" t="s">
        <v>46</v>
      </c>
      <c r="F4514" t="s">
        <v>47</v>
      </c>
      <c r="G4514" t="s">
        <v>36</v>
      </c>
      <c r="H4514">
        <v>1</v>
      </c>
      <c r="I4514" s="2">
        <v>86.5</v>
      </c>
      <c r="J4514" s="2">
        <v>86.5</v>
      </c>
      <c r="K4514" s="2">
        <f t="shared" si="211"/>
        <v>86.5</v>
      </c>
      <c r="L4514" s="2">
        <f t="shared" si="212"/>
        <v>0</v>
      </c>
      <c r="M4514" t="s">
        <v>25</v>
      </c>
      <c r="N4514" t="s">
        <v>32</v>
      </c>
    </row>
    <row r="4515" spans="1:14" x14ac:dyDescent="0.3">
      <c r="A4515">
        <v>2024005513</v>
      </c>
      <c r="B4515" s="1">
        <v>45461</v>
      </c>
      <c r="C4515" s="11">
        <f t="shared" si="210"/>
        <v>2024</v>
      </c>
      <c r="D4515" t="s">
        <v>242</v>
      </c>
      <c r="E4515" t="s">
        <v>43</v>
      </c>
      <c r="F4515" t="s">
        <v>44</v>
      </c>
      <c r="G4515" t="s">
        <v>36</v>
      </c>
      <c r="H4515">
        <v>1</v>
      </c>
      <c r="I4515" s="2">
        <v>1207.21</v>
      </c>
      <c r="J4515" s="2">
        <v>1207.21</v>
      </c>
      <c r="K4515" s="2">
        <f t="shared" si="211"/>
        <v>1207.21</v>
      </c>
      <c r="L4515" s="2">
        <f t="shared" si="212"/>
        <v>0</v>
      </c>
      <c r="M4515" t="s">
        <v>31</v>
      </c>
      <c r="N4515" t="s">
        <v>16</v>
      </c>
    </row>
    <row r="4516" spans="1:14" x14ac:dyDescent="0.3">
      <c r="A4516">
        <v>2024005514</v>
      </c>
      <c r="B4516" s="1">
        <v>45325</v>
      </c>
      <c r="C4516" s="11">
        <f t="shared" si="210"/>
        <v>2024</v>
      </c>
      <c r="D4516" t="s">
        <v>299</v>
      </c>
      <c r="E4516" t="s">
        <v>23</v>
      </c>
      <c r="F4516" t="s">
        <v>24</v>
      </c>
      <c r="G4516" t="s">
        <v>14</v>
      </c>
      <c r="H4516">
        <v>1</v>
      </c>
      <c r="I4516" s="2">
        <v>87.61</v>
      </c>
      <c r="J4516" s="2">
        <v>87.61</v>
      </c>
      <c r="K4516" s="2">
        <f t="shared" si="211"/>
        <v>87.61</v>
      </c>
      <c r="L4516" s="2">
        <f t="shared" si="212"/>
        <v>0</v>
      </c>
      <c r="M4516" t="s">
        <v>31</v>
      </c>
      <c r="N4516" t="s">
        <v>21</v>
      </c>
    </row>
    <row r="4517" spans="1:14" x14ac:dyDescent="0.3">
      <c r="A4517">
        <v>2024005515</v>
      </c>
      <c r="B4517" s="1">
        <v>45303</v>
      </c>
      <c r="C4517" s="11">
        <f t="shared" si="210"/>
        <v>2024</v>
      </c>
      <c r="D4517" t="s">
        <v>134</v>
      </c>
      <c r="E4517" t="s">
        <v>53</v>
      </c>
      <c r="F4517" t="s">
        <v>54</v>
      </c>
      <c r="G4517" t="s">
        <v>36</v>
      </c>
      <c r="H4517">
        <v>2</v>
      </c>
      <c r="I4517" s="2">
        <v>119.93</v>
      </c>
      <c r="J4517" s="2">
        <v>239.86</v>
      </c>
      <c r="K4517" s="2">
        <f t="shared" si="211"/>
        <v>239.86</v>
      </c>
      <c r="L4517" s="2">
        <f t="shared" si="212"/>
        <v>0</v>
      </c>
      <c r="M4517" t="s">
        <v>61</v>
      </c>
      <c r="N4517" t="s">
        <v>16</v>
      </c>
    </row>
    <row r="4518" spans="1:14" x14ac:dyDescent="0.3">
      <c r="A4518">
        <v>2024005516</v>
      </c>
      <c r="B4518" s="1">
        <v>45299</v>
      </c>
      <c r="C4518" s="11">
        <f t="shared" si="210"/>
        <v>2024</v>
      </c>
      <c r="D4518" t="s">
        <v>321</v>
      </c>
      <c r="E4518" t="s">
        <v>34</v>
      </c>
      <c r="F4518" t="s">
        <v>35</v>
      </c>
      <c r="G4518" t="s">
        <v>36</v>
      </c>
      <c r="H4518">
        <v>1</v>
      </c>
      <c r="I4518" s="2">
        <v>16.12</v>
      </c>
      <c r="J4518" s="2">
        <v>16.12</v>
      </c>
      <c r="K4518" s="2">
        <f t="shared" si="211"/>
        <v>16.12</v>
      </c>
      <c r="L4518" s="2">
        <f t="shared" si="212"/>
        <v>0</v>
      </c>
      <c r="M4518" t="s">
        <v>20</v>
      </c>
      <c r="N4518" t="s">
        <v>26</v>
      </c>
    </row>
    <row r="4519" spans="1:14" x14ac:dyDescent="0.3">
      <c r="A4519">
        <v>2024005517</v>
      </c>
      <c r="B4519" s="1">
        <v>45518</v>
      </c>
      <c r="C4519" s="11">
        <f t="shared" si="210"/>
        <v>2024</v>
      </c>
      <c r="D4519" t="s">
        <v>161</v>
      </c>
      <c r="E4519" t="s">
        <v>40</v>
      </c>
      <c r="F4519" t="s">
        <v>41</v>
      </c>
      <c r="G4519" t="s">
        <v>36</v>
      </c>
      <c r="H4519">
        <v>3</v>
      </c>
      <c r="I4519" s="2">
        <v>45.92</v>
      </c>
      <c r="J4519" s="2">
        <v>137.76</v>
      </c>
      <c r="K4519" s="2">
        <f t="shared" si="211"/>
        <v>137.76</v>
      </c>
      <c r="L4519" s="2">
        <f t="shared" si="212"/>
        <v>0</v>
      </c>
      <c r="M4519" t="s">
        <v>38</v>
      </c>
      <c r="N4519" t="s">
        <v>16</v>
      </c>
    </row>
    <row r="4520" spans="1:14" x14ac:dyDescent="0.3">
      <c r="A4520">
        <v>2024005518</v>
      </c>
      <c r="B4520" s="1">
        <v>45594</v>
      </c>
      <c r="C4520" s="11">
        <f t="shared" si="210"/>
        <v>2024</v>
      </c>
      <c r="D4520" t="s">
        <v>302</v>
      </c>
      <c r="E4520" t="s">
        <v>34</v>
      </c>
      <c r="F4520" t="s">
        <v>35</v>
      </c>
      <c r="G4520" t="s">
        <v>36</v>
      </c>
      <c r="H4520">
        <v>2</v>
      </c>
      <c r="I4520" s="2">
        <v>15.53</v>
      </c>
      <c r="J4520" s="2">
        <v>31.06</v>
      </c>
      <c r="K4520" s="2">
        <f t="shared" si="211"/>
        <v>31.06</v>
      </c>
      <c r="L4520" s="2">
        <f t="shared" si="212"/>
        <v>0</v>
      </c>
      <c r="M4520" t="s">
        <v>64</v>
      </c>
      <c r="N4520" t="s">
        <v>21</v>
      </c>
    </row>
    <row r="4521" spans="1:14" x14ac:dyDescent="0.3">
      <c r="A4521">
        <v>2024005519</v>
      </c>
      <c r="B4521" s="1">
        <v>45323</v>
      </c>
      <c r="C4521" s="11">
        <f t="shared" si="210"/>
        <v>2024</v>
      </c>
      <c r="D4521" t="s">
        <v>116</v>
      </c>
      <c r="E4521" t="s">
        <v>23</v>
      </c>
      <c r="F4521" t="s">
        <v>24</v>
      </c>
      <c r="G4521" t="s">
        <v>14</v>
      </c>
      <c r="H4521">
        <v>3</v>
      </c>
      <c r="I4521" s="2">
        <v>77.03</v>
      </c>
      <c r="J4521" s="2">
        <v>231.09</v>
      </c>
      <c r="K4521" s="2">
        <f t="shared" si="211"/>
        <v>231.09</v>
      </c>
      <c r="L4521" s="2">
        <f t="shared" si="212"/>
        <v>0</v>
      </c>
      <c r="M4521" t="s">
        <v>15</v>
      </c>
      <c r="N4521" t="s">
        <v>16</v>
      </c>
    </row>
    <row r="4522" spans="1:14" x14ac:dyDescent="0.3">
      <c r="A4522">
        <v>2024005520</v>
      </c>
      <c r="B4522" s="1">
        <v>45371</v>
      </c>
      <c r="C4522" s="11">
        <f t="shared" si="210"/>
        <v>2024</v>
      </c>
      <c r="D4522" t="s">
        <v>91</v>
      </c>
      <c r="E4522" t="s">
        <v>28</v>
      </c>
      <c r="F4522" t="s">
        <v>29</v>
      </c>
      <c r="G4522" t="s">
        <v>30</v>
      </c>
      <c r="H4522">
        <v>1</v>
      </c>
      <c r="I4522" s="2">
        <v>24.94</v>
      </c>
      <c r="J4522" s="2">
        <v>24.94</v>
      </c>
      <c r="K4522" s="2">
        <f t="shared" si="211"/>
        <v>24.94</v>
      </c>
      <c r="L4522" s="2">
        <f t="shared" si="212"/>
        <v>0</v>
      </c>
      <c r="M4522" t="s">
        <v>25</v>
      </c>
      <c r="N4522" t="s">
        <v>21</v>
      </c>
    </row>
    <row r="4523" spans="1:14" x14ac:dyDescent="0.3">
      <c r="A4523">
        <v>2024005521</v>
      </c>
      <c r="B4523" s="1">
        <v>45395</v>
      </c>
      <c r="C4523" s="11">
        <f t="shared" si="210"/>
        <v>2024</v>
      </c>
      <c r="D4523" t="s">
        <v>194</v>
      </c>
      <c r="E4523" t="s">
        <v>23</v>
      </c>
      <c r="F4523" t="s">
        <v>24</v>
      </c>
      <c r="G4523" t="s">
        <v>14</v>
      </c>
      <c r="H4523">
        <v>1</v>
      </c>
      <c r="I4523" s="2">
        <v>83.07</v>
      </c>
      <c r="J4523" s="2">
        <v>83.07</v>
      </c>
      <c r="K4523" s="2">
        <f t="shared" si="211"/>
        <v>83.07</v>
      </c>
      <c r="L4523" s="2">
        <f t="shared" si="212"/>
        <v>0</v>
      </c>
      <c r="M4523" t="s">
        <v>25</v>
      </c>
      <c r="N4523" t="s">
        <v>16</v>
      </c>
    </row>
    <row r="4524" spans="1:14" x14ac:dyDescent="0.3">
      <c r="A4524">
        <v>2024005522</v>
      </c>
      <c r="B4524" s="1">
        <v>45493</v>
      </c>
      <c r="C4524" s="11">
        <f t="shared" si="210"/>
        <v>2024</v>
      </c>
      <c r="D4524" t="s">
        <v>11</v>
      </c>
      <c r="E4524" t="s">
        <v>53</v>
      </c>
      <c r="F4524" t="s">
        <v>54</v>
      </c>
      <c r="G4524" t="s">
        <v>36</v>
      </c>
      <c r="H4524">
        <v>2</v>
      </c>
      <c r="I4524" s="2">
        <v>109.59</v>
      </c>
      <c r="J4524" s="2">
        <v>219.18</v>
      </c>
      <c r="K4524" s="2">
        <f t="shared" si="211"/>
        <v>219.18</v>
      </c>
      <c r="L4524" s="2">
        <f t="shared" si="212"/>
        <v>0</v>
      </c>
      <c r="M4524" t="s">
        <v>55</v>
      </c>
      <c r="N4524" t="s">
        <v>26</v>
      </c>
    </row>
    <row r="4525" spans="1:14" x14ac:dyDescent="0.3">
      <c r="A4525">
        <v>2024005523</v>
      </c>
      <c r="B4525" s="1">
        <v>45503</v>
      </c>
      <c r="C4525" s="11">
        <f t="shared" si="210"/>
        <v>2024</v>
      </c>
      <c r="D4525" t="s">
        <v>272</v>
      </c>
      <c r="E4525" t="s">
        <v>53</v>
      </c>
      <c r="F4525" t="s">
        <v>54</v>
      </c>
      <c r="G4525" t="s">
        <v>36</v>
      </c>
      <c r="H4525">
        <v>2</v>
      </c>
      <c r="I4525" s="2">
        <v>122.31</v>
      </c>
      <c r="J4525" s="2">
        <v>244.62</v>
      </c>
      <c r="K4525" s="2">
        <f t="shared" si="211"/>
        <v>244.62</v>
      </c>
      <c r="L4525" s="2">
        <f t="shared" si="212"/>
        <v>0</v>
      </c>
      <c r="M4525" t="s">
        <v>38</v>
      </c>
      <c r="N4525" t="s">
        <v>32</v>
      </c>
    </row>
    <row r="4526" spans="1:14" x14ac:dyDescent="0.3">
      <c r="A4526">
        <v>2024005524</v>
      </c>
      <c r="B4526" s="1">
        <v>45534</v>
      </c>
      <c r="C4526" s="11">
        <f t="shared" si="210"/>
        <v>2024</v>
      </c>
      <c r="D4526" t="s">
        <v>118</v>
      </c>
      <c r="E4526" t="s">
        <v>34</v>
      </c>
      <c r="F4526" t="s">
        <v>35</v>
      </c>
      <c r="G4526" t="s">
        <v>36</v>
      </c>
      <c r="H4526">
        <v>2</v>
      </c>
      <c r="I4526" s="2">
        <v>14.57</v>
      </c>
      <c r="J4526" s="2">
        <v>29.14</v>
      </c>
      <c r="K4526" s="2">
        <f t="shared" si="211"/>
        <v>29.14</v>
      </c>
      <c r="L4526" s="2">
        <f t="shared" si="212"/>
        <v>0</v>
      </c>
      <c r="M4526" t="s">
        <v>64</v>
      </c>
      <c r="N4526" t="s">
        <v>16</v>
      </c>
    </row>
    <row r="4527" spans="1:14" x14ac:dyDescent="0.3">
      <c r="A4527">
        <v>2024005525</v>
      </c>
      <c r="B4527" s="1">
        <v>45320</v>
      </c>
      <c r="C4527" s="11">
        <f t="shared" si="210"/>
        <v>2024</v>
      </c>
      <c r="D4527" t="s">
        <v>256</v>
      </c>
      <c r="E4527" t="s">
        <v>40</v>
      </c>
      <c r="F4527" t="s">
        <v>41</v>
      </c>
      <c r="G4527" t="s">
        <v>36</v>
      </c>
      <c r="H4527">
        <v>1</v>
      </c>
      <c r="I4527" s="2">
        <v>39.630000000000003</v>
      </c>
      <c r="J4527" s="2">
        <v>39.630000000000003</v>
      </c>
      <c r="K4527" s="2">
        <f t="shared" si="211"/>
        <v>39.630000000000003</v>
      </c>
      <c r="L4527" s="2">
        <f t="shared" si="212"/>
        <v>0</v>
      </c>
      <c r="M4527" t="s">
        <v>48</v>
      </c>
      <c r="N4527" t="s">
        <v>21</v>
      </c>
    </row>
    <row r="4528" spans="1:14" x14ac:dyDescent="0.3">
      <c r="A4528">
        <v>2024005297</v>
      </c>
      <c r="B4528" s="1">
        <v>45605</v>
      </c>
      <c r="C4528" s="11">
        <f t="shared" si="210"/>
        <v>2024</v>
      </c>
      <c r="D4528" t="s">
        <v>65</v>
      </c>
      <c r="E4528" t="s">
        <v>12</v>
      </c>
      <c r="F4528" t="s">
        <v>13</v>
      </c>
      <c r="G4528" t="s">
        <v>14</v>
      </c>
      <c r="H4528">
        <v>3</v>
      </c>
      <c r="I4528" s="2">
        <v>368.12</v>
      </c>
      <c r="J4528" s="2">
        <v>1104.3599999999999</v>
      </c>
      <c r="K4528" s="2">
        <f t="shared" si="211"/>
        <v>1104.3600000000001</v>
      </c>
      <c r="L4528" s="2">
        <f t="shared" si="212"/>
        <v>0</v>
      </c>
      <c r="M4528" t="s">
        <v>20</v>
      </c>
      <c r="N4528" t="s">
        <v>26</v>
      </c>
    </row>
    <row r="4529" spans="1:14" x14ac:dyDescent="0.3">
      <c r="A4529">
        <v>2024005527</v>
      </c>
      <c r="B4529" s="1">
        <v>45489</v>
      </c>
      <c r="C4529" s="11">
        <f t="shared" si="210"/>
        <v>2024</v>
      </c>
      <c r="D4529" t="s">
        <v>281</v>
      </c>
      <c r="E4529" t="s">
        <v>43</v>
      </c>
      <c r="F4529" t="s">
        <v>44</v>
      </c>
      <c r="G4529" t="s">
        <v>36</v>
      </c>
      <c r="H4529">
        <v>1</v>
      </c>
      <c r="I4529" s="2">
        <v>1130.28</v>
      </c>
      <c r="J4529" s="2">
        <v>1130.28</v>
      </c>
      <c r="K4529" s="2">
        <f t="shared" si="211"/>
        <v>1130.28</v>
      </c>
      <c r="L4529" s="2">
        <f t="shared" si="212"/>
        <v>0</v>
      </c>
      <c r="M4529" t="s">
        <v>15</v>
      </c>
      <c r="N4529" t="s">
        <v>21</v>
      </c>
    </row>
    <row r="4530" spans="1:14" x14ac:dyDescent="0.3">
      <c r="A4530">
        <v>2024005528</v>
      </c>
      <c r="B4530" s="1">
        <v>45498</v>
      </c>
      <c r="C4530" s="11">
        <f t="shared" si="210"/>
        <v>2024</v>
      </c>
      <c r="D4530" t="s">
        <v>95</v>
      </c>
      <c r="E4530" t="s">
        <v>18</v>
      </c>
      <c r="F4530" t="s">
        <v>19</v>
      </c>
      <c r="G4530" t="s">
        <v>14</v>
      </c>
      <c r="H4530">
        <v>1</v>
      </c>
      <c r="I4530" s="2">
        <v>622.29</v>
      </c>
      <c r="J4530" s="2">
        <v>622.29</v>
      </c>
      <c r="K4530" s="2">
        <f t="shared" si="211"/>
        <v>622.29</v>
      </c>
      <c r="L4530" s="2">
        <f t="shared" si="212"/>
        <v>0</v>
      </c>
      <c r="M4530" t="s">
        <v>48</v>
      </c>
      <c r="N4530" t="s">
        <v>16</v>
      </c>
    </row>
    <row r="4531" spans="1:14" x14ac:dyDescent="0.3">
      <c r="A4531">
        <v>2024005529</v>
      </c>
      <c r="B4531" s="1">
        <v>45622</v>
      </c>
      <c r="C4531" s="11">
        <f t="shared" si="210"/>
        <v>2024</v>
      </c>
      <c r="D4531" t="s">
        <v>268</v>
      </c>
      <c r="E4531" t="s">
        <v>46</v>
      </c>
      <c r="F4531" t="s">
        <v>47</v>
      </c>
      <c r="G4531" t="s">
        <v>36</v>
      </c>
      <c r="H4531">
        <v>1</v>
      </c>
      <c r="I4531" s="2">
        <v>85.64</v>
      </c>
      <c r="J4531" s="2">
        <v>85.64</v>
      </c>
      <c r="K4531" s="2">
        <f t="shared" si="211"/>
        <v>85.64</v>
      </c>
      <c r="L4531" s="2">
        <f t="shared" si="212"/>
        <v>0</v>
      </c>
      <c r="M4531" t="s">
        <v>38</v>
      </c>
      <c r="N4531" t="s">
        <v>32</v>
      </c>
    </row>
    <row r="4532" spans="1:14" x14ac:dyDescent="0.3">
      <c r="A4532">
        <v>2024005530</v>
      </c>
      <c r="B4532" s="1">
        <v>45621</v>
      </c>
      <c r="C4532" s="11">
        <f t="shared" si="210"/>
        <v>2024</v>
      </c>
      <c r="D4532" t="s">
        <v>76</v>
      </c>
      <c r="E4532" t="s">
        <v>40</v>
      </c>
      <c r="F4532" t="s">
        <v>41</v>
      </c>
      <c r="G4532" t="s">
        <v>36</v>
      </c>
      <c r="H4532">
        <v>1</v>
      </c>
      <c r="I4532" s="2">
        <v>46.81</v>
      </c>
      <c r="J4532" s="2">
        <v>46.81</v>
      </c>
      <c r="K4532" s="2">
        <f t="shared" si="211"/>
        <v>46.81</v>
      </c>
      <c r="L4532" s="2">
        <f t="shared" si="212"/>
        <v>0</v>
      </c>
      <c r="M4532" t="s">
        <v>25</v>
      </c>
      <c r="N4532" t="s">
        <v>32</v>
      </c>
    </row>
    <row r="4533" spans="1:14" x14ac:dyDescent="0.3">
      <c r="A4533">
        <v>2024005531</v>
      </c>
      <c r="B4533" s="1">
        <v>45624</v>
      </c>
      <c r="C4533" s="11">
        <f t="shared" si="210"/>
        <v>2024</v>
      </c>
      <c r="D4533" t="s">
        <v>129</v>
      </c>
      <c r="E4533" t="s">
        <v>53</v>
      </c>
      <c r="F4533" t="s">
        <v>54</v>
      </c>
      <c r="G4533" t="s">
        <v>36</v>
      </c>
      <c r="H4533">
        <v>1</v>
      </c>
      <c r="I4533" s="2">
        <v>120.08</v>
      </c>
      <c r="J4533" s="2">
        <v>120.08</v>
      </c>
      <c r="K4533" s="2">
        <f t="shared" si="211"/>
        <v>120.08</v>
      </c>
      <c r="L4533" s="2">
        <f t="shared" si="212"/>
        <v>0</v>
      </c>
      <c r="M4533" t="s">
        <v>15</v>
      </c>
      <c r="N4533" t="s">
        <v>32</v>
      </c>
    </row>
    <row r="4534" spans="1:14" x14ac:dyDescent="0.3">
      <c r="A4534">
        <v>2024005532</v>
      </c>
      <c r="B4534" s="1">
        <v>45237</v>
      </c>
      <c r="C4534" s="11">
        <f t="shared" si="210"/>
        <v>2023</v>
      </c>
      <c r="D4534" t="s">
        <v>202</v>
      </c>
      <c r="E4534" t="s">
        <v>18</v>
      </c>
      <c r="F4534" t="s">
        <v>19</v>
      </c>
      <c r="G4534" t="s">
        <v>14</v>
      </c>
      <c r="H4534">
        <v>1</v>
      </c>
      <c r="I4534" s="2">
        <v>617.25</v>
      </c>
      <c r="J4534" s="2">
        <v>617.25</v>
      </c>
      <c r="K4534" s="2">
        <f t="shared" si="211"/>
        <v>617.25</v>
      </c>
      <c r="L4534" s="2">
        <f t="shared" si="212"/>
        <v>0</v>
      </c>
      <c r="M4534" t="s">
        <v>25</v>
      </c>
      <c r="N4534" t="s">
        <v>21</v>
      </c>
    </row>
    <row r="4535" spans="1:14" x14ac:dyDescent="0.3">
      <c r="A4535">
        <v>2024005533</v>
      </c>
      <c r="B4535" s="1">
        <v>45405</v>
      </c>
      <c r="C4535" s="11">
        <f t="shared" si="210"/>
        <v>2024</v>
      </c>
      <c r="D4535" t="s">
        <v>11</v>
      </c>
      <c r="E4535" t="s">
        <v>28</v>
      </c>
      <c r="F4535" t="s">
        <v>29</v>
      </c>
      <c r="G4535" t="s">
        <v>30</v>
      </c>
      <c r="H4535">
        <v>5</v>
      </c>
      <c r="I4535" s="2">
        <v>25.61</v>
      </c>
      <c r="J4535" s="2">
        <v>128.05000000000001</v>
      </c>
      <c r="K4535" s="2">
        <f t="shared" si="211"/>
        <v>128.05000000000001</v>
      </c>
      <c r="L4535" s="2">
        <f t="shared" si="212"/>
        <v>0</v>
      </c>
      <c r="M4535" t="s">
        <v>48</v>
      </c>
      <c r="N4535" t="s">
        <v>26</v>
      </c>
    </row>
    <row r="4536" spans="1:14" x14ac:dyDescent="0.3">
      <c r="A4536">
        <v>2024005534</v>
      </c>
      <c r="B4536" s="1">
        <v>45432</v>
      </c>
      <c r="C4536" s="11">
        <f t="shared" si="210"/>
        <v>2024</v>
      </c>
      <c r="D4536" t="s">
        <v>344</v>
      </c>
      <c r="E4536" t="s">
        <v>46</v>
      </c>
      <c r="F4536" t="s">
        <v>47</v>
      </c>
      <c r="G4536" t="s">
        <v>36</v>
      </c>
      <c r="H4536">
        <v>1</v>
      </c>
      <c r="I4536" s="2">
        <v>88.71</v>
      </c>
      <c r="J4536" s="2">
        <v>88.71</v>
      </c>
      <c r="K4536" s="2">
        <f t="shared" si="211"/>
        <v>88.71</v>
      </c>
      <c r="L4536" s="2">
        <f t="shared" si="212"/>
        <v>0</v>
      </c>
      <c r="M4536" t="s">
        <v>25</v>
      </c>
      <c r="N4536" t="s">
        <v>16</v>
      </c>
    </row>
    <row r="4537" spans="1:14" x14ac:dyDescent="0.3">
      <c r="A4537">
        <v>2024005535</v>
      </c>
      <c r="B4537" s="1">
        <v>45353</v>
      </c>
      <c r="C4537" s="11">
        <f t="shared" si="210"/>
        <v>2024</v>
      </c>
      <c r="D4537" t="s">
        <v>11</v>
      </c>
      <c r="E4537" t="s">
        <v>23</v>
      </c>
      <c r="F4537" t="s">
        <v>24</v>
      </c>
      <c r="G4537" t="s">
        <v>14</v>
      </c>
      <c r="H4537">
        <v>1</v>
      </c>
      <c r="I4537" s="2">
        <v>78.290000000000006</v>
      </c>
      <c r="J4537" s="2">
        <v>78.290000000000006</v>
      </c>
      <c r="K4537" s="2">
        <f t="shared" si="211"/>
        <v>78.290000000000006</v>
      </c>
      <c r="L4537" s="2">
        <f t="shared" si="212"/>
        <v>0</v>
      </c>
      <c r="M4537" t="s">
        <v>31</v>
      </c>
      <c r="N4537" t="s">
        <v>32</v>
      </c>
    </row>
    <row r="4538" spans="1:14" x14ac:dyDescent="0.3">
      <c r="A4538">
        <v>2024005536</v>
      </c>
      <c r="B4538" s="1">
        <v>45556</v>
      </c>
      <c r="C4538" s="11">
        <f t="shared" si="210"/>
        <v>2024</v>
      </c>
      <c r="D4538" t="s">
        <v>210</v>
      </c>
      <c r="E4538" t="s">
        <v>23</v>
      </c>
      <c r="F4538" t="s">
        <v>24</v>
      </c>
      <c r="G4538" t="s">
        <v>14</v>
      </c>
      <c r="H4538">
        <v>4</v>
      </c>
      <c r="I4538" s="2">
        <v>77.31</v>
      </c>
      <c r="J4538" s="2">
        <v>309.24</v>
      </c>
      <c r="K4538" s="2">
        <f t="shared" si="211"/>
        <v>309.24</v>
      </c>
      <c r="L4538" s="2">
        <f t="shared" si="212"/>
        <v>0</v>
      </c>
      <c r="M4538" t="s">
        <v>48</v>
      </c>
      <c r="N4538" t="s">
        <v>32</v>
      </c>
    </row>
    <row r="4539" spans="1:14" x14ac:dyDescent="0.3">
      <c r="A4539">
        <v>2024005537</v>
      </c>
      <c r="B4539" s="1">
        <v>45504</v>
      </c>
      <c r="C4539" s="11">
        <f t="shared" si="210"/>
        <v>2024</v>
      </c>
      <c r="D4539" t="s">
        <v>270</v>
      </c>
      <c r="E4539" t="s">
        <v>12</v>
      </c>
      <c r="F4539" t="s">
        <v>13</v>
      </c>
      <c r="G4539" t="s">
        <v>14</v>
      </c>
      <c r="H4539">
        <v>3</v>
      </c>
      <c r="I4539" s="2">
        <v>335.76</v>
      </c>
      <c r="J4539" s="2">
        <v>1007.28</v>
      </c>
      <c r="K4539" s="2">
        <f t="shared" si="211"/>
        <v>1007.28</v>
      </c>
      <c r="L4539" s="2">
        <f t="shared" si="212"/>
        <v>0</v>
      </c>
      <c r="M4539" t="s">
        <v>48</v>
      </c>
      <c r="N4539" t="s">
        <v>21</v>
      </c>
    </row>
    <row r="4540" spans="1:14" x14ac:dyDescent="0.3">
      <c r="A4540">
        <v>2024005538</v>
      </c>
      <c r="B4540" s="1">
        <v>45311</v>
      </c>
      <c r="C4540" s="11">
        <f t="shared" si="210"/>
        <v>2024</v>
      </c>
      <c r="D4540" t="s">
        <v>11</v>
      </c>
      <c r="E4540" t="s">
        <v>53</v>
      </c>
      <c r="F4540" t="s">
        <v>54</v>
      </c>
      <c r="G4540" t="s">
        <v>36</v>
      </c>
      <c r="H4540">
        <v>3</v>
      </c>
      <c r="I4540" s="2">
        <v>115.69</v>
      </c>
      <c r="J4540" s="2">
        <v>347.07</v>
      </c>
      <c r="K4540" s="2">
        <f t="shared" si="211"/>
        <v>347.07</v>
      </c>
      <c r="L4540" s="2">
        <f t="shared" si="212"/>
        <v>0</v>
      </c>
      <c r="M4540" t="s">
        <v>61</v>
      </c>
      <c r="N4540" t="s">
        <v>16</v>
      </c>
    </row>
    <row r="4541" spans="1:14" x14ac:dyDescent="0.3">
      <c r="A4541">
        <v>2024005539</v>
      </c>
      <c r="B4541" s="1">
        <v>45336</v>
      </c>
      <c r="C4541" s="11">
        <f t="shared" si="210"/>
        <v>2024</v>
      </c>
      <c r="D4541" t="s">
        <v>151</v>
      </c>
      <c r="E4541" t="s">
        <v>23</v>
      </c>
      <c r="F4541" t="s">
        <v>24</v>
      </c>
      <c r="G4541" t="s">
        <v>14</v>
      </c>
      <c r="H4541">
        <v>1</v>
      </c>
      <c r="I4541" s="2">
        <v>81.45</v>
      </c>
      <c r="J4541" s="2">
        <v>81.45</v>
      </c>
      <c r="K4541" s="2">
        <f t="shared" si="211"/>
        <v>81.45</v>
      </c>
      <c r="L4541" s="2">
        <f t="shared" si="212"/>
        <v>0</v>
      </c>
      <c r="M4541" t="s">
        <v>20</v>
      </c>
      <c r="N4541" t="s">
        <v>21</v>
      </c>
    </row>
    <row r="4542" spans="1:14" x14ac:dyDescent="0.3">
      <c r="A4542">
        <v>2024005540</v>
      </c>
      <c r="B4542" s="1">
        <v>45517</v>
      </c>
      <c r="C4542" s="11">
        <f t="shared" si="210"/>
        <v>2024</v>
      </c>
      <c r="D4542" t="s">
        <v>337</v>
      </c>
      <c r="E4542" t="s">
        <v>12</v>
      </c>
      <c r="F4542" t="s">
        <v>13</v>
      </c>
      <c r="G4542" t="s">
        <v>14</v>
      </c>
      <c r="H4542">
        <v>3</v>
      </c>
      <c r="I4542" s="2">
        <v>334.95</v>
      </c>
      <c r="J4542" s="2">
        <v>1004.85</v>
      </c>
      <c r="K4542" s="2">
        <f t="shared" si="211"/>
        <v>1004.8499999999999</v>
      </c>
      <c r="L4542" s="2">
        <f t="shared" si="212"/>
        <v>0</v>
      </c>
      <c r="M4542" t="s">
        <v>25</v>
      </c>
      <c r="N4542" t="s">
        <v>32</v>
      </c>
    </row>
    <row r="4543" spans="1:14" x14ac:dyDescent="0.3">
      <c r="A4543">
        <v>2024005541</v>
      </c>
      <c r="B4543" s="1">
        <v>45386</v>
      </c>
      <c r="C4543" s="11">
        <f t="shared" si="210"/>
        <v>2024</v>
      </c>
      <c r="D4543" t="s">
        <v>289</v>
      </c>
      <c r="E4543" t="s">
        <v>53</v>
      </c>
      <c r="F4543" t="s">
        <v>54</v>
      </c>
      <c r="G4543" t="s">
        <v>36</v>
      </c>
      <c r="H4543">
        <v>1</v>
      </c>
      <c r="I4543" s="2">
        <v>129.13999999999999</v>
      </c>
      <c r="J4543" s="2">
        <v>129.13999999999999</v>
      </c>
      <c r="K4543" s="2">
        <f t="shared" si="211"/>
        <v>129.13999999999999</v>
      </c>
      <c r="L4543" s="2">
        <f t="shared" si="212"/>
        <v>0</v>
      </c>
      <c r="M4543" t="s">
        <v>15</v>
      </c>
      <c r="N4543" t="s">
        <v>16</v>
      </c>
    </row>
    <row r="4544" spans="1:14" x14ac:dyDescent="0.3">
      <c r="A4544">
        <v>2024005542</v>
      </c>
      <c r="B4544" s="1">
        <v>45445</v>
      </c>
      <c r="C4544" s="11">
        <f t="shared" si="210"/>
        <v>2024</v>
      </c>
      <c r="D4544" t="s">
        <v>266</v>
      </c>
      <c r="E4544" t="s">
        <v>46</v>
      </c>
      <c r="F4544" t="s">
        <v>47</v>
      </c>
      <c r="G4544" t="s">
        <v>36</v>
      </c>
      <c r="H4544">
        <v>2</v>
      </c>
      <c r="I4544" s="2">
        <v>91.5</v>
      </c>
      <c r="J4544" s="2">
        <v>183</v>
      </c>
      <c r="K4544" s="2">
        <f t="shared" si="211"/>
        <v>183</v>
      </c>
      <c r="L4544" s="2">
        <f t="shared" si="212"/>
        <v>0</v>
      </c>
      <c r="M4544" t="s">
        <v>48</v>
      </c>
      <c r="N4544" t="s">
        <v>16</v>
      </c>
    </row>
    <row r="4545" spans="1:14" x14ac:dyDescent="0.3">
      <c r="A4545">
        <v>2024005543</v>
      </c>
      <c r="B4545" s="1">
        <v>45408</v>
      </c>
      <c r="C4545" s="11">
        <f t="shared" si="210"/>
        <v>2024</v>
      </c>
      <c r="D4545" t="s">
        <v>122</v>
      </c>
      <c r="E4545" t="s">
        <v>34</v>
      </c>
      <c r="F4545" t="s">
        <v>35</v>
      </c>
      <c r="G4545" t="s">
        <v>36</v>
      </c>
      <c r="H4545">
        <v>2</v>
      </c>
      <c r="I4545" s="2">
        <v>14.25</v>
      </c>
      <c r="J4545" s="2">
        <v>28.5</v>
      </c>
      <c r="K4545" s="2">
        <f t="shared" si="211"/>
        <v>28.5</v>
      </c>
      <c r="L4545" s="2">
        <f t="shared" si="212"/>
        <v>0</v>
      </c>
      <c r="M4545" t="s">
        <v>57</v>
      </c>
      <c r="N4545" t="s">
        <v>26</v>
      </c>
    </row>
    <row r="4546" spans="1:14" x14ac:dyDescent="0.3">
      <c r="A4546">
        <v>2024005544</v>
      </c>
      <c r="B4546" s="1">
        <v>45351</v>
      </c>
      <c r="C4546" s="11">
        <f t="shared" si="210"/>
        <v>2024</v>
      </c>
      <c r="D4546" t="s">
        <v>11</v>
      </c>
      <c r="E4546" t="s">
        <v>18</v>
      </c>
      <c r="F4546" t="s">
        <v>19</v>
      </c>
      <c r="G4546" t="s">
        <v>14</v>
      </c>
      <c r="H4546">
        <v>2</v>
      </c>
      <c r="I4546" s="2">
        <v>559.74</v>
      </c>
      <c r="J4546" s="2">
        <v>1119.48</v>
      </c>
      <c r="K4546" s="2">
        <f t="shared" si="211"/>
        <v>1119.48</v>
      </c>
      <c r="L4546" s="2">
        <f t="shared" si="212"/>
        <v>0</v>
      </c>
      <c r="M4546" t="s">
        <v>48</v>
      </c>
      <c r="N4546" t="s">
        <v>26</v>
      </c>
    </row>
    <row r="4547" spans="1:14" x14ac:dyDescent="0.3">
      <c r="A4547">
        <v>2024005545</v>
      </c>
      <c r="B4547" s="1">
        <v>45513</v>
      </c>
      <c r="C4547" s="11">
        <f t="shared" ref="C4547:C4610" si="213">YEAR(B4547)</f>
        <v>2024</v>
      </c>
      <c r="D4547" t="s">
        <v>132</v>
      </c>
      <c r="E4547" t="s">
        <v>34</v>
      </c>
      <c r="F4547" t="s">
        <v>35</v>
      </c>
      <c r="G4547" t="s">
        <v>36</v>
      </c>
      <c r="H4547">
        <v>1</v>
      </c>
      <c r="I4547" s="2">
        <v>15.21</v>
      </c>
      <c r="J4547" s="2">
        <v>15.21</v>
      </c>
      <c r="K4547" s="2">
        <f t="shared" ref="K4547:K4610" si="214">I4547*H4547</f>
        <v>15.21</v>
      </c>
      <c r="L4547" s="2">
        <f t="shared" ref="L4547:L4610" si="215">J4547-K4547</f>
        <v>0</v>
      </c>
      <c r="M4547" t="s">
        <v>48</v>
      </c>
      <c r="N4547" t="s">
        <v>26</v>
      </c>
    </row>
    <row r="4548" spans="1:14" x14ac:dyDescent="0.3">
      <c r="A4548">
        <v>2024005546</v>
      </c>
      <c r="B4548" s="1">
        <v>45498</v>
      </c>
      <c r="C4548" s="11">
        <f t="shared" si="213"/>
        <v>2024</v>
      </c>
      <c r="D4548" t="s">
        <v>50</v>
      </c>
      <c r="E4548" t="s">
        <v>40</v>
      </c>
      <c r="F4548" t="s">
        <v>41</v>
      </c>
      <c r="G4548" t="s">
        <v>36</v>
      </c>
      <c r="H4548">
        <v>2</v>
      </c>
      <c r="I4548" s="2">
        <v>48.19</v>
      </c>
      <c r="J4548" s="2">
        <v>96.38</v>
      </c>
      <c r="K4548" s="2">
        <f t="shared" si="214"/>
        <v>96.38</v>
      </c>
      <c r="L4548" s="2">
        <f t="shared" si="215"/>
        <v>0</v>
      </c>
      <c r="M4548" t="s">
        <v>57</v>
      </c>
      <c r="N4548" t="s">
        <v>21</v>
      </c>
    </row>
    <row r="4549" spans="1:14" x14ac:dyDescent="0.3">
      <c r="A4549">
        <v>2024005547</v>
      </c>
      <c r="B4549" s="1">
        <v>45378</v>
      </c>
      <c r="C4549" s="11">
        <f t="shared" si="213"/>
        <v>2024</v>
      </c>
      <c r="D4549" t="s">
        <v>151</v>
      </c>
      <c r="E4549" t="s">
        <v>40</v>
      </c>
      <c r="F4549" t="s">
        <v>41</v>
      </c>
      <c r="G4549" t="s">
        <v>36</v>
      </c>
      <c r="H4549">
        <v>2</v>
      </c>
      <c r="I4549" s="2">
        <v>49.48</v>
      </c>
      <c r="J4549" s="2">
        <v>98.96</v>
      </c>
      <c r="K4549" s="2">
        <f t="shared" si="214"/>
        <v>98.96</v>
      </c>
      <c r="L4549" s="2">
        <f t="shared" si="215"/>
        <v>0</v>
      </c>
      <c r="M4549" t="s">
        <v>48</v>
      </c>
      <c r="N4549" t="s">
        <v>21</v>
      </c>
    </row>
    <row r="4550" spans="1:14" x14ac:dyDescent="0.3">
      <c r="A4550">
        <v>2024005548</v>
      </c>
      <c r="B4550" s="1">
        <v>45307</v>
      </c>
      <c r="C4550" s="11">
        <f t="shared" si="213"/>
        <v>2024</v>
      </c>
      <c r="D4550" t="s">
        <v>173</v>
      </c>
      <c r="E4550" t="s">
        <v>46</v>
      </c>
      <c r="F4550" t="s">
        <v>47</v>
      </c>
      <c r="G4550" t="s">
        <v>36</v>
      </c>
      <c r="H4550">
        <v>2</v>
      </c>
      <c r="I4550" s="2">
        <v>92</v>
      </c>
      <c r="J4550" s="2">
        <v>184</v>
      </c>
      <c r="K4550" s="2">
        <f t="shared" si="214"/>
        <v>184</v>
      </c>
      <c r="L4550" s="2">
        <f t="shared" si="215"/>
        <v>0</v>
      </c>
      <c r="M4550" t="s">
        <v>55</v>
      </c>
      <c r="N4550" t="s">
        <v>16</v>
      </c>
    </row>
    <row r="4551" spans="1:14" x14ac:dyDescent="0.3">
      <c r="A4551">
        <v>2024005549</v>
      </c>
      <c r="B4551" s="1">
        <v>45556</v>
      </c>
      <c r="C4551" s="11">
        <f t="shared" si="213"/>
        <v>2024</v>
      </c>
      <c r="D4551" t="s">
        <v>33</v>
      </c>
      <c r="E4551" t="s">
        <v>12</v>
      </c>
      <c r="F4551" t="s">
        <v>13</v>
      </c>
      <c r="G4551" t="s">
        <v>14</v>
      </c>
      <c r="H4551">
        <v>1</v>
      </c>
      <c r="I4551" s="2">
        <v>348.28</v>
      </c>
      <c r="J4551" s="2">
        <v>348.28</v>
      </c>
      <c r="K4551" s="2">
        <f t="shared" si="214"/>
        <v>348.28</v>
      </c>
      <c r="L4551" s="2">
        <f t="shared" si="215"/>
        <v>0</v>
      </c>
      <c r="M4551" t="s">
        <v>55</v>
      </c>
      <c r="N4551" t="s">
        <v>21</v>
      </c>
    </row>
    <row r="4552" spans="1:14" x14ac:dyDescent="0.3">
      <c r="A4552">
        <v>2024005550</v>
      </c>
      <c r="B4552" s="1">
        <v>45538</v>
      </c>
      <c r="C4552" s="11">
        <f t="shared" si="213"/>
        <v>2024</v>
      </c>
      <c r="D4552" t="s">
        <v>149</v>
      </c>
      <c r="E4552" t="s">
        <v>18</v>
      </c>
      <c r="F4552" t="s">
        <v>19</v>
      </c>
      <c r="G4552" t="s">
        <v>14</v>
      </c>
      <c r="H4552">
        <v>1</v>
      </c>
      <c r="I4552" s="2">
        <v>595.33000000000004</v>
      </c>
      <c r="J4552" s="2">
        <v>595.33000000000004</v>
      </c>
      <c r="K4552" s="2">
        <f t="shared" si="214"/>
        <v>595.33000000000004</v>
      </c>
      <c r="L4552" s="2">
        <f t="shared" si="215"/>
        <v>0</v>
      </c>
      <c r="M4552" t="s">
        <v>64</v>
      </c>
      <c r="N4552" t="s">
        <v>26</v>
      </c>
    </row>
    <row r="4553" spans="1:14" x14ac:dyDescent="0.3">
      <c r="A4553">
        <v>2024005551</v>
      </c>
      <c r="B4553" s="1">
        <v>45395</v>
      </c>
      <c r="C4553" s="11">
        <f t="shared" si="213"/>
        <v>2024</v>
      </c>
      <c r="D4553" t="s">
        <v>11</v>
      </c>
      <c r="E4553" t="s">
        <v>28</v>
      </c>
      <c r="F4553" t="s">
        <v>29</v>
      </c>
      <c r="G4553" t="s">
        <v>30</v>
      </c>
      <c r="H4553">
        <v>3</v>
      </c>
      <c r="I4553" s="2">
        <v>23.92</v>
      </c>
      <c r="J4553" s="2">
        <v>71.760000000000005</v>
      </c>
      <c r="K4553" s="2">
        <f t="shared" si="214"/>
        <v>71.760000000000005</v>
      </c>
      <c r="L4553" s="2">
        <f t="shared" si="215"/>
        <v>0</v>
      </c>
      <c r="M4553" t="s">
        <v>15</v>
      </c>
      <c r="N4553" t="s">
        <v>32</v>
      </c>
    </row>
    <row r="4554" spans="1:14" x14ac:dyDescent="0.3">
      <c r="A4554">
        <v>2024005552</v>
      </c>
      <c r="B4554" s="1">
        <v>45612</v>
      </c>
      <c r="C4554" s="11">
        <f t="shared" si="213"/>
        <v>2024</v>
      </c>
      <c r="D4554" t="s">
        <v>11</v>
      </c>
      <c r="E4554" t="s">
        <v>23</v>
      </c>
      <c r="F4554" t="s">
        <v>24</v>
      </c>
      <c r="G4554" t="s">
        <v>14</v>
      </c>
      <c r="H4554">
        <v>3</v>
      </c>
      <c r="I4554" s="2">
        <v>82.97</v>
      </c>
      <c r="J4554" s="2">
        <v>248.91</v>
      </c>
      <c r="K4554" s="2">
        <f t="shared" si="214"/>
        <v>248.91</v>
      </c>
      <c r="L4554" s="2">
        <f t="shared" si="215"/>
        <v>0</v>
      </c>
      <c r="M4554" t="s">
        <v>57</v>
      </c>
      <c r="N4554" t="s">
        <v>21</v>
      </c>
    </row>
    <row r="4555" spans="1:14" x14ac:dyDescent="0.3">
      <c r="A4555">
        <v>2024005553</v>
      </c>
      <c r="B4555" s="1">
        <v>45312</v>
      </c>
      <c r="C4555" s="11">
        <f t="shared" si="213"/>
        <v>2024</v>
      </c>
      <c r="D4555" t="s">
        <v>215</v>
      </c>
      <c r="E4555" t="s">
        <v>23</v>
      </c>
      <c r="F4555" t="s">
        <v>24</v>
      </c>
      <c r="G4555" t="s">
        <v>14</v>
      </c>
      <c r="H4555">
        <v>2</v>
      </c>
      <c r="I4555" s="2">
        <v>76.72</v>
      </c>
      <c r="J4555" s="2">
        <v>153.44</v>
      </c>
      <c r="K4555" s="2">
        <f t="shared" si="214"/>
        <v>153.44</v>
      </c>
      <c r="L4555" s="2">
        <f t="shared" si="215"/>
        <v>0</v>
      </c>
      <c r="M4555" t="s">
        <v>48</v>
      </c>
      <c r="N4555" t="s">
        <v>32</v>
      </c>
    </row>
    <row r="4556" spans="1:14" x14ac:dyDescent="0.3">
      <c r="A4556">
        <v>2024005554</v>
      </c>
      <c r="B4556" s="1">
        <v>45471</v>
      </c>
      <c r="C4556" s="11">
        <f t="shared" si="213"/>
        <v>2024</v>
      </c>
      <c r="D4556" t="s">
        <v>241</v>
      </c>
      <c r="E4556" t="s">
        <v>34</v>
      </c>
      <c r="F4556" t="s">
        <v>35</v>
      </c>
      <c r="G4556" t="s">
        <v>36</v>
      </c>
      <c r="H4556">
        <v>1</v>
      </c>
      <c r="I4556" s="2">
        <v>14.4</v>
      </c>
      <c r="J4556" s="2">
        <v>14.4</v>
      </c>
      <c r="K4556" s="2">
        <f t="shared" si="214"/>
        <v>14.4</v>
      </c>
      <c r="L4556" s="2">
        <f t="shared" si="215"/>
        <v>0</v>
      </c>
      <c r="M4556" t="s">
        <v>61</v>
      </c>
      <c r="N4556" t="s">
        <v>16</v>
      </c>
    </row>
    <row r="4557" spans="1:14" x14ac:dyDescent="0.3">
      <c r="A4557">
        <v>2024002142</v>
      </c>
      <c r="B4557" s="1">
        <v>45576</v>
      </c>
      <c r="C4557" s="11">
        <f t="shared" si="213"/>
        <v>2024</v>
      </c>
      <c r="D4557" t="s">
        <v>303</v>
      </c>
      <c r="E4557" t="s">
        <v>28</v>
      </c>
      <c r="F4557" t="s">
        <v>29</v>
      </c>
      <c r="G4557" t="s">
        <v>30</v>
      </c>
      <c r="H4557">
        <v>2</v>
      </c>
      <c r="I4557" s="2">
        <v>25.41</v>
      </c>
      <c r="J4557" s="2">
        <v>50.82</v>
      </c>
      <c r="K4557" s="2">
        <f t="shared" si="214"/>
        <v>50.82</v>
      </c>
      <c r="L4557" s="2">
        <f t="shared" si="215"/>
        <v>0</v>
      </c>
      <c r="M4557" t="s">
        <v>15</v>
      </c>
      <c r="N4557" t="s">
        <v>16</v>
      </c>
    </row>
    <row r="4558" spans="1:14" x14ac:dyDescent="0.3">
      <c r="A4558">
        <v>2024005556</v>
      </c>
      <c r="B4558" s="1">
        <v>45382</v>
      </c>
      <c r="C4558" s="11">
        <f t="shared" si="213"/>
        <v>2024</v>
      </c>
      <c r="D4558" t="s">
        <v>11</v>
      </c>
      <c r="E4558" t="s">
        <v>53</v>
      </c>
      <c r="F4558" t="s">
        <v>54</v>
      </c>
      <c r="G4558" t="s">
        <v>36</v>
      </c>
      <c r="H4558">
        <v>1</v>
      </c>
      <c r="I4558" s="2">
        <v>119.49</v>
      </c>
      <c r="J4558" s="2">
        <v>119.49</v>
      </c>
      <c r="K4558" s="2">
        <f t="shared" si="214"/>
        <v>119.49</v>
      </c>
      <c r="L4558" s="2">
        <f t="shared" si="215"/>
        <v>0</v>
      </c>
      <c r="M4558" t="s">
        <v>25</v>
      </c>
      <c r="N4558" t="s">
        <v>32</v>
      </c>
    </row>
    <row r="4559" spans="1:14" x14ac:dyDescent="0.3">
      <c r="A4559">
        <v>2024005557</v>
      </c>
      <c r="B4559" s="1">
        <v>45521</v>
      </c>
      <c r="C4559" s="11">
        <f t="shared" si="213"/>
        <v>2024</v>
      </c>
      <c r="D4559" t="s">
        <v>172</v>
      </c>
      <c r="E4559" t="s">
        <v>12</v>
      </c>
      <c r="F4559" t="s">
        <v>13</v>
      </c>
      <c r="G4559" t="s">
        <v>14</v>
      </c>
      <c r="H4559">
        <v>1</v>
      </c>
      <c r="I4559" s="2">
        <v>353.79</v>
      </c>
      <c r="J4559" s="2">
        <v>353.79</v>
      </c>
      <c r="K4559" s="2">
        <f t="shared" si="214"/>
        <v>353.79</v>
      </c>
      <c r="L4559" s="2">
        <f t="shared" si="215"/>
        <v>0</v>
      </c>
      <c r="M4559" t="s">
        <v>15</v>
      </c>
      <c r="N4559" t="s">
        <v>16</v>
      </c>
    </row>
    <row r="4560" spans="1:14" x14ac:dyDescent="0.3">
      <c r="A4560">
        <v>2024005558</v>
      </c>
      <c r="B4560" s="1">
        <v>45587</v>
      </c>
      <c r="C4560" s="11">
        <f t="shared" si="213"/>
        <v>2024</v>
      </c>
      <c r="D4560" t="s">
        <v>176</v>
      </c>
      <c r="E4560" t="s">
        <v>28</v>
      </c>
      <c r="F4560" t="s">
        <v>29</v>
      </c>
      <c r="G4560" t="s">
        <v>30</v>
      </c>
      <c r="H4560">
        <v>1</v>
      </c>
      <c r="I4560" s="2">
        <v>24.07</v>
      </c>
      <c r="J4560" s="2">
        <v>24.07</v>
      </c>
      <c r="K4560" s="2">
        <f t="shared" si="214"/>
        <v>24.07</v>
      </c>
      <c r="L4560" s="2">
        <f t="shared" si="215"/>
        <v>0</v>
      </c>
      <c r="M4560" t="s">
        <v>55</v>
      </c>
      <c r="N4560" t="s">
        <v>21</v>
      </c>
    </row>
    <row r="4561" spans="1:14" x14ac:dyDescent="0.3">
      <c r="A4561">
        <v>2024005559</v>
      </c>
      <c r="B4561" s="1">
        <v>45641</v>
      </c>
      <c r="C4561" s="11">
        <f t="shared" si="213"/>
        <v>2024</v>
      </c>
      <c r="D4561" t="s">
        <v>106</v>
      </c>
      <c r="E4561" t="s">
        <v>12</v>
      </c>
      <c r="F4561" t="s">
        <v>13</v>
      </c>
      <c r="G4561" t="s">
        <v>14</v>
      </c>
      <c r="H4561">
        <v>3</v>
      </c>
      <c r="I4561" s="2">
        <v>321.64999999999998</v>
      </c>
      <c r="J4561" s="2">
        <v>964.95</v>
      </c>
      <c r="K4561" s="2">
        <f t="shared" si="214"/>
        <v>964.94999999999993</v>
      </c>
      <c r="L4561" s="2">
        <f t="shared" si="215"/>
        <v>0</v>
      </c>
      <c r="M4561" t="s">
        <v>48</v>
      </c>
      <c r="N4561" t="s">
        <v>16</v>
      </c>
    </row>
    <row r="4562" spans="1:14" x14ac:dyDescent="0.3">
      <c r="A4562">
        <v>2024005560</v>
      </c>
      <c r="B4562" s="1">
        <v>45292</v>
      </c>
      <c r="C4562" s="11">
        <f t="shared" si="213"/>
        <v>2024</v>
      </c>
      <c r="D4562" t="s">
        <v>127</v>
      </c>
      <c r="E4562" t="s">
        <v>53</v>
      </c>
      <c r="F4562" t="s">
        <v>54</v>
      </c>
      <c r="G4562" t="s">
        <v>36</v>
      </c>
      <c r="H4562">
        <v>1</v>
      </c>
      <c r="I4562" s="2">
        <v>116.31</v>
      </c>
      <c r="J4562" s="2">
        <v>116.31</v>
      </c>
      <c r="K4562" s="2">
        <f t="shared" si="214"/>
        <v>116.31</v>
      </c>
      <c r="L4562" s="2">
        <f t="shared" si="215"/>
        <v>0</v>
      </c>
      <c r="M4562" t="s">
        <v>38</v>
      </c>
      <c r="N4562" t="s">
        <v>16</v>
      </c>
    </row>
    <row r="4563" spans="1:14" x14ac:dyDescent="0.3">
      <c r="A4563">
        <v>2024005561</v>
      </c>
      <c r="B4563" s="1">
        <v>45597</v>
      </c>
      <c r="C4563" s="11">
        <f t="shared" si="213"/>
        <v>2024</v>
      </c>
      <c r="D4563" t="s">
        <v>201</v>
      </c>
      <c r="E4563" t="s">
        <v>46</v>
      </c>
      <c r="F4563" t="s">
        <v>47</v>
      </c>
      <c r="G4563" t="s">
        <v>36</v>
      </c>
      <c r="H4563">
        <v>1</v>
      </c>
      <c r="I4563" s="2">
        <v>91.97</v>
      </c>
      <c r="J4563" s="2">
        <v>91.97</v>
      </c>
      <c r="K4563" s="2">
        <f t="shared" si="214"/>
        <v>91.97</v>
      </c>
      <c r="L4563" s="2">
        <f t="shared" si="215"/>
        <v>0</v>
      </c>
      <c r="M4563" t="s">
        <v>48</v>
      </c>
      <c r="N4563" t="s">
        <v>16</v>
      </c>
    </row>
    <row r="4564" spans="1:14" x14ac:dyDescent="0.3">
      <c r="A4564">
        <v>2024005562</v>
      </c>
      <c r="B4564" s="1">
        <v>45489</v>
      </c>
      <c r="C4564" s="11">
        <f t="shared" si="213"/>
        <v>2024</v>
      </c>
      <c r="D4564" t="s">
        <v>11</v>
      </c>
      <c r="E4564" t="s">
        <v>18</v>
      </c>
      <c r="F4564" t="s">
        <v>19</v>
      </c>
      <c r="G4564" t="s">
        <v>14</v>
      </c>
      <c r="H4564">
        <v>1</v>
      </c>
      <c r="I4564" s="2">
        <v>655.26</v>
      </c>
      <c r="J4564" s="2">
        <v>655.26</v>
      </c>
      <c r="K4564" s="2">
        <f t="shared" si="214"/>
        <v>655.26</v>
      </c>
      <c r="L4564" s="2">
        <f t="shared" si="215"/>
        <v>0</v>
      </c>
      <c r="M4564" t="s">
        <v>38</v>
      </c>
      <c r="N4564" t="s">
        <v>16</v>
      </c>
    </row>
    <row r="4565" spans="1:14" x14ac:dyDescent="0.3">
      <c r="A4565">
        <v>2024005563</v>
      </c>
      <c r="B4565" s="1">
        <v>45353</v>
      </c>
      <c r="C4565" s="11">
        <f t="shared" si="213"/>
        <v>2024</v>
      </c>
      <c r="D4565" t="s">
        <v>200</v>
      </c>
      <c r="E4565" t="s">
        <v>67</v>
      </c>
      <c r="F4565" t="s">
        <v>68</v>
      </c>
      <c r="G4565" t="s">
        <v>36</v>
      </c>
      <c r="H4565">
        <v>2</v>
      </c>
      <c r="I4565" s="2">
        <v>392.18</v>
      </c>
      <c r="J4565" s="2">
        <v>784.36</v>
      </c>
      <c r="K4565" s="2">
        <f t="shared" si="214"/>
        <v>784.36</v>
      </c>
      <c r="L4565" s="2">
        <f t="shared" si="215"/>
        <v>0</v>
      </c>
      <c r="M4565" t="s">
        <v>15</v>
      </c>
      <c r="N4565" t="s">
        <v>26</v>
      </c>
    </row>
    <row r="4566" spans="1:14" x14ac:dyDescent="0.3">
      <c r="A4566">
        <v>2024005564</v>
      </c>
      <c r="B4566" s="1">
        <v>45547</v>
      </c>
      <c r="C4566" s="11">
        <f t="shared" si="213"/>
        <v>2024</v>
      </c>
      <c r="D4566" t="s">
        <v>27</v>
      </c>
      <c r="E4566" t="s">
        <v>67</v>
      </c>
      <c r="F4566" t="s">
        <v>68</v>
      </c>
      <c r="G4566" t="s">
        <v>36</v>
      </c>
      <c r="H4566">
        <v>4</v>
      </c>
      <c r="I4566" s="2">
        <v>429.54</v>
      </c>
      <c r="J4566" s="2">
        <v>1718.16</v>
      </c>
      <c r="K4566" s="2">
        <f t="shared" si="214"/>
        <v>1718.16</v>
      </c>
      <c r="L4566" s="2">
        <f t="shared" si="215"/>
        <v>0</v>
      </c>
      <c r="M4566" t="s">
        <v>61</v>
      </c>
      <c r="N4566" t="s">
        <v>26</v>
      </c>
    </row>
    <row r="4567" spans="1:14" x14ac:dyDescent="0.3">
      <c r="A4567">
        <v>2024005565</v>
      </c>
      <c r="B4567" s="1">
        <v>45459</v>
      </c>
      <c r="C4567" s="11">
        <f t="shared" si="213"/>
        <v>2024</v>
      </c>
      <c r="D4567" t="s">
        <v>65</v>
      </c>
      <c r="E4567" t="s">
        <v>18</v>
      </c>
      <c r="F4567" t="s">
        <v>19</v>
      </c>
      <c r="G4567" t="s">
        <v>14</v>
      </c>
      <c r="H4567">
        <v>1</v>
      </c>
      <c r="I4567" s="2">
        <v>578.35</v>
      </c>
      <c r="J4567" s="2">
        <v>578.35</v>
      </c>
      <c r="K4567" s="2">
        <f t="shared" si="214"/>
        <v>578.35</v>
      </c>
      <c r="L4567" s="2">
        <f t="shared" si="215"/>
        <v>0</v>
      </c>
      <c r="M4567" t="s">
        <v>38</v>
      </c>
      <c r="N4567" t="s">
        <v>26</v>
      </c>
    </row>
    <row r="4568" spans="1:14" x14ac:dyDescent="0.3">
      <c r="A4568">
        <v>2024005566</v>
      </c>
      <c r="B4568" s="1">
        <v>45460</v>
      </c>
      <c r="C4568" s="11">
        <f t="shared" si="213"/>
        <v>2024</v>
      </c>
      <c r="D4568" t="s">
        <v>217</v>
      </c>
      <c r="E4568" t="s">
        <v>40</v>
      </c>
      <c r="F4568" t="s">
        <v>41</v>
      </c>
      <c r="G4568" t="s">
        <v>36</v>
      </c>
      <c r="H4568">
        <v>2</v>
      </c>
      <c r="I4568" s="2">
        <v>47.14</v>
      </c>
      <c r="J4568" s="2">
        <v>94.28</v>
      </c>
      <c r="K4568" s="2">
        <f t="shared" si="214"/>
        <v>94.28</v>
      </c>
      <c r="L4568" s="2">
        <f t="shared" si="215"/>
        <v>0</v>
      </c>
      <c r="M4568" t="s">
        <v>15</v>
      </c>
      <c r="N4568" t="s">
        <v>21</v>
      </c>
    </row>
    <row r="4569" spans="1:14" x14ac:dyDescent="0.3">
      <c r="A4569">
        <v>2024005567</v>
      </c>
      <c r="B4569" s="1">
        <v>45461</v>
      </c>
      <c r="C4569" s="11">
        <f t="shared" si="213"/>
        <v>2024</v>
      </c>
      <c r="D4569" t="s">
        <v>22</v>
      </c>
      <c r="E4569" t="s">
        <v>40</v>
      </c>
      <c r="F4569" t="s">
        <v>41</v>
      </c>
      <c r="G4569" t="s">
        <v>36</v>
      </c>
      <c r="H4569">
        <v>1</v>
      </c>
      <c r="I4569" s="2">
        <v>42.26</v>
      </c>
      <c r="J4569" s="2">
        <v>42.26</v>
      </c>
      <c r="K4569" s="2">
        <f t="shared" si="214"/>
        <v>42.26</v>
      </c>
      <c r="L4569" s="2">
        <f t="shared" si="215"/>
        <v>0</v>
      </c>
      <c r="M4569" t="s">
        <v>64</v>
      </c>
      <c r="N4569" t="s">
        <v>16</v>
      </c>
    </row>
    <row r="4570" spans="1:14" x14ac:dyDescent="0.3">
      <c r="A4570">
        <v>2024005568</v>
      </c>
      <c r="B4570" s="1">
        <v>45308</v>
      </c>
      <c r="C4570" s="11">
        <f t="shared" si="213"/>
        <v>2024</v>
      </c>
      <c r="D4570" t="s">
        <v>69</v>
      </c>
      <c r="E4570" t="s">
        <v>43</v>
      </c>
      <c r="F4570" t="s">
        <v>44</v>
      </c>
      <c r="G4570" t="s">
        <v>36</v>
      </c>
      <c r="H4570">
        <v>1</v>
      </c>
      <c r="I4570" s="2">
        <v>1178.21</v>
      </c>
      <c r="J4570" s="2">
        <v>1178.21</v>
      </c>
      <c r="K4570" s="2">
        <f t="shared" si="214"/>
        <v>1178.21</v>
      </c>
      <c r="L4570" s="2">
        <f t="shared" si="215"/>
        <v>0</v>
      </c>
      <c r="M4570" t="s">
        <v>48</v>
      </c>
      <c r="N4570" t="s">
        <v>16</v>
      </c>
    </row>
    <row r="4571" spans="1:14" x14ac:dyDescent="0.3">
      <c r="A4571">
        <v>2024005569</v>
      </c>
      <c r="B4571" s="1">
        <v>45628</v>
      </c>
      <c r="C4571" s="11">
        <f t="shared" si="213"/>
        <v>2024</v>
      </c>
      <c r="D4571" t="s">
        <v>165</v>
      </c>
      <c r="E4571" t="s">
        <v>43</v>
      </c>
      <c r="F4571" t="s">
        <v>44</v>
      </c>
      <c r="G4571" t="s">
        <v>36</v>
      </c>
      <c r="H4571">
        <v>4</v>
      </c>
      <c r="I4571" s="2">
        <v>1204.23</v>
      </c>
      <c r="J4571" s="2">
        <v>4816.92</v>
      </c>
      <c r="K4571" s="2">
        <f t="shared" si="214"/>
        <v>4816.92</v>
      </c>
      <c r="L4571" s="2">
        <f t="shared" si="215"/>
        <v>0</v>
      </c>
      <c r="M4571" t="s">
        <v>25</v>
      </c>
      <c r="N4571" t="s">
        <v>21</v>
      </c>
    </row>
    <row r="4572" spans="1:14" x14ac:dyDescent="0.3">
      <c r="A4572">
        <v>2024004844</v>
      </c>
      <c r="B4572" s="1">
        <v>45657</v>
      </c>
      <c r="C4572" s="11">
        <f t="shared" si="213"/>
        <v>2024</v>
      </c>
      <c r="D4572" t="s">
        <v>315</v>
      </c>
      <c r="E4572" t="s">
        <v>40</v>
      </c>
      <c r="F4572" t="s">
        <v>41</v>
      </c>
      <c r="G4572" t="s">
        <v>36</v>
      </c>
      <c r="H4572">
        <v>1</v>
      </c>
      <c r="I4572" s="2">
        <v>45</v>
      </c>
      <c r="J4572" s="2">
        <v>45</v>
      </c>
      <c r="K4572" s="2">
        <f t="shared" si="214"/>
        <v>45</v>
      </c>
      <c r="L4572" s="2">
        <f t="shared" si="215"/>
        <v>0</v>
      </c>
      <c r="M4572" t="s">
        <v>61</v>
      </c>
      <c r="N4572" t="s">
        <v>16</v>
      </c>
    </row>
    <row r="4573" spans="1:14" x14ac:dyDescent="0.3">
      <c r="A4573">
        <v>2024005571</v>
      </c>
      <c r="B4573" s="1">
        <v>45511</v>
      </c>
      <c r="C4573" s="11">
        <f t="shared" si="213"/>
        <v>2024</v>
      </c>
      <c r="D4573" t="s">
        <v>317</v>
      </c>
      <c r="E4573" t="s">
        <v>43</v>
      </c>
      <c r="F4573" t="s">
        <v>44</v>
      </c>
      <c r="G4573" t="s">
        <v>36</v>
      </c>
      <c r="H4573">
        <v>2</v>
      </c>
      <c r="I4573" s="2">
        <v>1238.24</v>
      </c>
      <c r="J4573" s="2">
        <v>2476.48</v>
      </c>
      <c r="K4573" s="2">
        <f t="shared" si="214"/>
        <v>2476.48</v>
      </c>
      <c r="L4573" s="2">
        <f t="shared" si="215"/>
        <v>0</v>
      </c>
      <c r="M4573" t="s">
        <v>55</v>
      </c>
      <c r="N4573" t="s">
        <v>16</v>
      </c>
    </row>
    <row r="4574" spans="1:14" x14ac:dyDescent="0.3">
      <c r="A4574">
        <v>2024005572</v>
      </c>
      <c r="B4574" s="1">
        <v>45537</v>
      </c>
      <c r="C4574" s="11">
        <f t="shared" si="213"/>
        <v>2024</v>
      </c>
      <c r="D4574" t="s">
        <v>323</v>
      </c>
      <c r="E4574" t="s">
        <v>40</v>
      </c>
      <c r="F4574" t="s">
        <v>41</v>
      </c>
      <c r="G4574" t="s">
        <v>36</v>
      </c>
      <c r="H4574">
        <v>2</v>
      </c>
      <c r="I4574" s="2">
        <v>46.76</v>
      </c>
      <c r="J4574" s="2">
        <v>93.52</v>
      </c>
      <c r="K4574" s="2">
        <f t="shared" si="214"/>
        <v>93.52</v>
      </c>
      <c r="L4574" s="2">
        <f t="shared" si="215"/>
        <v>0</v>
      </c>
      <c r="M4574" t="s">
        <v>55</v>
      </c>
      <c r="N4574" t="s">
        <v>26</v>
      </c>
    </row>
    <row r="4575" spans="1:14" x14ac:dyDescent="0.3">
      <c r="A4575">
        <v>2024005573</v>
      </c>
      <c r="B4575" s="1">
        <v>45360</v>
      </c>
      <c r="C4575" s="11">
        <f t="shared" si="213"/>
        <v>2024</v>
      </c>
      <c r="D4575" t="s">
        <v>305</v>
      </c>
      <c r="E4575" t="s">
        <v>67</v>
      </c>
      <c r="F4575" t="s">
        <v>68</v>
      </c>
      <c r="G4575" t="s">
        <v>36</v>
      </c>
      <c r="H4575">
        <v>1</v>
      </c>
      <c r="I4575" s="2">
        <v>398.81</v>
      </c>
      <c r="J4575" s="2">
        <v>398.81</v>
      </c>
      <c r="K4575" s="2">
        <f t="shared" si="214"/>
        <v>398.81</v>
      </c>
      <c r="L4575" s="2">
        <f t="shared" si="215"/>
        <v>0</v>
      </c>
      <c r="M4575" t="s">
        <v>31</v>
      </c>
      <c r="N4575" t="s">
        <v>32</v>
      </c>
    </row>
    <row r="4576" spans="1:14" x14ac:dyDescent="0.3">
      <c r="A4576">
        <v>2024005574</v>
      </c>
      <c r="B4576" s="1">
        <v>45374</v>
      </c>
      <c r="C4576" s="11">
        <f t="shared" si="213"/>
        <v>2024</v>
      </c>
      <c r="D4576" t="s">
        <v>333</v>
      </c>
      <c r="E4576" t="s">
        <v>28</v>
      </c>
      <c r="F4576" t="s">
        <v>29</v>
      </c>
      <c r="G4576" t="s">
        <v>30</v>
      </c>
      <c r="H4576">
        <v>1</v>
      </c>
      <c r="I4576" s="2">
        <v>27.71</v>
      </c>
      <c r="J4576" s="2">
        <v>27.71</v>
      </c>
      <c r="K4576" s="2">
        <f t="shared" si="214"/>
        <v>27.71</v>
      </c>
      <c r="L4576" s="2">
        <f t="shared" si="215"/>
        <v>0</v>
      </c>
      <c r="M4576" t="s">
        <v>48</v>
      </c>
      <c r="N4576" t="s">
        <v>32</v>
      </c>
    </row>
    <row r="4577" spans="1:14" x14ac:dyDescent="0.3">
      <c r="A4577">
        <v>2024005575</v>
      </c>
      <c r="B4577" s="1">
        <v>45348</v>
      </c>
      <c r="C4577" s="11">
        <f t="shared" si="213"/>
        <v>2024</v>
      </c>
      <c r="D4577" t="s">
        <v>303</v>
      </c>
      <c r="E4577" t="s">
        <v>18</v>
      </c>
      <c r="F4577" t="s">
        <v>19</v>
      </c>
      <c r="G4577" t="s">
        <v>14</v>
      </c>
      <c r="H4577">
        <v>2</v>
      </c>
      <c r="I4577" s="2">
        <v>583.25</v>
      </c>
      <c r="J4577" s="2">
        <v>1166.5</v>
      </c>
      <c r="K4577" s="2">
        <f t="shared" si="214"/>
        <v>1166.5</v>
      </c>
      <c r="L4577" s="2">
        <f t="shared" si="215"/>
        <v>0</v>
      </c>
      <c r="M4577" t="s">
        <v>48</v>
      </c>
      <c r="N4577" t="s">
        <v>21</v>
      </c>
    </row>
    <row r="4578" spans="1:14" x14ac:dyDescent="0.3">
      <c r="A4578">
        <v>2024005576</v>
      </c>
      <c r="B4578" s="1">
        <v>45520</v>
      </c>
      <c r="C4578" s="11">
        <f t="shared" si="213"/>
        <v>2024</v>
      </c>
      <c r="D4578" t="s">
        <v>193</v>
      </c>
      <c r="E4578" t="s">
        <v>46</v>
      </c>
      <c r="F4578" t="s">
        <v>47</v>
      </c>
      <c r="G4578" t="s">
        <v>36</v>
      </c>
      <c r="H4578">
        <v>1</v>
      </c>
      <c r="I4578" s="2">
        <v>88.49</v>
      </c>
      <c r="J4578" s="2">
        <v>88.49</v>
      </c>
      <c r="K4578" s="2">
        <f t="shared" si="214"/>
        <v>88.49</v>
      </c>
      <c r="L4578" s="2">
        <f t="shared" si="215"/>
        <v>0</v>
      </c>
      <c r="M4578" t="s">
        <v>25</v>
      </c>
      <c r="N4578" t="s">
        <v>16</v>
      </c>
    </row>
    <row r="4579" spans="1:14" x14ac:dyDescent="0.3">
      <c r="A4579">
        <v>2024005577</v>
      </c>
      <c r="B4579" s="1">
        <v>45359</v>
      </c>
      <c r="C4579" s="11">
        <f t="shared" si="213"/>
        <v>2024</v>
      </c>
      <c r="D4579" t="s">
        <v>123</v>
      </c>
      <c r="E4579" t="s">
        <v>53</v>
      </c>
      <c r="F4579" t="s">
        <v>54</v>
      </c>
      <c r="G4579" t="s">
        <v>36</v>
      </c>
      <c r="H4579">
        <v>3</v>
      </c>
      <c r="I4579" s="2">
        <v>125.45</v>
      </c>
      <c r="J4579" s="2">
        <v>376.35</v>
      </c>
      <c r="K4579" s="2">
        <f t="shared" si="214"/>
        <v>376.35</v>
      </c>
      <c r="L4579" s="2">
        <f t="shared" si="215"/>
        <v>0</v>
      </c>
      <c r="M4579" t="s">
        <v>15</v>
      </c>
      <c r="N4579" t="s">
        <v>21</v>
      </c>
    </row>
    <row r="4580" spans="1:14" x14ac:dyDescent="0.3">
      <c r="A4580">
        <v>2024005578</v>
      </c>
      <c r="B4580" s="1">
        <v>45313</v>
      </c>
      <c r="C4580" s="11">
        <f t="shared" si="213"/>
        <v>2024</v>
      </c>
      <c r="D4580" t="s">
        <v>119</v>
      </c>
      <c r="E4580" t="s">
        <v>53</v>
      </c>
      <c r="F4580" t="s">
        <v>54</v>
      </c>
      <c r="G4580" t="s">
        <v>36</v>
      </c>
      <c r="H4580">
        <v>2</v>
      </c>
      <c r="I4580" s="2">
        <v>106.84</v>
      </c>
      <c r="J4580" s="2">
        <v>213.68</v>
      </c>
      <c r="K4580" s="2">
        <f t="shared" si="214"/>
        <v>213.68</v>
      </c>
      <c r="L4580" s="2">
        <f t="shared" si="215"/>
        <v>0</v>
      </c>
      <c r="M4580" t="s">
        <v>64</v>
      </c>
      <c r="N4580" t="s">
        <v>26</v>
      </c>
    </row>
    <row r="4581" spans="1:14" x14ac:dyDescent="0.3">
      <c r="A4581">
        <v>2024005579</v>
      </c>
      <c r="B4581" s="1">
        <v>45581</v>
      </c>
      <c r="C4581" s="11">
        <f t="shared" si="213"/>
        <v>2024</v>
      </c>
      <c r="D4581" t="s">
        <v>155</v>
      </c>
      <c r="E4581" t="s">
        <v>18</v>
      </c>
      <c r="F4581" t="s">
        <v>19</v>
      </c>
      <c r="G4581" t="s">
        <v>14</v>
      </c>
      <c r="H4581">
        <v>3</v>
      </c>
      <c r="I4581" s="2">
        <v>620.47</v>
      </c>
      <c r="J4581" s="2">
        <v>1861.41</v>
      </c>
      <c r="K4581" s="2">
        <f t="shared" si="214"/>
        <v>1861.41</v>
      </c>
      <c r="L4581" s="2">
        <f t="shared" si="215"/>
        <v>0</v>
      </c>
      <c r="M4581" t="s">
        <v>57</v>
      </c>
      <c r="N4581" t="s">
        <v>26</v>
      </c>
    </row>
    <row r="4582" spans="1:14" x14ac:dyDescent="0.3">
      <c r="A4582">
        <v>2024005580</v>
      </c>
      <c r="B4582" s="1">
        <v>45485</v>
      </c>
      <c r="C4582" s="11">
        <f t="shared" si="213"/>
        <v>2024</v>
      </c>
      <c r="D4582" t="s">
        <v>91</v>
      </c>
      <c r="E4582" t="s">
        <v>12</v>
      </c>
      <c r="F4582" t="s">
        <v>13</v>
      </c>
      <c r="G4582" t="s">
        <v>14</v>
      </c>
      <c r="H4582">
        <v>2</v>
      </c>
      <c r="I4582" s="2">
        <v>377</v>
      </c>
      <c r="J4582" s="2">
        <v>754</v>
      </c>
      <c r="K4582" s="2">
        <f t="shared" si="214"/>
        <v>754</v>
      </c>
      <c r="L4582" s="2">
        <f t="shared" si="215"/>
        <v>0</v>
      </c>
      <c r="M4582" t="s">
        <v>25</v>
      </c>
      <c r="N4582" t="s">
        <v>21</v>
      </c>
    </row>
    <row r="4583" spans="1:14" x14ac:dyDescent="0.3">
      <c r="A4583">
        <v>2024005581</v>
      </c>
      <c r="B4583" s="1">
        <v>45398</v>
      </c>
      <c r="C4583" s="11">
        <f t="shared" si="213"/>
        <v>2024</v>
      </c>
      <c r="D4583" t="s">
        <v>91</v>
      </c>
      <c r="E4583" t="s">
        <v>28</v>
      </c>
      <c r="F4583" t="s">
        <v>29</v>
      </c>
      <c r="G4583" t="s">
        <v>30</v>
      </c>
      <c r="H4583">
        <v>2</v>
      </c>
      <c r="I4583" s="2">
        <v>26.39</v>
      </c>
      <c r="J4583" s="2">
        <v>52.78</v>
      </c>
      <c r="K4583" s="2">
        <f t="shared" si="214"/>
        <v>52.78</v>
      </c>
      <c r="L4583" s="2">
        <f t="shared" si="215"/>
        <v>0</v>
      </c>
      <c r="M4583" t="s">
        <v>55</v>
      </c>
      <c r="N4583" t="s">
        <v>21</v>
      </c>
    </row>
    <row r="4584" spans="1:14" x14ac:dyDescent="0.3">
      <c r="A4584">
        <v>2024005582</v>
      </c>
      <c r="B4584" s="1">
        <v>45563</v>
      </c>
      <c r="C4584" s="11">
        <f t="shared" si="213"/>
        <v>2024</v>
      </c>
      <c r="D4584" t="s">
        <v>314</v>
      </c>
      <c r="E4584" t="s">
        <v>34</v>
      </c>
      <c r="F4584" t="s">
        <v>35</v>
      </c>
      <c r="G4584" t="s">
        <v>36</v>
      </c>
      <c r="H4584">
        <v>1</v>
      </c>
      <c r="I4584" s="2">
        <v>14.69</v>
      </c>
      <c r="J4584" s="2">
        <v>14.69</v>
      </c>
      <c r="K4584" s="2">
        <f t="shared" si="214"/>
        <v>14.69</v>
      </c>
      <c r="L4584" s="2">
        <f t="shared" si="215"/>
        <v>0</v>
      </c>
      <c r="M4584" t="s">
        <v>61</v>
      </c>
      <c r="N4584" t="s">
        <v>16</v>
      </c>
    </row>
    <row r="4585" spans="1:14" x14ac:dyDescent="0.3">
      <c r="A4585">
        <v>2024005583</v>
      </c>
      <c r="B4585" s="1">
        <v>45427</v>
      </c>
      <c r="C4585" s="11">
        <f t="shared" si="213"/>
        <v>2024</v>
      </c>
      <c r="D4585" t="s">
        <v>238</v>
      </c>
      <c r="E4585" t="s">
        <v>23</v>
      </c>
      <c r="F4585" t="s">
        <v>24</v>
      </c>
      <c r="G4585" t="s">
        <v>14</v>
      </c>
      <c r="H4585">
        <v>2</v>
      </c>
      <c r="I4585" s="2">
        <v>75.5</v>
      </c>
      <c r="J4585" s="2">
        <v>151</v>
      </c>
      <c r="K4585" s="2">
        <f t="shared" si="214"/>
        <v>151</v>
      </c>
      <c r="L4585" s="2">
        <f t="shared" si="215"/>
        <v>0</v>
      </c>
      <c r="M4585" t="s">
        <v>31</v>
      </c>
      <c r="N4585" t="s">
        <v>16</v>
      </c>
    </row>
    <row r="4586" spans="1:14" x14ac:dyDescent="0.3">
      <c r="A4586">
        <v>2024005584</v>
      </c>
      <c r="B4586" s="1">
        <v>45328</v>
      </c>
      <c r="C4586" s="11">
        <f t="shared" si="213"/>
        <v>2024</v>
      </c>
      <c r="D4586" t="s">
        <v>276</v>
      </c>
      <c r="E4586" t="s">
        <v>12</v>
      </c>
      <c r="F4586" t="s">
        <v>13</v>
      </c>
      <c r="G4586" t="s">
        <v>14</v>
      </c>
      <c r="H4586">
        <v>2</v>
      </c>
      <c r="I4586" s="2">
        <v>339.01</v>
      </c>
      <c r="J4586" s="2">
        <v>678.02</v>
      </c>
      <c r="K4586" s="2">
        <f t="shared" si="214"/>
        <v>678.02</v>
      </c>
      <c r="L4586" s="2">
        <f t="shared" si="215"/>
        <v>0</v>
      </c>
      <c r="M4586" t="s">
        <v>48</v>
      </c>
      <c r="N4586" t="s">
        <v>32</v>
      </c>
    </row>
    <row r="4587" spans="1:14" x14ac:dyDescent="0.3">
      <c r="A4587">
        <v>2024005585</v>
      </c>
      <c r="B4587" s="1">
        <v>45301</v>
      </c>
      <c r="C4587" s="11">
        <f t="shared" si="213"/>
        <v>2024</v>
      </c>
      <c r="D4587" t="s">
        <v>139</v>
      </c>
      <c r="E4587" t="s">
        <v>28</v>
      </c>
      <c r="F4587" t="s">
        <v>29</v>
      </c>
      <c r="G4587" t="s">
        <v>30</v>
      </c>
      <c r="H4587">
        <v>3</v>
      </c>
      <c r="I4587" s="2">
        <v>23.91</v>
      </c>
      <c r="J4587" s="2">
        <v>71.73</v>
      </c>
      <c r="K4587" s="2">
        <f t="shared" si="214"/>
        <v>71.73</v>
      </c>
      <c r="L4587" s="2">
        <f t="shared" si="215"/>
        <v>0</v>
      </c>
      <c r="M4587" t="s">
        <v>38</v>
      </c>
      <c r="N4587" t="s">
        <v>16</v>
      </c>
    </row>
    <row r="4588" spans="1:14" x14ac:dyDescent="0.3">
      <c r="A4588">
        <v>2024005586</v>
      </c>
      <c r="B4588" s="1">
        <v>45521</v>
      </c>
      <c r="C4588" s="11">
        <f t="shared" si="213"/>
        <v>2024</v>
      </c>
      <c r="D4588" t="s">
        <v>199</v>
      </c>
      <c r="E4588" t="s">
        <v>23</v>
      </c>
      <c r="F4588" t="s">
        <v>24</v>
      </c>
      <c r="G4588" t="s">
        <v>14</v>
      </c>
      <c r="H4588">
        <v>2</v>
      </c>
      <c r="I4588" s="2">
        <v>76.900000000000006</v>
      </c>
      <c r="J4588" s="2">
        <v>153.80000000000001</v>
      </c>
      <c r="K4588" s="2">
        <f t="shared" si="214"/>
        <v>153.80000000000001</v>
      </c>
      <c r="L4588" s="2">
        <f t="shared" si="215"/>
        <v>0</v>
      </c>
      <c r="M4588" t="s">
        <v>15</v>
      </c>
      <c r="N4588" t="s">
        <v>32</v>
      </c>
    </row>
    <row r="4589" spans="1:14" x14ac:dyDescent="0.3">
      <c r="A4589">
        <v>2024005587</v>
      </c>
      <c r="B4589" s="1">
        <v>45309</v>
      </c>
      <c r="C4589" s="11">
        <f t="shared" si="213"/>
        <v>2024</v>
      </c>
      <c r="D4589" t="s">
        <v>100</v>
      </c>
      <c r="E4589" t="s">
        <v>23</v>
      </c>
      <c r="F4589" t="s">
        <v>24</v>
      </c>
      <c r="G4589" t="s">
        <v>14</v>
      </c>
      <c r="H4589">
        <v>1</v>
      </c>
      <c r="I4589" s="2">
        <v>74.8</v>
      </c>
      <c r="J4589" s="2">
        <v>74.8</v>
      </c>
      <c r="K4589" s="2">
        <f t="shared" si="214"/>
        <v>74.8</v>
      </c>
      <c r="L4589" s="2">
        <f t="shared" si="215"/>
        <v>0</v>
      </c>
      <c r="M4589" t="s">
        <v>57</v>
      </c>
      <c r="N4589" t="s">
        <v>16</v>
      </c>
    </row>
    <row r="4590" spans="1:14" x14ac:dyDescent="0.3">
      <c r="A4590">
        <v>2024005588</v>
      </c>
      <c r="B4590" s="1">
        <v>45373</v>
      </c>
      <c r="C4590" s="11">
        <f t="shared" si="213"/>
        <v>2024</v>
      </c>
      <c r="D4590" t="s">
        <v>325</v>
      </c>
      <c r="E4590" t="s">
        <v>43</v>
      </c>
      <c r="F4590" t="s">
        <v>44</v>
      </c>
      <c r="G4590" t="s">
        <v>36</v>
      </c>
      <c r="H4590">
        <v>1</v>
      </c>
      <c r="I4590" s="2">
        <v>1227.99</v>
      </c>
      <c r="J4590" s="2">
        <v>1227.99</v>
      </c>
      <c r="K4590" s="2">
        <f t="shared" si="214"/>
        <v>1227.99</v>
      </c>
      <c r="L4590" s="2">
        <f t="shared" si="215"/>
        <v>0</v>
      </c>
      <c r="M4590" t="s">
        <v>64</v>
      </c>
      <c r="N4590" t="s">
        <v>32</v>
      </c>
    </row>
    <row r="4591" spans="1:14" x14ac:dyDescent="0.3">
      <c r="A4591">
        <v>2024005589</v>
      </c>
      <c r="B4591" s="1">
        <v>45378</v>
      </c>
      <c r="C4591" s="11">
        <f t="shared" si="213"/>
        <v>2024</v>
      </c>
      <c r="D4591" t="s">
        <v>144</v>
      </c>
      <c r="E4591" t="s">
        <v>28</v>
      </c>
      <c r="F4591" t="s">
        <v>29</v>
      </c>
      <c r="G4591" t="s">
        <v>30</v>
      </c>
      <c r="H4591">
        <v>1</v>
      </c>
      <c r="I4591" s="2">
        <v>23.63</v>
      </c>
      <c r="J4591" s="2">
        <v>23.63</v>
      </c>
      <c r="K4591" s="2">
        <f t="shared" si="214"/>
        <v>23.63</v>
      </c>
      <c r="L4591" s="2">
        <f t="shared" si="215"/>
        <v>0</v>
      </c>
      <c r="M4591" t="s">
        <v>64</v>
      </c>
      <c r="N4591" t="s">
        <v>32</v>
      </c>
    </row>
    <row r="4592" spans="1:14" x14ac:dyDescent="0.3">
      <c r="A4592">
        <v>2024005590</v>
      </c>
      <c r="B4592" s="1">
        <v>45375</v>
      </c>
      <c r="C4592" s="11">
        <f t="shared" si="213"/>
        <v>2024</v>
      </c>
      <c r="D4592" t="s">
        <v>11</v>
      </c>
      <c r="E4592" t="s">
        <v>46</v>
      </c>
      <c r="F4592" t="s">
        <v>47</v>
      </c>
      <c r="G4592" t="s">
        <v>36</v>
      </c>
      <c r="H4592">
        <v>4</v>
      </c>
      <c r="I4592" s="2">
        <v>92.12</v>
      </c>
      <c r="J4592" s="2">
        <v>368.48</v>
      </c>
      <c r="K4592" s="2">
        <f t="shared" si="214"/>
        <v>368.48</v>
      </c>
      <c r="L4592" s="2">
        <f t="shared" si="215"/>
        <v>0</v>
      </c>
      <c r="M4592" t="s">
        <v>61</v>
      </c>
      <c r="N4592" t="s">
        <v>16</v>
      </c>
    </row>
    <row r="4593" spans="1:14" x14ac:dyDescent="0.3">
      <c r="A4593">
        <v>2024005591</v>
      </c>
      <c r="B4593" s="1">
        <v>45459</v>
      </c>
      <c r="C4593" s="11">
        <f t="shared" si="213"/>
        <v>2024</v>
      </c>
      <c r="D4593" t="s">
        <v>211</v>
      </c>
      <c r="E4593" t="s">
        <v>46</v>
      </c>
      <c r="F4593" t="s">
        <v>47</v>
      </c>
      <c r="G4593" t="s">
        <v>36</v>
      </c>
      <c r="H4593">
        <v>1</v>
      </c>
      <c r="I4593" s="2">
        <v>92.02</v>
      </c>
      <c r="J4593" s="2">
        <v>92.02</v>
      </c>
      <c r="K4593" s="2">
        <f t="shared" si="214"/>
        <v>92.02</v>
      </c>
      <c r="L4593" s="2">
        <f t="shared" si="215"/>
        <v>0</v>
      </c>
      <c r="M4593" t="s">
        <v>57</v>
      </c>
      <c r="N4593" t="s">
        <v>16</v>
      </c>
    </row>
    <row r="4594" spans="1:14" x14ac:dyDescent="0.3">
      <c r="A4594">
        <v>2024005592</v>
      </c>
      <c r="B4594" s="1">
        <v>45646</v>
      </c>
      <c r="C4594" s="11">
        <f t="shared" si="213"/>
        <v>2024</v>
      </c>
      <c r="D4594" t="s">
        <v>108</v>
      </c>
      <c r="E4594" t="s">
        <v>23</v>
      </c>
      <c r="F4594" t="s">
        <v>24</v>
      </c>
      <c r="G4594" t="s">
        <v>14</v>
      </c>
      <c r="H4594">
        <v>1</v>
      </c>
      <c r="I4594" s="2">
        <v>82.87</v>
      </c>
      <c r="J4594" s="2">
        <v>82.87</v>
      </c>
      <c r="K4594" s="2">
        <f t="shared" si="214"/>
        <v>82.87</v>
      </c>
      <c r="L4594" s="2">
        <f t="shared" si="215"/>
        <v>0</v>
      </c>
      <c r="M4594" t="s">
        <v>25</v>
      </c>
      <c r="N4594" t="s">
        <v>21</v>
      </c>
    </row>
    <row r="4595" spans="1:14" x14ac:dyDescent="0.3">
      <c r="A4595">
        <v>2024005593</v>
      </c>
      <c r="B4595" s="1">
        <v>45587</v>
      </c>
      <c r="C4595" s="11">
        <f t="shared" si="213"/>
        <v>2024</v>
      </c>
      <c r="D4595" t="s">
        <v>11</v>
      </c>
      <c r="E4595" t="s">
        <v>53</v>
      </c>
      <c r="F4595" t="s">
        <v>54</v>
      </c>
      <c r="G4595" t="s">
        <v>36</v>
      </c>
      <c r="H4595">
        <v>2</v>
      </c>
      <c r="I4595" s="2">
        <v>117.77</v>
      </c>
      <c r="J4595" s="2">
        <v>235.54</v>
      </c>
      <c r="K4595" s="2">
        <f t="shared" si="214"/>
        <v>235.54</v>
      </c>
      <c r="L4595" s="2">
        <f t="shared" si="215"/>
        <v>0</v>
      </c>
      <c r="M4595" t="s">
        <v>38</v>
      </c>
      <c r="N4595" t="s">
        <v>26</v>
      </c>
    </row>
    <row r="4596" spans="1:14" x14ac:dyDescent="0.3">
      <c r="A4596">
        <v>2024005594</v>
      </c>
      <c r="B4596" s="1">
        <v>45584</v>
      </c>
      <c r="C4596" s="11">
        <f t="shared" si="213"/>
        <v>2024</v>
      </c>
      <c r="D4596" t="s">
        <v>226</v>
      </c>
      <c r="E4596" t="s">
        <v>12</v>
      </c>
      <c r="F4596" t="s">
        <v>13</v>
      </c>
      <c r="G4596" t="s">
        <v>14</v>
      </c>
      <c r="H4596">
        <v>1</v>
      </c>
      <c r="I4596" s="2">
        <v>348.49</v>
      </c>
      <c r="J4596" s="2">
        <v>348.49</v>
      </c>
      <c r="K4596" s="2">
        <f t="shared" si="214"/>
        <v>348.49</v>
      </c>
      <c r="L4596" s="2">
        <f t="shared" si="215"/>
        <v>0</v>
      </c>
      <c r="M4596" t="s">
        <v>48</v>
      </c>
      <c r="N4596" t="s">
        <v>16</v>
      </c>
    </row>
    <row r="4597" spans="1:14" x14ac:dyDescent="0.3">
      <c r="A4597">
        <v>2024005595</v>
      </c>
      <c r="B4597" s="1">
        <v>45512</v>
      </c>
      <c r="C4597" s="11">
        <f t="shared" si="213"/>
        <v>2024</v>
      </c>
      <c r="D4597" t="s">
        <v>11</v>
      </c>
      <c r="E4597" t="s">
        <v>67</v>
      </c>
      <c r="F4597" t="s">
        <v>68</v>
      </c>
      <c r="G4597" t="s">
        <v>36</v>
      </c>
      <c r="H4597">
        <v>5</v>
      </c>
      <c r="I4597" s="2">
        <v>389.04</v>
      </c>
      <c r="J4597" s="2">
        <v>1945.2</v>
      </c>
      <c r="K4597" s="2">
        <f t="shared" si="214"/>
        <v>1945.2</v>
      </c>
      <c r="L4597" s="2">
        <f t="shared" si="215"/>
        <v>0</v>
      </c>
      <c r="M4597" t="s">
        <v>57</v>
      </c>
      <c r="N4597" t="s">
        <v>21</v>
      </c>
    </row>
    <row r="4598" spans="1:14" x14ac:dyDescent="0.3">
      <c r="A4598">
        <v>2024005596</v>
      </c>
      <c r="B4598" s="1">
        <v>45554</v>
      </c>
      <c r="C4598" s="11">
        <f t="shared" si="213"/>
        <v>2024</v>
      </c>
      <c r="D4598" t="s">
        <v>217</v>
      </c>
      <c r="E4598" t="s">
        <v>28</v>
      </c>
      <c r="F4598" t="s">
        <v>29</v>
      </c>
      <c r="G4598" t="s">
        <v>30</v>
      </c>
      <c r="H4598">
        <v>1</v>
      </c>
      <c r="I4598" s="2">
        <v>21.76</v>
      </c>
      <c r="J4598" s="2">
        <v>21.76</v>
      </c>
      <c r="K4598" s="2">
        <f t="shared" si="214"/>
        <v>21.76</v>
      </c>
      <c r="L4598" s="2">
        <f t="shared" si="215"/>
        <v>0</v>
      </c>
      <c r="M4598" t="s">
        <v>38</v>
      </c>
      <c r="N4598" t="s">
        <v>21</v>
      </c>
    </row>
    <row r="4599" spans="1:14" x14ac:dyDescent="0.3">
      <c r="A4599">
        <v>2024005597</v>
      </c>
      <c r="B4599" s="1">
        <v>45605</v>
      </c>
      <c r="C4599" s="11">
        <f t="shared" si="213"/>
        <v>2024</v>
      </c>
      <c r="D4599" t="s">
        <v>247</v>
      </c>
      <c r="E4599" t="s">
        <v>28</v>
      </c>
      <c r="F4599" t="s">
        <v>29</v>
      </c>
      <c r="G4599" t="s">
        <v>30</v>
      </c>
      <c r="H4599">
        <v>2</v>
      </c>
      <c r="I4599" s="2">
        <v>24.16</v>
      </c>
      <c r="J4599" s="2">
        <v>48.32</v>
      </c>
      <c r="K4599" s="2">
        <f t="shared" si="214"/>
        <v>48.32</v>
      </c>
      <c r="L4599" s="2">
        <f t="shared" si="215"/>
        <v>0</v>
      </c>
      <c r="M4599" t="s">
        <v>64</v>
      </c>
      <c r="N4599" t="s">
        <v>21</v>
      </c>
    </row>
    <row r="4600" spans="1:14" x14ac:dyDescent="0.3">
      <c r="A4600">
        <v>2024005598</v>
      </c>
      <c r="B4600" s="1">
        <v>45461</v>
      </c>
      <c r="C4600" s="11">
        <f t="shared" si="213"/>
        <v>2024</v>
      </c>
      <c r="D4600" t="s">
        <v>95</v>
      </c>
      <c r="E4600" t="s">
        <v>12</v>
      </c>
      <c r="F4600" t="s">
        <v>13</v>
      </c>
      <c r="G4600" t="s">
        <v>14</v>
      </c>
      <c r="H4600">
        <v>5</v>
      </c>
      <c r="I4600" s="2">
        <v>317.87</v>
      </c>
      <c r="J4600" s="2">
        <v>1589.35</v>
      </c>
      <c r="K4600" s="2">
        <f t="shared" si="214"/>
        <v>1589.35</v>
      </c>
      <c r="L4600" s="2">
        <f t="shared" si="215"/>
        <v>0</v>
      </c>
      <c r="M4600" t="s">
        <v>61</v>
      </c>
      <c r="N4600" t="s">
        <v>26</v>
      </c>
    </row>
    <row r="4601" spans="1:14" x14ac:dyDescent="0.3">
      <c r="A4601">
        <v>2024005599</v>
      </c>
      <c r="B4601" s="1">
        <v>45440</v>
      </c>
      <c r="C4601" s="11">
        <f t="shared" si="213"/>
        <v>2024</v>
      </c>
      <c r="D4601" t="s">
        <v>11</v>
      </c>
      <c r="E4601" t="s">
        <v>67</v>
      </c>
      <c r="F4601" t="s">
        <v>68</v>
      </c>
      <c r="G4601" t="s">
        <v>36</v>
      </c>
      <c r="H4601">
        <v>1</v>
      </c>
      <c r="I4601" s="2">
        <v>363.57</v>
      </c>
      <c r="J4601" s="2">
        <v>363.57</v>
      </c>
      <c r="K4601" s="2">
        <f t="shared" si="214"/>
        <v>363.57</v>
      </c>
      <c r="L4601" s="2">
        <f t="shared" si="215"/>
        <v>0</v>
      </c>
      <c r="M4601" t="s">
        <v>55</v>
      </c>
      <c r="N4601" t="s">
        <v>21</v>
      </c>
    </row>
    <row r="4602" spans="1:14" x14ac:dyDescent="0.3">
      <c r="A4602">
        <v>2024005600</v>
      </c>
      <c r="B4602" s="1">
        <v>45473</v>
      </c>
      <c r="C4602" s="11">
        <f t="shared" si="213"/>
        <v>2024</v>
      </c>
      <c r="D4602" t="s">
        <v>39</v>
      </c>
      <c r="E4602" t="s">
        <v>53</v>
      </c>
      <c r="F4602" t="s">
        <v>54</v>
      </c>
      <c r="G4602" t="s">
        <v>36</v>
      </c>
      <c r="H4602">
        <v>1</v>
      </c>
      <c r="I4602" s="2">
        <v>122.14</v>
      </c>
      <c r="J4602" s="2">
        <v>122.14</v>
      </c>
      <c r="K4602" s="2">
        <f t="shared" si="214"/>
        <v>122.14</v>
      </c>
      <c r="L4602" s="2">
        <f t="shared" si="215"/>
        <v>0</v>
      </c>
      <c r="M4602" t="s">
        <v>48</v>
      </c>
      <c r="N4602" t="s">
        <v>21</v>
      </c>
    </row>
    <row r="4603" spans="1:14" x14ac:dyDescent="0.3">
      <c r="A4603">
        <v>2024005601</v>
      </c>
      <c r="B4603" s="1">
        <v>45293</v>
      </c>
      <c r="C4603" s="11">
        <f t="shared" si="213"/>
        <v>2024</v>
      </c>
      <c r="D4603" t="s">
        <v>11</v>
      </c>
      <c r="E4603" t="s">
        <v>40</v>
      </c>
      <c r="F4603" t="s">
        <v>41</v>
      </c>
      <c r="G4603" t="s">
        <v>36</v>
      </c>
      <c r="H4603">
        <v>1</v>
      </c>
      <c r="I4603" s="2">
        <v>43.11</v>
      </c>
      <c r="J4603" s="2">
        <v>43.11</v>
      </c>
      <c r="K4603" s="2">
        <f t="shared" si="214"/>
        <v>43.11</v>
      </c>
      <c r="L4603" s="2">
        <f t="shared" si="215"/>
        <v>0</v>
      </c>
      <c r="M4603" t="s">
        <v>15</v>
      </c>
      <c r="N4603" t="s">
        <v>32</v>
      </c>
    </row>
    <row r="4604" spans="1:14" x14ac:dyDescent="0.3">
      <c r="A4604">
        <v>2024005602</v>
      </c>
      <c r="B4604" s="1">
        <v>45625</v>
      </c>
      <c r="C4604" s="11">
        <f t="shared" si="213"/>
        <v>2024</v>
      </c>
      <c r="D4604" t="s">
        <v>330</v>
      </c>
      <c r="E4604" t="s">
        <v>34</v>
      </c>
      <c r="F4604" t="s">
        <v>35</v>
      </c>
      <c r="G4604" t="s">
        <v>36</v>
      </c>
      <c r="H4604">
        <v>2</v>
      </c>
      <c r="I4604" s="2">
        <v>15.26</v>
      </c>
      <c r="J4604" s="2">
        <v>30.52</v>
      </c>
      <c r="K4604" s="2">
        <f t="shared" si="214"/>
        <v>30.52</v>
      </c>
      <c r="L4604" s="2">
        <f t="shared" si="215"/>
        <v>0</v>
      </c>
      <c r="M4604" t="s">
        <v>57</v>
      </c>
      <c r="N4604" t="s">
        <v>32</v>
      </c>
    </row>
    <row r="4605" spans="1:14" x14ac:dyDescent="0.3">
      <c r="A4605">
        <v>2024005603</v>
      </c>
      <c r="B4605" s="1">
        <v>45314</v>
      </c>
      <c r="C4605" s="11">
        <f t="shared" si="213"/>
        <v>2024</v>
      </c>
      <c r="D4605" t="s">
        <v>296</v>
      </c>
      <c r="E4605" t="s">
        <v>53</v>
      </c>
      <c r="F4605" t="s">
        <v>54</v>
      </c>
      <c r="G4605" t="s">
        <v>36</v>
      </c>
      <c r="H4605">
        <v>1</v>
      </c>
      <c r="I4605" s="2">
        <v>122.37</v>
      </c>
      <c r="J4605" s="2">
        <v>122.37</v>
      </c>
      <c r="K4605" s="2">
        <f t="shared" si="214"/>
        <v>122.37</v>
      </c>
      <c r="L4605" s="2">
        <f t="shared" si="215"/>
        <v>0</v>
      </c>
      <c r="M4605" t="s">
        <v>31</v>
      </c>
      <c r="N4605" t="s">
        <v>16</v>
      </c>
    </row>
    <row r="4606" spans="1:14" x14ac:dyDescent="0.3">
      <c r="A4606">
        <v>2024005604</v>
      </c>
      <c r="B4606" s="1">
        <v>45448</v>
      </c>
      <c r="C4606" s="11">
        <f t="shared" si="213"/>
        <v>2024</v>
      </c>
      <c r="D4606" t="s">
        <v>27</v>
      </c>
      <c r="E4606" t="s">
        <v>34</v>
      </c>
      <c r="F4606" t="s">
        <v>35</v>
      </c>
      <c r="G4606" t="s">
        <v>36</v>
      </c>
      <c r="H4606">
        <v>3</v>
      </c>
      <c r="I4606" s="2">
        <v>14</v>
      </c>
      <c r="J4606" s="2">
        <v>42</v>
      </c>
      <c r="K4606" s="2">
        <f t="shared" si="214"/>
        <v>42</v>
      </c>
      <c r="L4606" s="2">
        <f t="shared" si="215"/>
        <v>0</v>
      </c>
      <c r="M4606" t="s">
        <v>20</v>
      </c>
      <c r="N4606" t="s">
        <v>32</v>
      </c>
    </row>
    <row r="4607" spans="1:14" x14ac:dyDescent="0.3">
      <c r="A4607">
        <v>2024005605</v>
      </c>
      <c r="B4607" s="1">
        <v>45594</v>
      </c>
      <c r="C4607" s="11">
        <f t="shared" si="213"/>
        <v>2024</v>
      </c>
      <c r="D4607" t="s">
        <v>150</v>
      </c>
      <c r="E4607" t="s">
        <v>12</v>
      </c>
      <c r="F4607" t="s">
        <v>13</v>
      </c>
      <c r="G4607" t="s">
        <v>14</v>
      </c>
      <c r="H4607">
        <v>1</v>
      </c>
      <c r="I4607" s="2">
        <v>378.98</v>
      </c>
      <c r="J4607" s="2">
        <v>378.98</v>
      </c>
      <c r="K4607" s="2">
        <f t="shared" si="214"/>
        <v>378.98</v>
      </c>
      <c r="L4607" s="2">
        <f t="shared" si="215"/>
        <v>0</v>
      </c>
      <c r="M4607" t="s">
        <v>20</v>
      </c>
      <c r="N4607" t="s">
        <v>32</v>
      </c>
    </row>
    <row r="4608" spans="1:14" x14ac:dyDescent="0.3">
      <c r="A4608">
        <v>2024005606</v>
      </c>
      <c r="B4608" s="1">
        <v>45496</v>
      </c>
      <c r="C4608" s="11">
        <f t="shared" si="213"/>
        <v>2024</v>
      </c>
      <c r="D4608" t="s">
        <v>103</v>
      </c>
      <c r="E4608" t="s">
        <v>53</v>
      </c>
      <c r="F4608" t="s">
        <v>54</v>
      </c>
      <c r="G4608" t="s">
        <v>36</v>
      </c>
      <c r="H4608">
        <v>2</v>
      </c>
      <c r="I4608" s="2">
        <v>122.67</v>
      </c>
      <c r="J4608" s="2">
        <v>245.34</v>
      </c>
      <c r="K4608" s="2">
        <f t="shared" si="214"/>
        <v>245.34</v>
      </c>
      <c r="L4608" s="2">
        <f t="shared" si="215"/>
        <v>0</v>
      </c>
      <c r="M4608" t="s">
        <v>31</v>
      </c>
      <c r="N4608" t="s">
        <v>21</v>
      </c>
    </row>
    <row r="4609" spans="1:14" x14ac:dyDescent="0.3">
      <c r="A4609">
        <v>2024005607</v>
      </c>
      <c r="B4609" s="1">
        <v>45439</v>
      </c>
      <c r="C4609" s="11">
        <f t="shared" si="213"/>
        <v>2024</v>
      </c>
      <c r="D4609" t="s">
        <v>115</v>
      </c>
      <c r="E4609" t="s">
        <v>40</v>
      </c>
      <c r="F4609" t="s">
        <v>41</v>
      </c>
      <c r="G4609" t="s">
        <v>36</v>
      </c>
      <c r="H4609">
        <v>2</v>
      </c>
      <c r="I4609" s="2">
        <v>47.74</v>
      </c>
      <c r="J4609" s="2">
        <v>95.48</v>
      </c>
      <c r="K4609" s="2">
        <f t="shared" si="214"/>
        <v>95.48</v>
      </c>
      <c r="L4609" s="2">
        <f t="shared" si="215"/>
        <v>0</v>
      </c>
      <c r="M4609" t="s">
        <v>38</v>
      </c>
      <c r="N4609" t="s">
        <v>21</v>
      </c>
    </row>
    <row r="4610" spans="1:14" x14ac:dyDescent="0.3">
      <c r="A4610">
        <v>2024001446</v>
      </c>
      <c r="B4610" s="1">
        <v>45438</v>
      </c>
      <c r="C4610" s="11">
        <f t="shared" si="213"/>
        <v>2024</v>
      </c>
      <c r="D4610" t="s">
        <v>193</v>
      </c>
      <c r="E4610" t="s">
        <v>34</v>
      </c>
      <c r="F4610" t="s">
        <v>35</v>
      </c>
      <c r="G4610" t="s">
        <v>36</v>
      </c>
      <c r="H4610">
        <v>2</v>
      </c>
      <c r="I4610" s="2">
        <v>15.73</v>
      </c>
      <c r="J4610" s="2">
        <v>31.46</v>
      </c>
      <c r="K4610" s="2">
        <f t="shared" si="214"/>
        <v>31.46</v>
      </c>
      <c r="L4610" s="2">
        <f t="shared" si="215"/>
        <v>0</v>
      </c>
      <c r="M4610" t="s">
        <v>31</v>
      </c>
      <c r="N4610" t="s">
        <v>26</v>
      </c>
    </row>
    <row r="4611" spans="1:14" x14ac:dyDescent="0.3">
      <c r="A4611">
        <v>2024005609</v>
      </c>
      <c r="B4611" s="1">
        <v>45652</v>
      </c>
      <c r="C4611" s="11">
        <f t="shared" ref="C4611:C4674" si="216">YEAR(B4611)</f>
        <v>2024</v>
      </c>
      <c r="D4611" t="s">
        <v>59</v>
      </c>
      <c r="E4611" t="s">
        <v>46</v>
      </c>
      <c r="F4611" t="s">
        <v>47</v>
      </c>
      <c r="G4611" t="s">
        <v>36</v>
      </c>
      <c r="H4611">
        <v>1</v>
      </c>
      <c r="I4611" s="2">
        <v>98.88</v>
      </c>
      <c r="J4611" s="2">
        <v>98.88</v>
      </c>
      <c r="K4611" s="2">
        <f t="shared" ref="K4611:K4674" si="217">I4611*H4611</f>
        <v>98.88</v>
      </c>
      <c r="L4611" s="2">
        <f t="shared" ref="L4611:L4674" si="218">J4611-K4611</f>
        <v>0</v>
      </c>
      <c r="M4611" t="s">
        <v>20</v>
      </c>
      <c r="N4611" t="s">
        <v>21</v>
      </c>
    </row>
    <row r="4612" spans="1:14" x14ac:dyDescent="0.3">
      <c r="A4612">
        <v>2024005610</v>
      </c>
      <c r="B4612" s="1">
        <v>45389</v>
      </c>
      <c r="C4612" s="11">
        <f t="shared" si="216"/>
        <v>2024</v>
      </c>
      <c r="D4612" t="s">
        <v>329</v>
      </c>
      <c r="E4612" t="s">
        <v>12</v>
      </c>
      <c r="F4612" t="s">
        <v>13</v>
      </c>
      <c r="G4612" t="s">
        <v>14</v>
      </c>
      <c r="H4612">
        <v>3</v>
      </c>
      <c r="I4612" s="2">
        <v>339</v>
      </c>
      <c r="J4612" s="2">
        <v>1017</v>
      </c>
      <c r="K4612" s="2">
        <f t="shared" si="217"/>
        <v>1017</v>
      </c>
      <c r="L4612" s="2">
        <f t="shared" si="218"/>
        <v>0</v>
      </c>
      <c r="M4612" t="s">
        <v>25</v>
      </c>
      <c r="N4612" t="s">
        <v>16</v>
      </c>
    </row>
    <row r="4613" spans="1:14" x14ac:dyDescent="0.3">
      <c r="A4613">
        <v>2024005611</v>
      </c>
      <c r="B4613" s="1">
        <v>45639</v>
      </c>
      <c r="C4613" s="11">
        <f t="shared" si="216"/>
        <v>2024</v>
      </c>
      <c r="D4613" t="s">
        <v>224</v>
      </c>
      <c r="E4613" t="s">
        <v>34</v>
      </c>
      <c r="F4613" t="s">
        <v>35</v>
      </c>
      <c r="G4613" t="s">
        <v>36</v>
      </c>
      <c r="H4613">
        <v>1</v>
      </c>
      <c r="I4613" s="2">
        <v>15.16</v>
      </c>
      <c r="J4613" s="2">
        <v>15.16</v>
      </c>
      <c r="K4613" s="2">
        <f t="shared" si="217"/>
        <v>15.16</v>
      </c>
      <c r="L4613" s="2">
        <f t="shared" si="218"/>
        <v>0</v>
      </c>
      <c r="M4613" t="s">
        <v>48</v>
      </c>
      <c r="N4613" t="s">
        <v>21</v>
      </c>
    </row>
    <row r="4614" spans="1:14" x14ac:dyDescent="0.3">
      <c r="A4614">
        <v>2024005612</v>
      </c>
      <c r="B4614" s="1">
        <v>45505</v>
      </c>
      <c r="C4614" s="11">
        <f t="shared" si="216"/>
        <v>2024</v>
      </c>
      <c r="D4614" t="s">
        <v>262</v>
      </c>
      <c r="E4614" t="s">
        <v>53</v>
      </c>
      <c r="F4614" t="s">
        <v>54</v>
      </c>
      <c r="G4614" t="s">
        <v>36</v>
      </c>
      <c r="H4614">
        <v>1</v>
      </c>
      <c r="I4614" s="2">
        <v>117.42</v>
      </c>
      <c r="J4614" s="2">
        <v>117.42</v>
      </c>
      <c r="K4614" s="2">
        <f t="shared" si="217"/>
        <v>117.42</v>
      </c>
      <c r="L4614" s="2">
        <f t="shared" si="218"/>
        <v>0</v>
      </c>
      <c r="M4614" t="s">
        <v>31</v>
      </c>
      <c r="N4614" t="s">
        <v>21</v>
      </c>
    </row>
    <row r="4615" spans="1:14" x14ac:dyDescent="0.3">
      <c r="A4615">
        <v>2024005613</v>
      </c>
      <c r="B4615" s="1">
        <v>45538</v>
      </c>
      <c r="C4615" s="11">
        <f t="shared" si="216"/>
        <v>2024</v>
      </c>
      <c r="D4615" t="s">
        <v>286</v>
      </c>
      <c r="E4615" t="s">
        <v>23</v>
      </c>
      <c r="F4615" t="s">
        <v>24</v>
      </c>
      <c r="G4615" t="s">
        <v>14</v>
      </c>
      <c r="H4615">
        <v>1</v>
      </c>
      <c r="I4615" s="2">
        <v>75.709999999999994</v>
      </c>
      <c r="J4615" s="2">
        <v>75.709999999999994</v>
      </c>
      <c r="K4615" s="2">
        <f t="shared" si="217"/>
        <v>75.709999999999994</v>
      </c>
      <c r="L4615" s="2">
        <f t="shared" si="218"/>
        <v>0</v>
      </c>
      <c r="M4615" t="s">
        <v>61</v>
      </c>
      <c r="N4615" t="s">
        <v>26</v>
      </c>
    </row>
    <row r="4616" spans="1:14" x14ac:dyDescent="0.3">
      <c r="A4616">
        <v>2024005614</v>
      </c>
      <c r="B4616" s="1">
        <v>45375</v>
      </c>
      <c r="C4616" s="11">
        <f t="shared" si="216"/>
        <v>2024</v>
      </c>
      <c r="D4616" t="s">
        <v>195</v>
      </c>
      <c r="E4616" t="s">
        <v>46</v>
      </c>
      <c r="F4616" t="s">
        <v>47</v>
      </c>
      <c r="G4616" t="s">
        <v>36</v>
      </c>
      <c r="H4616">
        <v>1</v>
      </c>
      <c r="I4616" s="2">
        <v>90.96</v>
      </c>
      <c r="J4616" s="2">
        <v>90.96</v>
      </c>
      <c r="K4616" s="2">
        <f t="shared" si="217"/>
        <v>90.96</v>
      </c>
      <c r="L4616" s="2">
        <f t="shared" si="218"/>
        <v>0</v>
      </c>
      <c r="M4616" t="s">
        <v>61</v>
      </c>
      <c r="N4616" t="s">
        <v>21</v>
      </c>
    </row>
    <row r="4617" spans="1:14" x14ac:dyDescent="0.3">
      <c r="A4617">
        <v>2024005615</v>
      </c>
      <c r="B4617" s="1">
        <v>45378</v>
      </c>
      <c r="C4617" s="11">
        <f t="shared" si="216"/>
        <v>2024</v>
      </c>
      <c r="D4617" t="s">
        <v>115</v>
      </c>
      <c r="E4617" t="s">
        <v>18</v>
      </c>
      <c r="F4617" t="s">
        <v>19</v>
      </c>
      <c r="G4617" t="s">
        <v>14</v>
      </c>
      <c r="H4617">
        <v>3</v>
      </c>
      <c r="I4617" s="2">
        <v>582.30999999999995</v>
      </c>
      <c r="J4617" s="2">
        <v>1746.93</v>
      </c>
      <c r="K4617" s="2">
        <f t="shared" si="217"/>
        <v>1746.9299999999998</v>
      </c>
      <c r="L4617" s="2">
        <f t="shared" si="218"/>
        <v>0</v>
      </c>
      <c r="M4617" t="s">
        <v>55</v>
      </c>
      <c r="N4617" t="s">
        <v>21</v>
      </c>
    </row>
    <row r="4618" spans="1:14" x14ac:dyDescent="0.3">
      <c r="A4618">
        <v>2024005616</v>
      </c>
      <c r="B4618" s="1">
        <v>45631</v>
      </c>
      <c r="C4618" s="11">
        <f t="shared" si="216"/>
        <v>2024</v>
      </c>
      <c r="D4618" t="s">
        <v>166</v>
      </c>
      <c r="E4618" t="s">
        <v>28</v>
      </c>
      <c r="F4618" t="s">
        <v>29</v>
      </c>
      <c r="G4618" t="s">
        <v>30</v>
      </c>
      <c r="H4618">
        <v>1</v>
      </c>
      <c r="I4618" s="2">
        <v>23.81</v>
      </c>
      <c r="J4618" s="2">
        <v>23.81</v>
      </c>
      <c r="K4618" s="2">
        <f t="shared" si="217"/>
        <v>23.81</v>
      </c>
      <c r="L4618" s="2">
        <f t="shared" si="218"/>
        <v>0</v>
      </c>
      <c r="M4618" t="s">
        <v>55</v>
      </c>
      <c r="N4618" t="s">
        <v>16</v>
      </c>
    </row>
    <row r="4619" spans="1:14" x14ac:dyDescent="0.3">
      <c r="A4619">
        <v>2024005617</v>
      </c>
      <c r="B4619" s="1">
        <v>45586</v>
      </c>
      <c r="C4619" s="11">
        <f t="shared" si="216"/>
        <v>2024</v>
      </c>
      <c r="D4619" t="s">
        <v>11</v>
      </c>
      <c r="E4619" t="s">
        <v>12</v>
      </c>
      <c r="F4619" t="s">
        <v>13</v>
      </c>
      <c r="G4619" t="s">
        <v>14</v>
      </c>
      <c r="H4619">
        <v>1</v>
      </c>
      <c r="I4619" s="2">
        <v>357.87</v>
      </c>
      <c r="J4619" s="2">
        <v>357.87</v>
      </c>
      <c r="K4619" s="2">
        <f t="shared" si="217"/>
        <v>357.87</v>
      </c>
      <c r="L4619" s="2">
        <f t="shared" si="218"/>
        <v>0</v>
      </c>
      <c r="M4619" t="s">
        <v>20</v>
      </c>
      <c r="N4619" t="s">
        <v>32</v>
      </c>
    </row>
    <row r="4620" spans="1:14" x14ac:dyDescent="0.3">
      <c r="A4620">
        <v>2024005618</v>
      </c>
      <c r="B4620" s="1">
        <v>45507</v>
      </c>
      <c r="C4620" s="11">
        <f t="shared" si="216"/>
        <v>2024</v>
      </c>
      <c r="D4620" t="s">
        <v>151</v>
      </c>
      <c r="E4620" t="s">
        <v>12</v>
      </c>
      <c r="F4620" t="s">
        <v>13</v>
      </c>
      <c r="G4620" t="s">
        <v>14</v>
      </c>
      <c r="H4620">
        <v>1</v>
      </c>
      <c r="I4620" s="2">
        <v>360.06</v>
      </c>
      <c r="J4620" s="2">
        <v>360.06</v>
      </c>
      <c r="K4620" s="2">
        <f t="shared" si="217"/>
        <v>360.06</v>
      </c>
      <c r="L4620" s="2">
        <f t="shared" si="218"/>
        <v>0</v>
      </c>
      <c r="M4620" t="s">
        <v>55</v>
      </c>
      <c r="N4620" t="s">
        <v>16</v>
      </c>
    </row>
    <row r="4621" spans="1:14" x14ac:dyDescent="0.3">
      <c r="A4621">
        <v>2024005619</v>
      </c>
      <c r="B4621" s="1">
        <v>45334</v>
      </c>
      <c r="C4621" s="11">
        <f t="shared" si="216"/>
        <v>2024</v>
      </c>
      <c r="D4621" t="s">
        <v>120</v>
      </c>
      <c r="E4621" t="s">
        <v>28</v>
      </c>
      <c r="F4621" t="s">
        <v>29</v>
      </c>
      <c r="G4621" t="s">
        <v>30</v>
      </c>
      <c r="H4621">
        <v>5</v>
      </c>
      <c r="I4621" s="2">
        <v>25.61</v>
      </c>
      <c r="J4621" s="2">
        <v>128.05000000000001</v>
      </c>
      <c r="K4621" s="2">
        <f t="shared" si="217"/>
        <v>128.05000000000001</v>
      </c>
      <c r="L4621" s="2">
        <f t="shared" si="218"/>
        <v>0</v>
      </c>
      <c r="M4621" t="s">
        <v>25</v>
      </c>
      <c r="N4621" t="s">
        <v>16</v>
      </c>
    </row>
    <row r="4622" spans="1:14" x14ac:dyDescent="0.3">
      <c r="A4622">
        <v>2024005620</v>
      </c>
      <c r="B4622" s="1">
        <v>45419</v>
      </c>
      <c r="C4622" s="11">
        <f t="shared" si="216"/>
        <v>2024</v>
      </c>
      <c r="D4622" t="s">
        <v>343</v>
      </c>
      <c r="E4622" t="s">
        <v>46</v>
      </c>
      <c r="F4622" t="s">
        <v>47</v>
      </c>
      <c r="G4622" t="s">
        <v>36</v>
      </c>
      <c r="H4622">
        <v>2</v>
      </c>
      <c r="I4622" s="2">
        <v>92.67</v>
      </c>
      <c r="J4622" s="2">
        <v>185.34</v>
      </c>
      <c r="K4622" s="2">
        <f t="shared" si="217"/>
        <v>185.34</v>
      </c>
      <c r="L4622" s="2">
        <f t="shared" si="218"/>
        <v>0</v>
      </c>
      <c r="M4622" t="s">
        <v>25</v>
      </c>
      <c r="N4622" t="s">
        <v>21</v>
      </c>
    </row>
    <row r="4623" spans="1:14" x14ac:dyDescent="0.3">
      <c r="A4623">
        <v>2024005621</v>
      </c>
      <c r="B4623" s="1">
        <v>45575</v>
      </c>
      <c r="C4623" s="11">
        <f t="shared" si="216"/>
        <v>2024</v>
      </c>
      <c r="D4623" t="s">
        <v>269</v>
      </c>
      <c r="E4623" t="s">
        <v>46</v>
      </c>
      <c r="F4623" t="s">
        <v>47</v>
      </c>
      <c r="G4623" t="s">
        <v>36</v>
      </c>
      <c r="H4623">
        <v>1</v>
      </c>
      <c r="I4623" s="2">
        <v>87.35</v>
      </c>
      <c r="J4623" s="2">
        <v>87.35</v>
      </c>
      <c r="K4623" s="2">
        <f t="shared" si="217"/>
        <v>87.35</v>
      </c>
      <c r="L4623" s="2">
        <f t="shared" si="218"/>
        <v>0</v>
      </c>
      <c r="M4623" t="s">
        <v>57</v>
      </c>
      <c r="N4623" t="s">
        <v>32</v>
      </c>
    </row>
    <row r="4624" spans="1:14" x14ac:dyDescent="0.3">
      <c r="A4624">
        <v>2024005622</v>
      </c>
      <c r="B4624" s="1">
        <v>45338</v>
      </c>
      <c r="C4624" s="11">
        <f t="shared" si="216"/>
        <v>2024</v>
      </c>
      <c r="D4624" t="s">
        <v>307</v>
      </c>
      <c r="E4624" t="s">
        <v>40</v>
      </c>
      <c r="F4624" t="s">
        <v>41</v>
      </c>
      <c r="G4624" t="s">
        <v>36</v>
      </c>
      <c r="H4624">
        <v>4</v>
      </c>
      <c r="I4624" s="2">
        <v>47.83</v>
      </c>
      <c r="J4624" s="2">
        <v>191.32</v>
      </c>
      <c r="K4624" s="2">
        <f t="shared" si="217"/>
        <v>191.32</v>
      </c>
      <c r="L4624" s="2">
        <f t="shared" si="218"/>
        <v>0</v>
      </c>
      <c r="M4624" t="s">
        <v>64</v>
      </c>
      <c r="N4624" t="s">
        <v>21</v>
      </c>
    </row>
    <row r="4625" spans="1:14" x14ac:dyDescent="0.3">
      <c r="A4625">
        <v>2024005623</v>
      </c>
      <c r="B4625" s="1">
        <v>45585</v>
      </c>
      <c r="C4625" s="11">
        <f t="shared" si="216"/>
        <v>2024</v>
      </c>
      <c r="D4625" t="s">
        <v>320</v>
      </c>
      <c r="E4625" t="s">
        <v>67</v>
      </c>
      <c r="F4625" t="s">
        <v>68</v>
      </c>
      <c r="G4625" t="s">
        <v>36</v>
      </c>
      <c r="H4625">
        <v>3</v>
      </c>
      <c r="I4625" s="2">
        <v>411.82</v>
      </c>
      <c r="J4625" s="2">
        <v>1235.46</v>
      </c>
      <c r="K4625" s="2">
        <f t="shared" si="217"/>
        <v>1235.46</v>
      </c>
      <c r="L4625" s="2">
        <f t="shared" si="218"/>
        <v>0</v>
      </c>
      <c r="M4625" t="s">
        <v>64</v>
      </c>
      <c r="N4625" t="s">
        <v>16</v>
      </c>
    </row>
    <row r="4626" spans="1:14" x14ac:dyDescent="0.3">
      <c r="A4626">
        <v>2024005624</v>
      </c>
      <c r="B4626" s="1">
        <v>45387</v>
      </c>
      <c r="C4626" s="11">
        <f t="shared" si="216"/>
        <v>2024</v>
      </c>
      <c r="D4626" t="s">
        <v>259</v>
      </c>
      <c r="E4626" t="s">
        <v>46</v>
      </c>
      <c r="F4626" t="s">
        <v>47</v>
      </c>
      <c r="G4626" t="s">
        <v>36</v>
      </c>
      <c r="H4626">
        <v>2</v>
      </c>
      <c r="I4626" s="2">
        <v>88.74</v>
      </c>
      <c r="J4626" s="2">
        <v>177.48</v>
      </c>
      <c r="K4626" s="2">
        <f t="shared" si="217"/>
        <v>177.48</v>
      </c>
      <c r="L4626" s="2">
        <f t="shared" si="218"/>
        <v>0</v>
      </c>
      <c r="M4626" t="s">
        <v>61</v>
      </c>
      <c r="N4626" t="s">
        <v>32</v>
      </c>
    </row>
    <row r="4627" spans="1:14" x14ac:dyDescent="0.3">
      <c r="A4627">
        <v>2024005625</v>
      </c>
      <c r="B4627" s="1">
        <v>45380</v>
      </c>
      <c r="C4627" s="11">
        <f t="shared" si="216"/>
        <v>2024</v>
      </c>
      <c r="D4627" t="s">
        <v>108</v>
      </c>
      <c r="E4627" t="s">
        <v>53</v>
      </c>
      <c r="F4627" t="s">
        <v>54</v>
      </c>
      <c r="G4627" t="s">
        <v>36</v>
      </c>
      <c r="H4627">
        <v>1</v>
      </c>
      <c r="I4627" s="2">
        <v>123.36</v>
      </c>
      <c r="J4627" s="2">
        <v>123.36</v>
      </c>
      <c r="K4627" s="2">
        <f t="shared" si="217"/>
        <v>123.36</v>
      </c>
      <c r="L4627" s="2">
        <f t="shared" si="218"/>
        <v>0</v>
      </c>
      <c r="M4627" t="s">
        <v>31</v>
      </c>
      <c r="N4627" t="s">
        <v>16</v>
      </c>
    </row>
    <row r="4628" spans="1:14" x14ac:dyDescent="0.3">
      <c r="A4628">
        <v>2024005626</v>
      </c>
      <c r="B4628" s="1">
        <v>45481</v>
      </c>
      <c r="C4628" s="11">
        <f t="shared" si="216"/>
        <v>2024</v>
      </c>
      <c r="D4628" t="s">
        <v>128</v>
      </c>
      <c r="E4628" t="s">
        <v>46</v>
      </c>
      <c r="F4628" t="s">
        <v>47</v>
      </c>
      <c r="G4628" t="s">
        <v>36</v>
      </c>
      <c r="H4628">
        <v>3</v>
      </c>
      <c r="I4628" s="2">
        <v>83.81</v>
      </c>
      <c r="J4628" s="2">
        <v>251.43</v>
      </c>
      <c r="K4628" s="2">
        <f t="shared" si="217"/>
        <v>251.43</v>
      </c>
      <c r="L4628" s="2">
        <f t="shared" si="218"/>
        <v>0</v>
      </c>
      <c r="M4628" t="s">
        <v>48</v>
      </c>
      <c r="N4628" t="s">
        <v>16</v>
      </c>
    </row>
    <row r="4629" spans="1:14" x14ac:dyDescent="0.3">
      <c r="A4629">
        <v>2024005627</v>
      </c>
      <c r="B4629" s="1">
        <v>45326</v>
      </c>
      <c r="C4629" s="11">
        <f t="shared" si="216"/>
        <v>2024</v>
      </c>
      <c r="D4629" t="s">
        <v>277</v>
      </c>
      <c r="E4629" t="s">
        <v>40</v>
      </c>
      <c r="F4629" t="s">
        <v>41</v>
      </c>
      <c r="G4629" t="s">
        <v>36</v>
      </c>
      <c r="H4629">
        <v>1</v>
      </c>
      <c r="I4629" s="2">
        <v>47.56</v>
      </c>
      <c r="J4629" s="2">
        <v>47.56</v>
      </c>
      <c r="K4629" s="2">
        <f t="shared" si="217"/>
        <v>47.56</v>
      </c>
      <c r="L4629" s="2">
        <f t="shared" si="218"/>
        <v>0</v>
      </c>
      <c r="M4629" t="s">
        <v>31</v>
      </c>
      <c r="N4629" t="s">
        <v>16</v>
      </c>
    </row>
    <row r="4630" spans="1:14" x14ac:dyDescent="0.3">
      <c r="A4630">
        <v>2024005628</v>
      </c>
      <c r="B4630" s="1">
        <v>45494</v>
      </c>
      <c r="C4630" s="11">
        <f t="shared" si="216"/>
        <v>2024</v>
      </c>
      <c r="D4630" t="s">
        <v>241</v>
      </c>
      <c r="E4630" t="s">
        <v>28</v>
      </c>
      <c r="F4630" t="s">
        <v>29</v>
      </c>
      <c r="G4630" t="s">
        <v>30</v>
      </c>
      <c r="H4630">
        <v>1</v>
      </c>
      <c r="I4630" s="2">
        <v>26.53</v>
      </c>
      <c r="J4630" s="2">
        <v>26.53</v>
      </c>
      <c r="K4630" s="2">
        <f t="shared" si="217"/>
        <v>26.53</v>
      </c>
      <c r="L4630" s="2">
        <f t="shared" si="218"/>
        <v>0</v>
      </c>
      <c r="M4630" t="s">
        <v>55</v>
      </c>
      <c r="N4630" t="s">
        <v>16</v>
      </c>
    </row>
    <row r="4631" spans="1:14" x14ac:dyDescent="0.3">
      <c r="A4631">
        <v>2024005629</v>
      </c>
      <c r="B4631" s="1">
        <v>45570</v>
      </c>
      <c r="C4631" s="11">
        <f t="shared" si="216"/>
        <v>2024</v>
      </c>
      <c r="D4631" t="s">
        <v>11</v>
      </c>
      <c r="E4631" t="s">
        <v>43</v>
      </c>
      <c r="F4631" t="s">
        <v>44</v>
      </c>
      <c r="G4631" t="s">
        <v>36</v>
      </c>
      <c r="H4631">
        <v>3</v>
      </c>
      <c r="I4631" s="2">
        <v>1228.04</v>
      </c>
      <c r="J4631" s="2">
        <v>3684.12</v>
      </c>
      <c r="K4631" s="2">
        <f t="shared" si="217"/>
        <v>3684.12</v>
      </c>
      <c r="L4631" s="2">
        <f t="shared" si="218"/>
        <v>0</v>
      </c>
      <c r="M4631" t="s">
        <v>64</v>
      </c>
      <c r="N4631" t="s">
        <v>21</v>
      </c>
    </row>
    <row r="4632" spans="1:14" x14ac:dyDescent="0.3">
      <c r="A4632">
        <v>2024005630</v>
      </c>
      <c r="B4632" s="1">
        <v>45509</v>
      </c>
      <c r="C4632" s="11">
        <f t="shared" si="216"/>
        <v>2024</v>
      </c>
      <c r="D4632" t="s">
        <v>11</v>
      </c>
      <c r="E4632" t="s">
        <v>67</v>
      </c>
      <c r="F4632" t="s">
        <v>68</v>
      </c>
      <c r="G4632" t="s">
        <v>36</v>
      </c>
      <c r="H4632">
        <v>2</v>
      </c>
      <c r="I4632" s="2">
        <v>370.51</v>
      </c>
      <c r="J4632" s="2">
        <v>741.02</v>
      </c>
      <c r="K4632" s="2">
        <f t="shared" si="217"/>
        <v>741.02</v>
      </c>
      <c r="L4632" s="2">
        <f t="shared" si="218"/>
        <v>0</v>
      </c>
      <c r="M4632" t="s">
        <v>38</v>
      </c>
      <c r="N4632" t="s">
        <v>21</v>
      </c>
    </row>
    <row r="4633" spans="1:14" x14ac:dyDescent="0.3">
      <c r="A4633">
        <v>2024005631</v>
      </c>
      <c r="B4633" s="1">
        <v>45482</v>
      </c>
      <c r="C4633" s="11">
        <f t="shared" si="216"/>
        <v>2024</v>
      </c>
      <c r="D4633" t="s">
        <v>255</v>
      </c>
      <c r="E4633" t="s">
        <v>28</v>
      </c>
      <c r="F4633" t="s">
        <v>29</v>
      </c>
      <c r="G4633" t="s">
        <v>30</v>
      </c>
      <c r="H4633">
        <v>2</v>
      </c>
      <c r="I4633" s="2">
        <v>24.63</v>
      </c>
      <c r="J4633" s="2">
        <v>49.26</v>
      </c>
      <c r="K4633" s="2">
        <f t="shared" si="217"/>
        <v>49.26</v>
      </c>
      <c r="L4633" s="2">
        <f t="shared" si="218"/>
        <v>0</v>
      </c>
      <c r="M4633" t="s">
        <v>55</v>
      </c>
      <c r="N4633" t="s">
        <v>32</v>
      </c>
    </row>
    <row r="4634" spans="1:14" x14ac:dyDescent="0.3">
      <c r="A4634">
        <v>2024005632</v>
      </c>
      <c r="B4634" s="1">
        <v>45357</v>
      </c>
      <c r="C4634" s="11">
        <f t="shared" si="216"/>
        <v>2024</v>
      </c>
      <c r="D4634" t="s">
        <v>86</v>
      </c>
      <c r="E4634" t="s">
        <v>12</v>
      </c>
      <c r="F4634" t="s">
        <v>13</v>
      </c>
      <c r="G4634" t="s">
        <v>14</v>
      </c>
      <c r="H4634">
        <v>1</v>
      </c>
      <c r="I4634" s="2">
        <v>364.4</v>
      </c>
      <c r="J4634" s="2">
        <v>364.4</v>
      </c>
      <c r="K4634" s="2">
        <f t="shared" si="217"/>
        <v>364.4</v>
      </c>
      <c r="L4634" s="2">
        <f t="shared" si="218"/>
        <v>0</v>
      </c>
      <c r="M4634" t="s">
        <v>15</v>
      </c>
      <c r="N4634" t="s">
        <v>26</v>
      </c>
    </row>
    <row r="4635" spans="1:14" x14ac:dyDescent="0.3">
      <c r="A4635">
        <v>2024005633</v>
      </c>
      <c r="B4635" s="1">
        <v>45396</v>
      </c>
      <c r="C4635" s="11">
        <f t="shared" si="216"/>
        <v>2024</v>
      </c>
      <c r="D4635" t="s">
        <v>338</v>
      </c>
      <c r="E4635" t="s">
        <v>23</v>
      </c>
      <c r="F4635" t="s">
        <v>24</v>
      </c>
      <c r="G4635" t="s">
        <v>14</v>
      </c>
      <c r="H4635">
        <v>1</v>
      </c>
      <c r="I4635" s="2">
        <v>89.47</v>
      </c>
      <c r="J4635" s="2">
        <v>89.47</v>
      </c>
      <c r="K4635" s="2">
        <f t="shared" si="217"/>
        <v>89.47</v>
      </c>
      <c r="L4635" s="2">
        <f t="shared" si="218"/>
        <v>0</v>
      </c>
      <c r="M4635" t="s">
        <v>20</v>
      </c>
      <c r="N4635" t="s">
        <v>16</v>
      </c>
    </row>
    <row r="4636" spans="1:14" x14ac:dyDescent="0.3">
      <c r="A4636">
        <v>2024005634</v>
      </c>
      <c r="B4636" s="1">
        <v>45385</v>
      </c>
      <c r="C4636" s="11">
        <f t="shared" si="216"/>
        <v>2024</v>
      </c>
      <c r="D4636" t="s">
        <v>255</v>
      </c>
      <c r="E4636" t="s">
        <v>28</v>
      </c>
      <c r="F4636" t="s">
        <v>29</v>
      </c>
      <c r="G4636" t="s">
        <v>30</v>
      </c>
      <c r="H4636">
        <v>3</v>
      </c>
      <c r="I4636" s="2">
        <v>23.49</v>
      </c>
      <c r="J4636" s="2">
        <v>70.47</v>
      </c>
      <c r="K4636" s="2">
        <f t="shared" si="217"/>
        <v>70.47</v>
      </c>
      <c r="L4636" s="2">
        <f t="shared" si="218"/>
        <v>0</v>
      </c>
      <c r="M4636" t="s">
        <v>61</v>
      </c>
      <c r="N4636" t="s">
        <v>21</v>
      </c>
    </row>
    <row r="4637" spans="1:14" x14ac:dyDescent="0.3">
      <c r="A4637">
        <v>2024005635</v>
      </c>
      <c r="B4637" s="1">
        <v>45538</v>
      </c>
      <c r="C4637" s="11">
        <f t="shared" si="216"/>
        <v>2024</v>
      </c>
      <c r="D4637" t="s">
        <v>306</v>
      </c>
      <c r="E4637" t="s">
        <v>12</v>
      </c>
      <c r="F4637" t="s">
        <v>13</v>
      </c>
      <c r="G4637" t="s">
        <v>14</v>
      </c>
      <c r="H4637">
        <v>1</v>
      </c>
      <c r="I4637" s="2">
        <v>338.38</v>
      </c>
      <c r="J4637" s="2">
        <v>338.38</v>
      </c>
      <c r="K4637" s="2">
        <f t="shared" si="217"/>
        <v>338.38</v>
      </c>
      <c r="L4637" s="2">
        <f t="shared" si="218"/>
        <v>0</v>
      </c>
      <c r="M4637" t="s">
        <v>61</v>
      </c>
      <c r="N4637" t="s">
        <v>21</v>
      </c>
    </row>
    <row r="4638" spans="1:14" x14ac:dyDescent="0.3">
      <c r="A4638">
        <v>2024005636</v>
      </c>
      <c r="B4638" s="1">
        <v>45563</v>
      </c>
      <c r="C4638" s="11">
        <f t="shared" si="216"/>
        <v>2024</v>
      </c>
      <c r="D4638" t="s">
        <v>22</v>
      </c>
      <c r="E4638" t="s">
        <v>12</v>
      </c>
      <c r="F4638" t="s">
        <v>13</v>
      </c>
      <c r="G4638" t="s">
        <v>14</v>
      </c>
      <c r="H4638">
        <v>3</v>
      </c>
      <c r="I4638" s="2">
        <v>367.15</v>
      </c>
      <c r="J4638" s="2">
        <v>1101.45</v>
      </c>
      <c r="K4638" s="2">
        <f t="shared" si="217"/>
        <v>1101.4499999999998</v>
      </c>
      <c r="L4638" s="2">
        <f t="shared" si="218"/>
        <v>0</v>
      </c>
      <c r="M4638" t="s">
        <v>15</v>
      </c>
      <c r="N4638" t="s">
        <v>26</v>
      </c>
    </row>
    <row r="4639" spans="1:14" x14ac:dyDescent="0.3">
      <c r="A4639">
        <v>2024005637</v>
      </c>
      <c r="B4639" s="1">
        <v>45444</v>
      </c>
      <c r="C4639" s="11">
        <f t="shared" si="216"/>
        <v>2024</v>
      </c>
      <c r="D4639" t="s">
        <v>166</v>
      </c>
      <c r="E4639" t="s">
        <v>46</v>
      </c>
      <c r="F4639" t="s">
        <v>47</v>
      </c>
      <c r="G4639" t="s">
        <v>36</v>
      </c>
      <c r="H4639">
        <v>3</v>
      </c>
      <c r="I4639" s="2">
        <v>89.68</v>
      </c>
      <c r="J4639" s="2">
        <v>269.04000000000002</v>
      </c>
      <c r="K4639" s="2">
        <f t="shared" si="217"/>
        <v>269.04000000000002</v>
      </c>
      <c r="L4639" s="2">
        <f t="shared" si="218"/>
        <v>0</v>
      </c>
      <c r="M4639" t="s">
        <v>61</v>
      </c>
      <c r="N4639" t="s">
        <v>16</v>
      </c>
    </row>
    <row r="4640" spans="1:14" x14ac:dyDescent="0.3">
      <c r="A4640">
        <v>2024005638</v>
      </c>
      <c r="B4640" s="1">
        <v>45460</v>
      </c>
      <c r="C4640" s="11">
        <f t="shared" si="216"/>
        <v>2024</v>
      </c>
      <c r="D4640" t="s">
        <v>342</v>
      </c>
      <c r="E4640" t="s">
        <v>18</v>
      </c>
      <c r="F4640" t="s">
        <v>19</v>
      </c>
      <c r="G4640" t="s">
        <v>14</v>
      </c>
      <c r="H4640">
        <v>3</v>
      </c>
      <c r="I4640" s="2">
        <v>585.83000000000004</v>
      </c>
      <c r="J4640" s="2">
        <v>1757.49</v>
      </c>
      <c r="K4640" s="2">
        <f t="shared" si="217"/>
        <v>1757.4900000000002</v>
      </c>
      <c r="L4640" s="2">
        <f t="shared" si="218"/>
        <v>0</v>
      </c>
      <c r="M4640" t="s">
        <v>61</v>
      </c>
      <c r="N4640" t="s">
        <v>21</v>
      </c>
    </row>
    <row r="4641" spans="1:14" x14ac:dyDescent="0.3">
      <c r="A4641">
        <v>2024005639</v>
      </c>
      <c r="B4641" s="1">
        <v>45303</v>
      </c>
      <c r="C4641" s="11">
        <f t="shared" si="216"/>
        <v>2024</v>
      </c>
      <c r="D4641" t="s">
        <v>242</v>
      </c>
      <c r="E4641" t="s">
        <v>12</v>
      </c>
      <c r="F4641" t="s">
        <v>13</v>
      </c>
      <c r="G4641" t="s">
        <v>14</v>
      </c>
      <c r="H4641">
        <v>1</v>
      </c>
      <c r="I4641" s="2">
        <v>358.55</v>
      </c>
      <c r="J4641" s="2">
        <v>358.55</v>
      </c>
      <c r="K4641" s="2">
        <f t="shared" si="217"/>
        <v>358.55</v>
      </c>
      <c r="L4641" s="2">
        <f t="shared" si="218"/>
        <v>0</v>
      </c>
      <c r="M4641" t="s">
        <v>61</v>
      </c>
      <c r="N4641" t="s">
        <v>21</v>
      </c>
    </row>
    <row r="4642" spans="1:14" x14ac:dyDescent="0.3">
      <c r="A4642">
        <v>2024005640</v>
      </c>
      <c r="B4642" s="1">
        <v>45478</v>
      </c>
      <c r="C4642" s="11">
        <f t="shared" si="216"/>
        <v>2024</v>
      </c>
      <c r="D4642" t="s">
        <v>108</v>
      </c>
      <c r="E4642" t="s">
        <v>53</v>
      </c>
      <c r="F4642" t="s">
        <v>54</v>
      </c>
      <c r="G4642" t="s">
        <v>36</v>
      </c>
      <c r="H4642">
        <v>1</v>
      </c>
      <c r="I4642" s="2">
        <v>124.61</v>
      </c>
      <c r="J4642" s="2">
        <v>124.61</v>
      </c>
      <c r="K4642" s="2">
        <f t="shared" si="217"/>
        <v>124.61</v>
      </c>
      <c r="L4642" s="2">
        <f t="shared" si="218"/>
        <v>0</v>
      </c>
      <c r="M4642" t="s">
        <v>55</v>
      </c>
      <c r="N4642" t="s">
        <v>21</v>
      </c>
    </row>
    <row r="4643" spans="1:14" x14ac:dyDescent="0.3">
      <c r="A4643">
        <v>2024005641</v>
      </c>
      <c r="B4643" s="1">
        <v>45390</v>
      </c>
      <c r="C4643" s="11">
        <f t="shared" si="216"/>
        <v>2024</v>
      </c>
      <c r="D4643" t="s">
        <v>166</v>
      </c>
      <c r="E4643" t="s">
        <v>28</v>
      </c>
      <c r="F4643" t="s">
        <v>29</v>
      </c>
      <c r="G4643" t="s">
        <v>30</v>
      </c>
      <c r="H4643">
        <v>2</v>
      </c>
      <c r="I4643" s="2">
        <v>25.56</v>
      </c>
      <c r="J4643" s="2">
        <v>51.12</v>
      </c>
      <c r="K4643" s="2">
        <f t="shared" si="217"/>
        <v>51.12</v>
      </c>
      <c r="L4643" s="2">
        <f t="shared" si="218"/>
        <v>0</v>
      </c>
      <c r="M4643" t="s">
        <v>64</v>
      </c>
      <c r="N4643" t="s">
        <v>32</v>
      </c>
    </row>
    <row r="4644" spans="1:14" x14ac:dyDescent="0.3">
      <c r="A4644">
        <v>2024005642</v>
      </c>
      <c r="B4644" s="1">
        <v>45607</v>
      </c>
      <c r="C4644" s="11">
        <f t="shared" si="216"/>
        <v>2024</v>
      </c>
      <c r="D4644" t="s">
        <v>50</v>
      </c>
      <c r="E4644" t="s">
        <v>12</v>
      </c>
      <c r="F4644" t="s">
        <v>13</v>
      </c>
      <c r="G4644" t="s">
        <v>14</v>
      </c>
      <c r="H4644">
        <v>3</v>
      </c>
      <c r="I4644" s="2">
        <v>341.03</v>
      </c>
      <c r="J4644" s="2">
        <v>1023.09</v>
      </c>
      <c r="K4644" s="2">
        <f t="shared" si="217"/>
        <v>1023.0899999999999</v>
      </c>
      <c r="L4644" s="2">
        <f t="shared" si="218"/>
        <v>0</v>
      </c>
      <c r="M4644" t="s">
        <v>38</v>
      </c>
      <c r="N4644" t="s">
        <v>32</v>
      </c>
    </row>
    <row r="4645" spans="1:14" x14ac:dyDescent="0.3">
      <c r="A4645">
        <v>2024005643</v>
      </c>
      <c r="B4645" s="1">
        <v>45529</v>
      </c>
      <c r="C4645" s="11">
        <f t="shared" si="216"/>
        <v>2024</v>
      </c>
      <c r="D4645" t="s">
        <v>160</v>
      </c>
      <c r="E4645" t="s">
        <v>40</v>
      </c>
      <c r="F4645" t="s">
        <v>41</v>
      </c>
      <c r="G4645" t="s">
        <v>36</v>
      </c>
      <c r="H4645">
        <v>1</v>
      </c>
      <c r="I4645" s="2">
        <v>43.46</v>
      </c>
      <c r="J4645" s="2">
        <v>43.46</v>
      </c>
      <c r="K4645" s="2">
        <f t="shared" si="217"/>
        <v>43.46</v>
      </c>
      <c r="L4645" s="2">
        <f t="shared" si="218"/>
        <v>0</v>
      </c>
      <c r="M4645" t="s">
        <v>48</v>
      </c>
      <c r="N4645" t="s">
        <v>26</v>
      </c>
    </row>
    <row r="4646" spans="1:14" x14ac:dyDescent="0.3">
      <c r="A4646">
        <v>2024005644</v>
      </c>
      <c r="B4646" s="1">
        <v>45335</v>
      </c>
      <c r="C4646" s="11">
        <f t="shared" si="216"/>
        <v>2024</v>
      </c>
      <c r="D4646" t="s">
        <v>11</v>
      </c>
      <c r="E4646" t="s">
        <v>23</v>
      </c>
      <c r="F4646" t="s">
        <v>24</v>
      </c>
      <c r="G4646" t="s">
        <v>14</v>
      </c>
      <c r="H4646">
        <v>1</v>
      </c>
      <c r="I4646" s="2">
        <v>74.349999999999994</v>
      </c>
      <c r="J4646" s="2">
        <v>74.349999999999994</v>
      </c>
      <c r="K4646" s="2">
        <f t="shared" si="217"/>
        <v>74.349999999999994</v>
      </c>
      <c r="L4646" s="2">
        <f t="shared" si="218"/>
        <v>0</v>
      </c>
      <c r="M4646" t="s">
        <v>38</v>
      </c>
      <c r="N4646" t="s">
        <v>21</v>
      </c>
    </row>
    <row r="4647" spans="1:14" x14ac:dyDescent="0.3">
      <c r="A4647">
        <v>2024005645</v>
      </c>
      <c r="B4647" s="1">
        <v>45616</v>
      </c>
      <c r="C4647" s="11">
        <f t="shared" si="216"/>
        <v>2024</v>
      </c>
      <c r="D4647" t="s">
        <v>11</v>
      </c>
      <c r="E4647" t="s">
        <v>46</v>
      </c>
      <c r="F4647" t="s">
        <v>47</v>
      </c>
      <c r="G4647" t="s">
        <v>36</v>
      </c>
      <c r="H4647">
        <v>2</v>
      </c>
      <c r="I4647" s="2">
        <v>91.36</v>
      </c>
      <c r="J4647" s="2">
        <v>182.72</v>
      </c>
      <c r="K4647" s="2">
        <f t="shared" si="217"/>
        <v>182.72</v>
      </c>
      <c r="L4647" s="2">
        <f t="shared" si="218"/>
        <v>0</v>
      </c>
      <c r="M4647" t="s">
        <v>55</v>
      </c>
      <c r="N4647" t="s">
        <v>32</v>
      </c>
    </row>
    <row r="4648" spans="1:14" x14ac:dyDescent="0.3">
      <c r="A4648">
        <v>2024005646</v>
      </c>
      <c r="B4648" s="1">
        <v>45297</v>
      </c>
      <c r="C4648" s="11">
        <f t="shared" si="216"/>
        <v>2024</v>
      </c>
      <c r="D4648" t="s">
        <v>180</v>
      </c>
      <c r="E4648" t="s">
        <v>43</v>
      </c>
      <c r="F4648" t="s">
        <v>44</v>
      </c>
      <c r="G4648" t="s">
        <v>36</v>
      </c>
      <c r="H4648">
        <v>5</v>
      </c>
      <c r="I4648" s="2">
        <v>1136.58</v>
      </c>
      <c r="J4648" s="2">
        <v>5682.9</v>
      </c>
      <c r="K4648" s="2">
        <f t="shared" si="217"/>
        <v>5682.9</v>
      </c>
      <c r="L4648" s="2">
        <f t="shared" si="218"/>
        <v>0</v>
      </c>
      <c r="M4648" t="s">
        <v>31</v>
      </c>
      <c r="N4648" t="s">
        <v>32</v>
      </c>
    </row>
    <row r="4649" spans="1:14" x14ac:dyDescent="0.3">
      <c r="A4649">
        <v>2024005647</v>
      </c>
      <c r="B4649" s="1">
        <v>45537</v>
      </c>
      <c r="C4649" s="11">
        <f t="shared" si="216"/>
        <v>2024</v>
      </c>
      <c r="D4649" t="s">
        <v>127</v>
      </c>
      <c r="E4649" t="s">
        <v>40</v>
      </c>
      <c r="F4649" t="s">
        <v>41</v>
      </c>
      <c r="G4649" t="s">
        <v>36</v>
      </c>
      <c r="H4649">
        <v>2</v>
      </c>
      <c r="I4649" s="2">
        <v>45.42</v>
      </c>
      <c r="J4649" s="2">
        <v>90.84</v>
      </c>
      <c r="K4649" s="2">
        <f t="shared" si="217"/>
        <v>90.84</v>
      </c>
      <c r="L4649" s="2">
        <f t="shared" si="218"/>
        <v>0</v>
      </c>
      <c r="M4649" t="s">
        <v>57</v>
      </c>
      <c r="N4649" t="s">
        <v>32</v>
      </c>
    </row>
    <row r="4650" spans="1:14" x14ac:dyDescent="0.3">
      <c r="A4650">
        <v>2024005648</v>
      </c>
      <c r="B4650" s="1">
        <v>45371</v>
      </c>
      <c r="C4650" s="11">
        <f t="shared" si="216"/>
        <v>2024</v>
      </c>
      <c r="D4650" t="s">
        <v>252</v>
      </c>
      <c r="E4650" t="s">
        <v>34</v>
      </c>
      <c r="F4650" t="s">
        <v>35</v>
      </c>
      <c r="G4650" t="s">
        <v>36</v>
      </c>
      <c r="H4650">
        <v>1</v>
      </c>
      <c r="I4650" s="2">
        <v>14.45</v>
      </c>
      <c r="J4650" s="2">
        <v>14.45</v>
      </c>
      <c r="K4650" s="2">
        <f t="shared" si="217"/>
        <v>14.45</v>
      </c>
      <c r="L4650" s="2">
        <f t="shared" si="218"/>
        <v>0</v>
      </c>
      <c r="M4650" t="s">
        <v>25</v>
      </c>
      <c r="N4650" t="s">
        <v>21</v>
      </c>
    </row>
    <row r="4651" spans="1:14" x14ac:dyDescent="0.3">
      <c r="A4651">
        <v>2024005649</v>
      </c>
      <c r="B4651" s="1">
        <v>45321</v>
      </c>
      <c r="C4651" s="11">
        <f t="shared" si="216"/>
        <v>2024</v>
      </c>
      <c r="D4651" t="s">
        <v>330</v>
      </c>
      <c r="E4651" t="s">
        <v>40</v>
      </c>
      <c r="F4651" t="s">
        <v>41</v>
      </c>
      <c r="G4651" t="s">
        <v>36</v>
      </c>
      <c r="H4651">
        <v>2</v>
      </c>
      <c r="I4651" s="2">
        <v>46.48</v>
      </c>
      <c r="J4651" s="2">
        <v>92.96</v>
      </c>
      <c r="K4651" s="2">
        <f t="shared" si="217"/>
        <v>92.96</v>
      </c>
      <c r="L4651" s="2">
        <f t="shared" si="218"/>
        <v>0</v>
      </c>
      <c r="M4651" t="s">
        <v>25</v>
      </c>
      <c r="N4651" t="s">
        <v>26</v>
      </c>
    </row>
    <row r="4652" spans="1:14" x14ac:dyDescent="0.3">
      <c r="A4652">
        <v>2024005650</v>
      </c>
      <c r="B4652" s="1">
        <v>45460</v>
      </c>
      <c r="C4652" s="11">
        <f t="shared" si="216"/>
        <v>2024</v>
      </c>
      <c r="D4652" t="s">
        <v>152</v>
      </c>
      <c r="E4652" t="s">
        <v>23</v>
      </c>
      <c r="F4652" t="s">
        <v>24</v>
      </c>
      <c r="G4652" t="s">
        <v>14</v>
      </c>
      <c r="H4652">
        <v>1</v>
      </c>
      <c r="I4652" s="2">
        <v>80.56</v>
      </c>
      <c r="J4652" s="2">
        <v>80.56</v>
      </c>
      <c r="K4652" s="2">
        <f t="shared" si="217"/>
        <v>80.56</v>
      </c>
      <c r="L4652" s="2">
        <f t="shared" si="218"/>
        <v>0</v>
      </c>
      <c r="M4652" t="s">
        <v>31</v>
      </c>
      <c r="N4652" t="s">
        <v>26</v>
      </c>
    </row>
    <row r="4653" spans="1:14" x14ac:dyDescent="0.3">
      <c r="A4653">
        <v>2024005651</v>
      </c>
      <c r="B4653" s="1">
        <v>45469</v>
      </c>
      <c r="C4653" s="11">
        <f t="shared" si="216"/>
        <v>2024</v>
      </c>
      <c r="D4653" t="s">
        <v>77</v>
      </c>
      <c r="E4653" t="s">
        <v>18</v>
      </c>
      <c r="F4653" t="s">
        <v>19</v>
      </c>
      <c r="G4653" t="s">
        <v>14</v>
      </c>
      <c r="H4653">
        <v>2</v>
      </c>
      <c r="I4653" s="2">
        <v>587.38</v>
      </c>
      <c r="J4653" s="2">
        <v>1174.76</v>
      </c>
      <c r="K4653" s="2">
        <f t="shared" si="217"/>
        <v>1174.76</v>
      </c>
      <c r="L4653" s="2">
        <f t="shared" si="218"/>
        <v>0</v>
      </c>
      <c r="M4653" t="s">
        <v>38</v>
      </c>
      <c r="N4653" t="s">
        <v>32</v>
      </c>
    </row>
    <row r="4654" spans="1:14" x14ac:dyDescent="0.3">
      <c r="A4654">
        <v>2024005652</v>
      </c>
      <c r="B4654" s="1">
        <v>45630</v>
      </c>
      <c r="C4654" s="11">
        <f t="shared" si="216"/>
        <v>2024</v>
      </c>
      <c r="D4654" t="s">
        <v>49</v>
      </c>
      <c r="E4654" t="s">
        <v>34</v>
      </c>
      <c r="F4654" t="s">
        <v>35</v>
      </c>
      <c r="G4654" t="s">
        <v>36</v>
      </c>
      <c r="H4654">
        <v>2</v>
      </c>
      <c r="I4654" s="2">
        <v>15.03</v>
      </c>
      <c r="J4654" s="2">
        <v>30.06</v>
      </c>
      <c r="K4654" s="2">
        <f t="shared" si="217"/>
        <v>30.06</v>
      </c>
      <c r="L4654" s="2">
        <f t="shared" si="218"/>
        <v>0</v>
      </c>
      <c r="M4654" t="s">
        <v>31</v>
      </c>
      <c r="N4654" t="s">
        <v>21</v>
      </c>
    </row>
    <row r="4655" spans="1:14" x14ac:dyDescent="0.3">
      <c r="A4655">
        <v>2024005653</v>
      </c>
      <c r="B4655" s="1">
        <v>45539</v>
      </c>
      <c r="C4655" s="11">
        <f t="shared" si="216"/>
        <v>2024</v>
      </c>
      <c r="D4655" t="s">
        <v>318</v>
      </c>
      <c r="E4655" t="s">
        <v>18</v>
      </c>
      <c r="F4655" t="s">
        <v>19</v>
      </c>
      <c r="G4655" t="s">
        <v>14</v>
      </c>
      <c r="H4655">
        <v>4</v>
      </c>
      <c r="I4655" s="2">
        <v>618.04</v>
      </c>
      <c r="J4655" s="2">
        <v>2472.16</v>
      </c>
      <c r="K4655" s="2">
        <f t="shared" si="217"/>
        <v>2472.16</v>
      </c>
      <c r="L4655" s="2">
        <f t="shared" si="218"/>
        <v>0</v>
      </c>
      <c r="M4655" t="s">
        <v>64</v>
      </c>
      <c r="N4655" t="s">
        <v>26</v>
      </c>
    </row>
    <row r="4656" spans="1:14" x14ac:dyDescent="0.3">
      <c r="A4656">
        <v>2024005654</v>
      </c>
      <c r="B4656" s="1">
        <v>45303</v>
      </c>
      <c r="C4656" s="11">
        <f t="shared" si="216"/>
        <v>2024</v>
      </c>
      <c r="D4656" t="s">
        <v>70</v>
      </c>
      <c r="E4656" t="s">
        <v>28</v>
      </c>
      <c r="F4656" t="s">
        <v>29</v>
      </c>
      <c r="G4656" t="s">
        <v>30</v>
      </c>
      <c r="H4656">
        <v>3</v>
      </c>
      <c r="I4656" s="2">
        <v>24.82</v>
      </c>
      <c r="J4656" s="2">
        <v>74.459999999999994</v>
      </c>
      <c r="K4656" s="2">
        <f t="shared" si="217"/>
        <v>74.460000000000008</v>
      </c>
      <c r="L4656" s="2">
        <f t="shared" si="218"/>
        <v>0</v>
      </c>
      <c r="M4656" t="s">
        <v>31</v>
      </c>
      <c r="N4656" t="s">
        <v>32</v>
      </c>
    </row>
    <row r="4657" spans="1:14" x14ac:dyDescent="0.3">
      <c r="A4657">
        <v>2024005655</v>
      </c>
      <c r="B4657" s="1">
        <v>45600</v>
      </c>
      <c r="C4657" s="11">
        <f t="shared" si="216"/>
        <v>2024</v>
      </c>
      <c r="D4657" t="s">
        <v>131</v>
      </c>
      <c r="E4657" t="s">
        <v>12</v>
      </c>
      <c r="F4657" t="s">
        <v>13</v>
      </c>
      <c r="G4657" t="s">
        <v>14</v>
      </c>
      <c r="H4657">
        <v>3</v>
      </c>
      <c r="I4657" s="2">
        <v>345.28</v>
      </c>
      <c r="J4657" s="2">
        <v>1035.8399999999999</v>
      </c>
      <c r="K4657" s="2">
        <f t="shared" si="217"/>
        <v>1035.8399999999999</v>
      </c>
      <c r="L4657" s="2">
        <f t="shared" si="218"/>
        <v>0</v>
      </c>
      <c r="M4657" t="s">
        <v>20</v>
      </c>
      <c r="N4657" t="s">
        <v>32</v>
      </c>
    </row>
    <row r="4658" spans="1:14" x14ac:dyDescent="0.3">
      <c r="A4658">
        <v>2024005656</v>
      </c>
      <c r="B4658" s="1">
        <v>45600</v>
      </c>
      <c r="C4658" s="11">
        <f t="shared" si="216"/>
        <v>2024</v>
      </c>
      <c r="D4658" t="s">
        <v>340</v>
      </c>
      <c r="E4658" t="s">
        <v>40</v>
      </c>
      <c r="F4658" t="s">
        <v>41</v>
      </c>
      <c r="G4658" t="s">
        <v>36</v>
      </c>
      <c r="H4658">
        <v>1</v>
      </c>
      <c r="I4658" s="2">
        <v>44.48</v>
      </c>
      <c r="J4658" s="2">
        <v>44.48</v>
      </c>
      <c r="K4658" s="2">
        <f t="shared" si="217"/>
        <v>44.48</v>
      </c>
      <c r="L4658" s="2">
        <f t="shared" si="218"/>
        <v>0</v>
      </c>
      <c r="M4658" t="s">
        <v>25</v>
      </c>
      <c r="N4658" t="s">
        <v>21</v>
      </c>
    </row>
    <row r="4659" spans="1:14" x14ac:dyDescent="0.3">
      <c r="A4659">
        <v>2024005657</v>
      </c>
      <c r="B4659" s="1">
        <v>45638</v>
      </c>
      <c r="C4659" s="11">
        <f t="shared" si="216"/>
        <v>2024</v>
      </c>
      <c r="D4659" t="s">
        <v>318</v>
      </c>
      <c r="E4659" t="s">
        <v>46</v>
      </c>
      <c r="F4659" t="s">
        <v>47</v>
      </c>
      <c r="G4659" t="s">
        <v>36</v>
      </c>
      <c r="H4659">
        <v>2</v>
      </c>
      <c r="I4659" s="2">
        <v>94.8</v>
      </c>
      <c r="J4659" s="2">
        <v>189.6</v>
      </c>
      <c r="K4659" s="2">
        <f t="shared" si="217"/>
        <v>189.6</v>
      </c>
      <c r="L4659" s="2">
        <f t="shared" si="218"/>
        <v>0</v>
      </c>
      <c r="M4659" t="s">
        <v>38</v>
      </c>
      <c r="N4659" t="s">
        <v>21</v>
      </c>
    </row>
    <row r="4660" spans="1:14" x14ac:dyDescent="0.3">
      <c r="A4660">
        <v>2024005658</v>
      </c>
      <c r="B4660" s="1">
        <v>45320</v>
      </c>
      <c r="C4660" s="11">
        <f t="shared" si="216"/>
        <v>2024</v>
      </c>
      <c r="D4660" t="s">
        <v>11</v>
      </c>
      <c r="E4660" t="s">
        <v>28</v>
      </c>
      <c r="F4660" t="s">
        <v>29</v>
      </c>
      <c r="G4660" t="s">
        <v>30</v>
      </c>
      <c r="H4660">
        <v>1</v>
      </c>
      <c r="I4660" s="2">
        <v>24.1</v>
      </c>
      <c r="J4660" s="2">
        <v>24.1</v>
      </c>
      <c r="K4660" s="2">
        <f t="shared" si="217"/>
        <v>24.1</v>
      </c>
      <c r="L4660" s="2">
        <f t="shared" si="218"/>
        <v>0</v>
      </c>
      <c r="M4660" t="s">
        <v>20</v>
      </c>
      <c r="N4660" t="s">
        <v>26</v>
      </c>
    </row>
    <row r="4661" spans="1:14" x14ac:dyDescent="0.3">
      <c r="A4661">
        <v>2024005659</v>
      </c>
      <c r="B4661" s="1">
        <v>45379</v>
      </c>
      <c r="C4661" s="11">
        <f t="shared" si="216"/>
        <v>2024</v>
      </c>
      <c r="D4661" t="s">
        <v>144</v>
      </c>
      <c r="E4661" t="s">
        <v>53</v>
      </c>
      <c r="F4661" t="s">
        <v>54</v>
      </c>
      <c r="G4661" t="s">
        <v>36</v>
      </c>
      <c r="H4661">
        <v>5</v>
      </c>
      <c r="I4661" s="2">
        <v>121.86</v>
      </c>
      <c r="J4661" s="2">
        <v>609.29999999999995</v>
      </c>
      <c r="K4661" s="2">
        <f t="shared" si="217"/>
        <v>609.29999999999995</v>
      </c>
      <c r="L4661" s="2">
        <f t="shared" si="218"/>
        <v>0</v>
      </c>
      <c r="M4661" t="s">
        <v>25</v>
      </c>
      <c r="N4661" t="s">
        <v>16</v>
      </c>
    </row>
    <row r="4662" spans="1:14" x14ac:dyDescent="0.3">
      <c r="A4662">
        <v>2024005660</v>
      </c>
      <c r="B4662" s="1">
        <v>45603</v>
      </c>
      <c r="C4662" s="11">
        <f t="shared" si="216"/>
        <v>2024</v>
      </c>
      <c r="D4662" t="s">
        <v>233</v>
      </c>
      <c r="E4662" t="s">
        <v>18</v>
      </c>
      <c r="F4662" t="s">
        <v>19</v>
      </c>
      <c r="G4662" t="s">
        <v>14</v>
      </c>
      <c r="H4662">
        <v>1</v>
      </c>
      <c r="I4662" s="2">
        <v>607.47</v>
      </c>
      <c r="J4662" s="2">
        <v>607.47</v>
      </c>
      <c r="K4662" s="2">
        <f t="shared" si="217"/>
        <v>607.47</v>
      </c>
      <c r="L4662" s="2">
        <f t="shared" si="218"/>
        <v>0</v>
      </c>
      <c r="M4662" t="s">
        <v>64</v>
      </c>
      <c r="N4662" t="s">
        <v>32</v>
      </c>
    </row>
    <row r="4663" spans="1:14" x14ac:dyDescent="0.3">
      <c r="A4663">
        <v>2024005661</v>
      </c>
      <c r="B4663" s="1">
        <v>45362</v>
      </c>
      <c r="C4663" s="11">
        <f t="shared" si="216"/>
        <v>2024</v>
      </c>
      <c r="D4663" t="s">
        <v>11</v>
      </c>
      <c r="E4663" t="s">
        <v>53</v>
      </c>
      <c r="F4663" t="s">
        <v>54</v>
      </c>
      <c r="G4663" t="s">
        <v>36</v>
      </c>
      <c r="H4663">
        <v>2</v>
      </c>
      <c r="I4663" s="2">
        <v>121.01</v>
      </c>
      <c r="J4663" s="2">
        <v>242.02</v>
      </c>
      <c r="K4663" s="2">
        <f t="shared" si="217"/>
        <v>242.02</v>
      </c>
      <c r="L4663" s="2">
        <f t="shared" si="218"/>
        <v>0</v>
      </c>
      <c r="M4663" t="s">
        <v>25</v>
      </c>
      <c r="N4663" t="s">
        <v>32</v>
      </c>
    </row>
    <row r="4664" spans="1:14" x14ac:dyDescent="0.3">
      <c r="A4664">
        <v>2024005662</v>
      </c>
      <c r="B4664" s="1">
        <v>45336</v>
      </c>
      <c r="C4664" s="11">
        <f t="shared" si="216"/>
        <v>2024</v>
      </c>
      <c r="D4664" t="s">
        <v>345</v>
      </c>
      <c r="E4664" t="s">
        <v>34</v>
      </c>
      <c r="F4664" t="s">
        <v>35</v>
      </c>
      <c r="G4664" t="s">
        <v>36</v>
      </c>
      <c r="H4664">
        <v>1</v>
      </c>
      <c r="I4664" s="2">
        <v>14.19</v>
      </c>
      <c r="J4664" s="2">
        <v>14.19</v>
      </c>
      <c r="K4664" s="2">
        <f t="shared" si="217"/>
        <v>14.19</v>
      </c>
      <c r="L4664" s="2">
        <f t="shared" si="218"/>
        <v>0</v>
      </c>
      <c r="M4664" t="s">
        <v>38</v>
      </c>
      <c r="N4664" t="s">
        <v>26</v>
      </c>
    </row>
    <row r="4665" spans="1:14" x14ac:dyDescent="0.3">
      <c r="A4665">
        <v>2024005663</v>
      </c>
      <c r="B4665" s="1">
        <v>45374</v>
      </c>
      <c r="C4665" s="11">
        <f t="shared" si="216"/>
        <v>2024</v>
      </c>
      <c r="D4665" t="s">
        <v>269</v>
      </c>
      <c r="E4665" t="s">
        <v>40</v>
      </c>
      <c r="F4665" t="s">
        <v>41</v>
      </c>
      <c r="G4665" t="s">
        <v>36</v>
      </c>
      <c r="H4665">
        <v>2</v>
      </c>
      <c r="I4665" s="2">
        <v>47.29</v>
      </c>
      <c r="J4665" s="2">
        <v>94.58</v>
      </c>
      <c r="K4665" s="2">
        <f t="shared" si="217"/>
        <v>94.58</v>
      </c>
      <c r="L4665" s="2">
        <f t="shared" si="218"/>
        <v>0</v>
      </c>
      <c r="M4665" t="s">
        <v>15</v>
      </c>
      <c r="N4665" t="s">
        <v>21</v>
      </c>
    </row>
    <row r="4666" spans="1:14" x14ac:dyDescent="0.3">
      <c r="A4666">
        <v>2024005664</v>
      </c>
      <c r="B4666" s="1">
        <v>45509</v>
      </c>
      <c r="C4666" s="11">
        <f t="shared" si="216"/>
        <v>2024</v>
      </c>
      <c r="D4666" t="s">
        <v>83</v>
      </c>
      <c r="E4666" t="s">
        <v>34</v>
      </c>
      <c r="F4666" t="s">
        <v>35</v>
      </c>
      <c r="G4666" t="s">
        <v>36</v>
      </c>
      <c r="H4666">
        <v>2</v>
      </c>
      <c r="I4666" s="2">
        <v>16.02</v>
      </c>
      <c r="J4666" s="2">
        <v>32.04</v>
      </c>
      <c r="K4666" s="2">
        <f t="shared" si="217"/>
        <v>32.04</v>
      </c>
      <c r="L4666" s="2">
        <f t="shared" si="218"/>
        <v>0</v>
      </c>
      <c r="M4666" t="s">
        <v>57</v>
      </c>
      <c r="N4666" t="s">
        <v>21</v>
      </c>
    </row>
    <row r="4667" spans="1:14" x14ac:dyDescent="0.3">
      <c r="A4667">
        <v>2024005665</v>
      </c>
      <c r="B4667" s="1">
        <v>45576</v>
      </c>
      <c r="C4667" s="11">
        <f t="shared" si="216"/>
        <v>2024</v>
      </c>
      <c r="D4667" t="s">
        <v>224</v>
      </c>
      <c r="E4667" t="s">
        <v>43</v>
      </c>
      <c r="F4667" t="s">
        <v>44</v>
      </c>
      <c r="G4667" t="s">
        <v>36</v>
      </c>
      <c r="H4667">
        <v>1</v>
      </c>
      <c r="I4667" s="2">
        <v>1216.25</v>
      </c>
      <c r="J4667" s="2">
        <v>1216.25</v>
      </c>
      <c r="K4667" s="2">
        <f t="shared" si="217"/>
        <v>1216.25</v>
      </c>
      <c r="L4667" s="2">
        <f t="shared" si="218"/>
        <v>0</v>
      </c>
      <c r="M4667" t="s">
        <v>61</v>
      </c>
      <c r="N4667" t="s">
        <v>21</v>
      </c>
    </row>
    <row r="4668" spans="1:14" x14ac:dyDescent="0.3">
      <c r="A4668">
        <v>2024005666</v>
      </c>
      <c r="B4668" s="1">
        <v>45437</v>
      </c>
      <c r="C4668" s="11">
        <f t="shared" si="216"/>
        <v>2024</v>
      </c>
      <c r="D4668" t="s">
        <v>117</v>
      </c>
      <c r="E4668" t="s">
        <v>12</v>
      </c>
      <c r="F4668" t="s">
        <v>13</v>
      </c>
      <c r="G4668" t="s">
        <v>14</v>
      </c>
      <c r="H4668">
        <v>1</v>
      </c>
      <c r="I4668" s="2">
        <v>340.6</v>
      </c>
      <c r="J4668" s="2">
        <v>340.6</v>
      </c>
      <c r="K4668" s="2">
        <f t="shared" si="217"/>
        <v>340.6</v>
      </c>
      <c r="L4668" s="2">
        <f t="shared" si="218"/>
        <v>0</v>
      </c>
      <c r="M4668" t="s">
        <v>25</v>
      </c>
      <c r="N4668" t="s">
        <v>16</v>
      </c>
    </row>
    <row r="4669" spans="1:14" x14ac:dyDescent="0.3">
      <c r="A4669">
        <v>2024005667</v>
      </c>
      <c r="B4669" s="1">
        <v>45512</v>
      </c>
      <c r="C4669" s="11">
        <f t="shared" si="216"/>
        <v>2024</v>
      </c>
      <c r="D4669" t="s">
        <v>187</v>
      </c>
      <c r="E4669" t="s">
        <v>12</v>
      </c>
      <c r="F4669" t="s">
        <v>13</v>
      </c>
      <c r="G4669" t="s">
        <v>14</v>
      </c>
      <c r="H4669">
        <v>1</v>
      </c>
      <c r="I4669" s="2">
        <v>345.96</v>
      </c>
      <c r="J4669" s="2">
        <v>345.96</v>
      </c>
      <c r="K4669" s="2">
        <f t="shared" si="217"/>
        <v>345.96</v>
      </c>
      <c r="L4669" s="2">
        <f t="shared" si="218"/>
        <v>0</v>
      </c>
      <c r="M4669" t="s">
        <v>48</v>
      </c>
      <c r="N4669" t="s">
        <v>32</v>
      </c>
    </row>
    <row r="4670" spans="1:14" x14ac:dyDescent="0.3">
      <c r="A4670">
        <v>2024005668</v>
      </c>
      <c r="B4670" s="1">
        <v>45537</v>
      </c>
      <c r="C4670" s="11">
        <f t="shared" si="216"/>
        <v>2024</v>
      </c>
      <c r="D4670" t="s">
        <v>78</v>
      </c>
      <c r="E4670" t="s">
        <v>43</v>
      </c>
      <c r="F4670" t="s">
        <v>44</v>
      </c>
      <c r="G4670" t="s">
        <v>36</v>
      </c>
      <c r="H4670">
        <v>1</v>
      </c>
      <c r="I4670" s="2">
        <v>1207.29</v>
      </c>
      <c r="J4670" s="2">
        <v>1207.29</v>
      </c>
      <c r="K4670" s="2">
        <f t="shared" si="217"/>
        <v>1207.29</v>
      </c>
      <c r="L4670" s="2">
        <f t="shared" si="218"/>
        <v>0</v>
      </c>
      <c r="M4670" t="s">
        <v>15</v>
      </c>
      <c r="N4670" t="s">
        <v>26</v>
      </c>
    </row>
    <row r="4671" spans="1:14" x14ac:dyDescent="0.3">
      <c r="A4671">
        <v>2024005669</v>
      </c>
      <c r="B4671" s="1">
        <v>45524</v>
      </c>
      <c r="C4671" s="11">
        <f t="shared" si="216"/>
        <v>2024</v>
      </c>
      <c r="D4671" t="s">
        <v>285</v>
      </c>
      <c r="E4671" t="s">
        <v>40</v>
      </c>
      <c r="F4671" t="s">
        <v>41</v>
      </c>
      <c r="G4671" t="s">
        <v>36</v>
      </c>
      <c r="H4671">
        <v>3</v>
      </c>
      <c r="I4671" s="2">
        <v>46.1</v>
      </c>
      <c r="J4671" s="2">
        <v>138.30000000000001</v>
      </c>
      <c r="K4671" s="2">
        <f t="shared" si="217"/>
        <v>138.30000000000001</v>
      </c>
      <c r="L4671" s="2">
        <f t="shared" si="218"/>
        <v>0</v>
      </c>
      <c r="M4671" t="s">
        <v>55</v>
      </c>
      <c r="N4671" t="s">
        <v>16</v>
      </c>
    </row>
    <row r="4672" spans="1:14" x14ac:dyDescent="0.3">
      <c r="A4672">
        <v>2024005670</v>
      </c>
      <c r="B4672" s="1">
        <v>45363</v>
      </c>
      <c r="C4672" s="11">
        <f t="shared" si="216"/>
        <v>2024</v>
      </c>
      <c r="D4672" t="s">
        <v>178</v>
      </c>
      <c r="E4672" t="s">
        <v>40</v>
      </c>
      <c r="F4672" t="s">
        <v>41</v>
      </c>
      <c r="G4672" t="s">
        <v>36</v>
      </c>
      <c r="H4672">
        <v>3</v>
      </c>
      <c r="I4672" s="2">
        <v>46.57</v>
      </c>
      <c r="J4672" s="2">
        <v>139.71</v>
      </c>
      <c r="K4672" s="2">
        <f t="shared" si="217"/>
        <v>139.71</v>
      </c>
      <c r="L4672" s="2">
        <f t="shared" si="218"/>
        <v>0</v>
      </c>
      <c r="M4672" t="s">
        <v>20</v>
      </c>
      <c r="N4672" t="s">
        <v>21</v>
      </c>
    </row>
    <row r="4673" spans="1:14" x14ac:dyDescent="0.3">
      <c r="A4673">
        <v>2024005671</v>
      </c>
      <c r="B4673" s="1">
        <v>45484</v>
      </c>
      <c r="C4673" s="11">
        <f t="shared" si="216"/>
        <v>2024</v>
      </c>
      <c r="D4673" t="s">
        <v>11</v>
      </c>
      <c r="E4673" t="s">
        <v>53</v>
      </c>
      <c r="F4673" t="s">
        <v>54</v>
      </c>
      <c r="G4673" t="s">
        <v>36</v>
      </c>
      <c r="H4673">
        <v>4</v>
      </c>
      <c r="I4673" s="2">
        <v>120.52</v>
      </c>
      <c r="J4673" s="2">
        <v>482.08</v>
      </c>
      <c r="K4673" s="2">
        <f t="shared" si="217"/>
        <v>482.08</v>
      </c>
      <c r="L4673" s="2">
        <f t="shared" si="218"/>
        <v>0</v>
      </c>
      <c r="M4673" t="s">
        <v>25</v>
      </c>
      <c r="N4673" t="s">
        <v>32</v>
      </c>
    </row>
    <row r="4674" spans="1:14" x14ac:dyDescent="0.3">
      <c r="A4674">
        <v>2024005672</v>
      </c>
      <c r="B4674" s="1">
        <v>45387</v>
      </c>
      <c r="C4674" s="11">
        <f t="shared" si="216"/>
        <v>2024</v>
      </c>
      <c r="D4674" t="s">
        <v>11</v>
      </c>
      <c r="E4674" t="s">
        <v>67</v>
      </c>
      <c r="F4674" t="s">
        <v>68</v>
      </c>
      <c r="G4674" t="s">
        <v>36</v>
      </c>
      <c r="H4674">
        <v>4</v>
      </c>
      <c r="I4674" s="2">
        <v>377.3</v>
      </c>
      <c r="J4674" s="2">
        <v>1509.2</v>
      </c>
      <c r="K4674" s="2">
        <f t="shared" si="217"/>
        <v>1509.2</v>
      </c>
      <c r="L4674" s="2">
        <f t="shared" si="218"/>
        <v>0</v>
      </c>
      <c r="M4674" t="s">
        <v>48</v>
      </c>
      <c r="N4674" t="s">
        <v>16</v>
      </c>
    </row>
    <row r="4675" spans="1:14" x14ac:dyDescent="0.3">
      <c r="A4675">
        <v>2024005673</v>
      </c>
      <c r="B4675" s="1">
        <v>45417</v>
      </c>
      <c r="C4675" s="11">
        <f t="shared" ref="C4675:C4738" si="219">YEAR(B4675)</f>
        <v>2024</v>
      </c>
      <c r="D4675" t="s">
        <v>11</v>
      </c>
      <c r="E4675" t="s">
        <v>46</v>
      </c>
      <c r="F4675" t="s">
        <v>47</v>
      </c>
      <c r="G4675" t="s">
        <v>36</v>
      </c>
      <c r="H4675">
        <v>1</v>
      </c>
      <c r="I4675" s="2">
        <v>88.6</v>
      </c>
      <c r="J4675" s="2">
        <v>88.6</v>
      </c>
      <c r="K4675" s="2">
        <f t="shared" ref="K4675:K4738" si="220">I4675*H4675</f>
        <v>88.6</v>
      </c>
      <c r="L4675" s="2">
        <f t="shared" ref="L4675:L4738" si="221">J4675-K4675</f>
        <v>0</v>
      </c>
      <c r="M4675" t="s">
        <v>57</v>
      </c>
      <c r="N4675" t="s">
        <v>21</v>
      </c>
    </row>
    <row r="4676" spans="1:14" x14ac:dyDescent="0.3">
      <c r="A4676">
        <v>2024005674</v>
      </c>
      <c r="B4676" s="1">
        <v>45243</v>
      </c>
      <c r="C4676" s="11">
        <f t="shared" si="219"/>
        <v>2023</v>
      </c>
      <c r="D4676" t="s">
        <v>17</v>
      </c>
      <c r="E4676" t="s">
        <v>43</v>
      </c>
      <c r="F4676" t="s">
        <v>44</v>
      </c>
      <c r="G4676" t="s">
        <v>36</v>
      </c>
      <c r="H4676">
        <v>2</v>
      </c>
      <c r="I4676" s="2">
        <v>1168.8699999999999</v>
      </c>
      <c r="J4676" s="2">
        <v>2337.7399999999998</v>
      </c>
      <c r="K4676" s="2">
        <f t="shared" si="220"/>
        <v>2337.7399999999998</v>
      </c>
      <c r="L4676" s="2">
        <f t="shared" si="221"/>
        <v>0</v>
      </c>
      <c r="M4676" t="s">
        <v>48</v>
      </c>
      <c r="N4676" t="s">
        <v>16</v>
      </c>
    </row>
    <row r="4677" spans="1:14" x14ac:dyDescent="0.3">
      <c r="A4677">
        <v>2024005675</v>
      </c>
      <c r="B4677" s="1">
        <v>45297</v>
      </c>
      <c r="C4677" s="11">
        <f t="shared" si="219"/>
        <v>2024</v>
      </c>
      <c r="D4677" t="s">
        <v>62</v>
      </c>
      <c r="E4677" t="s">
        <v>18</v>
      </c>
      <c r="F4677" t="s">
        <v>19</v>
      </c>
      <c r="G4677" t="s">
        <v>14</v>
      </c>
      <c r="H4677">
        <v>1</v>
      </c>
      <c r="I4677" s="2">
        <v>621.97</v>
      </c>
      <c r="J4677" s="2">
        <v>621.97</v>
      </c>
      <c r="K4677" s="2">
        <f t="shared" si="220"/>
        <v>621.97</v>
      </c>
      <c r="L4677" s="2">
        <f t="shared" si="221"/>
        <v>0</v>
      </c>
      <c r="M4677" t="s">
        <v>38</v>
      </c>
      <c r="N4677" t="s">
        <v>16</v>
      </c>
    </row>
    <row r="4678" spans="1:14" x14ac:dyDescent="0.3">
      <c r="A4678">
        <v>2024005676</v>
      </c>
      <c r="B4678" s="1">
        <v>45480</v>
      </c>
      <c r="C4678" s="11">
        <f t="shared" si="219"/>
        <v>2024</v>
      </c>
      <c r="D4678" t="s">
        <v>291</v>
      </c>
      <c r="E4678" t="s">
        <v>46</v>
      </c>
      <c r="F4678" t="s">
        <v>47</v>
      </c>
      <c r="G4678" t="s">
        <v>36</v>
      </c>
      <c r="H4678">
        <v>1</v>
      </c>
      <c r="I4678" s="2">
        <v>99.77</v>
      </c>
      <c r="J4678" s="2">
        <v>99.77</v>
      </c>
      <c r="K4678" s="2">
        <f t="shared" si="220"/>
        <v>99.77</v>
      </c>
      <c r="L4678" s="2">
        <f t="shared" si="221"/>
        <v>0</v>
      </c>
      <c r="M4678" t="s">
        <v>15</v>
      </c>
      <c r="N4678" t="s">
        <v>26</v>
      </c>
    </row>
    <row r="4679" spans="1:14" x14ac:dyDescent="0.3">
      <c r="A4679">
        <v>2024005677</v>
      </c>
      <c r="B4679" s="1">
        <v>45314</v>
      </c>
      <c r="C4679" s="11">
        <f t="shared" si="219"/>
        <v>2024</v>
      </c>
      <c r="D4679" t="s">
        <v>156</v>
      </c>
      <c r="E4679" t="s">
        <v>12</v>
      </c>
      <c r="F4679" t="s">
        <v>13</v>
      </c>
      <c r="G4679" t="s">
        <v>14</v>
      </c>
      <c r="H4679">
        <v>1</v>
      </c>
      <c r="I4679" s="2">
        <v>360.81</v>
      </c>
      <c r="J4679" s="2">
        <v>360.81</v>
      </c>
      <c r="K4679" s="2">
        <f t="shared" si="220"/>
        <v>360.81</v>
      </c>
      <c r="L4679" s="2">
        <f t="shared" si="221"/>
        <v>0</v>
      </c>
      <c r="M4679" t="s">
        <v>61</v>
      </c>
      <c r="N4679" t="s">
        <v>32</v>
      </c>
    </row>
    <row r="4680" spans="1:14" x14ac:dyDescent="0.3">
      <c r="A4680">
        <v>2024005678</v>
      </c>
      <c r="B4680" s="1">
        <v>45316</v>
      </c>
      <c r="C4680" s="11">
        <f t="shared" si="219"/>
        <v>2024</v>
      </c>
      <c r="D4680" t="s">
        <v>141</v>
      </c>
      <c r="E4680" t="s">
        <v>43</v>
      </c>
      <c r="F4680" t="s">
        <v>44</v>
      </c>
      <c r="G4680" t="s">
        <v>36</v>
      </c>
      <c r="H4680">
        <v>3</v>
      </c>
      <c r="I4680" s="2">
        <v>1261.05</v>
      </c>
      <c r="J4680" s="2">
        <v>3783.15</v>
      </c>
      <c r="K4680" s="2">
        <f t="shared" si="220"/>
        <v>3783.1499999999996</v>
      </c>
      <c r="L4680" s="2">
        <f t="shared" si="221"/>
        <v>0</v>
      </c>
      <c r="M4680" t="s">
        <v>31</v>
      </c>
      <c r="N4680" t="s">
        <v>16</v>
      </c>
    </row>
    <row r="4681" spans="1:14" x14ac:dyDescent="0.3">
      <c r="A4681">
        <v>2024005679</v>
      </c>
      <c r="B4681" s="1">
        <v>45595</v>
      </c>
      <c r="C4681" s="11">
        <f t="shared" si="219"/>
        <v>2024</v>
      </c>
      <c r="D4681" t="s">
        <v>60</v>
      </c>
      <c r="E4681" t="s">
        <v>18</v>
      </c>
      <c r="F4681" t="s">
        <v>19</v>
      </c>
      <c r="G4681" t="s">
        <v>14</v>
      </c>
      <c r="H4681">
        <v>2</v>
      </c>
      <c r="I4681" s="2">
        <v>603.45000000000005</v>
      </c>
      <c r="J4681" s="2">
        <v>1206.9000000000001</v>
      </c>
      <c r="K4681" s="2">
        <f t="shared" si="220"/>
        <v>1206.9000000000001</v>
      </c>
      <c r="L4681" s="2">
        <f t="shared" si="221"/>
        <v>0</v>
      </c>
      <c r="M4681" t="s">
        <v>48</v>
      </c>
      <c r="N4681" t="s">
        <v>21</v>
      </c>
    </row>
    <row r="4682" spans="1:14" x14ac:dyDescent="0.3">
      <c r="A4682">
        <v>2024003318</v>
      </c>
      <c r="B4682" s="1">
        <v>45601</v>
      </c>
      <c r="C4682" s="11">
        <f t="shared" si="219"/>
        <v>2024</v>
      </c>
      <c r="D4682" t="s">
        <v>243</v>
      </c>
      <c r="E4682" t="s">
        <v>53</v>
      </c>
      <c r="F4682" t="s">
        <v>54</v>
      </c>
      <c r="G4682" t="s">
        <v>36</v>
      </c>
      <c r="H4682">
        <v>1</v>
      </c>
      <c r="I4682" s="2">
        <v>112.4</v>
      </c>
      <c r="J4682" s="2">
        <v>112.4</v>
      </c>
      <c r="K4682" s="2">
        <f t="shared" si="220"/>
        <v>112.4</v>
      </c>
      <c r="L4682" s="2">
        <f t="shared" si="221"/>
        <v>0</v>
      </c>
      <c r="M4682" t="s">
        <v>64</v>
      </c>
      <c r="N4682" t="s">
        <v>26</v>
      </c>
    </row>
    <row r="4683" spans="1:14" x14ac:dyDescent="0.3">
      <c r="A4683">
        <v>2024005681</v>
      </c>
      <c r="B4683" s="1">
        <v>45394</v>
      </c>
      <c r="C4683" s="11">
        <f t="shared" si="219"/>
        <v>2024</v>
      </c>
      <c r="D4683" t="s">
        <v>11</v>
      </c>
      <c r="E4683" t="s">
        <v>23</v>
      </c>
      <c r="F4683" t="s">
        <v>24</v>
      </c>
      <c r="G4683" t="s">
        <v>14</v>
      </c>
      <c r="H4683">
        <v>1</v>
      </c>
      <c r="I4683" s="2">
        <v>80.3</v>
      </c>
      <c r="J4683" s="2">
        <v>80.3</v>
      </c>
      <c r="K4683" s="2">
        <f t="shared" si="220"/>
        <v>80.3</v>
      </c>
      <c r="L4683" s="2">
        <f t="shared" si="221"/>
        <v>0</v>
      </c>
      <c r="M4683" t="s">
        <v>55</v>
      </c>
      <c r="N4683" t="s">
        <v>21</v>
      </c>
    </row>
    <row r="4684" spans="1:14" x14ac:dyDescent="0.3">
      <c r="A4684">
        <v>2024005682</v>
      </c>
      <c r="B4684" s="1">
        <v>45652</v>
      </c>
      <c r="C4684" s="11">
        <f t="shared" si="219"/>
        <v>2024</v>
      </c>
      <c r="D4684" t="s">
        <v>248</v>
      </c>
      <c r="E4684" t="s">
        <v>43</v>
      </c>
      <c r="F4684" t="s">
        <v>44</v>
      </c>
      <c r="G4684" t="s">
        <v>36</v>
      </c>
      <c r="H4684">
        <v>1</v>
      </c>
      <c r="I4684" s="2">
        <v>1204.42</v>
      </c>
      <c r="J4684" s="2">
        <v>1204.42</v>
      </c>
      <c r="K4684" s="2">
        <f t="shared" si="220"/>
        <v>1204.42</v>
      </c>
      <c r="L4684" s="2">
        <f t="shared" si="221"/>
        <v>0</v>
      </c>
      <c r="M4684" t="s">
        <v>48</v>
      </c>
      <c r="N4684" t="s">
        <v>32</v>
      </c>
    </row>
    <row r="4685" spans="1:14" x14ac:dyDescent="0.3">
      <c r="A4685">
        <v>2024005683</v>
      </c>
      <c r="B4685" s="1">
        <v>45390</v>
      </c>
      <c r="C4685" s="11">
        <f t="shared" si="219"/>
        <v>2024</v>
      </c>
      <c r="D4685" t="s">
        <v>126</v>
      </c>
      <c r="E4685" t="s">
        <v>67</v>
      </c>
      <c r="F4685" t="s">
        <v>68</v>
      </c>
      <c r="G4685" t="s">
        <v>36</v>
      </c>
      <c r="H4685">
        <v>3</v>
      </c>
      <c r="I4685" s="2">
        <v>384.31</v>
      </c>
      <c r="J4685" s="2">
        <v>1152.93</v>
      </c>
      <c r="K4685" s="2">
        <f t="shared" si="220"/>
        <v>1152.93</v>
      </c>
      <c r="L4685" s="2">
        <f t="shared" si="221"/>
        <v>0</v>
      </c>
      <c r="M4685" t="s">
        <v>20</v>
      </c>
      <c r="N4685" t="s">
        <v>21</v>
      </c>
    </row>
    <row r="4686" spans="1:14" x14ac:dyDescent="0.3">
      <c r="A4686">
        <v>2024005684</v>
      </c>
      <c r="B4686" s="1">
        <v>45322</v>
      </c>
      <c r="C4686" s="11">
        <f t="shared" si="219"/>
        <v>2024</v>
      </c>
      <c r="D4686" t="s">
        <v>325</v>
      </c>
      <c r="E4686" t="s">
        <v>23</v>
      </c>
      <c r="F4686" t="s">
        <v>24</v>
      </c>
      <c r="G4686" t="s">
        <v>14</v>
      </c>
      <c r="H4686">
        <v>1</v>
      </c>
      <c r="I4686" s="2">
        <v>73.959999999999994</v>
      </c>
      <c r="J4686" s="2">
        <v>73.959999999999994</v>
      </c>
      <c r="K4686" s="2">
        <f t="shared" si="220"/>
        <v>73.959999999999994</v>
      </c>
      <c r="L4686" s="2">
        <f t="shared" si="221"/>
        <v>0</v>
      </c>
      <c r="M4686" t="s">
        <v>64</v>
      </c>
      <c r="N4686" t="s">
        <v>21</v>
      </c>
    </row>
    <row r="4687" spans="1:14" x14ac:dyDescent="0.3">
      <c r="A4687">
        <v>2024005685</v>
      </c>
      <c r="B4687" s="1">
        <v>45459</v>
      </c>
      <c r="C4687" s="11">
        <f t="shared" si="219"/>
        <v>2024</v>
      </c>
      <c r="D4687" t="s">
        <v>223</v>
      </c>
      <c r="E4687" t="s">
        <v>46</v>
      </c>
      <c r="F4687" t="s">
        <v>47</v>
      </c>
      <c r="G4687" t="s">
        <v>36</v>
      </c>
      <c r="H4687">
        <v>2</v>
      </c>
      <c r="I4687" s="2">
        <v>97.57</v>
      </c>
      <c r="J4687" s="2">
        <v>195.14</v>
      </c>
      <c r="K4687" s="2">
        <f t="shared" si="220"/>
        <v>195.14</v>
      </c>
      <c r="L4687" s="2">
        <f t="shared" si="221"/>
        <v>0</v>
      </c>
      <c r="M4687" t="s">
        <v>31</v>
      </c>
      <c r="N4687" t="s">
        <v>16</v>
      </c>
    </row>
    <row r="4688" spans="1:14" x14ac:dyDescent="0.3">
      <c r="A4688">
        <v>2024005686</v>
      </c>
      <c r="B4688" s="1">
        <v>45630</v>
      </c>
      <c r="C4688" s="11">
        <f t="shared" si="219"/>
        <v>2024</v>
      </c>
      <c r="D4688" t="s">
        <v>334</v>
      </c>
      <c r="E4688" t="s">
        <v>18</v>
      </c>
      <c r="F4688" t="s">
        <v>19</v>
      </c>
      <c r="G4688" t="s">
        <v>14</v>
      </c>
      <c r="H4688">
        <v>3</v>
      </c>
      <c r="I4688" s="2">
        <v>563.16</v>
      </c>
      <c r="J4688" s="2">
        <v>1689.48</v>
      </c>
      <c r="K4688" s="2">
        <f t="shared" si="220"/>
        <v>1689.48</v>
      </c>
      <c r="L4688" s="2">
        <f t="shared" si="221"/>
        <v>0</v>
      </c>
      <c r="M4688" t="s">
        <v>25</v>
      </c>
      <c r="N4688" t="s">
        <v>16</v>
      </c>
    </row>
    <row r="4689" spans="1:14" x14ac:dyDescent="0.3">
      <c r="A4689">
        <v>2024005687</v>
      </c>
      <c r="B4689" s="1">
        <v>45400</v>
      </c>
      <c r="C4689" s="11">
        <f t="shared" si="219"/>
        <v>2024</v>
      </c>
      <c r="D4689" t="s">
        <v>17</v>
      </c>
      <c r="E4689" t="s">
        <v>67</v>
      </c>
      <c r="F4689" t="s">
        <v>68</v>
      </c>
      <c r="G4689" t="s">
        <v>36</v>
      </c>
      <c r="H4689">
        <v>3</v>
      </c>
      <c r="I4689" s="2">
        <v>401.29</v>
      </c>
      <c r="J4689" s="2">
        <v>1203.8699999999999</v>
      </c>
      <c r="K4689" s="2">
        <f t="shared" si="220"/>
        <v>1203.8700000000001</v>
      </c>
      <c r="L4689" s="2">
        <f t="shared" si="221"/>
        <v>0</v>
      </c>
      <c r="M4689" t="s">
        <v>64</v>
      </c>
      <c r="N4689" t="s">
        <v>26</v>
      </c>
    </row>
    <row r="4690" spans="1:14" x14ac:dyDescent="0.3">
      <c r="A4690">
        <v>2024005688</v>
      </c>
      <c r="B4690" s="1">
        <v>45500</v>
      </c>
      <c r="C4690" s="11">
        <f t="shared" si="219"/>
        <v>2024</v>
      </c>
      <c r="D4690" t="s">
        <v>56</v>
      </c>
      <c r="E4690" t="s">
        <v>12</v>
      </c>
      <c r="F4690" t="s">
        <v>13</v>
      </c>
      <c r="G4690" t="s">
        <v>14</v>
      </c>
      <c r="H4690">
        <v>5</v>
      </c>
      <c r="I4690" s="2">
        <v>330.29</v>
      </c>
      <c r="J4690" s="2">
        <v>1651.45</v>
      </c>
      <c r="K4690" s="2">
        <f t="shared" si="220"/>
        <v>1651.45</v>
      </c>
      <c r="L4690" s="2">
        <f t="shared" si="221"/>
        <v>0</v>
      </c>
      <c r="M4690" t="s">
        <v>48</v>
      </c>
      <c r="N4690" t="s">
        <v>21</v>
      </c>
    </row>
    <row r="4691" spans="1:14" x14ac:dyDescent="0.3">
      <c r="A4691">
        <v>2024005689</v>
      </c>
      <c r="B4691" s="1">
        <v>45365</v>
      </c>
      <c r="C4691" s="11">
        <f t="shared" si="219"/>
        <v>2024</v>
      </c>
      <c r="D4691" t="s">
        <v>101</v>
      </c>
      <c r="E4691" t="s">
        <v>12</v>
      </c>
      <c r="F4691" t="s">
        <v>13</v>
      </c>
      <c r="G4691" t="s">
        <v>14</v>
      </c>
      <c r="H4691">
        <v>1</v>
      </c>
      <c r="I4691" s="2">
        <v>347.45</v>
      </c>
      <c r="J4691" s="2">
        <v>347.45</v>
      </c>
      <c r="K4691" s="2">
        <f t="shared" si="220"/>
        <v>347.45</v>
      </c>
      <c r="L4691" s="2">
        <f t="shared" si="221"/>
        <v>0</v>
      </c>
      <c r="M4691" t="s">
        <v>38</v>
      </c>
      <c r="N4691" t="s">
        <v>21</v>
      </c>
    </row>
    <row r="4692" spans="1:14" x14ac:dyDescent="0.3">
      <c r="A4692">
        <v>2024005690</v>
      </c>
      <c r="B4692" s="1">
        <v>45322</v>
      </c>
      <c r="C4692" s="11">
        <f t="shared" si="219"/>
        <v>2024</v>
      </c>
      <c r="D4692" t="s">
        <v>342</v>
      </c>
      <c r="E4692" t="s">
        <v>53</v>
      </c>
      <c r="F4692" t="s">
        <v>54</v>
      </c>
      <c r="G4692" t="s">
        <v>36</v>
      </c>
      <c r="H4692">
        <v>1</v>
      </c>
      <c r="I4692" s="2">
        <v>117.54</v>
      </c>
      <c r="J4692" s="2">
        <v>117.54</v>
      </c>
      <c r="K4692" s="2">
        <f t="shared" si="220"/>
        <v>117.54</v>
      </c>
      <c r="L4692" s="2">
        <f t="shared" si="221"/>
        <v>0</v>
      </c>
      <c r="M4692" t="s">
        <v>55</v>
      </c>
      <c r="N4692" t="s">
        <v>21</v>
      </c>
    </row>
    <row r="4693" spans="1:14" x14ac:dyDescent="0.3">
      <c r="A4693">
        <v>2024005691</v>
      </c>
      <c r="B4693" s="1">
        <v>45583</v>
      </c>
      <c r="C4693" s="11">
        <f t="shared" si="219"/>
        <v>2024</v>
      </c>
      <c r="D4693" t="s">
        <v>250</v>
      </c>
      <c r="E4693" t="s">
        <v>23</v>
      </c>
      <c r="F4693" t="s">
        <v>24</v>
      </c>
      <c r="G4693" t="s">
        <v>14</v>
      </c>
      <c r="H4693">
        <v>1</v>
      </c>
      <c r="I4693" s="2">
        <v>79.77</v>
      </c>
      <c r="J4693" s="2">
        <v>79.77</v>
      </c>
      <c r="K4693" s="2">
        <f t="shared" si="220"/>
        <v>79.77</v>
      </c>
      <c r="L4693" s="2">
        <f t="shared" si="221"/>
        <v>0</v>
      </c>
      <c r="M4693" t="s">
        <v>20</v>
      </c>
      <c r="N4693" t="s">
        <v>32</v>
      </c>
    </row>
    <row r="4694" spans="1:14" x14ac:dyDescent="0.3">
      <c r="A4694">
        <v>2024005692</v>
      </c>
      <c r="B4694" s="1">
        <v>45353</v>
      </c>
      <c r="C4694" s="11">
        <f t="shared" si="219"/>
        <v>2024</v>
      </c>
      <c r="D4694" t="s">
        <v>224</v>
      </c>
      <c r="E4694" t="s">
        <v>53</v>
      </c>
      <c r="F4694" t="s">
        <v>54</v>
      </c>
      <c r="G4694" t="s">
        <v>36</v>
      </c>
      <c r="H4694">
        <v>2</v>
      </c>
      <c r="I4694" s="2">
        <v>112.11</v>
      </c>
      <c r="J4694" s="2">
        <v>224.22</v>
      </c>
      <c r="K4694" s="2">
        <f t="shared" si="220"/>
        <v>224.22</v>
      </c>
      <c r="L4694" s="2">
        <f t="shared" si="221"/>
        <v>0</v>
      </c>
      <c r="M4694" t="s">
        <v>48</v>
      </c>
      <c r="N4694" t="s">
        <v>26</v>
      </c>
    </row>
    <row r="4695" spans="1:14" x14ac:dyDescent="0.3">
      <c r="A4695">
        <v>2024005693</v>
      </c>
      <c r="B4695" s="1">
        <v>45464</v>
      </c>
      <c r="C4695" s="11">
        <f t="shared" si="219"/>
        <v>2024</v>
      </c>
      <c r="D4695" t="s">
        <v>11</v>
      </c>
      <c r="E4695" t="s">
        <v>53</v>
      </c>
      <c r="F4695" t="s">
        <v>54</v>
      </c>
      <c r="G4695" t="s">
        <v>36</v>
      </c>
      <c r="H4695">
        <v>2</v>
      </c>
      <c r="I4695" s="2">
        <v>109.86</v>
      </c>
      <c r="J4695" s="2">
        <v>219.72</v>
      </c>
      <c r="K4695" s="2">
        <f t="shared" si="220"/>
        <v>219.72</v>
      </c>
      <c r="L4695" s="2">
        <f t="shared" si="221"/>
        <v>0</v>
      </c>
      <c r="M4695" t="s">
        <v>31</v>
      </c>
      <c r="N4695" t="s">
        <v>26</v>
      </c>
    </row>
    <row r="4696" spans="1:14" x14ac:dyDescent="0.3">
      <c r="A4696">
        <v>2024005694</v>
      </c>
      <c r="B4696" s="1">
        <v>45355</v>
      </c>
      <c r="C4696" s="11">
        <f t="shared" si="219"/>
        <v>2024</v>
      </c>
      <c r="D4696" t="s">
        <v>176</v>
      </c>
      <c r="E4696" t="s">
        <v>53</v>
      </c>
      <c r="F4696" t="s">
        <v>54</v>
      </c>
      <c r="G4696" t="s">
        <v>36</v>
      </c>
      <c r="H4696">
        <v>1</v>
      </c>
      <c r="I4696" s="2">
        <v>117.77</v>
      </c>
      <c r="J4696" s="2">
        <v>117.77</v>
      </c>
      <c r="K4696" s="2">
        <f t="shared" si="220"/>
        <v>117.77</v>
      </c>
      <c r="L4696" s="2">
        <f t="shared" si="221"/>
        <v>0</v>
      </c>
      <c r="M4696" t="s">
        <v>64</v>
      </c>
      <c r="N4696" t="s">
        <v>16</v>
      </c>
    </row>
    <row r="4697" spans="1:14" x14ac:dyDescent="0.3">
      <c r="A4697">
        <v>2024005695</v>
      </c>
      <c r="B4697" s="1">
        <v>45522</v>
      </c>
      <c r="C4697" s="11">
        <f t="shared" si="219"/>
        <v>2024</v>
      </c>
      <c r="D4697" t="s">
        <v>11</v>
      </c>
      <c r="E4697" t="s">
        <v>28</v>
      </c>
      <c r="F4697" t="s">
        <v>29</v>
      </c>
      <c r="G4697" t="s">
        <v>30</v>
      </c>
      <c r="H4697">
        <v>1</v>
      </c>
      <c r="I4697" s="2">
        <v>26.39</v>
      </c>
      <c r="J4697" s="2">
        <v>26.39</v>
      </c>
      <c r="K4697" s="2">
        <f t="shared" si="220"/>
        <v>26.39</v>
      </c>
      <c r="L4697" s="2">
        <f t="shared" si="221"/>
        <v>0</v>
      </c>
      <c r="M4697" t="s">
        <v>57</v>
      </c>
      <c r="N4697" t="s">
        <v>16</v>
      </c>
    </row>
    <row r="4698" spans="1:14" x14ac:dyDescent="0.3">
      <c r="A4698">
        <v>2024005696</v>
      </c>
      <c r="B4698" s="1">
        <v>45644</v>
      </c>
      <c r="C4698" s="11">
        <f t="shared" si="219"/>
        <v>2024</v>
      </c>
      <c r="D4698" t="s">
        <v>285</v>
      </c>
      <c r="E4698" t="s">
        <v>34</v>
      </c>
      <c r="F4698" t="s">
        <v>35</v>
      </c>
      <c r="G4698" t="s">
        <v>36</v>
      </c>
      <c r="H4698">
        <v>1</v>
      </c>
      <c r="I4698" s="2">
        <v>16.04</v>
      </c>
      <c r="J4698" s="2">
        <v>16.04</v>
      </c>
      <c r="K4698" s="2">
        <f t="shared" si="220"/>
        <v>16.04</v>
      </c>
      <c r="L4698" s="2">
        <f t="shared" si="221"/>
        <v>0</v>
      </c>
      <c r="M4698" t="s">
        <v>15</v>
      </c>
      <c r="N4698" t="s">
        <v>16</v>
      </c>
    </row>
    <row r="4699" spans="1:14" x14ac:dyDescent="0.3">
      <c r="A4699">
        <v>2024005697</v>
      </c>
      <c r="B4699" s="1">
        <v>45349</v>
      </c>
      <c r="C4699" s="11">
        <f t="shared" si="219"/>
        <v>2024</v>
      </c>
      <c r="D4699" t="s">
        <v>11</v>
      </c>
      <c r="E4699" t="s">
        <v>53</v>
      </c>
      <c r="F4699" t="s">
        <v>54</v>
      </c>
      <c r="G4699" t="s">
        <v>36</v>
      </c>
      <c r="H4699">
        <v>2</v>
      </c>
      <c r="I4699" s="2">
        <v>122.78</v>
      </c>
      <c r="J4699" s="2">
        <v>245.56</v>
      </c>
      <c r="K4699" s="2">
        <f t="shared" si="220"/>
        <v>245.56</v>
      </c>
      <c r="L4699" s="2">
        <f t="shared" si="221"/>
        <v>0</v>
      </c>
      <c r="M4699" t="s">
        <v>31</v>
      </c>
      <c r="N4699" t="s">
        <v>21</v>
      </c>
    </row>
    <row r="4700" spans="1:14" x14ac:dyDescent="0.3">
      <c r="A4700">
        <v>2024005698</v>
      </c>
      <c r="B4700" s="1">
        <v>45357</v>
      </c>
      <c r="C4700" s="11">
        <f t="shared" si="219"/>
        <v>2024</v>
      </c>
      <c r="D4700" t="s">
        <v>241</v>
      </c>
      <c r="E4700" t="s">
        <v>12</v>
      </c>
      <c r="F4700" t="s">
        <v>13</v>
      </c>
      <c r="G4700" t="s">
        <v>14</v>
      </c>
      <c r="H4700">
        <v>1</v>
      </c>
      <c r="I4700" s="2">
        <v>362.88</v>
      </c>
      <c r="J4700" s="2">
        <v>362.88</v>
      </c>
      <c r="K4700" s="2">
        <f t="shared" si="220"/>
        <v>362.88</v>
      </c>
      <c r="L4700" s="2">
        <f t="shared" si="221"/>
        <v>0</v>
      </c>
      <c r="M4700" t="s">
        <v>15</v>
      </c>
      <c r="N4700" t="s">
        <v>26</v>
      </c>
    </row>
    <row r="4701" spans="1:14" x14ac:dyDescent="0.3">
      <c r="A4701">
        <v>2024005699</v>
      </c>
      <c r="B4701" s="1">
        <v>45422</v>
      </c>
      <c r="C4701" s="11">
        <f t="shared" si="219"/>
        <v>2024</v>
      </c>
      <c r="D4701" t="s">
        <v>114</v>
      </c>
      <c r="E4701" t="s">
        <v>28</v>
      </c>
      <c r="F4701" t="s">
        <v>29</v>
      </c>
      <c r="G4701" t="s">
        <v>30</v>
      </c>
      <c r="H4701">
        <v>1</v>
      </c>
      <c r="I4701" s="2">
        <v>25.37</v>
      </c>
      <c r="J4701" s="2">
        <v>25.37</v>
      </c>
      <c r="K4701" s="2">
        <f t="shared" si="220"/>
        <v>25.37</v>
      </c>
      <c r="L4701" s="2">
        <f t="shared" si="221"/>
        <v>0</v>
      </c>
      <c r="M4701" t="s">
        <v>61</v>
      </c>
      <c r="N4701" t="s">
        <v>32</v>
      </c>
    </row>
    <row r="4702" spans="1:14" x14ac:dyDescent="0.3">
      <c r="A4702">
        <v>2024005700</v>
      </c>
      <c r="B4702" s="1">
        <v>45641</v>
      </c>
      <c r="C4702" s="11">
        <f t="shared" si="219"/>
        <v>2024</v>
      </c>
      <c r="D4702" t="s">
        <v>120</v>
      </c>
      <c r="E4702" t="s">
        <v>43</v>
      </c>
      <c r="F4702" t="s">
        <v>44</v>
      </c>
      <c r="G4702" t="s">
        <v>36</v>
      </c>
      <c r="H4702">
        <v>1</v>
      </c>
      <c r="I4702" s="2">
        <v>1179.23</v>
      </c>
      <c r="J4702" s="2">
        <v>1179.23</v>
      </c>
      <c r="K4702" s="2">
        <f t="shared" si="220"/>
        <v>1179.23</v>
      </c>
      <c r="L4702" s="2">
        <f t="shared" si="221"/>
        <v>0</v>
      </c>
      <c r="M4702" t="s">
        <v>15</v>
      </c>
      <c r="N4702" t="s">
        <v>21</v>
      </c>
    </row>
    <row r="4703" spans="1:14" x14ac:dyDescent="0.3">
      <c r="A4703">
        <v>2024005701</v>
      </c>
      <c r="B4703" s="1">
        <v>45235</v>
      </c>
      <c r="C4703" s="11">
        <f t="shared" si="219"/>
        <v>2023</v>
      </c>
      <c r="D4703" t="s">
        <v>225</v>
      </c>
      <c r="E4703" t="s">
        <v>12</v>
      </c>
      <c r="F4703" t="s">
        <v>13</v>
      </c>
      <c r="G4703" t="s">
        <v>14</v>
      </c>
      <c r="H4703">
        <v>1</v>
      </c>
      <c r="I4703" s="2">
        <v>316.76</v>
      </c>
      <c r="J4703" s="2">
        <v>316.76</v>
      </c>
      <c r="K4703" s="2">
        <f t="shared" si="220"/>
        <v>316.76</v>
      </c>
      <c r="L4703" s="2">
        <f t="shared" si="221"/>
        <v>0</v>
      </c>
      <c r="M4703" t="s">
        <v>61</v>
      </c>
      <c r="N4703" t="s">
        <v>21</v>
      </c>
    </row>
    <row r="4704" spans="1:14" x14ac:dyDescent="0.3">
      <c r="A4704">
        <v>2024005702</v>
      </c>
      <c r="B4704" s="1">
        <v>45338</v>
      </c>
      <c r="C4704" s="11">
        <f t="shared" si="219"/>
        <v>2024</v>
      </c>
      <c r="D4704" t="s">
        <v>148</v>
      </c>
      <c r="E4704" t="s">
        <v>40</v>
      </c>
      <c r="F4704" t="s">
        <v>41</v>
      </c>
      <c r="G4704" t="s">
        <v>36</v>
      </c>
      <c r="H4704">
        <v>1</v>
      </c>
      <c r="I4704" s="2">
        <v>45.53</v>
      </c>
      <c r="J4704" s="2">
        <v>45.53</v>
      </c>
      <c r="K4704" s="2">
        <f t="shared" si="220"/>
        <v>45.53</v>
      </c>
      <c r="L4704" s="2">
        <f t="shared" si="221"/>
        <v>0</v>
      </c>
      <c r="M4704" t="s">
        <v>55</v>
      </c>
      <c r="N4704" t="s">
        <v>32</v>
      </c>
    </row>
    <row r="4705" spans="1:14" x14ac:dyDescent="0.3">
      <c r="A4705">
        <v>2024005703</v>
      </c>
      <c r="B4705" s="1">
        <v>45334</v>
      </c>
      <c r="C4705" s="11">
        <f t="shared" si="219"/>
        <v>2024</v>
      </c>
      <c r="D4705" t="s">
        <v>306</v>
      </c>
      <c r="E4705" t="s">
        <v>12</v>
      </c>
      <c r="F4705" t="s">
        <v>13</v>
      </c>
      <c r="G4705" t="s">
        <v>14</v>
      </c>
      <c r="H4705">
        <v>1</v>
      </c>
      <c r="I4705" s="2">
        <v>360.52</v>
      </c>
      <c r="J4705" s="2">
        <v>360.52</v>
      </c>
      <c r="K4705" s="2">
        <f t="shared" si="220"/>
        <v>360.52</v>
      </c>
      <c r="L4705" s="2">
        <f t="shared" si="221"/>
        <v>0</v>
      </c>
      <c r="M4705" t="s">
        <v>64</v>
      </c>
      <c r="N4705" t="s">
        <v>21</v>
      </c>
    </row>
    <row r="4706" spans="1:14" x14ac:dyDescent="0.3">
      <c r="A4706">
        <v>2024005704</v>
      </c>
      <c r="B4706" s="1">
        <v>45377</v>
      </c>
      <c r="C4706" s="11">
        <f t="shared" si="219"/>
        <v>2024</v>
      </c>
      <c r="D4706" t="s">
        <v>11</v>
      </c>
      <c r="E4706" t="s">
        <v>12</v>
      </c>
      <c r="F4706" t="s">
        <v>13</v>
      </c>
      <c r="G4706" t="s">
        <v>14</v>
      </c>
      <c r="H4706">
        <v>1</v>
      </c>
      <c r="I4706" s="2">
        <v>324.20999999999998</v>
      </c>
      <c r="J4706" s="2">
        <v>324.20999999999998</v>
      </c>
      <c r="K4706" s="2">
        <f t="shared" si="220"/>
        <v>324.20999999999998</v>
      </c>
      <c r="L4706" s="2">
        <f t="shared" si="221"/>
        <v>0</v>
      </c>
      <c r="M4706" t="s">
        <v>25</v>
      </c>
      <c r="N4706" t="s">
        <v>26</v>
      </c>
    </row>
    <row r="4707" spans="1:14" x14ac:dyDescent="0.3">
      <c r="A4707">
        <v>2024005705</v>
      </c>
      <c r="B4707" s="1">
        <v>45561</v>
      </c>
      <c r="C4707" s="11">
        <f t="shared" si="219"/>
        <v>2024</v>
      </c>
      <c r="D4707" t="s">
        <v>163</v>
      </c>
      <c r="E4707" t="s">
        <v>67</v>
      </c>
      <c r="F4707" t="s">
        <v>68</v>
      </c>
      <c r="G4707" t="s">
        <v>36</v>
      </c>
      <c r="H4707">
        <v>4</v>
      </c>
      <c r="I4707" s="2">
        <v>390.45</v>
      </c>
      <c r="J4707" s="2">
        <v>1561.8</v>
      </c>
      <c r="K4707" s="2">
        <f t="shared" si="220"/>
        <v>1561.8</v>
      </c>
      <c r="L4707" s="2">
        <f t="shared" si="221"/>
        <v>0</v>
      </c>
      <c r="M4707" t="s">
        <v>38</v>
      </c>
      <c r="N4707" t="s">
        <v>26</v>
      </c>
    </row>
    <row r="4708" spans="1:14" x14ac:dyDescent="0.3">
      <c r="A4708">
        <v>2024005706</v>
      </c>
      <c r="B4708" s="1">
        <v>45589</v>
      </c>
      <c r="C4708" s="11">
        <f t="shared" si="219"/>
        <v>2024</v>
      </c>
      <c r="D4708" t="s">
        <v>11</v>
      </c>
      <c r="E4708" t="s">
        <v>53</v>
      </c>
      <c r="F4708" t="s">
        <v>54</v>
      </c>
      <c r="G4708" t="s">
        <v>36</v>
      </c>
      <c r="H4708">
        <v>3</v>
      </c>
      <c r="I4708" s="2">
        <v>115.83</v>
      </c>
      <c r="J4708" s="2">
        <v>347.49</v>
      </c>
      <c r="K4708" s="2">
        <f t="shared" si="220"/>
        <v>347.49</v>
      </c>
      <c r="L4708" s="2">
        <f t="shared" si="221"/>
        <v>0</v>
      </c>
      <c r="M4708" t="s">
        <v>38</v>
      </c>
      <c r="N4708" t="s">
        <v>32</v>
      </c>
    </row>
    <row r="4709" spans="1:14" x14ac:dyDescent="0.3">
      <c r="A4709">
        <v>2024005707</v>
      </c>
      <c r="B4709" s="1">
        <v>45632</v>
      </c>
      <c r="C4709" s="11">
        <f t="shared" si="219"/>
        <v>2024</v>
      </c>
      <c r="D4709" t="s">
        <v>11</v>
      </c>
      <c r="E4709" t="s">
        <v>18</v>
      </c>
      <c r="F4709" t="s">
        <v>19</v>
      </c>
      <c r="G4709" t="s">
        <v>14</v>
      </c>
      <c r="H4709">
        <v>1</v>
      </c>
      <c r="I4709" s="2">
        <v>578.78</v>
      </c>
      <c r="J4709" s="2">
        <v>578.78</v>
      </c>
      <c r="K4709" s="2">
        <f t="shared" si="220"/>
        <v>578.78</v>
      </c>
      <c r="L4709" s="2">
        <f t="shared" si="221"/>
        <v>0</v>
      </c>
      <c r="M4709" t="s">
        <v>25</v>
      </c>
      <c r="N4709" t="s">
        <v>32</v>
      </c>
    </row>
    <row r="4710" spans="1:14" x14ac:dyDescent="0.3">
      <c r="A4710">
        <v>2024005708</v>
      </c>
      <c r="B4710" s="1">
        <v>45557</v>
      </c>
      <c r="C4710" s="11">
        <f t="shared" si="219"/>
        <v>2024</v>
      </c>
      <c r="D4710" t="s">
        <v>127</v>
      </c>
      <c r="E4710" t="s">
        <v>46</v>
      </c>
      <c r="F4710" t="s">
        <v>47</v>
      </c>
      <c r="G4710" t="s">
        <v>36</v>
      </c>
      <c r="H4710">
        <v>2</v>
      </c>
      <c r="I4710" s="2">
        <v>91.51</v>
      </c>
      <c r="J4710" s="2">
        <v>183.02</v>
      </c>
      <c r="K4710" s="2">
        <f t="shared" si="220"/>
        <v>183.02</v>
      </c>
      <c r="L4710" s="2">
        <f t="shared" si="221"/>
        <v>0</v>
      </c>
      <c r="M4710" t="s">
        <v>48</v>
      </c>
      <c r="N4710" t="s">
        <v>16</v>
      </c>
    </row>
    <row r="4711" spans="1:14" x14ac:dyDescent="0.3">
      <c r="A4711">
        <v>2024005709</v>
      </c>
      <c r="B4711" s="1">
        <v>45335</v>
      </c>
      <c r="C4711" s="11">
        <f t="shared" si="219"/>
        <v>2024</v>
      </c>
      <c r="D4711" t="s">
        <v>269</v>
      </c>
      <c r="E4711" t="s">
        <v>23</v>
      </c>
      <c r="F4711" t="s">
        <v>24</v>
      </c>
      <c r="G4711" t="s">
        <v>14</v>
      </c>
      <c r="H4711">
        <v>2</v>
      </c>
      <c r="I4711" s="2">
        <v>72.95</v>
      </c>
      <c r="J4711" s="2">
        <v>145.9</v>
      </c>
      <c r="K4711" s="2">
        <f t="shared" si="220"/>
        <v>145.9</v>
      </c>
      <c r="L4711" s="2">
        <f t="shared" si="221"/>
        <v>0</v>
      </c>
      <c r="M4711" t="s">
        <v>61</v>
      </c>
      <c r="N4711" t="s">
        <v>32</v>
      </c>
    </row>
    <row r="4712" spans="1:14" x14ac:dyDescent="0.3">
      <c r="A4712">
        <v>2024005710</v>
      </c>
      <c r="B4712" s="1">
        <v>45361</v>
      </c>
      <c r="C4712" s="11">
        <f t="shared" si="219"/>
        <v>2024</v>
      </c>
      <c r="D4712" t="s">
        <v>62</v>
      </c>
      <c r="E4712" t="s">
        <v>28</v>
      </c>
      <c r="F4712" t="s">
        <v>29</v>
      </c>
      <c r="G4712" t="s">
        <v>30</v>
      </c>
      <c r="H4712">
        <v>3</v>
      </c>
      <c r="I4712" s="2">
        <v>26.15</v>
      </c>
      <c r="J4712" s="2">
        <v>78.45</v>
      </c>
      <c r="K4712" s="2">
        <f t="shared" si="220"/>
        <v>78.449999999999989</v>
      </c>
      <c r="L4712" s="2">
        <f t="shared" si="221"/>
        <v>0</v>
      </c>
      <c r="M4712" t="s">
        <v>55</v>
      </c>
      <c r="N4712" t="s">
        <v>16</v>
      </c>
    </row>
    <row r="4713" spans="1:14" x14ac:dyDescent="0.3">
      <c r="A4713">
        <v>2024005711</v>
      </c>
      <c r="B4713" s="1">
        <v>45444</v>
      </c>
      <c r="C4713" s="11">
        <f t="shared" si="219"/>
        <v>2024</v>
      </c>
      <c r="D4713" t="s">
        <v>192</v>
      </c>
      <c r="E4713" t="s">
        <v>67</v>
      </c>
      <c r="F4713" t="s">
        <v>68</v>
      </c>
      <c r="G4713" t="s">
        <v>36</v>
      </c>
      <c r="H4713">
        <v>2</v>
      </c>
      <c r="I4713" s="2">
        <v>406.12</v>
      </c>
      <c r="J4713" s="2">
        <v>812.24</v>
      </c>
      <c r="K4713" s="2">
        <f t="shared" si="220"/>
        <v>812.24</v>
      </c>
      <c r="L4713" s="2">
        <f t="shared" si="221"/>
        <v>0</v>
      </c>
      <c r="M4713" t="s">
        <v>25</v>
      </c>
      <c r="N4713" t="s">
        <v>16</v>
      </c>
    </row>
    <row r="4714" spans="1:14" x14ac:dyDescent="0.3">
      <c r="A4714">
        <v>2024005712</v>
      </c>
      <c r="B4714" s="1">
        <v>45441</v>
      </c>
      <c r="C4714" s="11">
        <f t="shared" si="219"/>
        <v>2024</v>
      </c>
      <c r="D4714" t="s">
        <v>225</v>
      </c>
      <c r="E4714" t="s">
        <v>67</v>
      </c>
      <c r="F4714" t="s">
        <v>68</v>
      </c>
      <c r="G4714" t="s">
        <v>36</v>
      </c>
      <c r="H4714">
        <v>1</v>
      </c>
      <c r="I4714" s="2">
        <v>396.34</v>
      </c>
      <c r="J4714" s="2">
        <v>396.34</v>
      </c>
      <c r="K4714" s="2">
        <f t="shared" si="220"/>
        <v>396.34</v>
      </c>
      <c r="L4714" s="2">
        <f t="shared" si="221"/>
        <v>0</v>
      </c>
      <c r="M4714" t="s">
        <v>31</v>
      </c>
      <c r="N4714" t="s">
        <v>21</v>
      </c>
    </row>
    <row r="4715" spans="1:14" x14ac:dyDescent="0.3">
      <c r="A4715">
        <v>2024005713</v>
      </c>
      <c r="B4715" s="1">
        <v>45354</v>
      </c>
      <c r="C4715" s="11">
        <f t="shared" si="219"/>
        <v>2024</v>
      </c>
      <c r="D4715" t="s">
        <v>79</v>
      </c>
      <c r="E4715" t="s">
        <v>28</v>
      </c>
      <c r="F4715" t="s">
        <v>29</v>
      </c>
      <c r="G4715" t="s">
        <v>30</v>
      </c>
      <c r="H4715">
        <v>2</v>
      </c>
      <c r="I4715" s="2">
        <v>24.13</v>
      </c>
      <c r="J4715" s="2">
        <v>48.26</v>
      </c>
      <c r="K4715" s="2">
        <f t="shared" si="220"/>
        <v>48.26</v>
      </c>
      <c r="L4715" s="2">
        <f t="shared" si="221"/>
        <v>0</v>
      </c>
      <c r="M4715" t="s">
        <v>57</v>
      </c>
      <c r="N4715" t="s">
        <v>16</v>
      </c>
    </row>
    <row r="4716" spans="1:14" x14ac:dyDescent="0.3">
      <c r="A4716">
        <v>2024005714</v>
      </c>
      <c r="B4716" s="1">
        <v>45452</v>
      </c>
      <c r="C4716" s="11">
        <f t="shared" si="219"/>
        <v>2024</v>
      </c>
      <c r="D4716" t="s">
        <v>259</v>
      </c>
      <c r="E4716" t="s">
        <v>18</v>
      </c>
      <c r="F4716" t="s">
        <v>19</v>
      </c>
      <c r="G4716" t="s">
        <v>14</v>
      </c>
      <c r="H4716">
        <v>4</v>
      </c>
      <c r="I4716" s="2">
        <v>605.19000000000005</v>
      </c>
      <c r="J4716" s="2">
        <v>2420.7600000000002</v>
      </c>
      <c r="K4716" s="2">
        <f t="shared" si="220"/>
        <v>2420.7600000000002</v>
      </c>
      <c r="L4716" s="2">
        <f t="shared" si="221"/>
        <v>0</v>
      </c>
      <c r="M4716" t="s">
        <v>38</v>
      </c>
      <c r="N4716" t="s">
        <v>26</v>
      </c>
    </row>
    <row r="4717" spans="1:14" x14ac:dyDescent="0.3">
      <c r="A4717">
        <v>2024005715</v>
      </c>
      <c r="B4717" s="1">
        <v>45533</v>
      </c>
      <c r="C4717" s="11">
        <f t="shared" si="219"/>
        <v>2024</v>
      </c>
      <c r="D4717" t="s">
        <v>199</v>
      </c>
      <c r="E4717" t="s">
        <v>43</v>
      </c>
      <c r="F4717" t="s">
        <v>44</v>
      </c>
      <c r="G4717" t="s">
        <v>36</v>
      </c>
      <c r="H4717">
        <v>3</v>
      </c>
      <c r="I4717" s="2">
        <v>1562.75</v>
      </c>
      <c r="J4717" s="2">
        <v>4688.25</v>
      </c>
      <c r="K4717" s="2">
        <f t="shared" si="220"/>
        <v>4688.25</v>
      </c>
      <c r="L4717" s="2">
        <f t="shared" si="221"/>
        <v>0</v>
      </c>
      <c r="M4717" t="s">
        <v>25</v>
      </c>
      <c r="N4717" t="s">
        <v>32</v>
      </c>
    </row>
    <row r="4718" spans="1:14" x14ac:dyDescent="0.3">
      <c r="A4718">
        <v>2024005716</v>
      </c>
      <c r="B4718" s="1">
        <v>45320</v>
      </c>
      <c r="C4718" s="11">
        <f t="shared" si="219"/>
        <v>2024</v>
      </c>
      <c r="D4718" t="s">
        <v>11</v>
      </c>
      <c r="E4718" t="s">
        <v>12</v>
      </c>
      <c r="F4718" t="s">
        <v>13</v>
      </c>
      <c r="G4718" t="s">
        <v>14</v>
      </c>
      <c r="H4718">
        <v>1</v>
      </c>
      <c r="I4718" s="2">
        <v>356.35</v>
      </c>
      <c r="J4718" s="2">
        <v>356.35</v>
      </c>
      <c r="K4718" s="2">
        <f t="shared" si="220"/>
        <v>356.35</v>
      </c>
      <c r="L4718" s="2">
        <f t="shared" si="221"/>
        <v>0</v>
      </c>
      <c r="M4718" t="s">
        <v>64</v>
      </c>
      <c r="N4718" t="s">
        <v>16</v>
      </c>
    </row>
    <row r="4719" spans="1:14" x14ac:dyDescent="0.3">
      <c r="A4719">
        <v>2024005717</v>
      </c>
      <c r="B4719" s="1">
        <v>45310</v>
      </c>
      <c r="C4719" s="11">
        <f t="shared" si="219"/>
        <v>2024</v>
      </c>
      <c r="D4719" t="s">
        <v>106</v>
      </c>
      <c r="E4719" t="s">
        <v>28</v>
      </c>
      <c r="F4719" t="s">
        <v>29</v>
      </c>
      <c r="G4719" t="s">
        <v>30</v>
      </c>
      <c r="H4719">
        <v>2</v>
      </c>
      <c r="I4719" s="2">
        <v>26.14</v>
      </c>
      <c r="J4719" s="2">
        <v>52.28</v>
      </c>
      <c r="K4719" s="2">
        <f t="shared" si="220"/>
        <v>52.28</v>
      </c>
      <c r="L4719" s="2">
        <f t="shared" si="221"/>
        <v>0</v>
      </c>
      <c r="M4719" t="s">
        <v>57</v>
      </c>
      <c r="N4719" t="s">
        <v>32</v>
      </c>
    </row>
    <row r="4720" spans="1:14" x14ac:dyDescent="0.3">
      <c r="A4720">
        <v>2024005718</v>
      </c>
      <c r="B4720" s="1">
        <v>45299</v>
      </c>
      <c r="C4720" s="11">
        <f t="shared" si="219"/>
        <v>2024</v>
      </c>
      <c r="D4720" t="s">
        <v>222</v>
      </c>
      <c r="E4720" t="s">
        <v>23</v>
      </c>
      <c r="F4720" t="s">
        <v>24</v>
      </c>
      <c r="G4720" t="s">
        <v>14</v>
      </c>
      <c r="H4720">
        <v>2</v>
      </c>
      <c r="I4720" s="2">
        <v>76.59</v>
      </c>
      <c r="J4720" s="2">
        <v>153.18</v>
      </c>
      <c r="K4720" s="2">
        <f t="shared" si="220"/>
        <v>153.18</v>
      </c>
      <c r="L4720" s="2">
        <f t="shared" si="221"/>
        <v>0</v>
      </c>
      <c r="M4720" t="s">
        <v>61</v>
      </c>
      <c r="N4720" t="s">
        <v>21</v>
      </c>
    </row>
    <row r="4721" spans="1:14" x14ac:dyDescent="0.3">
      <c r="A4721">
        <v>2024005719</v>
      </c>
      <c r="B4721" s="1">
        <v>45612</v>
      </c>
      <c r="C4721" s="11">
        <f t="shared" si="219"/>
        <v>2024</v>
      </c>
      <c r="D4721" t="s">
        <v>33</v>
      </c>
      <c r="E4721" t="s">
        <v>40</v>
      </c>
      <c r="F4721" t="s">
        <v>41</v>
      </c>
      <c r="G4721" t="s">
        <v>36</v>
      </c>
      <c r="H4721">
        <v>3</v>
      </c>
      <c r="I4721" s="2">
        <v>47.11</v>
      </c>
      <c r="J4721" s="2">
        <v>141.33000000000001</v>
      </c>
      <c r="K4721" s="2">
        <f t="shared" si="220"/>
        <v>141.32999999999998</v>
      </c>
      <c r="L4721" s="2">
        <f t="shared" si="221"/>
        <v>0</v>
      </c>
      <c r="M4721" t="s">
        <v>64</v>
      </c>
      <c r="N4721" t="s">
        <v>32</v>
      </c>
    </row>
    <row r="4722" spans="1:14" x14ac:dyDescent="0.3">
      <c r="A4722">
        <v>2024005720</v>
      </c>
      <c r="B4722" s="1">
        <v>45415</v>
      </c>
      <c r="C4722" s="11">
        <f t="shared" si="219"/>
        <v>2024</v>
      </c>
      <c r="D4722" t="s">
        <v>341</v>
      </c>
      <c r="E4722" t="s">
        <v>18</v>
      </c>
      <c r="F4722" t="s">
        <v>19</v>
      </c>
      <c r="G4722" t="s">
        <v>14</v>
      </c>
      <c r="H4722">
        <v>2</v>
      </c>
      <c r="I4722" s="2">
        <v>609.17999999999995</v>
      </c>
      <c r="J4722" s="2">
        <v>1218.3599999999999</v>
      </c>
      <c r="K4722" s="2">
        <f t="shared" si="220"/>
        <v>1218.3599999999999</v>
      </c>
      <c r="L4722" s="2">
        <f t="shared" si="221"/>
        <v>0</v>
      </c>
      <c r="M4722" t="s">
        <v>55</v>
      </c>
      <c r="N4722" t="s">
        <v>26</v>
      </c>
    </row>
    <row r="4723" spans="1:14" x14ac:dyDescent="0.3">
      <c r="A4723">
        <v>2024005721</v>
      </c>
      <c r="B4723" s="1">
        <v>45450</v>
      </c>
      <c r="C4723" s="11">
        <f t="shared" si="219"/>
        <v>2024</v>
      </c>
      <c r="D4723" t="s">
        <v>193</v>
      </c>
      <c r="E4723" t="s">
        <v>67</v>
      </c>
      <c r="F4723" t="s">
        <v>68</v>
      </c>
      <c r="G4723" t="s">
        <v>36</v>
      </c>
      <c r="H4723">
        <v>3</v>
      </c>
      <c r="I4723" s="2">
        <v>360.16</v>
      </c>
      <c r="J4723" s="2">
        <v>1080.48</v>
      </c>
      <c r="K4723" s="2">
        <f t="shared" si="220"/>
        <v>1080.48</v>
      </c>
      <c r="L4723" s="2">
        <f t="shared" si="221"/>
        <v>0</v>
      </c>
      <c r="M4723" t="s">
        <v>38</v>
      </c>
      <c r="N4723" t="s">
        <v>32</v>
      </c>
    </row>
    <row r="4724" spans="1:14" x14ac:dyDescent="0.3">
      <c r="A4724">
        <v>2024005722</v>
      </c>
      <c r="B4724" s="1">
        <v>45454</v>
      </c>
      <c r="C4724" s="11">
        <f t="shared" si="219"/>
        <v>2024</v>
      </c>
      <c r="D4724" t="s">
        <v>105</v>
      </c>
      <c r="E4724" t="s">
        <v>40</v>
      </c>
      <c r="F4724" t="s">
        <v>41</v>
      </c>
      <c r="G4724" t="s">
        <v>36</v>
      </c>
      <c r="H4724">
        <v>2</v>
      </c>
      <c r="I4724" s="2">
        <v>43.74</v>
      </c>
      <c r="J4724" s="2">
        <v>87.48</v>
      </c>
      <c r="K4724" s="2">
        <f t="shared" si="220"/>
        <v>87.48</v>
      </c>
      <c r="L4724" s="2">
        <f t="shared" si="221"/>
        <v>0</v>
      </c>
      <c r="M4724" t="s">
        <v>25</v>
      </c>
      <c r="N4724" t="s">
        <v>16</v>
      </c>
    </row>
    <row r="4725" spans="1:14" x14ac:dyDescent="0.3">
      <c r="A4725">
        <v>2024005723</v>
      </c>
      <c r="B4725" s="1">
        <v>45348</v>
      </c>
      <c r="C4725" s="11">
        <f t="shared" si="219"/>
        <v>2024</v>
      </c>
      <c r="D4725" t="s">
        <v>93</v>
      </c>
      <c r="E4725" t="s">
        <v>46</v>
      </c>
      <c r="F4725" t="s">
        <v>47</v>
      </c>
      <c r="G4725" t="s">
        <v>36</v>
      </c>
      <c r="H4725">
        <v>1</v>
      </c>
      <c r="I4725" s="2">
        <v>95.04</v>
      </c>
      <c r="J4725" s="2">
        <v>95.04</v>
      </c>
      <c r="K4725" s="2">
        <f t="shared" si="220"/>
        <v>95.04</v>
      </c>
      <c r="L4725" s="2">
        <f t="shared" si="221"/>
        <v>0</v>
      </c>
      <c r="M4725" t="s">
        <v>31</v>
      </c>
      <c r="N4725" t="s">
        <v>16</v>
      </c>
    </row>
    <row r="4726" spans="1:14" x14ac:dyDescent="0.3">
      <c r="A4726">
        <v>2024005724</v>
      </c>
      <c r="B4726" s="1">
        <v>45376</v>
      </c>
      <c r="C4726" s="11">
        <f t="shared" si="219"/>
        <v>2024</v>
      </c>
      <c r="D4726" t="s">
        <v>170</v>
      </c>
      <c r="E4726" t="s">
        <v>23</v>
      </c>
      <c r="F4726" t="s">
        <v>24</v>
      </c>
      <c r="G4726" t="s">
        <v>14</v>
      </c>
      <c r="H4726">
        <v>2</v>
      </c>
      <c r="I4726" s="2">
        <v>73.900000000000006</v>
      </c>
      <c r="J4726" s="2">
        <v>147.80000000000001</v>
      </c>
      <c r="K4726" s="2">
        <f t="shared" si="220"/>
        <v>147.80000000000001</v>
      </c>
      <c r="L4726" s="2">
        <f t="shared" si="221"/>
        <v>0</v>
      </c>
      <c r="M4726" t="s">
        <v>15</v>
      </c>
      <c r="N4726" t="s">
        <v>16</v>
      </c>
    </row>
    <row r="4727" spans="1:14" x14ac:dyDescent="0.3">
      <c r="A4727">
        <v>2024005725</v>
      </c>
      <c r="B4727" s="1">
        <v>45613</v>
      </c>
      <c r="C4727" s="11">
        <f t="shared" si="219"/>
        <v>2024</v>
      </c>
      <c r="D4727" t="s">
        <v>262</v>
      </c>
      <c r="E4727" t="s">
        <v>28</v>
      </c>
      <c r="F4727" t="s">
        <v>29</v>
      </c>
      <c r="G4727" t="s">
        <v>30</v>
      </c>
      <c r="H4727">
        <v>5</v>
      </c>
      <c r="I4727" s="2">
        <v>27.12</v>
      </c>
      <c r="J4727" s="2">
        <v>135.6</v>
      </c>
      <c r="K4727" s="2">
        <f t="shared" si="220"/>
        <v>135.6</v>
      </c>
      <c r="L4727" s="2">
        <f t="shared" si="221"/>
        <v>0</v>
      </c>
      <c r="M4727" t="s">
        <v>20</v>
      </c>
      <c r="N4727" t="s">
        <v>26</v>
      </c>
    </row>
    <row r="4728" spans="1:14" x14ac:dyDescent="0.3">
      <c r="A4728">
        <v>2024005726</v>
      </c>
      <c r="B4728" s="1">
        <v>45347</v>
      </c>
      <c r="C4728" s="11">
        <f t="shared" si="219"/>
        <v>2024</v>
      </c>
      <c r="D4728" t="s">
        <v>223</v>
      </c>
      <c r="E4728" t="s">
        <v>18</v>
      </c>
      <c r="F4728" t="s">
        <v>19</v>
      </c>
      <c r="G4728" t="s">
        <v>14</v>
      </c>
      <c r="H4728">
        <v>2</v>
      </c>
      <c r="I4728" s="2">
        <v>614.19000000000005</v>
      </c>
      <c r="J4728" s="2">
        <v>1228.3800000000001</v>
      </c>
      <c r="K4728" s="2">
        <f t="shared" si="220"/>
        <v>1228.3800000000001</v>
      </c>
      <c r="L4728" s="2">
        <f t="shared" si="221"/>
        <v>0</v>
      </c>
      <c r="M4728" t="s">
        <v>64</v>
      </c>
      <c r="N4728" t="s">
        <v>26</v>
      </c>
    </row>
    <row r="4729" spans="1:14" x14ac:dyDescent="0.3">
      <c r="A4729">
        <v>2024005727</v>
      </c>
      <c r="B4729" s="1">
        <v>45562</v>
      </c>
      <c r="C4729" s="11">
        <f t="shared" si="219"/>
        <v>2024</v>
      </c>
      <c r="D4729" t="s">
        <v>50</v>
      </c>
      <c r="E4729" t="s">
        <v>53</v>
      </c>
      <c r="F4729" t="s">
        <v>54</v>
      </c>
      <c r="G4729" t="s">
        <v>36</v>
      </c>
      <c r="H4729">
        <v>3</v>
      </c>
      <c r="I4729" s="2">
        <v>116.75</v>
      </c>
      <c r="J4729" s="2">
        <v>350.25</v>
      </c>
      <c r="K4729" s="2">
        <f t="shared" si="220"/>
        <v>350.25</v>
      </c>
      <c r="L4729" s="2">
        <f t="shared" si="221"/>
        <v>0</v>
      </c>
      <c r="M4729" t="s">
        <v>20</v>
      </c>
      <c r="N4729" t="s">
        <v>21</v>
      </c>
    </row>
    <row r="4730" spans="1:14" x14ac:dyDescent="0.3">
      <c r="A4730">
        <v>2024005728</v>
      </c>
      <c r="B4730" s="1">
        <v>45553</v>
      </c>
      <c r="C4730" s="11">
        <f t="shared" si="219"/>
        <v>2024</v>
      </c>
      <c r="D4730" t="s">
        <v>11</v>
      </c>
      <c r="E4730" t="s">
        <v>12</v>
      </c>
      <c r="F4730" t="s">
        <v>13</v>
      </c>
      <c r="G4730" t="s">
        <v>14</v>
      </c>
      <c r="H4730">
        <v>1</v>
      </c>
      <c r="I4730" s="2">
        <v>366.38</v>
      </c>
      <c r="J4730" s="2">
        <v>366.38</v>
      </c>
      <c r="K4730" s="2">
        <f t="shared" si="220"/>
        <v>366.38</v>
      </c>
      <c r="L4730" s="2">
        <f t="shared" si="221"/>
        <v>0</v>
      </c>
      <c r="M4730" t="s">
        <v>57</v>
      </c>
      <c r="N4730" t="s">
        <v>26</v>
      </c>
    </row>
    <row r="4731" spans="1:14" x14ac:dyDescent="0.3">
      <c r="A4731">
        <v>2024005729</v>
      </c>
      <c r="B4731" s="1">
        <v>45624</v>
      </c>
      <c r="C4731" s="11">
        <f t="shared" si="219"/>
        <v>2024</v>
      </c>
      <c r="D4731" t="s">
        <v>11</v>
      </c>
      <c r="E4731" t="s">
        <v>40</v>
      </c>
      <c r="F4731" t="s">
        <v>41</v>
      </c>
      <c r="G4731" t="s">
        <v>36</v>
      </c>
      <c r="H4731">
        <v>2</v>
      </c>
      <c r="I4731" s="2">
        <v>47.88</v>
      </c>
      <c r="J4731" s="2">
        <v>95.76</v>
      </c>
      <c r="K4731" s="2">
        <f t="shared" si="220"/>
        <v>95.76</v>
      </c>
      <c r="L4731" s="2">
        <f t="shared" si="221"/>
        <v>0</v>
      </c>
      <c r="M4731" t="s">
        <v>25</v>
      </c>
      <c r="N4731" t="s">
        <v>32</v>
      </c>
    </row>
    <row r="4732" spans="1:14" x14ac:dyDescent="0.3">
      <c r="A4732">
        <v>2024005730</v>
      </c>
      <c r="B4732" s="1">
        <v>45581</v>
      </c>
      <c r="C4732" s="11">
        <f t="shared" si="219"/>
        <v>2024</v>
      </c>
      <c r="D4732" t="s">
        <v>204</v>
      </c>
      <c r="E4732" t="s">
        <v>28</v>
      </c>
      <c r="F4732" t="s">
        <v>29</v>
      </c>
      <c r="G4732" t="s">
        <v>30</v>
      </c>
      <c r="H4732">
        <v>2</v>
      </c>
      <c r="I4732" s="2">
        <v>23.38</v>
      </c>
      <c r="J4732" s="2">
        <v>46.76</v>
      </c>
      <c r="K4732" s="2">
        <f t="shared" si="220"/>
        <v>46.76</v>
      </c>
      <c r="L4732" s="2">
        <f t="shared" si="221"/>
        <v>0</v>
      </c>
      <c r="M4732" t="s">
        <v>64</v>
      </c>
      <c r="N4732" t="s">
        <v>26</v>
      </c>
    </row>
    <row r="4733" spans="1:14" x14ac:dyDescent="0.3">
      <c r="A4733">
        <v>2024005731</v>
      </c>
      <c r="B4733" s="1">
        <v>45523</v>
      </c>
      <c r="C4733" s="11">
        <f t="shared" si="219"/>
        <v>2024</v>
      </c>
      <c r="D4733" t="s">
        <v>241</v>
      </c>
      <c r="E4733" t="s">
        <v>34</v>
      </c>
      <c r="F4733" t="s">
        <v>35</v>
      </c>
      <c r="G4733" t="s">
        <v>36</v>
      </c>
      <c r="H4733">
        <v>1</v>
      </c>
      <c r="I4733" s="2">
        <v>14.73</v>
      </c>
      <c r="J4733" s="2">
        <v>14.73</v>
      </c>
      <c r="K4733" s="2">
        <f t="shared" si="220"/>
        <v>14.73</v>
      </c>
      <c r="L4733" s="2">
        <f t="shared" si="221"/>
        <v>0</v>
      </c>
      <c r="M4733" t="s">
        <v>20</v>
      </c>
      <c r="N4733" t="s">
        <v>32</v>
      </c>
    </row>
    <row r="4734" spans="1:14" x14ac:dyDescent="0.3">
      <c r="A4734">
        <v>2024005732</v>
      </c>
      <c r="B4734" s="1">
        <v>45513</v>
      </c>
      <c r="C4734" s="11">
        <f t="shared" si="219"/>
        <v>2024</v>
      </c>
      <c r="D4734" t="s">
        <v>292</v>
      </c>
      <c r="E4734" t="s">
        <v>18</v>
      </c>
      <c r="F4734" t="s">
        <v>19</v>
      </c>
      <c r="G4734" t="s">
        <v>14</v>
      </c>
      <c r="H4734">
        <v>2</v>
      </c>
      <c r="I4734" s="2">
        <v>604.09</v>
      </c>
      <c r="J4734" s="2">
        <v>1208.18</v>
      </c>
      <c r="K4734" s="2">
        <f t="shared" si="220"/>
        <v>1208.18</v>
      </c>
      <c r="L4734" s="2">
        <f t="shared" si="221"/>
        <v>0</v>
      </c>
      <c r="M4734" t="s">
        <v>15</v>
      </c>
      <c r="N4734" t="s">
        <v>26</v>
      </c>
    </row>
    <row r="4735" spans="1:14" x14ac:dyDescent="0.3">
      <c r="A4735">
        <v>2024005733</v>
      </c>
      <c r="B4735" s="1">
        <v>45461</v>
      </c>
      <c r="C4735" s="11">
        <f t="shared" si="219"/>
        <v>2024</v>
      </c>
      <c r="D4735" t="s">
        <v>189</v>
      </c>
      <c r="E4735" t="s">
        <v>53</v>
      </c>
      <c r="F4735" t="s">
        <v>54</v>
      </c>
      <c r="G4735" t="s">
        <v>36</v>
      </c>
      <c r="H4735">
        <v>1</v>
      </c>
      <c r="I4735" s="2">
        <v>128.5</v>
      </c>
      <c r="J4735" s="2">
        <v>128.5</v>
      </c>
      <c r="K4735" s="2">
        <f t="shared" si="220"/>
        <v>128.5</v>
      </c>
      <c r="L4735" s="2">
        <f t="shared" si="221"/>
        <v>0</v>
      </c>
      <c r="M4735" t="s">
        <v>57</v>
      </c>
      <c r="N4735" t="s">
        <v>21</v>
      </c>
    </row>
    <row r="4736" spans="1:14" x14ac:dyDescent="0.3">
      <c r="A4736">
        <v>2024005734</v>
      </c>
      <c r="B4736" s="1">
        <v>45623</v>
      </c>
      <c r="C4736" s="11">
        <f t="shared" si="219"/>
        <v>2024</v>
      </c>
      <c r="D4736" t="s">
        <v>78</v>
      </c>
      <c r="E4736" t="s">
        <v>12</v>
      </c>
      <c r="F4736" t="s">
        <v>13</v>
      </c>
      <c r="G4736" t="s">
        <v>14</v>
      </c>
      <c r="H4736">
        <v>1</v>
      </c>
      <c r="I4736" s="2">
        <v>344.43</v>
      </c>
      <c r="J4736" s="2">
        <v>344.43</v>
      </c>
      <c r="K4736" s="2">
        <f t="shared" si="220"/>
        <v>344.43</v>
      </c>
      <c r="L4736" s="2">
        <f t="shared" si="221"/>
        <v>0</v>
      </c>
      <c r="M4736" t="s">
        <v>25</v>
      </c>
      <c r="N4736" t="s">
        <v>26</v>
      </c>
    </row>
    <row r="4737" spans="1:14" x14ac:dyDescent="0.3">
      <c r="A4737">
        <v>2024005735</v>
      </c>
      <c r="B4737" s="1">
        <v>45454</v>
      </c>
      <c r="C4737" s="11">
        <f t="shared" si="219"/>
        <v>2024</v>
      </c>
      <c r="D4737" t="s">
        <v>344</v>
      </c>
      <c r="E4737" t="s">
        <v>40</v>
      </c>
      <c r="F4737" t="s">
        <v>41</v>
      </c>
      <c r="G4737" t="s">
        <v>36</v>
      </c>
      <c r="H4737">
        <v>1</v>
      </c>
      <c r="I4737" s="2">
        <v>46.64</v>
      </c>
      <c r="J4737" s="2">
        <v>46.64</v>
      </c>
      <c r="K4737" s="2">
        <f t="shared" si="220"/>
        <v>46.64</v>
      </c>
      <c r="L4737" s="2">
        <f t="shared" si="221"/>
        <v>0</v>
      </c>
      <c r="M4737" t="s">
        <v>61</v>
      </c>
      <c r="N4737" t="s">
        <v>26</v>
      </c>
    </row>
    <row r="4738" spans="1:14" x14ac:dyDescent="0.3">
      <c r="A4738">
        <v>2024005736</v>
      </c>
      <c r="B4738" s="1">
        <v>45294</v>
      </c>
      <c r="C4738" s="11">
        <f t="shared" si="219"/>
        <v>2024</v>
      </c>
      <c r="D4738" t="s">
        <v>274</v>
      </c>
      <c r="E4738" t="s">
        <v>53</v>
      </c>
      <c r="F4738" t="s">
        <v>54</v>
      </c>
      <c r="G4738" t="s">
        <v>36</v>
      </c>
      <c r="H4738">
        <v>3</v>
      </c>
      <c r="I4738" s="2">
        <v>114.91</v>
      </c>
      <c r="J4738" s="2">
        <v>344.73</v>
      </c>
      <c r="K4738" s="2">
        <f t="shared" si="220"/>
        <v>344.73</v>
      </c>
      <c r="L4738" s="2">
        <f t="shared" si="221"/>
        <v>0</v>
      </c>
      <c r="M4738" t="s">
        <v>61</v>
      </c>
      <c r="N4738" t="s">
        <v>32</v>
      </c>
    </row>
    <row r="4739" spans="1:14" x14ac:dyDescent="0.3">
      <c r="A4739">
        <v>2024005737</v>
      </c>
      <c r="B4739" s="1">
        <v>45531</v>
      </c>
      <c r="C4739" s="11">
        <f t="shared" ref="C4739:C4802" si="222">YEAR(B4739)</f>
        <v>2024</v>
      </c>
      <c r="D4739" t="s">
        <v>288</v>
      </c>
      <c r="E4739" t="s">
        <v>18</v>
      </c>
      <c r="F4739" t="s">
        <v>19</v>
      </c>
      <c r="G4739" t="s">
        <v>14</v>
      </c>
      <c r="H4739">
        <v>1</v>
      </c>
      <c r="I4739" s="2">
        <v>575.98</v>
      </c>
      <c r="J4739" s="2">
        <v>575.98</v>
      </c>
      <c r="K4739" s="2">
        <f t="shared" ref="K4739:K4802" si="223">I4739*H4739</f>
        <v>575.98</v>
      </c>
      <c r="L4739" s="2">
        <f t="shared" ref="L4739:L4802" si="224">J4739-K4739</f>
        <v>0</v>
      </c>
      <c r="M4739" t="s">
        <v>15</v>
      </c>
      <c r="N4739" t="s">
        <v>16</v>
      </c>
    </row>
    <row r="4740" spans="1:14" x14ac:dyDescent="0.3">
      <c r="A4740">
        <v>2024005738</v>
      </c>
      <c r="B4740" s="1">
        <v>45309</v>
      </c>
      <c r="C4740" s="11">
        <f t="shared" si="222"/>
        <v>2024</v>
      </c>
      <c r="D4740" t="s">
        <v>122</v>
      </c>
      <c r="E4740" t="s">
        <v>18</v>
      </c>
      <c r="F4740" t="s">
        <v>19</v>
      </c>
      <c r="G4740" t="s">
        <v>14</v>
      </c>
      <c r="H4740">
        <v>2</v>
      </c>
      <c r="I4740" s="2">
        <v>652.02</v>
      </c>
      <c r="J4740" s="2">
        <v>1304.04</v>
      </c>
      <c r="K4740" s="2">
        <f t="shared" si="223"/>
        <v>1304.04</v>
      </c>
      <c r="L4740" s="2">
        <f t="shared" si="224"/>
        <v>0</v>
      </c>
      <c r="M4740" t="s">
        <v>38</v>
      </c>
      <c r="N4740" t="s">
        <v>21</v>
      </c>
    </row>
    <row r="4741" spans="1:14" x14ac:dyDescent="0.3">
      <c r="A4741">
        <v>2024005739</v>
      </c>
      <c r="B4741" s="1">
        <v>45554</v>
      </c>
      <c r="C4741" s="11">
        <f t="shared" si="222"/>
        <v>2024</v>
      </c>
      <c r="D4741" t="s">
        <v>118</v>
      </c>
      <c r="E4741" t="s">
        <v>28</v>
      </c>
      <c r="F4741" t="s">
        <v>29</v>
      </c>
      <c r="G4741" t="s">
        <v>30</v>
      </c>
      <c r="H4741">
        <v>2</v>
      </c>
      <c r="I4741" s="2">
        <v>26.6</v>
      </c>
      <c r="J4741" s="2">
        <v>53.2</v>
      </c>
      <c r="K4741" s="2">
        <f t="shared" si="223"/>
        <v>53.2</v>
      </c>
      <c r="L4741" s="2">
        <f t="shared" si="224"/>
        <v>0</v>
      </c>
      <c r="M4741" t="s">
        <v>61</v>
      </c>
      <c r="N4741" t="s">
        <v>32</v>
      </c>
    </row>
    <row r="4742" spans="1:14" x14ac:dyDescent="0.3">
      <c r="A4742">
        <v>2024005740</v>
      </c>
      <c r="B4742" s="1">
        <v>45450</v>
      </c>
      <c r="C4742" s="11">
        <f t="shared" si="222"/>
        <v>2024</v>
      </c>
      <c r="D4742" t="s">
        <v>116</v>
      </c>
      <c r="E4742" t="s">
        <v>34</v>
      </c>
      <c r="F4742" t="s">
        <v>35</v>
      </c>
      <c r="G4742" t="s">
        <v>36</v>
      </c>
      <c r="H4742">
        <v>1</v>
      </c>
      <c r="I4742" s="2">
        <v>15.78</v>
      </c>
      <c r="J4742" s="2">
        <v>15.78</v>
      </c>
      <c r="K4742" s="2">
        <f t="shared" si="223"/>
        <v>15.78</v>
      </c>
      <c r="L4742" s="2">
        <f t="shared" si="224"/>
        <v>0</v>
      </c>
      <c r="M4742" t="s">
        <v>64</v>
      </c>
      <c r="N4742" t="s">
        <v>16</v>
      </c>
    </row>
    <row r="4743" spans="1:14" x14ac:dyDescent="0.3">
      <c r="A4743">
        <v>2024005741</v>
      </c>
      <c r="B4743" s="1">
        <v>45448</v>
      </c>
      <c r="C4743" s="11">
        <f t="shared" si="222"/>
        <v>2024</v>
      </c>
      <c r="D4743" t="s">
        <v>254</v>
      </c>
      <c r="E4743" t="s">
        <v>53</v>
      </c>
      <c r="F4743" t="s">
        <v>54</v>
      </c>
      <c r="G4743" t="s">
        <v>36</v>
      </c>
      <c r="H4743">
        <v>2</v>
      </c>
      <c r="I4743" s="2">
        <v>128.21</v>
      </c>
      <c r="J4743" s="2">
        <v>256.42</v>
      </c>
      <c r="K4743" s="2">
        <f t="shared" si="223"/>
        <v>256.42</v>
      </c>
      <c r="L4743" s="2">
        <f t="shared" si="224"/>
        <v>0</v>
      </c>
      <c r="M4743" t="s">
        <v>31</v>
      </c>
      <c r="N4743" t="s">
        <v>26</v>
      </c>
    </row>
    <row r="4744" spans="1:14" x14ac:dyDescent="0.3">
      <c r="A4744">
        <v>2024005742</v>
      </c>
      <c r="B4744" s="1">
        <v>45378</v>
      </c>
      <c r="C4744" s="11">
        <f t="shared" si="222"/>
        <v>2024</v>
      </c>
      <c r="D4744" t="s">
        <v>171</v>
      </c>
      <c r="E4744" t="s">
        <v>43</v>
      </c>
      <c r="F4744" t="s">
        <v>44</v>
      </c>
      <c r="G4744" t="s">
        <v>36</v>
      </c>
      <c r="H4744">
        <v>4</v>
      </c>
      <c r="I4744" s="2">
        <v>1329.07</v>
      </c>
      <c r="J4744" s="2">
        <v>5316.28</v>
      </c>
      <c r="K4744" s="2">
        <f t="shared" si="223"/>
        <v>5316.28</v>
      </c>
      <c r="L4744" s="2">
        <f t="shared" si="224"/>
        <v>0</v>
      </c>
      <c r="M4744" t="s">
        <v>64</v>
      </c>
      <c r="N4744" t="s">
        <v>26</v>
      </c>
    </row>
    <row r="4745" spans="1:14" x14ac:dyDescent="0.3">
      <c r="A4745">
        <v>2024005743</v>
      </c>
      <c r="B4745" s="1">
        <v>45297</v>
      </c>
      <c r="C4745" s="11">
        <f t="shared" si="222"/>
        <v>2024</v>
      </c>
      <c r="D4745" t="s">
        <v>321</v>
      </c>
      <c r="E4745" t="s">
        <v>43</v>
      </c>
      <c r="F4745" t="s">
        <v>44</v>
      </c>
      <c r="G4745" t="s">
        <v>36</v>
      </c>
      <c r="H4745">
        <v>2</v>
      </c>
      <c r="I4745" s="2">
        <v>1284.5899999999999</v>
      </c>
      <c r="J4745" s="2">
        <v>2569.1799999999998</v>
      </c>
      <c r="K4745" s="2">
        <f t="shared" si="223"/>
        <v>2569.1799999999998</v>
      </c>
      <c r="L4745" s="2">
        <f t="shared" si="224"/>
        <v>0</v>
      </c>
      <c r="M4745" t="s">
        <v>20</v>
      </c>
      <c r="N4745" t="s">
        <v>26</v>
      </c>
    </row>
    <row r="4746" spans="1:14" x14ac:dyDescent="0.3">
      <c r="A4746">
        <v>2024005744</v>
      </c>
      <c r="B4746" s="1">
        <v>45589</v>
      </c>
      <c r="C4746" s="11">
        <f t="shared" si="222"/>
        <v>2024</v>
      </c>
      <c r="D4746" t="s">
        <v>313</v>
      </c>
      <c r="E4746" t="s">
        <v>12</v>
      </c>
      <c r="F4746" t="s">
        <v>13</v>
      </c>
      <c r="G4746" t="s">
        <v>14</v>
      </c>
      <c r="H4746">
        <v>1</v>
      </c>
      <c r="I4746" s="2">
        <v>359.71</v>
      </c>
      <c r="J4746" s="2">
        <v>359.71</v>
      </c>
      <c r="K4746" s="2">
        <f t="shared" si="223"/>
        <v>359.71</v>
      </c>
      <c r="L4746" s="2">
        <f t="shared" si="224"/>
        <v>0</v>
      </c>
      <c r="M4746" t="s">
        <v>20</v>
      </c>
      <c r="N4746" t="s">
        <v>26</v>
      </c>
    </row>
    <row r="4747" spans="1:14" x14ac:dyDescent="0.3">
      <c r="A4747">
        <v>2024005745</v>
      </c>
      <c r="B4747" s="1">
        <v>45568</v>
      </c>
      <c r="C4747" s="11">
        <f t="shared" si="222"/>
        <v>2024</v>
      </c>
      <c r="D4747" t="s">
        <v>246</v>
      </c>
      <c r="E4747" t="s">
        <v>46</v>
      </c>
      <c r="F4747" t="s">
        <v>47</v>
      </c>
      <c r="G4747" t="s">
        <v>36</v>
      </c>
      <c r="H4747">
        <v>3</v>
      </c>
      <c r="I4747" s="2">
        <v>84.07</v>
      </c>
      <c r="J4747" s="2">
        <v>252.21</v>
      </c>
      <c r="K4747" s="2">
        <f t="shared" si="223"/>
        <v>252.20999999999998</v>
      </c>
      <c r="L4747" s="2">
        <f t="shared" si="224"/>
        <v>0</v>
      </c>
      <c r="M4747" t="s">
        <v>61</v>
      </c>
      <c r="N4747" t="s">
        <v>21</v>
      </c>
    </row>
    <row r="4748" spans="1:14" x14ac:dyDescent="0.3">
      <c r="A4748">
        <v>2024005746</v>
      </c>
      <c r="B4748" s="1">
        <v>45403</v>
      </c>
      <c r="C4748" s="11">
        <f t="shared" si="222"/>
        <v>2024</v>
      </c>
      <c r="D4748" t="s">
        <v>148</v>
      </c>
      <c r="E4748" t="s">
        <v>23</v>
      </c>
      <c r="F4748" t="s">
        <v>24</v>
      </c>
      <c r="G4748" t="s">
        <v>14</v>
      </c>
      <c r="H4748">
        <v>1</v>
      </c>
      <c r="I4748" s="2">
        <v>78.349999999999994</v>
      </c>
      <c r="J4748" s="2">
        <v>78.349999999999994</v>
      </c>
      <c r="K4748" s="2">
        <f t="shared" si="223"/>
        <v>78.349999999999994</v>
      </c>
      <c r="L4748" s="2">
        <f t="shared" si="224"/>
        <v>0</v>
      </c>
      <c r="M4748" t="s">
        <v>20</v>
      </c>
      <c r="N4748" t="s">
        <v>21</v>
      </c>
    </row>
    <row r="4749" spans="1:14" x14ac:dyDescent="0.3">
      <c r="A4749">
        <v>2024005747</v>
      </c>
      <c r="B4749" s="1">
        <v>45495</v>
      </c>
      <c r="C4749" s="11">
        <f t="shared" si="222"/>
        <v>2024</v>
      </c>
      <c r="D4749" t="s">
        <v>291</v>
      </c>
      <c r="E4749" t="s">
        <v>28</v>
      </c>
      <c r="F4749" t="s">
        <v>29</v>
      </c>
      <c r="G4749" t="s">
        <v>30</v>
      </c>
      <c r="H4749">
        <v>1</v>
      </c>
      <c r="I4749" s="2">
        <v>25.04</v>
      </c>
      <c r="J4749" s="2">
        <v>25.04</v>
      </c>
      <c r="K4749" s="2">
        <f t="shared" si="223"/>
        <v>25.04</v>
      </c>
      <c r="L4749" s="2">
        <f t="shared" si="224"/>
        <v>0</v>
      </c>
      <c r="M4749" t="s">
        <v>61</v>
      </c>
      <c r="N4749" t="s">
        <v>32</v>
      </c>
    </row>
    <row r="4750" spans="1:14" x14ac:dyDescent="0.3">
      <c r="A4750">
        <v>2024005748</v>
      </c>
      <c r="B4750" s="1">
        <v>45587</v>
      </c>
      <c r="C4750" s="11">
        <f t="shared" si="222"/>
        <v>2024</v>
      </c>
      <c r="D4750" t="s">
        <v>108</v>
      </c>
      <c r="E4750" t="s">
        <v>67</v>
      </c>
      <c r="F4750" t="s">
        <v>68</v>
      </c>
      <c r="G4750" t="s">
        <v>36</v>
      </c>
      <c r="H4750">
        <v>1</v>
      </c>
      <c r="I4750" s="2">
        <v>396.16</v>
      </c>
      <c r="J4750" s="2">
        <v>396.16</v>
      </c>
      <c r="K4750" s="2">
        <f t="shared" si="223"/>
        <v>396.16</v>
      </c>
      <c r="L4750" s="2">
        <f t="shared" si="224"/>
        <v>0</v>
      </c>
      <c r="M4750" t="s">
        <v>38</v>
      </c>
      <c r="N4750" t="s">
        <v>21</v>
      </c>
    </row>
    <row r="4751" spans="1:14" x14ac:dyDescent="0.3">
      <c r="A4751">
        <v>2024005749</v>
      </c>
      <c r="B4751" s="1">
        <v>45312</v>
      </c>
      <c r="C4751" s="11">
        <f t="shared" si="222"/>
        <v>2024</v>
      </c>
      <c r="D4751" t="s">
        <v>126</v>
      </c>
      <c r="E4751" t="s">
        <v>40</v>
      </c>
      <c r="F4751" t="s">
        <v>41</v>
      </c>
      <c r="G4751" t="s">
        <v>36</v>
      </c>
      <c r="H4751">
        <v>3</v>
      </c>
      <c r="I4751" s="2">
        <v>46.02</v>
      </c>
      <c r="J4751" s="2">
        <v>138.06</v>
      </c>
      <c r="K4751" s="2">
        <f t="shared" si="223"/>
        <v>138.06</v>
      </c>
      <c r="L4751" s="2">
        <f t="shared" si="224"/>
        <v>0</v>
      </c>
      <c r="M4751" t="s">
        <v>48</v>
      </c>
      <c r="N4751" t="s">
        <v>21</v>
      </c>
    </row>
    <row r="4752" spans="1:14" x14ac:dyDescent="0.3">
      <c r="A4752">
        <v>2024005750</v>
      </c>
      <c r="B4752" s="1">
        <v>45570</v>
      </c>
      <c r="C4752" s="11">
        <f t="shared" si="222"/>
        <v>2024</v>
      </c>
      <c r="D4752" t="s">
        <v>278</v>
      </c>
      <c r="E4752" t="s">
        <v>67</v>
      </c>
      <c r="F4752" t="s">
        <v>68</v>
      </c>
      <c r="G4752" t="s">
        <v>36</v>
      </c>
      <c r="H4752">
        <v>2</v>
      </c>
      <c r="I4752" s="2">
        <v>426.16</v>
      </c>
      <c r="J4752" s="2">
        <v>852.32</v>
      </c>
      <c r="K4752" s="2">
        <f t="shared" si="223"/>
        <v>852.32</v>
      </c>
      <c r="L4752" s="2">
        <f t="shared" si="224"/>
        <v>0</v>
      </c>
      <c r="M4752" t="s">
        <v>38</v>
      </c>
      <c r="N4752" t="s">
        <v>26</v>
      </c>
    </row>
    <row r="4753" spans="1:14" x14ac:dyDescent="0.3">
      <c r="A4753">
        <v>2024005751</v>
      </c>
      <c r="B4753" s="1">
        <v>45546</v>
      </c>
      <c r="C4753" s="11">
        <f t="shared" si="222"/>
        <v>2024</v>
      </c>
      <c r="D4753" t="s">
        <v>11</v>
      </c>
      <c r="E4753" t="s">
        <v>34</v>
      </c>
      <c r="F4753" t="s">
        <v>35</v>
      </c>
      <c r="G4753" t="s">
        <v>36</v>
      </c>
      <c r="H4753">
        <v>4</v>
      </c>
      <c r="I4753" s="2">
        <v>14.75</v>
      </c>
      <c r="J4753" s="2">
        <v>59</v>
      </c>
      <c r="K4753" s="2">
        <f t="shared" si="223"/>
        <v>59</v>
      </c>
      <c r="L4753" s="2">
        <f t="shared" si="224"/>
        <v>0</v>
      </c>
      <c r="M4753" t="s">
        <v>20</v>
      </c>
      <c r="N4753" t="s">
        <v>21</v>
      </c>
    </row>
    <row r="4754" spans="1:14" x14ac:dyDescent="0.3">
      <c r="A4754">
        <v>2024005752</v>
      </c>
      <c r="B4754" s="1">
        <v>45598</v>
      </c>
      <c r="C4754" s="11">
        <f t="shared" si="222"/>
        <v>2024</v>
      </c>
      <c r="D4754" t="s">
        <v>72</v>
      </c>
      <c r="E4754" t="s">
        <v>28</v>
      </c>
      <c r="F4754" t="s">
        <v>29</v>
      </c>
      <c r="G4754" t="s">
        <v>30</v>
      </c>
      <c r="H4754">
        <v>2</v>
      </c>
      <c r="I4754" s="2">
        <v>22.53</v>
      </c>
      <c r="J4754" s="2">
        <v>45.06</v>
      </c>
      <c r="K4754" s="2">
        <f t="shared" si="223"/>
        <v>45.06</v>
      </c>
      <c r="L4754" s="2">
        <f t="shared" si="224"/>
        <v>0</v>
      </c>
      <c r="M4754" t="s">
        <v>38</v>
      </c>
      <c r="N4754" t="s">
        <v>16</v>
      </c>
    </row>
    <row r="4755" spans="1:14" x14ac:dyDescent="0.3">
      <c r="A4755">
        <v>2024005753</v>
      </c>
      <c r="B4755" s="1">
        <v>45322</v>
      </c>
      <c r="C4755" s="11">
        <f t="shared" si="222"/>
        <v>2024</v>
      </c>
      <c r="D4755" t="s">
        <v>11</v>
      </c>
      <c r="E4755" t="s">
        <v>40</v>
      </c>
      <c r="F4755" t="s">
        <v>41</v>
      </c>
      <c r="G4755" t="s">
        <v>36</v>
      </c>
      <c r="H4755">
        <v>3</v>
      </c>
      <c r="I4755" s="2">
        <v>44.58</v>
      </c>
      <c r="J4755" s="2">
        <v>133.74</v>
      </c>
      <c r="K4755" s="2">
        <f t="shared" si="223"/>
        <v>133.74</v>
      </c>
      <c r="L4755" s="2">
        <f t="shared" si="224"/>
        <v>0</v>
      </c>
      <c r="M4755" t="s">
        <v>57</v>
      </c>
      <c r="N4755" t="s">
        <v>26</v>
      </c>
    </row>
    <row r="4756" spans="1:14" x14ac:dyDescent="0.3">
      <c r="A4756">
        <v>2024005754</v>
      </c>
      <c r="B4756" s="1">
        <v>45482</v>
      </c>
      <c r="C4756" s="11">
        <f t="shared" si="222"/>
        <v>2024</v>
      </c>
      <c r="D4756" t="s">
        <v>162</v>
      </c>
      <c r="E4756" t="s">
        <v>46</v>
      </c>
      <c r="F4756" t="s">
        <v>47</v>
      </c>
      <c r="G4756" t="s">
        <v>36</v>
      </c>
      <c r="H4756">
        <v>3</v>
      </c>
      <c r="I4756" s="2">
        <v>92.57</v>
      </c>
      <c r="J4756" s="2">
        <v>277.70999999999998</v>
      </c>
      <c r="K4756" s="2">
        <f t="shared" si="223"/>
        <v>277.70999999999998</v>
      </c>
      <c r="L4756" s="2">
        <f t="shared" si="224"/>
        <v>0</v>
      </c>
      <c r="M4756" t="s">
        <v>38</v>
      </c>
      <c r="N4756" t="s">
        <v>21</v>
      </c>
    </row>
    <row r="4757" spans="1:14" x14ac:dyDescent="0.3">
      <c r="A4757">
        <v>2024005755</v>
      </c>
      <c r="B4757" s="1">
        <v>45541</v>
      </c>
      <c r="C4757" s="11">
        <f t="shared" si="222"/>
        <v>2024</v>
      </c>
      <c r="D4757" t="s">
        <v>11</v>
      </c>
      <c r="E4757" t="s">
        <v>34</v>
      </c>
      <c r="F4757" t="s">
        <v>35</v>
      </c>
      <c r="G4757" t="s">
        <v>36</v>
      </c>
      <c r="H4757">
        <v>2</v>
      </c>
      <c r="I4757" s="2">
        <v>15.39</v>
      </c>
      <c r="J4757" s="2">
        <v>30.78</v>
      </c>
      <c r="K4757" s="2">
        <f t="shared" si="223"/>
        <v>30.78</v>
      </c>
      <c r="L4757" s="2">
        <f t="shared" si="224"/>
        <v>0</v>
      </c>
      <c r="M4757" t="s">
        <v>55</v>
      </c>
      <c r="N4757" t="s">
        <v>32</v>
      </c>
    </row>
    <row r="4758" spans="1:14" x14ac:dyDescent="0.3">
      <c r="A4758">
        <v>2024005756</v>
      </c>
      <c r="B4758" s="1">
        <v>45586</v>
      </c>
      <c r="C4758" s="11">
        <f t="shared" si="222"/>
        <v>2024</v>
      </c>
      <c r="D4758" t="s">
        <v>144</v>
      </c>
      <c r="E4758" t="s">
        <v>53</v>
      </c>
      <c r="F4758" t="s">
        <v>54</v>
      </c>
      <c r="G4758" t="s">
        <v>36</v>
      </c>
      <c r="H4758">
        <v>1</v>
      </c>
      <c r="I4758" s="2">
        <v>115.63</v>
      </c>
      <c r="J4758" s="2">
        <v>115.63</v>
      </c>
      <c r="K4758" s="2">
        <f t="shared" si="223"/>
        <v>115.63</v>
      </c>
      <c r="L4758" s="2">
        <f t="shared" si="224"/>
        <v>0</v>
      </c>
      <c r="M4758" t="s">
        <v>20</v>
      </c>
      <c r="N4758" t="s">
        <v>26</v>
      </c>
    </row>
    <row r="4759" spans="1:14" x14ac:dyDescent="0.3">
      <c r="A4759">
        <v>2024005757</v>
      </c>
      <c r="B4759" s="1">
        <v>45423</v>
      </c>
      <c r="C4759" s="11">
        <f t="shared" si="222"/>
        <v>2024</v>
      </c>
      <c r="D4759" t="s">
        <v>11</v>
      </c>
      <c r="E4759" t="s">
        <v>43</v>
      </c>
      <c r="F4759" t="s">
        <v>44</v>
      </c>
      <c r="G4759" t="s">
        <v>36</v>
      </c>
      <c r="H4759">
        <v>1</v>
      </c>
      <c r="I4759" s="2">
        <v>1226.8699999999999</v>
      </c>
      <c r="J4759" s="2">
        <v>1226.8699999999999</v>
      </c>
      <c r="K4759" s="2">
        <f t="shared" si="223"/>
        <v>1226.8699999999999</v>
      </c>
      <c r="L4759" s="2">
        <f t="shared" si="224"/>
        <v>0</v>
      </c>
      <c r="M4759" t="s">
        <v>20</v>
      </c>
      <c r="N4759" t="s">
        <v>32</v>
      </c>
    </row>
    <row r="4760" spans="1:14" x14ac:dyDescent="0.3">
      <c r="A4760">
        <v>2024005758</v>
      </c>
      <c r="B4760" s="1">
        <v>45322</v>
      </c>
      <c r="C4760" s="11">
        <f t="shared" si="222"/>
        <v>2024</v>
      </c>
      <c r="D4760" t="s">
        <v>148</v>
      </c>
      <c r="E4760" t="s">
        <v>40</v>
      </c>
      <c r="F4760" t="s">
        <v>41</v>
      </c>
      <c r="G4760" t="s">
        <v>36</v>
      </c>
      <c r="H4760">
        <v>1</v>
      </c>
      <c r="I4760" s="2">
        <v>45.28</v>
      </c>
      <c r="J4760" s="2">
        <v>45.28</v>
      </c>
      <c r="K4760" s="2">
        <f t="shared" si="223"/>
        <v>45.28</v>
      </c>
      <c r="L4760" s="2">
        <f t="shared" si="224"/>
        <v>0</v>
      </c>
      <c r="M4760" t="s">
        <v>15</v>
      </c>
      <c r="N4760" t="s">
        <v>21</v>
      </c>
    </row>
    <row r="4761" spans="1:14" x14ac:dyDescent="0.3">
      <c r="A4761">
        <v>2024005759</v>
      </c>
      <c r="B4761" s="1">
        <v>45623</v>
      </c>
      <c r="C4761" s="11">
        <f t="shared" si="222"/>
        <v>2024</v>
      </c>
      <c r="D4761" t="s">
        <v>191</v>
      </c>
      <c r="E4761" t="s">
        <v>46</v>
      </c>
      <c r="F4761" t="s">
        <v>47</v>
      </c>
      <c r="G4761" t="s">
        <v>36</v>
      </c>
      <c r="H4761">
        <v>1</v>
      </c>
      <c r="I4761" s="2">
        <v>89.71</v>
      </c>
      <c r="J4761" s="2">
        <v>89.71</v>
      </c>
      <c r="K4761" s="2">
        <f t="shared" si="223"/>
        <v>89.71</v>
      </c>
      <c r="L4761" s="2">
        <f t="shared" si="224"/>
        <v>0</v>
      </c>
      <c r="M4761" t="s">
        <v>38</v>
      </c>
      <c r="N4761" t="s">
        <v>26</v>
      </c>
    </row>
    <row r="4762" spans="1:14" x14ac:dyDescent="0.3">
      <c r="A4762">
        <v>2024005760</v>
      </c>
      <c r="B4762" s="1">
        <v>45532</v>
      </c>
      <c r="C4762" s="11">
        <f t="shared" si="222"/>
        <v>2024</v>
      </c>
      <c r="D4762" t="s">
        <v>180</v>
      </c>
      <c r="E4762" t="s">
        <v>18</v>
      </c>
      <c r="F4762" t="s">
        <v>19</v>
      </c>
      <c r="G4762" t="s">
        <v>14</v>
      </c>
      <c r="H4762">
        <v>1</v>
      </c>
      <c r="I4762" s="2">
        <v>583.58000000000004</v>
      </c>
      <c r="J4762" s="2">
        <v>583.58000000000004</v>
      </c>
      <c r="K4762" s="2">
        <f t="shared" si="223"/>
        <v>583.58000000000004</v>
      </c>
      <c r="L4762" s="2">
        <f t="shared" si="224"/>
        <v>0</v>
      </c>
      <c r="M4762" t="s">
        <v>61</v>
      </c>
      <c r="N4762" t="s">
        <v>32</v>
      </c>
    </row>
    <row r="4763" spans="1:14" x14ac:dyDescent="0.3">
      <c r="A4763">
        <v>2024005761</v>
      </c>
      <c r="B4763" s="1">
        <v>45391</v>
      </c>
      <c r="C4763" s="11">
        <f t="shared" si="222"/>
        <v>2024</v>
      </c>
      <c r="D4763" t="s">
        <v>11</v>
      </c>
      <c r="E4763" t="s">
        <v>28</v>
      </c>
      <c r="F4763" t="s">
        <v>29</v>
      </c>
      <c r="G4763" t="s">
        <v>30</v>
      </c>
      <c r="H4763">
        <v>1</v>
      </c>
      <c r="I4763" s="2">
        <v>24.83</v>
      </c>
      <c r="J4763" s="2">
        <v>24.83</v>
      </c>
      <c r="K4763" s="2">
        <f t="shared" si="223"/>
        <v>24.83</v>
      </c>
      <c r="L4763" s="2">
        <f t="shared" si="224"/>
        <v>0</v>
      </c>
      <c r="M4763" t="s">
        <v>64</v>
      </c>
      <c r="N4763" t="s">
        <v>21</v>
      </c>
    </row>
    <row r="4764" spans="1:14" x14ac:dyDescent="0.3">
      <c r="A4764">
        <v>2024005762</v>
      </c>
      <c r="B4764" s="1">
        <v>45437</v>
      </c>
      <c r="C4764" s="11">
        <f t="shared" si="222"/>
        <v>2024</v>
      </c>
      <c r="D4764" t="s">
        <v>312</v>
      </c>
      <c r="E4764" t="s">
        <v>40</v>
      </c>
      <c r="F4764" t="s">
        <v>41</v>
      </c>
      <c r="G4764" t="s">
        <v>36</v>
      </c>
      <c r="H4764">
        <v>1</v>
      </c>
      <c r="I4764" s="2">
        <v>42.34</v>
      </c>
      <c r="J4764" s="2">
        <v>42.34</v>
      </c>
      <c r="K4764" s="2">
        <f t="shared" si="223"/>
        <v>42.34</v>
      </c>
      <c r="L4764" s="2">
        <f t="shared" si="224"/>
        <v>0</v>
      </c>
      <c r="M4764" t="s">
        <v>38</v>
      </c>
      <c r="N4764" t="s">
        <v>32</v>
      </c>
    </row>
    <row r="4765" spans="1:14" x14ac:dyDescent="0.3">
      <c r="A4765">
        <v>2024005763</v>
      </c>
      <c r="B4765" s="1">
        <v>45590</v>
      </c>
      <c r="C4765" s="11">
        <f t="shared" si="222"/>
        <v>2024</v>
      </c>
      <c r="D4765" t="s">
        <v>212</v>
      </c>
      <c r="E4765" t="s">
        <v>28</v>
      </c>
      <c r="F4765" t="s">
        <v>29</v>
      </c>
      <c r="G4765" t="s">
        <v>30</v>
      </c>
      <c r="H4765">
        <v>1</v>
      </c>
      <c r="I4765" s="2">
        <v>24.37</v>
      </c>
      <c r="J4765" s="2">
        <v>24.37</v>
      </c>
      <c r="K4765" s="2">
        <f t="shared" si="223"/>
        <v>24.37</v>
      </c>
      <c r="L4765" s="2">
        <f t="shared" si="224"/>
        <v>0</v>
      </c>
      <c r="M4765" t="s">
        <v>31</v>
      </c>
      <c r="N4765" t="s">
        <v>32</v>
      </c>
    </row>
    <row r="4766" spans="1:14" x14ac:dyDescent="0.3">
      <c r="A4766">
        <v>2024005764</v>
      </c>
      <c r="B4766" s="1">
        <v>45470</v>
      </c>
      <c r="C4766" s="11">
        <f t="shared" si="222"/>
        <v>2024</v>
      </c>
      <c r="D4766" t="s">
        <v>214</v>
      </c>
      <c r="E4766" t="s">
        <v>18</v>
      </c>
      <c r="F4766" t="s">
        <v>19</v>
      </c>
      <c r="G4766" t="s">
        <v>14</v>
      </c>
      <c r="H4766">
        <v>2</v>
      </c>
      <c r="I4766" s="2">
        <v>581.78</v>
      </c>
      <c r="J4766" s="2">
        <v>1163.56</v>
      </c>
      <c r="K4766" s="2">
        <f t="shared" si="223"/>
        <v>1163.56</v>
      </c>
      <c r="L4766" s="2">
        <f t="shared" si="224"/>
        <v>0</v>
      </c>
      <c r="M4766" t="s">
        <v>15</v>
      </c>
      <c r="N4766" t="s">
        <v>16</v>
      </c>
    </row>
    <row r="4767" spans="1:14" x14ac:dyDescent="0.3">
      <c r="A4767">
        <v>2024005765</v>
      </c>
      <c r="B4767" s="1">
        <v>45331</v>
      </c>
      <c r="C4767" s="11">
        <f t="shared" si="222"/>
        <v>2024</v>
      </c>
      <c r="D4767" t="s">
        <v>278</v>
      </c>
      <c r="E4767" t="s">
        <v>67</v>
      </c>
      <c r="F4767" t="s">
        <v>68</v>
      </c>
      <c r="G4767" t="s">
        <v>36</v>
      </c>
      <c r="H4767">
        <v>2</v>
      </c>
      <c r="I4767" s="2">
        <v>388.15</v>
      </c>
      <c r="J4767" s="2">
        <v>776.3</v>
      </c>
      <c r="K4767" s="2">
        <f t="shared" si="223"/>
        <v>776.3</v>
      </c>
      <c r="L4767" s="2">
        <f t="shared" si="224"/>
        <v>0</v>
      </c>
      <c r="M4767" t="s">
        <v>31</v>
      </c>
      <c r="N4767" t="s">
        <v>32</v>
      </c>
    </row>
    <row r="4768" spans="1:14" x14ac:dyDescent="0.3">
      <c r="A4768">
        <v>2024005766</v>
      </c>
      <c r="B4768" s="1">
        <v>45645</v>
      </c>
      <c r="C4768" s="11">
        <f t="shared" si="222"/>
        <v>2024</v>
      </c>
      <c r="D4768" t="s">
        <v>11</v>
      </c>
      <c r="E4768" t="s">
        <v>23</v>
      </c>
      <c r="F4768" t="s">
        <v>24</v>
      </c>
      <c r="G4768" t="s">
        <v>14</v>
      </c>
      <c r="H4768">
        <v>2</v>
      </c>
      <c r="I4768" s="2">
        <v>73.849999999999994</v>
      </c>
      <c r="J4768" s="2">
        <v>147.69999999999999</v>
      </c>
      <c r="K4768" s="2">
        <f t="shared" si="223"/>
        <v>147.69999999999999</v>
      </c>
      <c r="L4768" s="2">
        <f t="shared" si="224"/>
        <v>0</v>
      </c>
      <c r="M4768" t="s">
        <v>25</v>
      </c>
      <c r="N4768" t="s">
        <v>26</v>
      </c>
    </row>
    <row r="4769" spans="1:14" x14ac:dyDescent="0.3">
      <c r="A4769">
        <v>2024005767</v>
      </c>
      <c r="B4769" s="1">
        <v>45586</v>
      </c>
      <c r="C4769" s="11">
        <f t="shared" si="222"/>
        <v>2024</v>
      </c>
      <c r="D4769" t="s">
        <v>188</v>
      </c>
      <c r="E4769" t="s">
        <v>40</v>
      </c>
      <c r="F4769" t="s">
        <v>41</v>
      </c>
      <c r="G4769" t="s">
        <v>36</v>
      </c>
      <c r="H4769">
        <v>1</v>
      </c>
      <c r="I4769" s="2">
        <v>42.48</v>
      </c>
      <c r="J4769" s="2">
        <v>42.48</v>
      </c>
      <c r="K4769" s="2">
        <f t="shared" si="223"/>
        <v>42.48</v>
      </c>
      <c r="L4769" s="2">
        <f t="shared" si="224"/>
        <v>0</v>
      </c>
      <c r="M4769" t="s">
        <v>48</v>
      </c>
      <c r="N4769" t="s">
        <v>16</v>
      </c>
    </row>
    <row r="4770" spans="1:14" x14ac:dyDescent="0.3">
      <c r="A4770">
        <v>2024005768</v>
      </c>
      <c r="B4770" s="1">
        <v>45292</v>
      </c>
      <c r="C4770" s="11">
        <f t="shared" si="222"/>
        <v>2024</v>
      </c>
      <c r="D4770" t="s">
        <v>11</v>
      </c>
      <c r="E4770" t="s">
        <v>12</v>
      </c>
      <c r="F4770" t="s">
        <v>13</v>
      </c>
      <c r="G4770" t="s">
        <v>14</v>
      </c>
      <c r="H4770">
        <v>1</v>
      </c>
      <c r="I4770" s="2">
        <v>335.2</v>
      </c>
      <c r="J4770" s="2">
        <v>335.2</v>
      </c>
      <c r="K4770" s="2">
        <f t="shared" si="223"/>
        <v>335.2</v>
      </c>
      <c r="L4770" s="2">
        <f t="shared" si="224"/>
        <v>0</v>
      </c>
      <c r="M4770" t="s">
        <v>15</v>
      </c>
      <c r="N4770" t="s">
        <v>21</v>
      </c>
    </row>
    <row r="4771" spans="1:14" x14ac:dyDescent="0.3">
      <c r="A4771">
        <v>2024005769</v>
      </c>
      <c r="B4771" s="1">
        <v>45612</v>
      </c>
      <c r="C4771" s="11">
        <f t="shared" si="222"/>
        <v>2024</v>
      </c>
      <c r="D4771" t="s">
        <v>11</v>
      </c>
      <c r="E4771" t="s">
        <v>28</v>
      </c>
      <c r="F4771" t="s">
        <v>29</v>
      </c>
      <c r="G4771" t="s">
        <v>30</v>
      </c>
      <c r="H4771">
        <v>1</v>
      </c>
      <c r="I4771" s="2">
        <v>26.28</v>
      </c>
      <c r="J4771" s="2">
        <v>26.28</v>
      </c>
      <c r="K4771" s="2">
        <f t="shared" si="223"/>
        <v>26.28</v>
      </c>
      <c r="L4771" s="2">
        <f t="shared" si="224"/>
        <v>0</v>
      </c>
      <c r="M4771" t="s">
        <v>48</v>
      </c>
      <c r="N4771" t="s">
        <v>32</v>
      </c>
    </row>
    <row r="4772" spans="1:14" x14ac:dyDescent="0.3">
      <c r="A4772">
        <v>2024005770</v>
      </c>
      <c r="B4772" s="1">
        <v>45579</v>
      </c>
      <c r="C4772" s="11">
        <f t="shared" si="222"/>
        <v>2024</v>
      </c>
      <c r="D4772" t="s">
        <v>224</v>
      </c>
      <c r="E4772" t="s">
        <v>40</v>
      </c>
      <c r="F4772" t="s">
        <v>41</v>
      </c>
      <c r="G4772" t="s">
        <v>36</v>
      </c>
      <c r="H4772">
        <v>1</v>
      </c>
      <c r="I4772" s="2">
        <v>44.73</v>
      </c>
      <c r="J4772" s="2">
        <v>44.73</v>
      </c>
      <c r="K4772" s="2">
        <f t="shared" si="223"/>
        <v>44.73</v>
      </c>
      <c r="L4772" s="2">
        <f t="shared" si="224"/>
        <v>0</v>
      </c>
      <c r="M4772" t="s">
        <v>57</v>
      </c>
      <c r="N4772" t="s">
        <v>16</v>
      </c>
    </row>
    <row r="4773" spans="1:14" x14ac:dyDescent="0.3">
      <c r="A4773">
        <v>2024005771</v>
      </c>
      <c r="B4773" s="1">
        <v>45370</v>
      </c>
      <c r="C4773" s="11">
        <f t="shared" si="222"/>
        <v>2024</v>
      </c>
      <c r="D4773" t="s">
        <v>75</v>
      </c>
      <c r="E4773" t="s">
        <v>53</v>
      </c>
      <c r="F4773" t="s">
        <v>54</v>
      </c>
      <c r="G4773" t="s">
        <v>36</v>
      </c>
      <c r="H4773">
        <v>1</v>
      </c>
      <c r="I4773" s="2">
        <v>130.83000000000001</v>
      </c>
      <c r="J4773" s="2">
        <v>130.83000000000001</v>
      </c>
      <c r="K4773" s="2">
        <f t="shared" si="223"/>
        <v>130.83000000000001</v>
      </c>
      <c r="L4773" s="2">
        <f t="shared" si="224"/>
        <v>0</v>
      </c>
      <c r="M4773" t="s">
        <v>64</v>
      </c>
      <c r="N4773" t="s">
        <v>21</v>
      </c>
    </row>
    <row r="4774" spans="1:14" x14ac:dyDescent="0.3">
      <c r="A4774">
        <v>2024005772</v>
      </c>
      <c r="B4774" s="1">
        <v>45441</v>
      </c>
      <c r="C4774" s="11">
        <f t="shared" si="222"/>
        <v>2024</v>
      </c>
      <c r="D4774" t="s">
        <v>101</v>
      </c>
      <c r="E4774" t="s">
        <v>67</v>
      </c>
      <c r="F4774" t="s">
        <v>68</v>
      </c>
      <c r="G4774" t="s">
        <v>36</v>
      </c>
      <c r="H4774">
        <v>2</v>
      </c>
      <c r="I4774" s="2">
        <v>401.49</v>
      </c>
      <c r="J4774" s="2">
        <v>802.98</v>
      </c>
      <c r="K4774" s="2">
        <f t="shared" si="223"/>
        <v>802.98</v>
      </c>
      <c r="L4774" s="2">
        <f t="shared" si="224"/>
        <v>0</v>
      </c>
      <c r="M4774" t="s">
        <v>38</v>
      </c>
      <c r="N4774" t="s">
        <v>16</v>
      </c>
    </row>
    <row r="4775" spans="1:14" x14ac:dyDescent="0.3">
      <c r="A4775">
        <v>2024005773</v>
      </c>
      <c r="B4775" s="1">
        <v>45433</v>
      </c>
      <c r="C4775" s="11">
        <f t="shared" si="222"/>
        <v>2024</v>
      </c>
      <c r="D4775" t="s">
        <v>118</v>
      </c>
      <c r="E4775" t="s">
        <v>46</v>
      </c>
      <c r="F4775" t="s">
        <v>47</v>
      </c>
      <c r="G4775" t="s">
        <v>36</v>
      </c>
      <c r="H4775">
        <v>1</v>
      </c>
      <c r="I4775" s="2">
        <v>85.41</v>
      </c>
      <c r="J4775" s="2">
        <v>85.41</v>
      </c>
      <c r="K4775" s="2">
        <f t="shared" si="223"/>
        <v>85.41</v>
      </c>
      <c r="L4775" s="2">
        <f t="shared" si="224"/>
        <v>0</v>
      </c>
      <c r="M4775" t="s">
        <v>15</v>
      </c>
      <c r="N4775" t="s">
        <v>16</v>
      </c>
    </row>
    <row r="4776" spans="1:14" x14ac:dyDescent="0.3">
      <c r="A4776">
        <v>2024005774</v>
      </c>
      <c r="B4776" s="1">
        <v>45318</v>
      </c>
      <c r="C4776" s="11">
        <f t="shared" si="222"/>
        <v>2024</v>
      </c>
      <c r="D4776" t="s">
        <v>310</v>
      </c>
      <c r="E4776" t="s">
        <v>46</v>
      </c>
      <c r="F4776" t="s">
        <v>47</v>
      </c>
      <c r="G4776" t="s">
        <v>36</v>
      </c>
      <c r="H4776">
        <v>1</v>
      </c>
      <c r="I4776" s="2">
        <v>93.53</v>
      </c>
      <c r="J4776" s="2">
        <v>93.53</v>
      </c>
      <c r="K4776" s="2">
        <f t="shared" si="223"/>
        <v>93.53</v>
      </c>
      <c r="L4776" s="2">
        <f t="shared" si="224"/>
        <v>0</v>
      </c>
      <c r="M4776" t="s">
        <v>31</v>
      </c>
      <c r="N4776" t="s">
        <v>21</v>
      </c>
    </row>
    <row r="4777" spans="1:14" x14ac:dyDescent="0.3">
      <c r="A4777">
        <v>2024005775</v>
      </c>
      <c r="B4777" s="1">
        <v>45589</v>
      </c>
      <c r="C4777" s="11">
        <f t="shared" si="222"/>
        <v>2024</v>
      </c>
      <c r="D4777" t="s">
        <v>11</v>
      </c>
      <c r="E4777" t="s">
        <v>28</v>
      </c>
      <c r="F4777" t="s">
        <v>29</v>
      </c>
      <c r="G4777" t="s">
        <v>30</v>
      </c>
      <c r="H4777">
        <v>2</v>
      </c>
      <c r="I4777" s="2">
        <v>24.29</v>
      </c>
      <c r="J4777" s="2">
        <v>48.58</v>
      </c>
      <c r="K4777" s="2">
        <f t="shared" si="223"/>
        <v>48.58</v>
      </c>
      <c r="L4777" s="2">
        <f t="shared" si="224"/>
        <v>0</v>
      </c>
      <c r="M4777" t="s">
        <v>64</v>
      </c>
      <c r="N4777" t="s">
        <v>16</v>
      </c>
    </row>
    <row r="4778" spans="1:14" x14ac:dyDescent="0.3">
      <c r="A4778">
        <v>2024005776</v>
      </c>
      <c r="B4778" s="1">
        <v>45348</v>
      </c>
      <c r="C4778" s="11">
        <f t="shared" si="222"/>
        <v>2024</v>
      </c>
      <c r="D4778" t="s">
        <v>11</v>
      </c>
      <c r="E4778" t="s">
        <v>40</v>
      </c>
      <c r="F4778" t="s">
        <v>41</v>
      </c>
      <c r="G4778" t="s">
        <v>36</v>
      </c>
      <c r="H4778">
        <v>2</v>
      </c>
      <c r="I4778" s="2">
        <v>44.16</v>
      </c>
      <c r="J4778" s="2">
        <v>88.32</v>
      </c>
      <c r="K4778" s="2">
        <f t="shared" si="223"/>
        <v>88.32</v>
      </c>
      <c r="L4778" s="2">
        <f t="shared" si="224"/>
        <v>0</v>
      </c>
      <c r="M4778" t="s">
        <v>57</v>
      </c>
      <c r="N4778" t="s">
        <v>21</v>
      </c>
    </row>
    <row r="4779" spans="1:14" x14ac:dyDescent="0.3">
      <c r="A4779">
        <v>2024005777</v>
      </c>
      <c r="B4779" s="1">
        <v>45516</v>
      </c>
      <c r="C4779" s="11">
        <f t="shared" si="222"/>
        <v>2024</v>
      </c>
      <c r="D4779" t="s">
        <v>218</v>
      </c>
      <c r="E4779" t="s">
        <v>46</v>
      </c>
      <c r="F4779" t="s">
        <v>47</v>
      </c>
      <c r="G4779" t="s">
        <v>36</v>
      </c>
      <c r="H4779">
        <v>1</v>
      </c>
      <c r="I4779" s="2">
        <v>96.96</v>
      </c>
      <c r="J4779" s="2">
        <v>96.96</v>
      </c>
      <c r="K4779" s="2">
        <f t="shared" si="223"/>
        <v>96.96</v>
      </c>
      <c r="L4779" s="2">
        <f t="shared" si="224"/>
        <v>0</v>
      </c>
      <c r="M4779" t="s">
        <v>55</v>
      </c>
      <c r="N4779" t="s">
        <v>16</v>
      </c>
    </row>
    <row r="4780" spans="1:14" x14ac:dyDescent="0.3">
      <c r="A4780">
        <v>2024005778</v>
      </c>
      <c r="B4780" s="1">
        <v>45631</v>
      </c>
      <c r="C4780" s="11">
        <f t="shared" si="222"/>
        <v>2024</v>
      </c>
      <c r="D4780" t="s">
        <v>113</v>
      </c>
      <c r="E4780" t="s">
        <v>53</v>
      </c>
      <c r="F4780" t="s">
        <v>54</v>
      </c>
      <c r="G4780" t="s">
        <v>36</v>
      </c>
      <c r="H4780">
        <v>1</v>
      </c>
      <c r="I4780" s="2">
        <v>115.38</v>
      </c>
      <c r="J4780" s="2">
        <v>115.38</v>
      </c>
      <c r="K4780" s="2">
        <f t="shared" si="223"/>
        <v>115.38</v>
      </c>
      <c r="L4780" s="2">
        <f t="shared" si="224"/>
        <v>0</v>
      </c>
      <c r="M4780" t="s">
        <v>25</v>
      </c>
      <c r="N4780" t="s">
        <v>32</v>
      </c>
    </row>
    <row r="4781" spans="1:14" x14ac:dyDescent="0.3">
      <c r="A4781">
        <v>2024005779</v>
      </c>
      <c r="B4781" s="1">
        <v>45607</v>
      </c>
      <c r="C4781" s="11">
        <f t="shared" si="222"/>
        <v>2024</v>
      </c>
      <c r="D4781" t="s">
        <v>119</v>
      </c>
      <c r="E4781" t="s">
        <v>43</v>
      </c>
      <c r="F4781" t="s">
        <v>44</v>
      </c>
      <c r="G4781" t="s">
        <v>36</v>
      </c>
      <c r="H4781">
        <v>1</v>
      </c>
      <c r="I4781" s="2">
        <v>1159.76</v>
      </c>
      <c r="J4781" s="2">
        <v>1159.76</v>
      </c>
      <c r="K4781" s="2">
        <f t="shared" si="223"/>
        <v>1159.76</v>
      </c>
      <c r="L4781" s="2">
        <f t="shared" si="224"/>
        <v>0</v>
      </c>
      <c r="M4781" t="s">
        <v>15</v>
      </c>
      <c r="N4781" t="s">
        <v>21</v>
      </c>
    </row>
    <row r="4782" spans="1:14" x14ac:dyDescent="0.3">
      <c r="A4782">
        <v>2024005780</v>
      </c>
      <c r="B4782" s="1">
        <v>45476</v>
      </c>
      <c r="C4782" s="11">
        <f t="shared" si="222"/>
        <v>2024</v>
      </c>
      <c r="D4782" t="s">
        <v>11</v>
      </c>
      <c r="E4782" t="s">
        <v>12</v>
      </c>
      <c r="F4782" t="s">
        <v>13</v>
      </c>
      <c r="G4782" t="s">
        <v>14</v>
      </c>
      <c r="H4782">
        <v>4</v>
      </c>
      <c r="I4782" s="2">
        <v>371.4</v>
      </c>
      <c r="J4782" s="2">
        <v>1485.6</v>
      </c>
      <c r="K4782" s="2">
        <f t="shared" si="223"/>
        <v>1485.6</v>
      </c>
      <c r="L4782" s="2">
        <f t="shared" si="224"/>
        <v>0</v>
      </c>
      <c r="M4782" t="s">
        <v>20</v>
      </c>
      <c r="N4782" t="s">
        <v>32</v>
      </c>
    </row>
    <row r="4783" spans="1:14" x14ac:dyDescent="0.3">
      <c r="A4783">
        <v>2024005781</v>
      </c>
      <c r="B4783" s="1">
        <v>45473</v>
      </c>
      <c r="C4783" s="11">
        <f t="shared" si="222"/>
        <v>2024</v>
      </c>
      <c r="D4783" t="s">
        <v>100</v>
      </c>
      <c r="E4783" t="s">
        <v>67</v>
      </c>
      <c r="F4783" t="s">
        <v>68</v>
      </c>
      <c r="G4783" t="s">
        <v>36</v>
      </c>
      <c r="H4783">
        <v>1</v>
      </c>
      <c r="I4783" s="2">
        <v>408.09</v>
      </c>
      <c r="J4783" s="2">
        <v>408.09</v>
      </c>
      <c r="K4783" s="2">
        <f t="shared" si="223"/>
        <v>408.09</v>
      </c>
      <c r="L4783" s="2">
        <f t="shared" si="224"/>
        <v>0</v>
      </c>
      <c r="M4783" t="s">
        <v>15</v>
      </c>
      <c r="N4783" t="s">
        <v>26</v>
      </c>
    </row>
    <row r="4784" spans="1:14" x14ac:dyDescent="0.3">
      <c r="A4784">
        <v>2024005782</v>
      </c>
      <c r="B4784" s="1">
        <v>45625</v>
      </c>
      <c r="C4784" s="11">
        <f t="shared" si="222"/>
        <v>2024</v>
      </c>
      <c r="D4784" t="s">
        <v>180</v>
      </c>
      <c r="E4784" t="s">
        <v>43</v>
      </c>
      <c r="F4784" t="s">
        <v>44</v>
      </c>
      <c r="G4784" t="s">
        <v>36</v>
      </c>
      <c r="H4784">
        <v>2</v>
      </c>
      <c r="I4784" s="2">
        <v>1263.69</v>
      </c>
      <c r="J4784" s="2">
        <v>2527.38</v>
      </c>
      <c r="K4784" s="2">
        <f t="shared" si="223"/>
        <v>2527.38</v>
      </c>
      <c r="L4784" s="2">
        <f t="shared" si="224"/>
        <v>0</v>
      </c>
      <c r="M4784" t="s">
        <v>57</v>
      </c>
      <c r="N4784" t="s">
        <v>26</v>
      </c>
    </row>
    <row r="4785" spans="1:14" x14ac:dyDescent="0.3">
      <c r="A4785">
        <v>2024005783</v>
      </c>
      <c r="B4785" s="1">
        <v>45425</v>
      </c>
      <c r="C4785" s="11">
        <f t="shared" si="222"/>
        <v>2024</v>
      </c>
      <c r="D4785" t="s">
        <v>115</v>
      </c>
      <c r="E4785" t="s">
        <v>34</v>
      </c>
      <c r="F4785" t="s">
        <v>35</v>
      </c>
      <c r="G4785" t="s">
        <v>36</v>
      </c>
      <c r="H4785">
        <v>4</v>
      </c>
      <c r="I4785" s="2">
        <v>15.2</v>
      </c>
      <c r="J4785" s="2">
        <v>60.8</v>
      </c>
      <c r="K4785" s="2">
        <f t="shared" si="223"/>
        <v>60.8</v>
      </c>
      <c r="L4785" s="2">
        <f t="shared" si="224"/>
        <v>0</v>
      </c>
      <c r="M4785" t="s">
        <v>61</v>
      </c>
      <c r="N4785" t="s">
        <v>26</v>
      </c>
    </row>
    <row r="4786" spans="1:14" x14ac:dyDescent="0.3">
      <c r="A4786">
        <v>2024005784</v>
      </c>
      <c r="B4786" s="1">
        <v>45384</v>
      </c>
      <c r="C4786" s="11">
        <f t="shared" si="222"/>
        <v>2024</v>
      </c>
      <c r="D4786" t="s">
        <v>151</v>
      </c>
      <c r="E4786" t="s">
        <v>12</v>
      </c>
      <c r="F4786" t="s">
        <v>13</v>
      </c>
      <c r="G4786" t="s">
        <v>14</v>
      </c>
      <c r="H4786">
        <v>3</v>
      </c>
      <c r="I4786" s="2">
        <v>395.28</v>
      </c>
      <c r="J4786" s="2">
        <v>1185.8399999999999</v>
      </c>
      <c r="K4786" s="2">
        <f t="shared" si="223"/>
        <v>1185.8399999999999</v>
      </c>
      <c r="L4786" s="2">
        <f t="shared" si="224"/>
        <v>0</v>
      </c>
      <c r="M4786" t="s">
        <v>20</v>
      </c>
      <c r="N4786" t="s">
        <v>16</v>
      </c>
    </row>
    <row r="4787" spans="1:14" x14ac:dyDescent="0.3">
      <c r="A4787">
        <v>2024005785</v>
      </c>
      <c r="B4787" s="1">
        <v>45624</v>
      </c>
      <c r="C4787" s="11">
        <f t="shared" si="222"/>
        <v>2024</v>
      </c>
      <c r="D4787" t="s">
        <v>306</v>
      </c>
      <c r="E4787" t="s">
        <v>12</v>
      </c>
      <c r="F4787" t="s">
        <v>13</v>
      </c>
      <c r="G4787" t="s">
        <v>14</v>
      </c>
      <c r="H4787">
        <v>1</v>
      </c>
      <c r="I4787" s="2">
        <v>348.43</v>
      </c>
      <c r="J4787" s="2">
        <v>348.43</v>
      </c>
      <c r="K4787" s="2">
        <f t="shared" si="223"/>
        <v>348.43</v>
      </c>
      <c r="L4787" s="2">
        <f t="shared" si="224"/>
        <v>0</v>
      </c>
      <c r="M4787" t="s">
        <v>15</v>
      </c>
      <c r="N4787" t="s">
        <v>21</v>
      </c>
    </row>
    <row r="4788" spans="1:14" x14ac:dyDescent="0.3">
      <c r="A4788">
        <v>2024005786</v>
      </c>
      <c r="B4788" s="1">
        <v>45309</v>
      </c>
      <c r="C4788" s="11">
        <f t="shared" si="222"/>
        <v>2024</v>
      </c>
      <c r="D4788" t="s">
        <v>182</v>
      </c>
      <c r="E4788" t="s">
        <v>46</v>
      </c>
      <c r="F4788" t="s">
        <v>47</v>
      </c>
      <c r="G4788" t="s">
        <v>36</v>
      </c>
      <c r="H4788">
        <v>4</v>
      </c>
      <c r="I4788" s="2">
        <v>88.05</v>
      </c>
      <c r="J4788" s="2">
        <v>352.2</v>
      </c>
      <c r="K4788" s="2">
        <f t="shared" si="223"/>
        <v>352.2</v>
      </c>
      <c r="L4788" s="2">
        <f t="shared" si="224"/>
        <v>0</v>
      </c>
      <c r="M4788" t="s">
        <v>25</v>
      </c>
      <c r="N4788" t="s">
        <v>32</v>
      </c>
    </row>
    <row r="4789" spans="1:14" x14ac:dyDescent="0.3">
      <c r="A4789">
        <v>2024005787</v>
      </c>
      <c r="B4789" s="1">
        <v>45397</v>
      </c>
      <c r="C4789" s="11">
        <f t="shared" si="222"/>
        <v>2024</v>
      </c>
      <c r="D4789" t="s">
        <v>167</v>
      </c>
      <c r="E4789" t="s">
        <v>34</v>
      </c>
      <c r="F4789" t="s">
        <v>35</v>
      </c>
      <c r="G4789" t="s">
        <v>36</v>
      </c>
      <c r="H4789">
        <v>1</v>
      </c>
      <c r="I4789" s="2">
        <v>15.25</v>
      </c>
      <c r="J4789" s="2">
        <v>15.25</v>
      </c>
      <c r="K4789" s="2">
        <f t="shared" si="223"/>
        <v>15.25</v>
      </c>
      <c r="L4789" s="2">
        <f t="shared" si="224"/>
        <v>0</v>
      </c>
      <c r="M4789" t="s">
        <v>55</v>
      </c>
      <c r="N4789" t="s">
        <v>21</v>
      </c>
    </row>
    <row r="4790" spans="1:14" x14ac:dyDescent="0.3">
      <c r="A4790">
        <v>2024005788</v>
      </c>
      <c r="B4790" s="1">
        <v>45324</v>
      </c>
      <c r="C4790" s="11">
        <f t="shared" si="222"/>
        <v>2024</v>
      </c>
      <c r="D4790" t="s">
        <v>274</v>
      </c>
      <c r="E4790" t="s">
        <v>18</v>
      </c>
      <c r="F4790" t="s">
        <v>19</v>
      </c>
      <c r="G4790" t="s">
        <v>14</v>
      </c>
      <c r="H4790">
        <v>1</v>
      </c>
      <c r="I4790" s="2">
        <v>646.87</v>
      </c>
      <c r="J4790" s="2">
        <v>646.87</v>
      </c>
      <c r="K4790" s="2">
        <f t="shared" si="223"/>
        <v>646.87</v>
      </c>
      <c r="L4790" s="2">
        <f t="shared" si="224"/>
        <v>0</v>
      </c>
      <c r="M4790" t="s">
        <v>25</v>
      </c>
      <c r="N4790" t="s">
        <v>21</v>
      </c>
    </row>
    <row r="4791" spans="1:14" x14ac:dyDescent="0.3">
      <c r="A4791">
        <v>2024005789</v>
      </c>
      <c r="B4791" s="1">
        <v>45604</v>
      </c>
      <c r="C4791" s="11">
        <f t="shared" si="222"/>
        <v>2024</v>
      </c>
      <c r="D4791" t="s">
        <v>122</v>
      </c>
      <c r="E4791" t="s">
        <v>34</v>
      </c>
      <c r="F4791" t="s">
        <v>35</v>
      </c>
      <c r="G4791" t="s">
        <v>36</v>
      </c>
      <c r="H4791">
        <v>2</v>
      </c>
      <c r="I4791" s="2">
        <v>14.88</v>
      </c>
      <c r="J4791" s="2">
        <v>29.76</v>
      </c>
      <c r="K4791" s="2">
        <f t="shared" si="223"/>
        <v>29.76</v>
      </c>
      <c r="L4791" s="2">
        <f t="shared" si="224"/>
        <v>0</v>
      </c>
      <c r="M4791" t="s">
        <v>25</v>
      </c>
      <c r="N4791" t="s">
        <v>16</v>
      </c>
    </row>
    <row r="4792" spans="1:14" x14ac:dyDescent="0.3">
      <c r="A4792">
        <v>2024005790</v>
      </c>
      <c r="B4792" s="1">
        <v>45360</v>
      </c>
      <c r="C4792" s="11">
        <f t="shared" si="222"/>
        <v>2024</v>
      </c>
      <c r="D4792" t="s">
        <v>188</v>
      </c>
      <c r="E4792" t="s">
        <v>67</v>
      </c>
      <c r="F4792" t="s">
        <v>68</v>
      </c>
      <c r="G4792" t="s">
        <v>36</v>
      </c>
      <c r="H4792">
        <v>1</v>
      </c>
      <c r="I4792" s="2">
        <v>390.25</v>
      </c>
      <c r="J4792" s="2">
        <v>390.25</v>
      </c>
      <c r="K4792" s="2">
        <f t="shared" si="223"/>
        <v>390.25</v>
      </c>
      <c r="L4792" s="2">
        <f t="shared" si="224"/>
        <v>0</v>
      </c>
      <c r="M4792" t="s">
        <v>57</v>
      </c>
      <c r="N4792" t="s">
        <v>21</v>
      </c>
    </row>
    <row r="4793" spans="1:14" x14ac:dyDescent="0.3">
      <c r="A4793">
        <v>2024005791</v>
      </c>
      <c r="B4793" s="1">
        <v>45518</v>
      </c>
      <c r="C4793" s="11">
        <f t="shared" si="222"/>
        <v>2024</v>
      </c>
      <c r="D4793" t="s">
        <v>182</v>
      </c>
      <c r="E4793" t="s">
        <v>43</v>
      </c>
      <c r="F4793" t="s">
        <v>44</v>
      </c>
      <c r="G4793" t="s">
        <v>36</v>
      </c>
      <c r="H4793">
        <v>4</v>
      </c>
      <c r="I4793" s="2">
        <v>1156.33</v>
      </c>
      <c r="J4793" s="2">
        <v>4625.32</v>
      </c>
      <c r="K4793" s="2">
        <f t="shared" si="223"/>
        <v>4625.32</v>
      </c>
      <c r="L4793" s="2">
        <f t="shared" si="224"/>
        <v>0</v>
      </c>
      <c r="M4793" t="s">
        <v>61</v>
      </c>
      <c r="N4793" t="s">
        <v>32</v>
      </c>
    </row>
    <row r="4794" spans="1:14" x14ac:dyDescent="0.3">
      <c r="A4794">
        <v>2024005792</v>
      </c>
      <c r="B4794" s="1">
        <v>45464</v>
      </c>
      <c r="C4794" s="11">
        <f t="shared" si="222"/>
        <v>2024</v>
      </c>
      <c r="D4794" t="s">
        <v>71</v>
      </c>
      <c r="E4794" t="s">
        <v>34</v>
      </c>
      <c r="F4794" t="s">
        <v>35</v>
      </c>
      <c r="G4794" t="s">
        <v>36</v>
      </c>
      <c r="H4794">
        <v>1</v>
      </c>
      <c r="I4794" s="2">
        <v>14.81</v>
      </c>
      <c r="J4794" s="2">
        <v>14.81</v>
      </c>
      <c r="K4794" s="2">
        <f t="shared" si="223"/>
        <v>14.81</v>
      </c>
      <c r="L4794" s="2">
        <f t="shared" si="224"/>
        <v>0</v>
      </c>
      <c r="M4794" t="s">
        <v>31</v>
      </c>
      <c r="N4794" t="s">
        <v>16</v>
      </c>
    </row>
    <row r="4795" spans="1:14" x14ac:dyDescent="0.3">
      <c r="A4795">
        <v>2024005793</v>
      </c>
      <c r="B4795" s="1">
        <v>45550</v>
      </c>
      <c r="C4795" s="11">
        <f t="shared" si="222"/>
        <v>2024</v>
      </c>
      <c r="D4795" t="s">
        <v>127</v>
      </c>
      <c r="E4795" t="s">
        <v>67</v>
      </c>
      <c r="F4795" t="s">
        <v>68</v>
      </c>
      <c r="G4795" t="s">
        <v>36</v>
      </c>
      <c r="H4795">
        <v>4</v>
      </c>
      <c r="I4795" s="2">
        <v>368.03</v>
      </c>
      <c r="J4795" s="2">
        <v>1472.12</v>
      </c>
      <c r="K4795" s="2">
        <f t="shared" si="223"/>
        <v>1472.12</v>
      </c>
      <c r="L4795" s="2">
        <f t="shared" si="224"/>
        <v>0</v>
      </c>
      <c r="M4795" t="s">
        <v>48</v>
      </c>
      <c r="N4795" t="s">
        <v>16</v>
      </c>
    </row>
    <row r="4796" spans="1:14" x14ac:dyDescent="0.3">
      <c r="A4796">
        <v>2024005794</v>
      </c>
      <c r="B4796" s="1">
        <v>45642</v>
      </c>
      <c r="C4796" s="11">
        <f t="shared" si="222"/>
        <v>2024</v>
      </c>
      <c r="D4796" t="s">
        <v>279</v>
      </c>
      <c r="E4796" t="s">
        <v>23</v>
      </c>
      <c r="F4796" t="s">
        <v>24</v>
      </c>
      <c r="G4796" t="s">
        <v>14</v>
      </c>
      <c r="H4796">
        <v>1</v>
      </c>
      <c r="I4796" s="2">
        <v>76.88</v>
      </c>
      <c r="J4796" s="2">
        <v>76.88</v>
      </c>
      <c r="K4796" s="2">
        <f t="shared" si="223"/>
        <v>76.88</v>
      </c>
      <c r="L4796" s="2">
        <f t="shared" si="224"/>
        <v>0</v>
      </c>
      <c r="M4796" t="s">
        <v>55</v>
      </c>
      <c r="N4796" t="s">
        <v>21</v>
      </c>
    </row>
    <row r="4797" spans="1:14" x14ac:dyDescent="0.3">
      <c r="A4797">
        <v>2024005795</v>
      </c>
      <c r="B4797" s="1">
        <v>45393</v>
      </c>
      <c r="C4797" s="11">
        <f t="shared" si="222"/>
        <v>2024</v>
      </c>
      <c r="D4797" t="s">
        <v>253</v>
      </c>
      <c r="E4797" t="s">
        <v>46</v>
      </c>
      <c r="F4797" t="s">
        <v>47</v>
      </c>
      <c r="G4797" t="s">
        <v>36</v>
      </c>
      <c r="H4797">
        <v>2</v>
      </c>
      <c r="I4797" s="2">
        <v>92.05</v>
      </c>
      <c r="J4797" s="2">
        <v>184.1</v>
      </c>
      <c r="K4797" s="2">
        <f t="shared" si="223"/>
        <v>184.1</v>
      </c>
      <c r="L4797" s="2">
        <f t="shared" si="224"/>
        <v>0</v>
      </c>
      <c r="M4797" t="s">
        <v>31</v>
      </c>
      <c r="N4797" t="s">
        <v>21</v>
      </c>
    </row>
    <row r="4798" spans="1:14" x14ac:dyDescent="0.3">
      <c r="A4798">
        <v>2024005796</v>
      </c>
      <c r="B4798" s="1">
        <v>45593</v>
      </c>
      <c r="C4798" s="11">
        <f t="shared" si="222"/>
        <v>2024</v>
      </c>
      <c r="D4798" t="s">
        <v>337</v>
      </c>
      <c r="E4798" t="s">
        <v>28</v>
      </c>
      <c r="F4798" t="s">
        <v>29</v>
      </c>
      <c r="G4798" t="s">
        <v>30</v>
      </c>
      <c r="H4798">
        <v>3</v>
      </c>
      <c r="I4798" s="2">
        <v>25.81</v>
      </c>
      <c r="J4798" s="2">
        <v>77.430000000000007</v>
      </c>
      <c r="K4798" s="2">
        <f t="shared" si="223"/>
        <v>77.429999999999993</v>
      </c>
      <c r="L4798" s="2">
        <f t="shared" si="224"/>
        <v>0</v>
      </c>
      <c r="M4798" t="s">
        <v>25</v>
      </c>
      <c r="N4798" t="s">
        <v>26</v>
      </c>
    </row>
    <row r="4799" spans="1:14" x14ac:dyDescent="0.3">
      <c r="A4799">
        <v>2024005797</v>
      </c>
      <c r="B4799" s="1">
        <v>45382</v>
      </c>
      <c r="C4799" s="11">
        <f t="shared" si="222"/>
        <v>2024</v>
      </c>
      <c r="D4799" t="s">
        <v>252</v>
      </c>
      <c r="E4799" t="s">
        <v>40</v>
      </c>
      <c r="F4799" t="s">
        <v>41</v>
      </c>
      <c r="G4799" t="s">
        <v>36</v>
      </c>
      <c r="H4799">
        <v>1</v>
      </c>
      <c r="I4799" s="2">
        <v>47.21</v>
      </c>
      <c r="J4799" s="2">
        <v>47.21</v>
      </c>
      <c r="K4799" s="2">
        <f t="shared" si="223"/>
        <v>47.21</v>
      </c>
      <c r="L4799" s="2">
        <f t="shared" si="224"/>
        <v>0</v>
      </c>
      <c r="M4799" t="s">
        <v>25</v>
      </c>
      <c r="N4799" t="s">
        <v>32</v>
      </c>
    </row>
    <row r="4800" spans="1:14" x14ac:dyDescent="0.3">
      <c r="A4800">
        <v>2024005798</v>
      </c>
      <c r="B4800" s="1">
        <v>45621</v>
      </c>
      <c r="C4800" s="11">
        <f t="shared" si="222"/>
        <v>2024</v>
      </c>
      <c r="D4800" t="s">
        <v>220</v>
      </c>
      <c r="E4800" t="s">
        <v>67</v>
      </c>
      <c r="F4800" t="s">
        <v>68</v>
      </c>
      <c r="G4800" t="s">
        <v>36</v>
      </c>
      <c r="H4800">
        <v>2</v>
      </c>
      <c r="I4800" s="2">
        <v>397.08</v>
      </c>
      <c r="J4800" s="2">
        <v>794.16</v>
      </c>
      <c r="K4800" s="2">
        <f t="shared" si="223"/>
        <v>794.16</v>
      </c>
      <c r="L4800" s="2">
        <f t="shared" si="224"/>
        <v>0</v>
      </c>
      <c r="M4800" t="s">
        <v>55</v>
      </c>
      <c r="N4800" t="s">
        <v>32</v>
      </c>
    </row>
    <row r="4801" spans="1:14" x14ac:dyDescent="0.3">
      <c r="A4801">
        <v>2024005799</v>
      </c>
      <c r="B4801" s="1">
        <v>45538</v>
      </c>
      <c r="C4801" s="11">
        <f t="shared" si="222"/>
        <v>2024</v>
      </c>
      <c r="D4801" t="s">
        <v>292</v>
      </c>
      <c r="E4801" t="s">
        <v>12</v>
      </c>
      <c r="F4801" t="s">
        <v>13</v>
      </c>
      <c r="G4801" t="s">
        <v>14</v>
      </c>
      <c r="H4801">
        <v>5</v>
      </c>
      <c r="I4801" s="2">
        <v>347.37</v>
      </c>
      <c r="J4801" s="2">
        <v>1736.85</v>
      </c>
      <c r="K4801" s="2">
        <f t="shared" si="223"/>
        <v>1736.85</v>
      </c>
      <c r="L4801" s="2">
        <f t="shared" si="224"/>
        <v>0</v>
      </c>
      <c r="M4801" t="s">
        <v>15</v>
      </c>
      <c r="N4801" t="s">
        <v>21</v>
      </c>
    </row>
    <row r="4802" spans="1:14" x14ac:dyDescent="0.3">
      <c r="A4802">
        <v>2024005800</v>
      </c>
      <c r="B4802" s="1">
        <v>45568</v>
      </c>
      <c r="C4802" s="11">
        <f t="shared" si="222"/>
        <v>2024</v>
      </c>
      <c r="D4802" t="s">
        <v>71</v>
      </c>
      <c r="E4802" t="s">
        <v>40</v>
      </c>
      <c r="F4802" t="s">
        <v>41</v>
      </c>
      <c r="G4802" t="s">
        <v>36</v>
      </c>
      <c r="H4802">
        <v>5</v>
      </c>
      <c r="I4802" s="2">
        <v>45.3</v>
      </c>
      <c r="J4802" s="2">
        <v>226.5</v>
      </c>
      <c r="K4802" s="2">
        <f t="shared" si="223"/>
        <v>226.5</v>
      </c>
      <c r="L4802" s="2">
        <f t="shared" si="224"/>
        <v>0</v>
      </c>
      <c r="M4802" t="s">
        <v>25</v>
      </c>
      <c r="N4802" t="s">
        <v>26</v>
      </c>
    </row>
    <row r="4803" spans="1:14" x14ac:dyDescent="0.3">
      <c r="A4803">
        <v>2024005801</v>
      </c>
      <c r="B4803" s="1">
        <v>45330</v>
      </c>
      <c r="C4803" s="11">
        <f t="shared" ref="C4803:C4866" si="225">YEAR(B4803)</f>
        <v>2024</v>
      </c>
      <c r="D4803" t="s">
        <v>117</v>
      </c>
      <c r="E4803" t="s">
        <v>18</v>
      </c>
      <c r="F4803" t="s">
        <v>19</v>
      </c>
      <c r="G4803" t="s">
        <v>14</v>
      </c>
      <c r="H4803">
        <v>1</v>
      </c>
      <c r="I4803" s="2">
        <v>609.19000000000005</v>
      </c>
      <c r="J4803" s="2">
        <v>609.19000000000005</v>
      </c>
      <c r="K4803" s="2">
        <f t="shared" ref="K4803:K4866" si="226">I4803*H4803</f>
        <v>609.19000000000005</v>
      </c>
      <c r="L4803" s="2">
        <f t="shared" ref="L4803:L4866" si="227">J4803-K4803</f>
        <v>0</v>
      </c>
      <c r="M4803" t="s">
        <v>15</v>
      </c>
      <c r="N4803" t="s">
        <v>32</v>
      </c>
    </row>
    <row r="4804" spans="1:14" x14ac:dyDescent="0.3">
      <c r="A4804">
        <v>2024005802</v>
      </c>
      <c r="B4804" s="1">
        <v>45400</v>
      </c>
      <c r="C4804" s="11">
        <f t="shared" si="225"/>
        <v>2024</v>
      </c>
      <c r="D4804" t="s">
        <v>279</v>
      </c>
      <c r="E4804" t="s">
        <v>23</v>
      </c>
      <c r="F4804" t="s">
        <v>24</v>
      </c>
      <c r="G4804" t="s">
        <v>14</v>
      </c>
      <c r="H4804">
        <v>3</v>
      </c>
      <c r="I4804" s="2">
        <v>75.69</v>
      </c>
      <c r="J4804" s="2">
        <v>227.07</v>
      </c>
      <c r="K4804" s="2">
        <f t="shared" si="226"/>
        <v>227.07</v>
      </c>
      <c r="L4804" s="2">
        <f t="shared" si="227"/>
        <v>0</v>
      </c>
      <c r="M4804" t="s">
        <v>15</v>
      </c>
      <c r="N4804" t="s">
        <v>16</v>
      </c>
    </row>
    <row r="4805" spans="1:14" x14ac:dyDescent="0.3">
      <c r="A4805">
        <v>2024005803</v>
      </c>
      <c r="B4805" s="1">
        <v>45619</v>
      </c>
      <c r="C4805" s="11">
        <f t="shared" si="225"/>
        <v>2024</v>
      </c>
      <c r="D4805" t="s">
        <v>161</v>
      </c>
      <c r="E4805" t="s">
        <v>12</v>
      </c>
      <c r="F4805" t="s">
        <v>13</v>
      </c>
      <c r="G4805" t="s">
        <v>14</v>
      </c>
      <c r="H4805">
        <v>3</v>
      </c>
      <c r="I4805" s="2">
        <v>332.9</v>
      </c>
      <c r="J4805" s="2">
        <v>998.7</v>
      </c>
      <c r="K4805" s="2">
        <f t="shared" si="226"/>
        <v>998.69999999999993</v>
      </c>
      <c r="L4805" s="2">
        <f t="shared" si="227"/>
        <v>0</v>
      </c>
      <c r="M4805" t="s">
        <v>55</v>
      </c>
      <c r="N4805" t="s">
        <v>16</v>
      </c>
    </row>
    <row r="4806" spans="1:14" x14ac:dyDescent="0.3">
      <c r="A4806">
        <v>2024005804</v>
      </c>
      <c r="B4806" s="1">
        <v>45533</v>
      </c>
      <c r="C4806" s="11">
        <f t="shared" si="225"/>
        <v>2024</v>
      </c>
      <c r="D4806" t="s">
        <v>115</v>
      </c>
      <c r="E4806" t="s">
        <v>40</v>
      </c>
      <c r="F4806" t="s">
        <v>41</v>
      </c>
      <c r="G4806" t="s">
        <v>36</v>
      </c>
      <c r="H4806">
        <v>1</v>
      </c>
      <c r="I4806" s="2">
        <v>44.91</v>
      </c>
      <c r="J4806" s="2">
        <v>44.91</v>
      </c>
      <c r="K4806" s="2">
        <f t="shared" si="226"/>
        <v>44.91</v>
      </c>
      <c r="L4806" s="2">
        <f t="shared" si="227"/>
        <v>0</v>
      </c>
      <c r="M4806" t="s">
        <v>38</v>
      </c>
      <c r="N4806" t="s">
        <v>21</v>
      </c>
    </row>
    <row r="4807" spans="1:14" x14ac:dyDescent="0.3">
      <c r="A4807">
        <v>2024005805</v>
      </c>
      <c r="B4807" s="1">
        <v>45367</v>
      </c>
      <c r="C4807" s="11">
        <f t="shared" si="225"/>
        <v>2024</v>
      </c>
      <c r="D4807" t="s">
        <v>138</v>
      </c>
      <c r="E4807" t="s">
        <v>28</v>
      </c>
      <c r="F4807" t="s">
        <v>29</v>
      </c>
      <c r="G4807" t="s">
        <v>30</v>
      </c>
      <c r="H4807">
        <v>3</v>
      </c>
      <c r="I4807" s="2">
        <v>24.96</v>
      </c>
      <c r="J4807" s="2">
        <v>74.88</v>
      </c>
      <c r="K4807" s="2">
        <f t="shared" si="226"/>
        <v>74.88</v>
      </c>
      <c r="L4807" s="2">
        <f t="shared" si="227"/>
        <v>0</v>
      </c>
      <c r="M4807" t="s">
        <v>38</v>
      </c>
      <c r="N4807" t="s">
        <v>16</v>
      </c>
    </row>
    <row r="4808" spans="1:14" x14ac:dyDescent="0.3">
      <c r="A4808">
        <v>2024005806</v>
      </c>
      <c r="B4808" s="1">
        <v>45445</v>
      </c>
      <c r="C4808" s="11">
        <f t="shared" si="225"/>
        <v>2024</v>
      </c>
      <c r="D4808" t="s">
        <v>49</v>
      </c>
      <c r="E4808" t="s">
        <v>53</v>
      </c>
      <c r="F4808" t="s">
        <v>54</v>
      </c>
      <c r="G4808" t="s">
        <v>36</v>
      </c>
      <c r="H4808">
        <v>1</v>
      </c>
      <c r="I4808" s="2">
        <v>131.15</v>
      </c>
      <c r="J4808" s="2">
        <v>131.15</v>
      </c>
      <c r="K4808" s="2">
        <f t="shared" si="226"/>
        <v>131.15</v>
      </c>
      <c r="L4808" s="2">
        <f t="shared" si="227"/>
        <v>0</v>
      </c>
      <c r="M4808" t="s">
        <v>64</v>
      </c>
      <c r="N4808" t="s">
        <v>16</v>
      </c>
    </row>
    <row r="4809" spans="1:14" x14ac:dyDescent="0.3">
      <c r="A4809">
        <v>2024005532</v>
      </c>
      <c r="B4809" s="1">
        <v>45473</v>
      </c>
      <c r="C4809" s="11">
        <f t="shared" si="225"/>
        <v>2024</v>
      </c>
      <c r="D4809" t="s">
        <v>213</v>
      </c>
      <c r="E4809" t="s">
        <v>34</v>
      </c>
      <c r="F4809" t="s">
        <v>35</v>
      </c>
      <c r="G4809" t="s">
        <v>36</v>
      </c>
      <c r="H4809">
        <v>3</v>
      </c>
      <c r="I4809" s="2">
        <v>14.17</v>
      </c>
      <c r="J4809" s="2">
        <v>42.51</v>
      </c>
      <c r="K4809" s="2">
        <f t="shared" si="226"/>
        <v>42.51</v>
      </c>
      <c r="L4809" s="2">
        <f t="shared" si="227"/>
        <v>0</v>
      </c>
      <c r="M4809" t="s">
        <v>55</v>
      </c>
      <c r="N4809" t="s">
        <v>16</v>
      </c>
    </row>
    <row r="4810" spans="1:14" x14ac:dyDescent="0.3">
      <c r="A4810">
        <v>2024005808</v>
      </c>
      <c r="B4810" s="1">
        <v>45458</v>
      </c>
      <c r="C4810" s="11">
        <f t="shared" si="225"/>
        <v>2024</v>
      </c>
      <c r="D4810" t="s">
        <v>11</v>
      </c>
      <c r="E4810" t="s">
        <v>67</v>
      </c>
      <c r="F4810" t="s">
        <v>68</v>
      </c>
      <c r="G4810" t="s">
        <v>36</v>
      </c>
      <c r="H4810">
        <v>1</v>
      </c>
      <c r="I4810" s="2">
        <v>367.29</v>
      </c>
      <c r="J4810" s="2">
        <v>367.29</v>
      </c>
      <c r="K4810" s="2">
        <f t="shared" si="226"/>
        <v>367.29</v>
      </c>
      <c r="L4810" s="2">
        <f t="shared" si="227"/>
        <v>0</v>
      </c>
      <c r="M4810" t="s">
        <v>57</v>
      </c>
      <c r="N4810" t="s">
        <v>16</v>
      </c>
    </row>
    <row r="4811" spans="1:14" x14ac:dyDescent="0.3">
      <c r="A4811">
        <v>2024005809</v>
      </c>
      <c r="B4811" s="1">
        <v>45474</v>
      </c>
      <c r="C4811" s="11">
        <f t="shared" si="225"/>
        <v>2024</v>
      </c>
      <c r="D4811" t="s">
        <v>123</v>
      </c>
      <c r="E4811" t="s">
        <v>12</v>
      </c>
      <c r="F4811" t="s">
        <v>13</v>
      </c>
      <c r="G4811" t="s">
        <v>14</v>
      </c>
      <c r="H4811">
        <v>3</v>
      </c>
      <c r="I4811" s="2">
        <v>353.63</v>
      </c>
      <c r="J4811" s="2">
        <v>1060.8900000000001</v>
      </c>
      <c r="K4811" s="2">
        <f t="shared" si="226"/>
        <v>1060.8899999999999</v>
      </c>
      <c r="L4811" s="2">
        <f t="shared" si="227"/>
        <v>0</v>
      </c>
      <c r="M4811" t="s">
        <v>61</v>
      </c>
      <c r="N4811" t="s">
        <v>32</v>
      </c>
    </row>
    <row r="4812" spans="1:14" x14ac:dyDescent="0.3">
      <c r="A4812">
        <v>2024005810</v>
      </c>
      <c r="B4812" s="1">
        <v>45527</v>
      </c>
      <c r="C4812" s="11">
        <f t="shared" si="225"/>
        <v>2024</v>
      </c>
      <c r="D4812" t="s">
        <v>207</v>
      </c>
      <c r="E4812" t="s">
        <v>67</v>
      </c>
      <c r="F4812" t="s">
        <v>68</v>
      </c>
      <c r="G4812" t="s">
        <v>36</v>
      </c>
      <c r="H4812">
        <v>3</v>
      </c>
      <c r="I4812" s="2">
        <v>385.47</v>
      </c>
      <c r="J4812" s="2">
        <v>1156.4100000000001</v>
      </c>
      <c r="K4812" s="2">
        <f t="shared" si="226"/>
        <v>1156.4100000000001</v>
      </c>
      <c r="L4812" s="2">
        <f t="shared" si="227"/>
        <v>0</v>
      </c>
      <c r="M4812" t="s">
        <v>64</v>
      </c>
      <c r="N4812" t="s">
        <v>16</v>
      </c>
    </row>
    <row r="4813" spans="1:14" x14ac:dyDescent="0.3">
      <c r="A4813">
        <v>2024005811</v>
      </c>
      <c r="B4813" s="1">
        <v>45377</v>
      </c>
      <c r="C4813" s="11">
        <f t="shared" si="225"/>
        <v>2024</v>
      </c>
      <c r="D4813" t="s">
        <v>254</v>
      </c>
      <c r="E4813" t="s">
        <v>43</v>
      </c>
      <c r="F4813" t="s">
        <v>44</v>
      </c>
      <c r="G4813" t="s">
        <v>36</v>
      </c>
      <c r="H4813">
        <v>4</v>
      </c>
      <c r="I4813" s="2">
        <v>1167.1500000000001</v>
      </c>
      <c r="J4813" s="2">
        <v>4668.6000000000004</v>
      </c>
      <c r="K4813" s="2">
        <f t="shared" si="226"/>
        <v>4668.6000000000004</v>
      </c>
      <c r="L4813" s="2">
        <f t="shared" si="227"/>
        <v>0</v>
      </c>
      <c r="M4813" t="s">
        <v>25</v>
      </c>
      <c r="N4813" t="s">
        <v>32</v>
      </c>
    </row>
    <row r="4814" spans="1:14" x14ac:dyDescent="0.3">
      <c r="A4814">
        <v>2024005812</v>
      </c>
      <c r="B4814" s="1">
        <v>45620</v>
      </c>
      <c r="C4814" s="11">
        <f t="shared" si="225"/>
        <v>2024</v>
      </c>
      <c r="D4814" t="s">
        <v>138</v>
      </c>
      <c r="E4814" t="s">
        <v>23</v>
      </c>
      <c r="F4814" t="s">
        <v>24</v>
      </c>
      <c r="G4814" t="s">
        <v>14</v>
      </c>
      <c r="H4814">
        <v>2</v>
      </c>
      <c r="I4814" s="2">
        <v>74.150000000000006</v>
      </c>
      <c r="J4814" s="2">
        <v>148.30000000000001</v>
      </c>
      <c r="K4814" s="2">
        <f t="shared" si="226"/>
        <v>148.30000000000001</v>
      </c>
      <c r="L4814" s="2">
        <f t="shared" si="227"/>
        <v>0</v>
      </c>
      <c r="M4814" t="s">
        <v>20</v>
      </c>
      <c r="N4814" t="s">
        <v>16</v>
      </c>
    </row>
    <row r="4815" spans="1:14" x14ac:dyDescent="0.3">
      <c r="A4815">
        <v>2024005813</v>
      </c>
      <c r="B4815" s="1">
        <v>45539</v>
      </c>
      <c r="C4815" s="11">
        <f t="shared" si="225"/>
        <v>2024</v>
      </c>
      <c r="D4815" t="s">
        <v>42</v>
      </c>
      <c r="E4815" t="s">
        <v>28</v>
      </c>
      <c r="F4815" t="s">
        <v>29</v>
      </c>
      <c r="G4815" t="s">
        <v>30</v>
      </c>
      <c r="H4815">
        <v>2</v>
      </c>
      <c r="I4815" s="2">
        <v>25.11</v>
      </c>
      <c r="J4815" s="2">
        <v>50.22</v>
      </c>
      <c r="K4815" s="2">
        <f t="shared" si="226"/>
        <v>50.22</v>
      </c>
      <c r="L4815" s="2">
        <f t="shared" si="227"/>
        <v>0</v>
      </c>
      <c r="M4815" t="s">
        <v>64</v>
      </c>
      <c r="N4815" t="s">
        <v>32</v>
      </c>
    </row>
    <row r="4816" spans="1:14" x14ac:dyDescent="0.3">
      <c r="A4816">
        <v>2024005814</v>
      </c>
      <c r="B4816" s="1">
        <v>45450</v>
      </c>
      <c r="C4816" s="11">
        <f t="shared" si="225"/>
        <v>2024</v>
      </c>
      <c r="D4816" t="s">
        <v>172</v>
      </c>
      <c r="E4816" t="s">
        <v>23</v>
      </c>
      <c r="F4816" t="s">
        <v>24</v>
      </c>
      <c r="G4816" t="s">
        <v>14</v>
      </c>
      <c r="H4816">
        <v>1</v>
      </c>
      <c r="I4816" s="2">
        <v>74.64</v>
      </c>
      <c r="J4816" s="2">
        <v>74.64</v>
      </c>
      <c r="K4816" s="2">
        <f t="shared" si="226"/>
        <v>74.64</v>
      </c>
      <c r="L4816" s="2">
        <f t="shared" si="227"/>
        <v>0</v>
      </c>
      <c r="M4816" t="s">
        <v>38</v>
      </c>
      <c r="N4816" t="s">
        <v>26</v>
      </c>
    </row>
    <row r="4817" spans="1:14" x14ac:dyDescent="0.3">
      <c r="A4817">
        <v>2024005815</v>
      </c>
      <c r="B4817" s="1">
        <v>45577</v>
      </c>
      <c r="C4817" s="11">
        <f t="shared" si="225"/>
        <v>2024</v>
      </c>
      <c r="D4817" t="s">
        <v>11</v>
      </c>
      <c r="E4817" t="s">
        <v>12</v>
      </c>
      <c r="F4817" t="s">
        <v>13</v>
      </c>
      <c r="G4817" t="s">
        <v>14</v>
      </c>
      <c r="H4817">
        <v>1</v>
      </c>
      <c r="I4817" s="2">
        <v>347.86</v>
      </c>
      <c r="J4817" s="2">
        <v>347.86</v>
      </c>
      <c r="K4817" s="2">
        <f t="shared" si="226"/>
        <v>347.86</v>
      </c>
      <c r="L4817" s="2">
        <f t="shared" si="227"/>
        <v>0</v>
      </c>
      <c r="M4817" t="s">
        <v>64</v>
      </c>
      <c r="N4817" t="s">
        <v>32</v>
      </c>
    </row>
    <row r="4818" spans="1:14" x14ac:dyDescent="0.3">
      <c r="A4818">
        <v>2024005816</v>
      </c>
      <c r="B4818" s="1">
        <v>45431</v>
      </c>
      <c r="C4818" s="11">
        <f t="shared" si="225"/>
        <v>2024</v>
      </c>
      <c r="D4818" t="s">
        <v>206</v>
      </c>
      <c r="E4818" t="s">
        <v>46</v>
      </c>
      <c r="F4818" t="s">
        <v>47</v>
      </c>
      <c r="G4818" t="s">
        <v>36</v>
      </c>
      <c r="H4818">
        <v>1</v>
      </c>
      <c r="I4818" s="2">
        <v>91.25</v>
      </c>
      <c r="J4818" s="2">
        <v>91.25</v>
      </c>
      <c r="K4818" s="2">
        <f t="shared" si="226"/>
        <v>91.25</v>
      </c>
      <c r="L4818" s="2">
        <f t="shared" si="227"/>
        <v>0</v>
      </c>
      <c r="M4818" t="s">
        <v>64</v>
      </c>
      <c r="N4818" t="s">
        <v>16</v>
      </c>
    </row>
    <row r="4819" spans="1:14" x14ac:dyDescent="0.3">
      <c r="A4819">
        <v>2024005817</v>
      </c>
      <c r="B4819" s="1">
        <v>45410</v>
      </c>
      <c r="C4819" s="11">
        <f t="shared" si="225"/>
        <v>2024</v>
      </c>
      <c r="D4819" t="s">
        <v>11</v>
      </c>
      <c r="E4819" t="s">
        <v>18</v>
      </c>
      <c r="F4819" t="s">
        <v>19</v>
      </c>
      <c r="G4819" t="s">
        <v>14</v>
      </c>
      <c r="H4819">
        <v>2</v>
      </c>
      <c r="I4819" s="2">
        <v>596.57000000000005</v>
      </c>
      <c r="J4819" s="2">
        <v>1193.1400000000001</v>
      </c>
      <c r="K4819" s="2">
        <f t="shared" si="226"/>
        <v>1193.1400000000001</v>
      </c>
      <c r="L4819" s="2">
        <f t="shared" si="227"/>
        <v>0</v>
      </c>
      <c r="M4819" t="s">
        <v>38</v>
      </c>
      <c r="N4819" t="s">
        <v>26</v>
      </c>
    </row>
    <row r="4820" spans="1:14" x14ac:dyDescent="0.3">
      <c r="A4820">
        <v>2024005818</v>
      </c>
      <c r="B4820" s="1">
        <v>45556</v>
      </c>
      <c r="C4820" s="11">
        <f t="shared" si="225"/>
        <v>2024</v>
      </c>
      <c r="D4820" t="s">
        <v>289</v>
      </c>
      <c r="E4820" t="s">
        <v>53</v>
      </c>
      <c r="F4820" t="s">
        <v>54</v>
      </c>
      <c r="G4820" t="s">
        <v>36</v>
      </c>
      <c r="H4820">
        <v>1</v>
      </c>
      <c r="I4820" s="2">
        <v>129.93</v>
      </c>
      <c r="J4820" s="2">
        <v>129.93</v>
      </c>
      <c r="K4820" s="2">
        <f t="shared" si="226"/>
        <v>129.93</v>
      </c>
      <c r="L4820" s="2">
        <f t="shared" si="227"/>
        <v>0</v>
      </c>
      <c r="M4820" t="s">
        <v>25</v>
      </c>
      <c r="N4820" t="s">
        <v>16</v>
      </c>
    </row>
    <row r="4821" spans="1:14" x14ac:dyDescent="0.3">
      <c r="A4821">
        <v>2024005819</v>
      </c>
      <c r="B4821" s="1">
        <v>45569</v>
      </c>
      <c r="C4821" s="11">
        <f t="shared" si="225"/>
        <v>2024</v>
      </c>
      <c r="D4821" t="s">
        <v>210</v>
      </c>
      <c r="E4821" t="s">
        <v>18</v>
      </c>
      <c r="F4821" t="s">
        <v>19</v>
      </c>
      <c r="G4821" t="s">
        <v>14</v>
      </c>
      <c r="H4821">
        <v>1</v>
      </c>
      <c r="I4821" s="2">
        <v>623.13</v>
      </c>
      <c r="J4821" s="2">
        <v>623.13</v>
      </c>
      <c r="K4821" s="2">
        <f t="shared" si="226"/>
        <v>623.13</v>
      </c>
      <c r="L4821" s="2">
        <f t="shared" si="227"/>
        <v>0</v>
      </c>
      <c r="M4821" t="s">
        <v>57</v>
      </c>
      <c r="N4821" t="s">
        <v>32</v>
      </c>
    </row>
    <row r="4822" spans="1:14" x14ac:dyDescent="0.3">
      <c r="A4822">
        <v>2024005820</v>
      </c>
      <c r="B4822" s="1">
        <v>45527</v>
      </c>
      <c r="C4822" s="11">
        <f t="shared" si="225"/>
        <v>2024</v>
      </c>
      <c r="D4822" t="s">
        <v>70</v>
      </c>
      <c r="E4822" t="s">
        <v>53</v>
      </c>
      <c r="F4822" t="s">
        <v>54</v>
      </c>
      <c r="G4822" t="s">
        <v>36</v>
      </c>
      <c r="H4822">
        <v>3</v>
      </c>
      <c r="I4822" s="2">
        <v>114.14</v>
      </c>
      <c r="J4822" s="2">
        <v>342.42</v>
      </c>
      <c r="K4822" s="2">
        <f t="shared" si="226"/>
        <v>342.42</v>
      </c>
      <c r="L4822" s="2">
        <f t="shared" si="227"/>
        <v>0</v>
      </c>
      <c r="M4822" t="s">
        <v>15</v>
      </c>
      <c r="N4822" t="s">
        <v>32</v>
      </c>
    </row>
    <row r="4823" spans="1:14" x14ac:dyDescent="0.3">
      <c r="A4823">
        <v>2024005821</v>
      </c>
      <c r="B4823" s="1">
        <v>45402</v>
      </c>
      <c r="C4823" s="11">
        <f t="shared" si="225"/>
        <v>2024</v>
      </c>
      <c r="D4823" t="s">
        <v>104</v>
      </c>
      <c r="E4823" t="s">
        <v>43</v>
      </c>
      <c r="F4823" t="s">
        <v>44</v>
      </c>
      <c r="G4823" t="s">
        <v>36</v>
      </c>
      <c r="H4823">
        <v>1</v>
      </c>
      <c r="I4823" s="2">
        <v>1169.6500000000001</v>
      </c>
      <c r="J4823" s="2">
        <v>1169.6500000000001</v>
      </c>
      <c r="K4823" s="2">
        <f t="shared" si="226"/>
        <v>1169.6500000000001</v>
      </c>
      <c r="L4823" s="2">
        <f t="shared" si="227"/>
        <v>0</v>
      </c>
      <c r="M4823" t="s">
        <v>20</v>
      </c>
      <c r="N4823" t="s">
        <v>21</v>
      </c>
    </row>
    <row r="4824" spans="1:14" x14ac:dyDescent="0.3">
      <c r="A4824">
        <v>2024005822</v>
      </c>
      <c r="B4824" s="1">
        <v>45378</v>
      </c>
      <c r="C4824" s="11">
        <f t="shared" si="225"/>
        <v>2024</v>
      </c>
      <c r="D4824" t="s">
        <v>161</v>
      </c>
      <c r="E4824" t="s">
        <v>67</v>
      </c>
      <c r="F4824" t="s">
        <v>68</v>
      </c>
      <c r="G4824" t="s">
        <v>36</v>
      </c>
      <c r="H4824">
        <v>4</v>
      </c>
      <c r="I4824" s="2">
        <v>392.85</v>
      </c>
      <c r="J4824" s="2">
        <v>1571.4</v>
      </c>
      <c r="K4824" s="2">
        <f t="shared" si="226"/>
        <v>1571.4</v>
      </c>
      <c r="L4824" s="2">
        <f t="shared" si="227"/>
        <v>0</v>
      </c>
      <c r="M4824" t="s">
        <v>38</v>
      </c>
      <c r="N4824" t="s">
        <v>32</v>
      </c>
    </row>
    <row r="4825" spans="1:14" x14ac:dyDescent="0.3">
      <c r="A4825">
        <v>2024005823</v>
      </c>
      <c r="B4825" s="1">
        <v>45623</v>
      </c>
      <c r="C4825" s="11">
        <f t="shared" si="225"/>
        <v>2024</v>
      </c>
      <c r="D4825" t="s">
        <v>214</v>
      </c>
      <c r="E4825" t="s">
        <v>43</v>
      </c>
      <c r="F4825" t="s">
        <v>44</v>
      </c>
      <c r="G4825" t="s">
        <v>36</v>
      </c>
      <c r="H4825">
        <v>1</v>
      </c>
      <c r="I4825" s="2">
        <v>1238.67</v>
      </c>
      <c r="J4825" s="2">
        <v>1238.67</v>
      </c>
      <c r="K4825" s="2">
        <f t="shared" si="226"/>
        <v>1238.67</v>
      </c>
      <c r="L4825" s="2">
        <f t="shared" si="227"/>
        <v>0</v>
      </c>
      <c r="M4825" t="s">
        <v>57</v>
      </c>
      <c r="N4825" t="s">
        <v>16</v>
      </c>
    </row>
    <row r="4826" spans="1:14" x14ac:dyDescent="0.3">
      <c r="A4826">
        <v>2024005824</v>
      </c>
      <c r="B4826" s="1">
        <v>45335</v>
      </c>
      <c r="C4826" s="11">
        <f t="shared" si="225"/>
        <v>2024</v>
      </c>
      <c r="D4826" t="s">
        <v>156</v>
      </c>
      <c r="E4826" t="s">
        <v>18</v>
      </c>
      <c r="F4826" t="s">
        <v>19</v>
      </c>
      <c r="G4826" t="s">
        <v>14</v>
      </c>
      <c r="H4826">
        <v>1</v>
      </c>
      <c r="I4826" s="2">
        <v>620.54</v>
      </c>
      <c r="J4826" s="2">
        <v>620.54</v>
      </c>
      <c r="K4826" s="2">
        <f t="shared" si="226"/>
        <v>620.54</v>
      </c>
      <c r="L4826" s="2">
        <f t="shared" si="227"/>
        <v>0</v>
      </c>
      <c r="M4826" t="s">
        <v>20</v>
      </c>
      <c r="N4826" t="s">
        <v>16</v>
      </c>
    </row>
    <row r="4827" spans="1:14" x14ac:dyDescent="0.3">
      <c r="A4827">
        <v>2024005825</v>
      </c>
      <c r="B4827" s="1">
        <v>45335</v>
      </c>
      <c r="C4827" s="11">
        <f t="shared" si="225"/>
        <v>2024</v>
      </c>
      <c r="D4827" t="s">
        <v>339</v>
      </c>
      <c r="E4827" t="s">
        <v>43</v>
      </c>
      <c r="F4827" t="s">
        <v>44</v>
      </c>
      <c r="G4827" t="s">
        <v>36</v>
      </c>
      <c r="H4827">
        <v>2</v>
      </c>
      <c r="I4827" s="2">
        <v>1116.46</v>
      </c>
      <c r="J4827" s="2">
        <v>2232.92</v>
      </c>
      <c r="K4827" s="2">
        <f t="shared" si="226"/>
        <v>2232.92</v>
      </c>
      <c r="L4827" s="2">
        <f t="shared" si="227"/>
        <v>0</v>
      </c>
      <c r="M4827" t="s">
        <v>25</v>
      </c>
      <c r="N4827" t="s">
        <v>26</v>
      </c>
    </row>
    <row r="4828" spans="1:14" x14ac:dyDescent="0.3">
      <c r="A4828">
        <v>2024005826</v>
      </c>
      <c r="B4828" s="1">
        <v>45449</v>
      </c>
      <c r="C4828" s="11">
        <f t="shared" si="225"/>
        <v>2024</v>
      </c>
      <c r="D4828" t="s">
        <v>307</v>
      </c>
      <c r="E4828" t="s">
        <v>40</v>
      </c>
      <c r="F4828" t="s">
        <v>41</v>
      </c>
      <c r="G4828" t="s">
        <v>36</v>
      </c>
      <c r="H4828">
        <v>0</v>
      </c>
      <c r="I4828" s="2">
        <v>45.08</v>
      </c>
      <c r="J4828" s="2">
        <v>0</v>
      </c>
      <c r="K4828" s="2">
        <f t="shared" si="226"/>
        <v>0</v>
      </c>
      <c r="L4828" s="2">
        <f t="shared" si="227"/>
        <v>0</v>
      </c>
      <c r="M4828" t="s">
        <v>48</v>
      </c>
      <c r="N4828" t="s">
        <v>21</v>
      </c>
    </row>
    <row r="4829" spans="1:14" x14ac:dyDescent="0.3">
      <c r="A4829">
        <v>2024005827</v>
      </c>
      <c r="B4829" s="1">
        <v>45625</v>
      </c>
      <c r="C4829" s="11">
        <f t="shared" si="225"/>
        <v>2024</v>
      </c>
      <c r="D4829" t="s">
        <v>336</v>
      </c>
      <c r="E4829" t="s">
        <v>53</v>
      </c>
      <c r="F4829" t="s">
        <v>54</v>
      </c>
      <c r="G4829" t="s">
        <v>36</v>
      </c>
      <c r="H4829">
        <v>2</v>
      </c>
      <c r="I4829" s="2">
        <v>123.07</v>
      </c>
      <c r="J4829" s="2">
        <v>246.14</v>
      </c>
      <c r="K4829" s="2">
        <f t="shared" si="226"/>
        <v>246.14</v>
      </c>
      <c r="L4829" s="2">
        <f t="shared" si="227"/>
        <v>0</v>
      </c>
      <c r="M4829" t="s">
        <v>57</v>
      </c>
      <c r="N4829" t="s">
        <v>32</v>
      </c>
    </row>
    <row r="4830" spans="1:14" x14ac:dyDescent="0.3">
      <c r="A4830">
        <v>2024005828</v>
      </c>
      <c r="B4830" s="1">
        <v>45608</v>
      </c>
      <c r="C4830" s="11">
        <f t="shared" si="225"/>
        <v>2024</v>
      </c>
      <c r="D4830" t="s">
        <v>11</v>
      </c>
      <c r="E4830" t="s">
        <v>23</v>
      </c>
      <c r="F4830" t="s">
        <v>24</v>
      </c>
      <c r="G4830" t="s">
        <v>14</v>
      </c>
      <c r="H4830">
        <v>3</v>
      </c>
      <c r="I4830" s="2">
        <v>79.17</v>
      </c>
      <c r="J4830" s="2">
        <v>237.51</v>
      </c>
      <c r="K4830" s="2">
        <f t="shared" si="226"/>
        <v>237.51</v>
      </c>
      <c r="L4830" s="2">
        <f t="shared" si="227"/>
        <v>0</v>
      </c>
      <c r="M4830" t="s">
        <v>31</v>
      </c>
      <c r="N4830" t="s">
        <v>21</v>
      </c>
    </row>
    <row r="4831" spans="1:14" x14ac:dyDescent="0.3">
      <c r="A4831">
        <v>2024005829</v>
      </c>
      <c r="B4831" s="1">
        <v>45462</v>
      </c>
      <c r="C4831" s="11">
        <f t="shared" si="225"/>
        <v>2024</v>
      </c>
      <c r="D4831" t="s">
        <v>204</v>
      </c>
      <c r="E4831" t="s">
        <v>43</v>
      </c>
      <c r="F4831" t="s">
        <v>44</v>
      </c>
      <c r="G4831" t="s">
        <v>36</v>
      </c>
      <c r="H4831">
        <v>2</v>
      </c>
      <c r="I4831" s="2">
        <v>1199.76</v>
      </c>
      <c r="J4831" s="2">
        <v>2399.52</v>
      </c>
      <c r="K4831" s="2">
        <f t="shared" si="226"/>
        <v>2399.52</v>
      </c>
      <c r="L4831" s="2">
        <f t="shared" si="227"/>
        <v>0</v>
      </c>
      <c r="M4831" t="s">
        <v>38</v>
      </c>
      <c r="N4831" t="s">
        <v>21</v>
      </c>
    </row>
    <row r="4832" spans="1:14" x14ac:dyDescent="0.3">
      <c r="A4832">
        <v>2024005830</v>
      </c>
      <c r="B4832" s="1">
        <v>45502</v>
      </c>
      <c r="C4832" s="11">
        <f t="shared" si="225"/>
        <v>2024</v>
      </c>
      <c r="D4832" t="s">
        <v>189</v>
      </c>
      <c r="E4832" t="s">
        <v>18</v>
      </c>
      <c r="F4832" t="s">
        <v>19</v>
      </c>
      <c r="G4832" t="s">
        <v>14</v>
      </c>
      <c r="H4832">
        <v>1</v>
      </c>
      <c r="I4832" s="2">
        <v>601.46</v>
      </c>
      <c r="J4832" s="2">
        <v>601.46</v>
      </c>
      <c r="K4832" s="2">
        <f t="shared" si="226"/>
        <v>601.46</v>
      </c>
      <c r="L4832" s="2">
        <f t="shared" si="227"/>
        <v>0</v>
      </c>
      <c r="M4832" t="s">
        <v>15</v>
      </c>
      <c r="N4832" t="s">
        <v>32</v>
      </c>
    </row>
    <row r="4833" spans="1:14" x14ac:dyDescent="0.3">
      <c r="A4833">
        <v>2024005831</v>
      </c>
      <c r="B4833" s="1">
        <v>45442</v>
      </c>
      <c r="C4833" s="11">
        <f t="shared" si="225"/>
        <v>2024</v>
      </c>
      <c r="D4833" t="s">
        <v>304</v>
      </c>
      <c r="E4833" t="s">
        <v>34</v>
      </c>
      <c r="F4833" t="s">
        <v>35</v>
      </c>
      <c r="G4833" t="s">
        <v>36</v>
      </c>
      <c r="H4833">
        <v>3</v>
      </c>
      <c r="I4833" s="2">
        <v>14.3</v>
      </c>
      <c r="J4833" s="2">
        <v>42.9</v>
      </c>
      <c r="K4833" s="2">
        <f t="shared" si="226"/>
        <v>42.900000000000006</v>
      </c>
      <c r="L4833" s="2">
        <f t="shared" si="227"/>
        <v>0</v>
      </c>
      <c r="M4833" t="s">
        <v>38</v>
      </c>
      <c r="N4833" t="s">
        <v>26</v>
      </c>
    </row>
    <row r="4834" spans="1:14" x14ac:dyDescent="0.3">
      <c r="A4834">
        <v>2024005832</v>
      </c>
      <c r="B4834" s="1">
        <v>45536</v>
      </c>
      <c r="C4834" s="11">
        <f t="shared" si="225"/>
        <v>2024</v>
      </c>
      <c r="D4834" t="s">
        <v>295</v>
      </c>
      <c r="E4834" t="s">
        <v>67</v>
      </c>
      <c r="F4834" t="s">
        <v>68</v>
      </c>
      <c r="G4834" t="s">
        <v>36</v>
      </c>
      <c r="H4834">
        <v>3</v>
      </c>
      <c r="I4834" s="2">
        <v>424.2</v>
      </c>
      <c r="J4834" s="2">
        <v>1272.5999999999999</v>
      </c>
      <c r="K4834" s="2">
        <f t="shared" si="226"/>
        <v>1272.5999999999999</v>
      </c>
      <c r="L4834" s="2">
        <f t="shared" si="227"/>
        <v>0</v>
      </c>
      <c r="M4834" t="s">
        <v>31</v>
      </c>
      <c r="N4834" t="s">
        <v>32</v>
      </c>
    </row>
    <row r="4835" spans="1:14" x14ac:dyDescent="0.3">
      <c r="A4835">
        <v>2024005833</v>
      </c>
      <c r="B4835" s="1">
        <v>45501</v>
      </c>
      <c r="C4835" s="11">
        <f t="shared" si="225"/>
        <v>2024</v>
      </c>
      <c r="D4835" t="s">
        <v>11</v>
      </c>
      <c r="E4835" t="s">
        <v>28</v>
      </c>
      <c r="F4835" t="s">
        <v>29</v>
      </c>
      <c r="G4835" t="s">
        <v>30</v>
      </c>
      <c r="H4835">
        <v>1</v>
      </c>
      <c r="I4835" s="2">
        <v>23.78</v>
      </c>
      <c r="J4835" s="2">
        <v>23.78</v>
      </c>
      <c r="K4835" s="2">
        <f t="shared" si="226"/>
        <v>23.78</v>
      </c>
      <c r="L4835" s="2">
        <f t="shared" si="227"/>
        <v>0</v>
      </c>
      <c r="M4835" t="s">
        <v>57</v>
      </c>
      <c r="N4835" t="s">
        <v>21</v>
      </c>
    </row>
    <row r="4836" spans="1:14" x14ac:dyDescent="0.3">
      <c r="A4836">
        <v>2024005834</v>
      </c>
      <c r="B4836" s="1">
        <v>45442</v>
      </c>
      <c r="C4836" s="11">
        <f t="shared" si="225"/>
        <v>2024</v>
      </c>
      <c r="D4836" t="s">
        <v>283</v>
      </c>
      <c r="E4836" t="s">
        <v>43</v>
      </c>
      <c r="F4836" t="s">
        <v>44</v>
      </c>
      <c r="G4836" t="s">
        <v>36</v>
      </c>
      <c r="H4836">
        <v>2</v>
      </c>
      <c r="I4836" s="2">
        <v>1151</v>
      </c>
      <c r="J4836" s="2">
        <v>2302</v>
      </c>
      <c r="K4836" s="2">
        <f t="shared" si="226"/>
        <v>2302</v>
      </c>
      <c r="L4836" s="2">
        <f t="shared" si="227"/>
        <v>0</v>
      </c>
      <c r="M4836" t="s">
        <v>48</v>
      </c>
      <c r="N4836" t="s">
        <v>16</v>
      </c>
    </row>
    <row r="4837" spans="1:14" x14ac:dyDescent="0.3">
      <c r="A4837">
        <v>2024005835</v>
      </c>
      <c r="B4837" s="1">
        <v>45416</v>
      </c>
      <c r="C4837" s="11">
        <f t="shared" si="225"/>
        <v>2024</v>
      </c>
      <c r="D4837" t="s">
        <v>11</v>
      </c>
      <c r="E4837" t="s">
        <v>34</v>
      </c>
      <c r="F4837" t="s">
        <v>35</v>
      </c>
      <c r="G4837" t="s">
        <v>36</v>
      </c>
      <c r="H4837">
        <v>1</v>
      </c>
      <c r="I4837" s="2">
        <v>14.87</v>
      </c>
      <c r="J4837" s="2">
        <v>14.87</v>
      </c>
      <c r="K4837" s="2">
        <f t="shared" si="226"/>
        <v>14.87</v>
      </c>
      <c r="L4837" s="2">
        <f t="shared" si="227"/>
        <v>0</v>
      </c>
      <c r="M4837" t="s">
        <v>55</v>
      </c>
      <c r="N4837" t="s">
        <v>32</v>
      </c>
    </row>
    <row r="4838" spans="1:14" x14ac:dyDescent="0.3">
      <c r="A4838">
        <v>2024005836</v>
      </c>
      <c r="B4838" s="1">
        <v>45621</v>
      </c>
      <c r="C4838" s="11">
        <f t="shared" si="225"/>
        <v>2024</v>
      </c>
      <c r="D4838" t="s">
        <v>45</v>
      </c>
      <c r="E4838" t="s">
        <v>43</v>
      </c>
      <c r="F4838" t="s">
        <v>44</v>
      </c>
      <c r="G4838" t="s">
        <v>36</v>
      </c>
      <c r="H4838">
        <v>3</v>
      </c>
      <c r="I4838" s="2">
        <v>1179.8499999999999</v>
      </c>
      <c r="J4838" s="2">
        <v>3539.55</v>
      </c>
      <c r="K4838" s="2">
        <f t="shared" si="226"/>
        <v>3539.5499999999997</v>
      </c>
      <c r="L4838" s="2">
        <f t="shared" si="227"/>
        <v>0</v>
      </c>
      <c r="M4838" t="s">
        <v>57</v>
      </c>
      <c r="N4838" t="s">
        <v>26</v>
      </c>
    </row>
    <row r="4839" spans="1:14" x14ac:dyDescent="0.3">
      <c r="A4839">
        <v>2024005837</v>
      </c>
      <c r="B4839" s="1">
        <v>45457</v>
      </c>
      <c r="C4839" s="11">
        <f t="shared" si="225"/>
        <v>2024</v>
      </c>
      <c r="D4839" t="s">
        <v>11</v>
      </c>
      <c r="E4839" t="s">
        <v>34</v>
      </c>
      <c r="F4839" t="s">
        <v>35</v>
      </c>
      <c r="G4839" t="s">
        <v>36</v>
      </c>
      <c r="H4839">
        <v>2</v>
      </c>
      <c r="I4839" s="2">
        <v>15.04</v>
      </c>
      <c r="J4839" s="2">
        <v>30.08</v>
      </c>
      <c r="K4839" s="2">
        <f t="shared" si="226"/>
        <v>30.08</v>
      </c>
      <c r="L4839" s="2">
        <f t="shared" si="227"/>
        <v>0</v>
      </c>
      <c r="M4839" t="s">
        <v>61</v>
      </c>
      <c r="N4839" t="s">
        <v>26</v>
      </c>
    </row>
    <row r="4840" spans="1:14" x14ac:dyDescent="0.3">
      <c r="A4840">
        <v>2024005838</v>
      </c>
      <c r="B4840" s="1">
        <v>45411</v>
      </c>
      <c r="C4840" s="11">
        <f t="shared" si="225"/>
        <v>2024</v>
      </c>
      <c r="D4840" t="s">
        <v>216</v>
      </c>
      <c r="E4840" t="s">
        <v>46</v>
      </c>
      <c r="F4840" t="s">
        <v>47</v>
      </c>
      <c r="G4840" t="s">
        <v>36</v>
      </c>
      <c r="H4840">
        <v>1</v>
      </c>
      <c r="I4840" s="2">
        <v>86.52</v>
      </c>
      <c r="J4840" s="2">
        <v>86.52</v>
      </c>
      <c r="K4840" s="2">
        <f t="shared" si="226"/>
        <v>86.52</v>
      </c>
      <c r="L4840" s="2">
        <f t="shared" si="227"/>
        <v>0</v>
      </c>
      <c r="M4840" t="s">
        <v>48</v>
      </c>
      <c r="N4840" t="s">
        <v>16</v>
      </c>
    </row>
    <row r="4841" spans="1:14" x14ac:dyDescent="0.3">
      <c r="A4841">
        <v>2024005839</v>
      </c>
      <c r="B4841" s="1">
        <v>45312</v>
      </c>
      <c r="C4841" s="11">
        <f t="shared" si="225"/>
        <v>2024</v>
      </c>
      <c r="D4841" t="s">
        <v>60</v>
      </c>
      <c r="E4841" t="s">
        <v>28</v>
      </c>
      <c r="F4841" t="s">
        <v>29</v>
      </c>
      <c r="G4841" t="s">
        <v>30</v>
      </c>
      <c r="H4841">
        <v>1</v>
      </c>
      <c r="I4841" s="2">
        <v>26.79</v>
      </c>
      <c r="J4841" s="2">
        <v>26.79</v>
      </c>
      <c r="K4841" s="2">
        <f t="shared" si="226"/>
        <v>26.79</v>
      </c>
      <c r="L4841" s="2">
        <f t="shared" si="227"/>
        <v>0</v>
      </c>
      <c r="M4841" t="s">
        <v>31</v>
      </c>
      <c r="N4841" t="s">
        <v>26</v>
      </c>
    </row>
    <row r="4842" spans="1:14" x14ac:dyDescent="0.3">
      <c r="A4842">
        <v>2024005840</v>
      </c>
      <c r="B4842" s="1">
        <v>45300</v>
      </c>
      <c r="C4842" s="11">
        <f t="shared" si="225"/>
        <v>2024</v>
      </c>
      <c r="D4842" t="s">
        <v>11</v>
      </c>
      <c r="E4842" t="s">
        <v>53</v>
      </c>
      <c r="F4842" t="s">
        <v>54</v>
      </c>
      <c r="G4842" t="s">
        <v>36</v>
      </c>
      <c r="H4842">
        <v>2</v>
      </c>
      <c r="I4842" s="2">
        <v>116.82</v>
      </c>
      <c r="J4842" s="2">
        <v>233.64</v>
      </c>
      <c r="K4842" s="2">
        <f t="shared" si="226"/>
        <v>233.64</v>
      </c>
      <c r="L4842" s="2">
        <f t="shared" si="227"/>
        <v>0</v>
      </c>
      <c r="M4842" t="s">
        <v>55</v>
      </c>
      <c r="N4842" t="s">
        <v>26</v>
      </c>
    </row>
    <row r="4843" spans="1:14" x14ac:dyDescent="0.3">
      <c r="A4843">
        <v>2024005841</v>
      </c>
      <c r="B4843" s="1">
        <v>45460</v>
      </c>
      <c r="C4843" s="11">
        <f t="shared" si="225"/>
        <v>2024</v>
      </c>
      <c r="D4843" t="s">
        <v>311</v>
      </c>
      <c r="E4843" t="s">
        <v>67</v>
      </c>
      <c r="F4843" t="s">
        <v>68</v>
      </c>
      <c r="G4843" t="s">
        <v>36</v>
      </c>
      <c r="H4843">
        <v>2</v>
      </c>
      <c r="I4843" s="2">
        <v>383.29</v>
      </c>
      <c r="J4843" s="2">
        <v>766.58</v>
      </c>
      <c r="K4843" s="2">
        <f t="shared" si="226"/>
        <v>766.58</v>
      </c>
      <c r="L4843" s="2">
        <f t="shared" si="227"/>
        <v>0</v>
      </c>
      <c r="M4843" t="s">
        <v>25</v>
      </c>
      <c r="N4843" t="s">
        <v>21</v>
      </c>
    </row>
    <row r="4844" spans="1:14" x14ac:dyDescent="0.3">
      <c r="A4844">
        <v>2024005842</v>
      </c>
      <c r="B4844" s="1">
        <v>45646</v>
      </c>
      <c r="C4844" s="11">
        <f t="shared" si="225"/>
        <v>2024</v>
      </c>
      <c r="D4844" t="s">
        <v>294</v>
      </c>
      <c r="E4844" t="s">
        <v>18</v>
      </c>
      <c r="F4844" t="s">
        <v>19</v>
      </c>
      <c r="G4844" t="s">
        <v>14</v>
      </c>
      <c r="H4844">
        <v>1</v>
      </c>
      <c r="I4844" s="2">
        <v>612.66999999999996</v>
      </c>
      <c r="J4844" s="2">
        <v>612.66999999999996</v>
      </c>
      <c r="K4844" s="2">
        <f t="shared" si="226"/>
        <v>612.66999999999996</v>
      </c>
      <c r="L4844" s="2">
        <f t="shared" si="227"/>
        <v>0</v>
      </c>
      <c r="M4844" t="s">
        <v>38</v>
      </c>
      <c r="N4844" t="s">
        <v>32</v>
      </c>
    </row>
    <row r="4845" spans="1:14" x14ac:dyDescent="0.3">
      <c r="A4845">
        <v>2024005843</v>
      </c>
      <c r="B4845" s="1">
        <v>45481</v>
      </c>
      <c r="C4845" s="11">
        <f t="shared" si="225"/>
        <v>2024</v>
      </c>
      <c r="D4845" t="s">
        <v>210</v>
      </c>
      <c r="E4845" t="s">
        <v>28</v>
      </c>
      <c r="F4845" t="s">
        <v>29</v>
      </c>
      <c r="G4845" t="s">
        <v>30</v>
      </c>
      <c r="H4845">
        <v>1</v>
      </c>
      <c r="I4845" s="2">
        <v>23.52</v>
      </c>
      <c r="J4845" s="2">
        <v>23.52</v>
      </c>
      <c r="K4845" s="2">
        <f t="shared" si="226"/>
        <v>23.52</v>
      </c>
      <c r="L4845" s="2">
        <f t="shared" si="227"/>
        <v>0</v>
      </c>
      <c r="M4845" t="s">
        <v>15</v>
      </c>
      <c r="N4845" t="s">
        <v>26</v>
      </c>
    </row>
    <row r="4846" spans="1:14" x14ac:dyDescent="0.3">
      <c r="A4846">
        <v>2024005844</v>
      </c>
      <c r="B4846" s="1">
        <v>45513</v>
      </c>
      <c r="C4846" s="11">
        <f t="shared" si="225"/>
        <v>2024</v>
      </c>
      <c r="D4846" t="s">
        <v>314</v>
      </c>
      <c r="E4846" t="s">
        <v>53</v>
      </c>
      <c r="F4846" t="s">
        <v>54</v>
      </c>
      <c r="G4846" t="s">
        <v>36</v>
      </c>
      <c r="H4846">
        <v>1</v>
      </c>
      <c r="I4846" s="2">
        <v>117.51</v>
      </c>
      <c r="J4846" s="2">
        <v>117.51</v>
      </c>
      <c r="K4846" s="2">
        <f t="shared" si="226"/>
        <v>117.51</v>
      </c>
      <c r="L4846" s="2">
        <f t="shared" si="227"/>
        <v>0</v>
      </c>
      <c r="M4846" t="s">
        <v>31</v>
      </c>
      <c r="N4846" t="s">
        <v>21</v>
      </c>
    </row>
    <row r="4847" spans="1:14" x14ac:dyDescent="0.3">
      <c r="A4847">
        <v>2024005845</v>
      </c>
      <c r="B4847" s="1">
        <v>45555</v>
      </c>
      <c r="C4847" s="11">
        <f t="shared" si="225"/>
        <v>2024</v>
      </c>
      <c r="D4847" t="s">
        <v>185</v>
      </c>
      <c r="E4847" t="s">
        <v>23</v>
      </c>
      <c r="F4847" t="s">
        <v>24</v>
      </c>
      <c r="G4847" t="s">
        <v>14</v>
      </c>
      <c r="H4847">
        <v>1</v>
      </c>
      <c r="I4847" s="2">
        <v>81.27</v>
      </c>
      <c r="J4847" s="2">
        <v>81.27</v>
      </c>
      <c r="K4847" s="2">
        <f t="shared" si="226"/>
        <v>81.27</v>
      </c>
      <c r="L4847" s="2">
        <f t="shared" si="227"/>
        <v>0</v>
      </c>
      <c r="M4847" t="s">
        <v>25</v>
      </c>
      <c r="N4847" t="s">
        <v>26</v>
      </c>
    </row>
    <row r="4848" spans="1:14" x14ac:dyDescent="0.3">
      <c r="A4848">
        <v>2024005846</v>
      </c>
      <c r="B4848" s="1">
        <v>45573</v>
      </c>
      <c r="C4848" s="11">
        <f t="shared" si="225"/>
        <v>2024</v>
      </c>
      <c r="D4848" t="s">
        <v>331</v>
      </c>
      <c r="E4848" t="s">
        <v>34</v>
      </c>
      <c r="F4848" t="s">
        <v>35</v>
      </c>
      <c r="G4848" t="s">
        <v>36</v>
      </c>
      <c r="H4848">
        <v>3</v>
      </c>
      <c r="I4848" s="2">
        <v>15.32</v>
      </c>
      <c r="J4848" s="2">
        <v>45.96</v>
      </c>
      <c r="K4848" s="2">
        <f t="shared" si="226"/>
        <v>45.96</v>
      </c>
      <c r="L4848" s="2">
        <f t="shared" si="227"/>
        <v>0</v>
      </c>
      <c r="M4848" t="s">
        <v>20</v>
      </c>
      <c r="N4848" t="s">
        <v>21</v>
      </c>
    </row>
    <row r="4849" spans="1:14" x14ac:dyDescent="0.3">
      <c r="A4849">
        <v>2024005847</v>
      </c>
      <c r="B4849" s="1">
        <v>45587</v>
      </c>
      <c r="C4849" s="11">
        <f t="shared" si="225"/>
        <v>2024</v>
      </c>
      <c r="D4849" t="s">
        <v>11</v>
      </c>
      <c r="E4849" t="s">
        <v>43</v>
      </c>
      <c r="F4849" t="s">
        <v>44</v>
      </c>
      <c r="G4849" t="s">
        <v>36</v>
      </c>
      <c r="H4849">
        <v>1</v>
      </c>
      <c r="I4849" s="2">
        <v>1239.28</v>
      </c>
      <c r="J4849" s="2">
        <v>1239.28</v>
      </c>
      <c r="K4849" s="2">
        <f t="shared" si="226"/>
        <v>1239.28</v>
      </c>
      <c r="L4849" s="2">
        <f t="shared" si="227"/>
        <v>0</v>
      </c>
      <c r="M4849" t="s">
        <v>15</v>
      </c>
      <c r="N4849" t="s">
        <v>16</v>
      </c>
    </row>
    <row r="4850" spans="1:14" x14ac:dyDescent="0.3">
      <c r="A4850">
        <v>2024005848</v>
      </c>
      <c r="B4850" s="1">
        <v>45382</v>
      </c>
      <c r="C4850" s="11">
        <f t="shared" si="225"/>
        <v>2024</v>
      </c>
      <c r="D4850" t="s">
        <v>102</v>
      </c>
      <c r="E4850" t="s">
        <v>12</v>
      </c>
      <c r="F4850" t="s">
        <v>13</v>
      </c>
      <c r="G4850" t="s">
        <v>14</v>
      </c>
      <c r="H4850">
        <v>3</v>
      </c>
      <c r="I4850" s="2">
        <v>356.02</v>
      </c>
      <c r="J4850" s="2">
        <v>1068.06</v>
      </c>
      <c r="K4850" s="2">
        <f t="shared" si="226"/>
        <v>1068.06</v>
      </c>
      <c r="L4850" s="2">
        <f t="shared" si="227"/>
        <v>0</v>
      </c>
      <c r="M4850" t="s">
        <v>48</v>
      </c>
      <c r="N4850" t="s">
        <v>26</v>
      </c>
    </row>
    <row r="4851" spans="1:14" x14ac:dyDescent="0.3">
      <c r="A4851">
        <v>2024005849</v>
      </c>
      <c r="B4851" s="1">
        <v>45464</v>
      </c>
      <c r="C4851" s="11">
        <f t="shared" si="225"/>
        <v>2024</v>
      </c>
      <c r="D4851" t="s">
        <v>155</v>
      </c>
      <c r="E4851" t="s">
        <v>43</v>
      </c>
      <c r="F4851" t="s">
        <v>44</v>
      </c>
      <c r="G4851" t="s">
        <v>36</v>
      </c>
      <c r="H4851">
        <v>1</v>
      </c>
      <c r="I4851" s="2">
        <v>1137.78</v>
      </c>
      <c r="J4851" s="2">
        <v>1137.78</v>
      </c>
      <c r="K4851" s="2">
        <f t="shared" si="226"/>
        <v>1137.78</v>
      </c>
      <c r="L4851" s="2">
        <f t="shared" si="227"/>
        <v>0</v>
      </c>
      <c r="M4851" t="s">
        <v>38</v>
      </c>
      <c r="N4851" t="s">
        <v>26</v>
      </c>
    </row>
    <row r="4852" spans="1:14" x14ac:dyDescent="0.3">
      <c r="A4852">
        <v>2024005850</v>
      </c>
      <c r="B4852" s="1">
        <v>45629</v>
      </c>
      <c r="C4852" s="11">
        <f t="shared" si="225"/>
        <v>2024</v>
      </c>
      <c r="D4852" t="s">
        <v>140</v>
      </c>
      <c r="E4852" t="s">
        <v>43</v>
      </c>
      <c r="F4852" t="s">
        <v>44</v>
      </c>
      <c r="G4852" t="s">
        <v>36</v>
      </c>
      <c r="H4852">
        <v>1</v>
      </c>
      <c r="I4852" s="2">
        <v>1255.9100000000001</v>
      </c>
      <c r="J4852" s="2">
        <v>1255.9100000000001</v>
      </c>
      <c r="K4852" s="2">
        <f t="shared" si="226"/>
        <v>1255.9100000000001</v>
      </c>
      <c r="L4852" s="2">
        <f t="shared" si="227"/>
        <v>0</v>
      </c>
      <c r="M4852" t="s">
        <v>55</v>
      </c>
      <c r="N4852" t="s">
        <v>32</v>
      </c>
    </row>
    <row r="4853" spans="1:14" x14ac:dyDescent="0.3">
      <c r="A4853">
        <v>2024005851</v>
      </c>
      <c r="B4853" s="1">
        <v>45363</v>
      </c>
      <c r="C4853" s="11">
        <f t="shared" si="225"/>
        <v>2024</v>
      </c>
      <c r="D4853" t="s">
        <v>103</v>
      </c>
      <c r="E4853" t="s">
        <v>18</v>
      </c>
      <c r="F4853" t="s">
        <v>19</v>
      </c>
      <c r="G4853" t="s">
        <v>14</v>
      </c>
      <c r="H4853">
        <v>5</v>
      </c>
      <c r="I4853" s="2">
        <v>613.89</v>
      </c>
      <c r="J4853" s="2">
        <v>3069.45</v>
      </c>
      <c r="K4853" s="2">
        <f t="shared" si="226"/>
        <v>3069.45</v>
      </c>
      <c r="L4853" s="2">
        <f t="shared" si="227"/>
        <v>0</v>
      </c>
      <c r="M4853" t="s">
        <v>57</v>
      </c>
      <c r="N4853" t="s">
        <v>16</v>
      </c>
    </row>
    <row r="4854" spans="1:14" x14ac:dyDescent="0.3">
      <c r="A4854">
        <v>2024005852</v>
      </c>
      <c r="B4854" s="1">
        <v>45585</v>
      </c>
      <c r="C4854" s="11">
        <f t="shared" si="225"/>
        <v>2024</v>
      </c>
      <c r="D4854" t="s">
        <v>161</v>
      </c>
      <c r="E4854" t="s">
        <v>67</v>
      </c>
      <c r="F4854" t="s">
        <v>68</v>
      </c>
      <c r="G4854" t="s">
        <v>36</v>
      </c>
      <c r="H4854">
        <v>2</v>
      </c>
      <c r="I4854" s="2">
        <v>415.97</v>
      </c>
      <c r="J4854" s="2">
        <v>831.94</v>
      </c>
      <c r="K4854" s="2">
        <f t="shared" si="226"/>
        <v>831.94</v>
      </c>
      <c r="L4854" s="2">
        <f t="shared" si="227"/>
        <v>0</v>
      </c>
      <c r="M4854" t="s">
        <v>20</v>
      </c>
      <c r="N4854" t="s">
        <v>16</v>
      </c>
    </row>
    <row r="4855" spans="1:14" x14ac:dyDescent="0.3">
      <c r="A4855">
        <v>2024005853</v>
      </c>
      <c r="B4855" s="1">
        <v>45572</v>
      </c>
      <c r="C4855" s="11">
        <f t="shared" si="225"/>
        <v>2024</v>
      </c>
      <c r="D4855" t="s">
        <v>11</v>
      </c>
      <c r="E4855" t="s">
        <v>28</v>
      </c>
      <c r="F4855" t="s">
        <v>29</v>
      </c>
      <c r="G4855" t="s">
        <v>30</v>
      </c>
      <c r="H4855">
        <v>1</v>
      </c>
      <c r="I4855" s="2">
        <v>25.47</v>
      </c>
      <c r="J4855" s="2">
        <v>25.47</v>
      </c>
      <c r="K4855" s="2">
        <f t="shared" si="226"/>
        <v>25.47</v>
      </c>
      <c r="L4855" s="2">
        <f t="shared" si="227"/>
        <v>0</v>
      </c>
      <c r="M4855" t="s">
        <v>48</v>
      </c>
      <c r="N4855" t="s">
        <v>21</v>
      </c>
    </row>
    <row r="4856" spans="1:14" x14ac:dyDescent="0.3">
      <c r="A4856">
        <v>2024005854</v>
      </c>
      <c r="B4856" s="1">
        <v>45295</v>
      </c>
      <c r="C4856" s="11">
        <f t="shared" si="225"/>
        <v>2024</v>
      </c>
      <c r="D4856" t="s">
        <v>312</v>
      </c>
      <c r="E4856" t="s">
        <v>40</v>
      </c>
      <c r="F4856" t="s">
        <v>41</v>
      </c>
      <c r="G4856" t="s">
        <v>36</v>
      </c>
      <c r="H4856">
        <v>1</v>
      </c>
      <c r="I4856" s="2">
        <v>43.36</v>
      </c>
      <c r="J4856" s="2">
        <v>43.36</v>
      </c>
      <c r="K4856" s="2">
        <f t="shared" si="226"/>
        <v>43.36</v>
      </c>
      <c r="L4856" s="2">
        <f t="shared" si="227"/>
        <v>0</v>
      </c>
      <c r="M4856" t="s">
        <v>38</v>
      </c>
      <c r="N4856" t="s">
        <v>26</v>
      </c>
    </row>
    <row r="4857" spans="1:14" x14ac:dyDescent="0.3">
      <c r="A4857">
        <v>2024005855</v>
      </c>
      <c r="B4857" s="1">
        <v>45493</v>
      </c>
      <c r="C4857" s="11">
        <f t="shared" si="225"/>
        <v>2024</v>
      </c>
      <c r="D4857" t="s">
        <v>167</v>
      </c>
      <c r="E4857" t="s">
        <v>12</v>
      </c>
      <c r="F4857" t="s">
        <v>13</v>
      </c>
      <c r="G4857" t="s">
        <v>14</v>
      </c>
      <c r="H4857">
        <v>3</v>
      </c>
      <c r="I4857" s="2">
        <v>326.45999999999998</v>
      </c>
      <c r="J4857" s="2">
        <v>979.38</v>
      </c>
      <c r="K4857" s="2">
        <f t="shared" si="226"/>
        <v>979.37999999999988</v>
      </c>
      <c r="L4857" s="2">
        <f t="shared" si="227"/>
        <v>0</v>
      </c>
      <c r="M4857" t="s">
        <v>25</v>
      </c>
      <c r="N4857" t="s">
        <v>21</v>
      </c>
    </row>
    <row r="4858" spans="1:14" x14ac:dyDescent="0.3">
      <c r="A4858">
        <v>2024005856</v>
      </c>
      <c r="B4858" s="1">
        <v>45348</v>
      </c>
      <c r="C4858" s="11">
        <f t="shared" si="225"/>
        <v>2024</v>
      </c>
      <c r="D4858" t="s">
        <v>253</v>
      </c>
      <c r="E4858" t="s">
        <v>67</v>
      </c>
      <c r="F4858" t="s">
        <v>68</v>
      </c>
      <c r="G4858" t="s">
        <v>36</v>
      </c>
      <c r="H4858">
        <v>1</v>
      </c>
      <c r="I4858" s="2">
        <v>416.71</v>
      </c>
      <c r="J4858" s="2">
        <v>416.71</v>
      </c>
      <c r="K4858" s="2">
        <f t="shared" si="226"/>
        <v>416.71</v>
      </c>
      <c r="L4858" s="2">
        <f t="shared" si="227"/>
        <v>0</v>
      </c>
      <c r="M4858" t="s">
        <v>38</v>
      </c>
      <c r="N4858" t="s">
        <v>16</v>
      </c>
    </row>
    <row r="4859" spans="1:14" x14ac:dyDescent="0.3">
      <c r="A4859">
        <v>2024005857</v>
      </c>
      <c r="B4859" s="1">
        <v>45301</v>
      </c>
      <c r="C4859" s="11">
        <f t="shared" si="225"/>
        <v>2024</v>
      </c>
      <c r="D4859" t="s">
        <v>11</v>
      </c>
      <c r="E4859" t="s">
        <v>67</v>
      </c>
      <c r="F4859" t="s">
        <v>68</v>
      </c>
      <c r="G4859" t="s">
        <v>36</v>
      </c>
      <c r="H4859">
        <v>1</v>
      </c>
      <c r="I4859" s="2">
        <v>419.83</v>
      </c>
      <c r="J4859" s="2">
        <v>419.83</v>
      </c>
      <c r="K4859" s="2">
        <f t="shared" si="226"/>
        <v>419.83</v>
      </c>
      <c r="L4859" s="2">
        <f t="shared" si="227"/>
        <v>0</v>
      </c>
      <c r="M4859" t="s">
        <v>61</v>
      </c>
      <c r="N4859" t="s">
        <v>16</v>
      </c>
    </row>
    <row r="4860" spans="1:14" x14ac:dyDescent="0.3">
      <c r="A4860">
        <v>2024005858</v>
      </c>
      <c r="B4860" s="1">
        <v>45486</v>
      </c>
      <c r="C4860" s="11">
        <f t="shared" si="225"/>
        <v>2024</v>
      </c>
      <c r="D4860" t="s">
        <v>246</v>
      </c>
      <c r="E4860" t="s">
        <v>28</v>
      </c>
      <c r="F4860" t="s">
        <v>29</v>
      </c>
      <c r="G4860" t="s">
        <v>30</v>
      </c>
      <c r="H4860">
        <v>1</v>
      </c>
      <c r="I4860" s="2">
        <v>24.49</v>
      </c>
      <c r="J4860" s="2">
        <v>24.49</v>
      </c>
      <c r="K4860" s="2">
        <f t="shared" si="226"/>
        <v>24.49</v>
      </c>
      <c r="L4860" s="2">
        <f t="shared" si="227"/>
        <v>0</v>
      </c>
      <c r="M4860" t="s">
        <v>61</v>
      </c>
      <c r="N4860" t="s">
        <v>26</v>
      </c>
    </row>
    <row r="4861" spans="1:14" x14ac:dyDescent="0.3">
      <c r="A4861">
        <v>2024005859</v>
      </c>
      <c r="B4861" s="1">
        <v>45305</v>
      </c>
      <c r="C4861" s="11">
        <f t="shared" si="225"/>
        <v>2024</v>
      </c>
      <c r="D4861" t="s">
        <v>264</v>
      </c>
      <c r="E4861" t="s">
        <v>40</v>
      </c>
      <c r="F4861" t="s">
        <v>41</v>
      </c>
      <c r="G4861" t="s">
        <v>36</v>
      </c>
      <c r="H4861">
        <v>1</v>
      </c>
      <c r="I4861" s="2">
        <v>46.94</v>
      </c>
      <c r="J4861" s="2">
        <v>46.94</v>
      </c>
      <c r="K4861" s="2">
        <f t="shared" si="226"/>
        <v>46.94</v>
      </c>
      <c r="L4861" s="2">
        <f t="shared" si="227"/>
        <v>0</v>
      </c>
      <c r="M4861" t="s">
        <v>55</v>
      </c>
      <c r="N4861" t="s">
        <v>16</v>
      </c>
    </row>
    <row r="4862" spans="1:14" x14ac:dyDescent="0.3">
      <c r="A4862">
        <v>2024005860</v>
      </c>
      <c r="B4862" s="1">
        <v>45381</v>
      </c>
      <c r="C4862" s="11">
        <f t="shared" si="225"/>
        <v>2024</v>
      </c>
      <c r="D4862" t="s">
        <v>235</v>
      </c>
      <c r="E4862" t="s">
        <v>23</v>
      </c>
      <c r="F4862" t="s">
        <v>24</v>
      </c>
      <c r="G4862" t="s">
        <v>14</v>
      </c>
      <c r="H4862">
        <v>2</v>
      </c>
      <c r="I4862" s="2">
        <v>71.989999999999995</v>
      </c>
      <c r="J4862" s="2">
        <v>143.97999999999999</v>
      </c>
      <c r="K4862" s="2">
        <f t="shared" si="226"/>
        <v>143.97999999999999</v>
      </c>
      <c r="L4862" s="2">
        <f t="shared" si="227"/>
        <v>0</v>
      </c>
      <c r="M4862" t="s">
        <v>64</v>
      </c>
      <c r="N4862" t="s">
        <v>21</v>
      </c>
    </row>
    <row r="4863" spans="1:14" x14ac:dyDescent="0.3">
      <c r="A4863">
        <v>2024005861</v>
      </c>
      <c r="B4863" s="1">
        <v>45374</v>
      </c>
      <c r="C4863" s="11">
        <f t="shared" si="225"/>
        <v>2024</v>
      </c>
      <c r="D4863" t="s">
        <v>202</v>
      </c>
      <c r="E4863" t="s">
        <v>53</v>
      </c>
      <c r="F4863" t="s">
        <v>54</v>
      </c>
      <c r="G4863" t="s">
        <v>36</v>
      </c>
      <c r="H4863">
        <v>1</v>
      </c>
      <c r="I4863" s="2">
        <v>117.24</v>
      </c>
      <c r="J4863" s="2">
        <v>117.24</v>
      </c>
      <c r="K4863" s="2">
        <f t="shared" si="226"/>
        <v>117.24</v>
      </c>
      <c r="L4863" s="2">
        <f t="shared" si="227"/>
        <v>0</v>
      </c>
      <c r="M4863" t="s">
        <v>31</v>
      </c>
      <c r="N4863" t="s">
        <v>26</v>
      </c>
    </row>
    <row r="4864" spans="1:14" x14ac:dyDescent="0.3">
      <c r="A4864">
        <v>2024005862</v>
      </c>
      <c r="B4864" s="1">
        <v>45534</v>
      </c>
      <c r="C4864" s="11">
        <f t="shared" si="225"/>
        <v>2024</v>
      </c>
      <c r="D4864" t="s">
        <v>258</v>
      </c>
      <c r="E4864" t="s">
        <v>34</v>
      </c>
      <c r="F4864" t="s">
        <v>35</v>
      </c>
      <c r="G4864" t="s">
        <v>36</v>
      </c>
      <c r="H4864">
        <v>1</v>
      </c>
      <c r="I4864" s="2">
        <v>15.7</v>
      </c>
      <c r="J4864" s="2">
        <v>15.7</v>
      </c>
      <c r="K4864" s="2">
        <f t="shared" si="226"/>
        <v>15.7</v>
      </c>
      <c r="L4864" s="2">
        <f t="shared" si="227"/>
        <v>0</v>
      </c>
      <c r="M4864" t="s">
        <v>64</v>
      </c>
      <c r="N4864" t="s">
        <v>32</v>
      </c>
    </row>
    <row r="4865" spans="1:14" x14ac:dyDescent="0.3">
      <c r="A4865">
        <v>2024005863</v>
      </c>
      <c r="B4865" s="1">
        <v>45593</v>
      </c>
      <c r="C4865" s="11">
        <f t="shared" si="225"/>
        <v>2024</v>
      </c>
      <c r="D4865" t="s">
        <v>11</v>
      </c>
      <c r="E4865" t="s">
        <v>43</v>
      </c>
      <c r="F4865" t="s">
        <v>44</v>
      </c>
      <c r="G4865" t="s">
        <v>36</v>
      </c>
      <c r="H4865">
        <v>3</v>
      </c>
      <c r="I4865" s="2">
        <v>1210.53</v>
      </c>
      <c r="J4865" s="2">
        <v>3631.59</v>
      </c>
      <c r="K4865" s="2">
        <f t="shared" si="226"/>
        <v>3631.59</v>
      </c>
      <c r="L4865" s="2">
        <f t="shared" si="227"/>
        <v>0</v>
      </c>
      <c r="M4865" t="s">
        <v>48</v>
      </c>
      <c r="N4865" t="s">
        <v>32</v>
      </c>
    </row>
    <row r="4866" spans="1:14" x14ac:dyDescent="0.3">
      <c r="A4866">
        <v>2024005864</v>
      </c>
      <c r="B4866" s="1">
        <v>45488</v>
      </c>
      <c r="C4866" s="11">
        <f t="shared" si="225"/>
        <v>2024</v>
      </c>
      <c r="D4866" t="s">
        <v>298</v>
      </c>
      <c r="E4866" t="s">
        <v>12</v>
      </c>
      <c r="F4866" t="s">
        <v>13</v>
      </c>
      <c r="G4866" t="s">
        <v>14</v>
      </c>
      <c r="H4866">
        <v>1</v>
      </c>
      <c r="I4866" s="2">
        <v>337.75</v>
      </c>
      <c r="J4866" s="2">
        <v>337.75</v>
      </c>
      <c r="K4866" s="2">
        <f t="shared" si="226"/>
        <v>337.75</v>
      </c>
      <c r="L4866" s="2">
        <f t="shared" si="227"/>
        <v>0</v>
      </c>
      <c r="M4866" t="s">
        <v>64</v>
      </c>
      <c r="N4866" t="s">
        <v>16</v>
      </c>
    </row>
    <row r="4867" spans="1:14" x14ac:dyDescent="0.3">
      <c r="A4867">
        <v>2024005865</v>
      </c>
      <c r="B4867" s="1">
        <v>45493</v>
      </c>
      <c r="C4867" s="11">
        <f t="shared" ref="C4867:C4930" si="228">YEAR(B4867)</f>
        <v>2024</v>
      </c>
      <c r="D4867" t="s">
        <v>239</v>
      </c>
      <c r="E4867" t="s">
        <v>34</v>
      </c>
      <c r="F4867" t="s">
        <v>35</v>
      </c>
      <c r="G4867" t="s">
        <v>36</v>
      </c>
      <c r="H4867">
        <v>1</v>
      </c>
      <c r="I4867" s="2">
        <v>14.35</v>
      </c>
      <c r="J4867" s="2">
        <v>14.35</v>
      </c>
      <c r="K4867" s="2">
        <f t="shared" ref="K4867:K4930" si="229">I4867*H4867</f>
        <v>14.35</v>
      </c>
      <c r="L4867" s="2">
        <f t="shared" ref="L4867:L4930" si="230">J4867-K4867</f>
        <v>0</v>
      </c>
      <c r="M4867" t="s">
        <v>20</v>
      </c>
      <c r="N4867" t="s">
        <v>26</v>
      </c>
    </row>
    <row r="4868" spans="1:14" x14ac:dyDescent="0.3">
      <c r="A4868">
        <v>2024005866</v>
      </c>
      <c r="B4868" s="1">
        <v>45456</v>
      </c>
      <c r="C4868" s="11">
        <f t="shared" si="228"/>
        <v>2024</v>
      </c>
      <c r="D4868" t="s">
        <v>11</v>
      </c>
      <c r="E4868" t="s">
        <v>12</v>
      </c>
      <c r="F4868" t="s">
        <v>13</v>
      </c>
      <c r="G4868" t="s">
        <v>14</v>
      </c>
      <c r="H4868">
        <v>1</v>
      </c>
      <c r="I4868" s="2">
        <v>350</v>
      </c>
      <c r="J4868" s="2">
        <v>350</v>
      </c>
      <c r="K4868" s="2">
        <f t="shared" si="229"/>
        <v>350</v>
      </c>
      <c r="L4868" s="2">
        <f t="shared" si="230"/>
        <v>0</v>
      </c>
      <c r="M4868" t="s">
        <v>20</v>
      </c>
      <c r="N4868" t="s">
        <v>26</v>
      </c>
    </row>
    <row r="4869" spans="1:14" x14ac:dyDescent="0.3">
      <c r="A4869">
        <v>2024005867</v>
      </c>
      <c r="B4869" s="1">
        <v>45640</v>
      </c>
      <c r="C4869" s="11">
        <f t="shared" si="228"/>
        <v>2024</v>
      </c>
      <c r="D4869" t="s">
        <v>283</v>
      </c>
      <c r="E4869" t="s">
        <v>43</v>
      </c>
      <c r="F4869" t="s">
        <v>44</v>
      </c>
      <c r="G4869" t="s">
        <v>36</v>
      </c>
      <c r="H4869">
        <v>2</v>
      </c>
      <c r="I4869" s="2">
        <v>1250.1300000000001</v>
      </c>
      <c r="J4869" s="2">
        <v>2500.2600000000002</v>
      </c>
      <c r="K4869" s="2">
        <f t="shared" si="229"/>
        <v>2500.2600000000002</v>
      </c>
      <c r="L4869" s="2">
        <f t="shared" si="230"/>
        <v>0</v>
      </c>
      <c r="M4869" t="s">
        <v>38</v>
      </c>
      <c r="N4869" t="s">
        <v>21</v>
      </c>
    </row>
    <row r="4870" spans="1:14" x14ac:dyDescent="0.3">
      <c r="A4870">
        <v>2024005868</v>
      </c>
      <c r="B4870" s="1">
        <v>45447</v>
      </c>
      <c r="C4870" s="11">
        <f t="shared" si="228"/>
        <v>2024</v>
      </c>
      <c r="D4870" t="s">
        <v>148</v>
      </c>
      <c r="E4870" t="s">
        <v>53</v>
      </c>
      <c r="F4870" t="s">
        <v>54</v>
      </c>
      <c r="G4870" t="s">
        <v>36</v>
      </c>
      <c r="H4870">
        <v>1</v>
      </c>
      <c r="I4870" s="2">
        <v>111.04</v>
      </c>
      <c r="J4870" s="2">
        <v>111.04</v>
      </c>
      <c r="K4870" s="2">
        <f t="shared" si="229"/>
        <v>111.04</v>
      </c>
      <c r="L4870" s="2">
        <f t="shared" si="230"/>
        <v>0</v>
      </c>
      <c r="M4870" t="s">
        <v>31</v>
      </c>
      <c r="N4870" t="s">
        <v>21</v>
      </c>
    </row>
    <row r="4871" spans="1:14" x14ac:dyDescent="0.3">
      <c r="A4871">
        <v>2024005869</v>
      </c>
      <c r="B4871" s="1">
        <v>45506</v>
      </c>
      <c r="C4871" s="11">
        <f t="shared" si="228"/>
        <v>2024</v>
      </c>
      <c r="D4871" t="s">
        <v>107</v>
      </c>
      <c r="E4871" t="s">
        <v>28</v>
      </c>
      <c r="F4871" t="s">
        <v>29</v>
      </c>
      <c r="G4871" t="s">
        <v>30</v>
      </c>
      <c r="H4871">
        <v>1</v>
      </c>
      <c r="I4871" s="2">
        <v>26.26</v>
      </c>
      <c r="J4871" s="2">
        <v>26.26</v>
      </c>
      <c r="K4871" s="2">
        <f t="shared" si="229"/>
        <v>26.26</v>
      </c>
      <c r="L4871" s="2">
        <f t="shared" si="230"/>
        <v>0</v>
      </c>
      <c r="M4871" t="s">
        <v>48</v>
      </c>
      <c r="N4871" t="s">
        <v>21</v>
      </c>
    </row>
    <row r="4872" spans="1:14" x14ac:dyDescent="0.3">
      <c r="A4872">
        <v>2024005870</v>
      </c>
      <c r="B4872" s="1">
        <v>45485</v>
      </c>
      <c r="C4872" s="11">
        <f t="shared" si="228"/>
        <v>2024</v>
      </c>
      <c r="D4872" t="s">
        <v>281</v>
      </c>
      <c r="E4872" t="s">
        <v>46</v>
      </c>
      <c r="F4872" t="s">
        <v>47</v>
      </c>
      <c r="G4872" t="s">
        <v>36</v>
      </c>
      <c r="H4872">
        <v>1</v>
      </c>
      <c r="I4872" s="2">
        <v>86.79</v>
      </c>
      <c r="J4872" s="2">
        <v>86.79</v>
      </c>
      <c r="K4872" s="2">
        <f t="shared" si="229"/>
        <v>86.79</v>
      </c>
      <c r="L4872" s="2">
        <f t="shared" si="230"/>
        <v>0</v>
      </c>
      <c r="M4872" t="s">
        <v>57</v>
      </c>
      <c r="N4872" t="s">
        <v>21</v>
      </c>
    </row>
    <row r="4873" spans="1:14" x14ac:dyDescent="0.3">
      <c r="A4873">
        <v>2024005871</v>
      </c>
      <c r="B4873" s="1">
        <v>45388</v>
      </c>
      <c r="C4873" s="11">
        <f t="shared" si="228"/>
        <v>2024</v>
      </c>
      <c r="D4873" t="s">
        <v>11</v>
      </c>
      <c r="E4873" t="s">
        <v>28</v>
      </c>
      <c r="F4873" t="s">
        <v>29</v>
      </c>
      <c r="G4873" t="s">
        <v>30</v>
      </c>
      <c r="H4873">
        <v>3</v>
      </c>
      <c r="I4873" s="2">
        <v>25.37</v>
      </c>
      <c r="J4873" s="2">
        <v>76.11</v>
      </c>
      <c r="K4873" s="2">
        <f t="shared" si="229"/>
        <v>76.11</v>
      </c>
      <c r="L4873" s="2">
        <f t="shared" si="230"/>
        <v>0</v>
      </c>
      <c r="M4873" t="s">
        <v>64</v>
      </c>
      <c r="N4873" t="s">
        <v>32</v>
      </c>
    </row>
    <row r="4874" spans="1:14" x14ac:dyDescent="0.3">
      <c r="A4874">
        <v>2024005872</v>
      </c>
      <c r="B4874" s="1">
        <v>45291</v>
      </c>
      <c r="C4874" s="11">
        <f t="shared" si="228"/>
        <v>2023</v>
      </c>
      <c r="D4874" t="s">
        <v>211</v>
      </c>
      <c r="E4874" t="s">
        <v>12</v>
      </c>
      <c r="F4874" t="s">
        <v>13</v>
      </c>
      <c r="G4874" t="s">
        <v>14</v>
      </c>
      <c r="H4874">
        <v>2</v>
      </c>
      <c r="I4874" s="2">
        <v>375.11</v>
      </c>
      <c r="J4874" s="2">
        <v>750.22</v>
      </c>
      <c r="K4874" s="2">
        <f t="shared" si="229"/>
        <v>750.22</v>
      </c>
      <c r="L4874" s="2">
        <f t="shared" si="230"/>
        <v>0</v>
      </c>
      <c r="M4874" t="s">
        <v>55</v>
      </c>
      <c r="N4874" t="s">
        <v>26</v>
      </c>
    </row>
    <row r="4875" spans="1:14" x14ac:dyDescent="0.3">
      <c r="A4875">
        <v>2024005873</v>
      </c>
      <c r="B4875" s="1">
        <v>45540</v>
      </c>
      <c r="C4875" s="11">
        <f t="shared" si="228"/>
        <v>2024</v>
      </c>
      <c r="D4875" t="s">
        <v>11</v>
      </c>
      <c r="E4875" t="s">
        <v>23</v>
      </c>
      <c r="F4875" t="s">
        <v>24</v>
      </c>
      <c r="G4875" t="s">
        <v>14</v>
      </c>
      <c r="H4875">
        <v>3</v>
      </c>
      <c r="I4875" s="2">
        <v>83.56</v>
      </c>
      <c r="J4875" s="2">
        <v>250.68</v>
      </c>
      <c r="K4875" s="2">
        <f t="shared" si="229"/>
        <v>250.68</v>
      </c>
      <c r="L4875" s="2">
        <f t="shared" si="230"/>
        <v>0</v>
      </c>
      <c r="M4875" t="s">
        <v>31</v>
      </c>
      <c r="N4875" t="s">
        <v>26</v>
      </c>
    </row>
    <row r="4876" spans="1:14" x14ac:dyDescent="0.3">
      <c r="A4876">
        <v>2024005874</v>
      </c>
      <c r="B4876" s="1">
        <v>45416</v>
      </c>
      <c r="C4876" s="11">
        <f t="shared" si="228"/>
        <v>2024</v>
      </c>
      <c r="D4876" t="s">
        <v>167</v>
      </c>
      <c r="E4876" t="s">
        <v>12</v>
      </c>
      <c r="F4876" t="s">
        <v>13</v>
      </c>
      <c r="G4876" t="s">
        <v>14</v>
      </c>
      <c r="H4876">
        <v>3</v>
      </c>
      <c r="I4876" s="2">
        <v>337.15</v>
      </c>
      <c r="J4876" s="2">
        <v>1011.45</v>
      </c>
      <c r="K4876" s="2">
        <f t="shared" si="229"/>
        <v>1011.4499999999999</v>
      </c>
      <c r="L4876" s="2">
        <f t="shared" si="230"/>
        <v>0</v>
      </c>
      <c r="M4876" t="s">
        <v>31</v>
      </c>
      <c r="N4876" t="s">
        <v>21</v>
      </c>
    </row>
    <row r="4877" spans="1:14" x14ac:dyDescent="0.3">
      <c r="A4877">
        <v>2024005875</v>
      </c>
      <c r="B4877" s="1">
        <v>45499</v>
      </c>
      <c r="C4877" s="11">
        <f t="shared" si="228"/>
        <v>2024</v>
      </c>
      <c r="D4877" t="s">
        <v>11</v>
      </c>
      <c r="E4877" t="s">
        <v>23</v>
      </c>
      <c r="F4877" t="s">
        <v>24</v>
      </c>
      <c r="G4877" t="s">
        <v>14</v>
      </c>
      <c r="H4877">
        <v>1</v>
      </c>
      <c r="I4877" s="2">
        <v>73.61</v>
      </c>
      <c r="J4877" s="2">
        <v>73.61</v>
      </c>
      <c r="K4877" s="2">
        <f t="shared" si="229"/>
        <v>73.61</v>
      </c>
      <c r="L4877" s="2">
        <f t="shared" si="230"/>
        <v>0</v>
      </c>
      <c r="M4877" t="s">
        <v>31</v>
      </c>
      <c r="N4877" t="s">
        <v>21</v>
      </c>
    </row>
    <row r="4878" spans="1:14" x14ac:dyDescent="0.3">
      <c r="A4878">
        <v>2024005876</v>
      </c>
      <c r="B4878" s="1">
        <v>45397</v>
      </c>
      <c r="C4878" s="11">
        <f t="shared" si="228"/>
        <v>2024</v>
      </c>
      <c r="D4878" t="s">
        <v>86</v>
      </c>
      <c r="E4878" t="s">
        <v>12</v>
      </c>
      <c r="F4878" t="s">
        <v>13</v>
      </c>
      <c r="G4878" t="s">
        <v>14</v>
      </c>
      <c r="H4878">
        <v>2</v>
      </c>
      <c r="I4878" s="2">
        <v>375.22</v>
      </c>
      <c r="J4878" s="2">
        <v>750.44</v>
      </c>
      <c r="K4878" s="2">
        <f t="shared" si="229"/>
        <v>750.44</v>
      </c>
      <c r="L4878" s="2">
        <f t="shared" si="230"/>
        <v>0</v>
      </c>
      <c r="M4878" t="s">
        <v>55</v>
      </c>
      <c r="N4878" t="s">
        <v>16</v>
      </c>
    </row>
    <row r="4879" spans="1:14" x14ac:dyDescent="0.3">
      <c r="A4879">
        <v>2024005877</v>
      </c>
      <c r="B4879" s="1">
        <v>45502</v>
      </c>
      <c r="C4879" s="11">
        <f t="shared" si="228"/>
        <v>2024</v>
      </c>
      <c r="D4879" t="s">
        <v>222</v>
      </c>
      <c r="E4879" t="s">
        <v>43</v>
      </c>
      <c r="F4879" t="s">
        <v>44</v>
      </c>
      <c r="G4879" t="s">
        <v>36</v>
      </c>
      <c r="H4879">
        <v>5</v>
      </c>
      <c r="I4879" s="2">
        <v>1241.6500000000001</v>
      </c>
      <c r="J4879" s="2">
        <v>6208.25</v>
      </c>
      <c r="K4879" s="2">
        <f t="shared" si="229"/>
        <v>6208.25</v>
      </c>
      <c r="L4879" s="2">
        <f t="shared" si="230"/>
        <v>0</v>
      </c>
      <c r="M4879" t="s">
        <v>15</v>
      </c>
      <c r="N4879" t="s">
        <v>32</v>
      </c>
    </row>
    <row r="4880" spans="1:14" x14ac:dyDescent="0.3">
      <c r="A4880">
        <v>2024004896</v>
      </c>
      <c r="B4880" s="1">
        <v>45654</v>
      </c>
      <c r="C4880" s="11">
        <f t="shared" si="228"/>
        <v>2024</v>
      </c>
      <c r="D4880" t="s">
        <v>303</v>
      </c>
      <c r="E4880" t="s">
        <v>53</v>
      </c>
      <c r="F4880" t="s">
        <v>54</v>
      </c>
      <c r="G4880" t="s">
        <v>36</v>
      </c>
      <c r="H4880">
        <v>2</v>
      </c>
      <c r="I4880" s="2">
        <v>121.8</v>
      </c>
      <c r="J4880" s="2">
        <v>243.6</v>
      </c>
      <c r="K4880" s="2">
        <f t="shared" si="229"/>
        <v>243.6</v>
      </c>
      <c r="L4880" s="2">
        <f t="shared" si="230"/>
        <v>0</v>
      </c>
      <c r="M4880" t="s">
        <v>61</v>
      </c>
      <c r="N4880" t="s">
        <v>21</v>
      </c>
    </row>
    <row r="4881" spans="1:14" x14ac:dyDescent="0.3">
      <c r="A4881">
        <v>2024005879</v>
      </c>
      <c r="B4881" s="1">
        <v>45356</v>
      </c>
      <c r="C4881" s="11">
        <f t="shared" si="228"/>
        <v>2024</v>
      </c>
      <c r="D4881" t="s">
        <v>243</v>
      </c>
      <c r="E4881" t="s">
        <v>18</v>
      </c>
      <c r="F4881" t="s">
        <v>19</v>
      </c>
      <c r="G4881" t="s">
        <v>14</v>
      </c>
      <c r="H4881">
        <v>2</v>
      </c>
      <c r="I4881" s="2">
        <v>565.69000000000005</v>
      </c>
      <c r="J4881" s="2">
        <v>1131.3800000000001</v>
      </c>
      <c r="K4881" s="2">
        <f t="shared" si="229"/>
        <v>1131.3800000000001</v>
      </c>
      <c r="L4881" s="2">
        <f t="shared" si="230"/>
        <v>0</v>
      </c>
      <c r="M4881" t="s">
        <v>55</v>
      </c>
      <c r="N4881" t="s">
        <v>26</v>
      </c>
    </row>
    <row r="4882" spans="1:14" x14ac:dyDescent="0.3">
      <c r="A4882">
        <v>2024005880</v>
      </c>
      <c r="B4882" s="1">
        <v>45389</v>
      </c>
      <c r="C4882" s="11">
        <f t="shared" si="228"/>
        <v>2024</v>
      </c>
      <c r="D4882" t="s">
        <v>225</v>
      </c>
      <c r="E4882" t="s">
        <v>28</v>
      </c>
      <c r="F4882" t="s">
        <v>29</v>
      </c>
      <c r="G4882" t="s">
        <v>30</v>
      </c>
      <c r="H4882">
        <v>2</v>
      </c>
      <c r="I4882" s="2">
        <v>25.79</v>
      </c>
      <c r="J4882" s="2">
        <v>51.58</v>
      </c>
      <c r="K4882" s="2">
        <f t="shared" si="229"/>
        <v>51.58</v>
      </c>
      <c r="L4882" s="2">
        <f t="shared" si="230"/>
        <v>0</v>
      </c>
      <c r="M4882" t="s">
        <v>38</v>
      </c>
      <c r="N4882" t="s">
        <v>26</v>
      </c>
    </row>
    <row r="4883" spans="1:14" x14ac:dyDescent="0.3">
      <c r="A4883">
        <v>2024005881</v>
      </c>
      <c r="B4883" s="1">
        <v>45624</v>
      </c>
      <c r="C4883" s="11">
        <f t="shared" si="228"/>
        <v>2024</v>
      </c>
      <c r="D4883" t="s">
        <v>316</v>
      </c>
      <c r="E4883" t="s">
        <v>28</v>
      </c>
      <c r="F4883" t="s">
        <v>29</v>
      </c>
      <c r="G4883" t="s">
        <v>30</v>
      </c>
      <c r="H4883">
        <v>1</v>
      </c>
      <c r="I4883" s="2">
        <v>25.92</v>
      </c>
      <c r="J4883" s="2">
        <v>25.92</v>
      </c>
      <c r="K4883" s="2">
        <f t="shared" si="229"/>
        <v>25.92</v>
      </c>
      <c r="L4883" s="2">
        <f t="shared" si="230"/>
        <v>0</v>
      </c>
      <c r="M4883" t="s">
        <v>38</v>
      </c>
      <c r="N4883" t="s">
        <v>32</v>
      </c>
    </row>
    <row r="4884" spans="1:14" x14ac:dyDescent="0.3">
      <c r="A4884">
        <v>2024005882</v>
      </c>
      <c r="B4884" s="1">
        <v>45620</v>
      </c>
      <c r="C4884" s="11">
        <f t="shared" si="228"/>
        <v>2024</v>
      </c>
      <c r="D4884" t="s">
        <v>42</v>
      </c>
      <c r="E4884" t="s">
        <v>67</v>
      </c>
      <c r="F4884" t="s">
        <v>68</v>
      </c>
      <c r="G4884" t="s">
        <v>36</v>
      </c>
      <c r="H4884">
        <v>3</v>
      </c>
      <c r="I4884" s="2">
        <v>416.37</v>
      </c>
      <c r="J4884" s="2">
        <v>1249.1099999999999</v>
      </c>
      <c r="K4884" s="2">
        <f t="shared" si="229"/>
        <v>1249.1100000000001</v>
      </c>
      <c r="L4884" s="2">
        <f t="shared" si="230"/>
        <v>0</v>
      </c>
      <c r="M4884" t="s">
        <v>38</v>
      </c>
      <c r="N4884" t="s">
        <v>32</v>
      </c>
    </row>
    <row r="4885" spans="1:14" x14ac:dyDescent="0.3">
      <c r="A4885">
        <v>2024005883</v>
      </c>
      <c r="B4885" s="1">
        <v>45631</v>
      </c>
      <c r="C4885" s="11">
        <f t="shared" si="228"/>
        <v>2024</v>
      </c>
      <c r="D4885" t="s">
        <v>11</v>
      </c>
      <c r="E4885" t="s">
        <v>53</v>
      </c>
      <c r="F4885" t="s">
        <v>54</v>
      </c>
      <c r="G4885" t="s">
        <v>36</v>
      </c>
      <c r="H4885">
        <v>1</v>
      </c>
      <c r="I4885" s="2">
        <v>110.75</v>
      </c>
      <c r="J4885" s="2">
        <v>110.75</v>
      </c>
      <c r="K4885" s="2">
        <f t="shared" si="229"/>
        <v>110.75</v>
      </c>
      <c r="L4885" s="2">
        <f t="shared" si="230"/>
        <v>0</v>
      </c>
      <c r="M4885" t="s">
        <v>61</v>
      </c>
      <c r="N4885" t="s">
        <v>16</v>
      </c>
    </row>
    <row r="4886" spans="1:14" x14ac:dyDescent="0.3">
      <c r="A4886">
        <v>2024003299</v>
      </c>
      <c r="B4886" s="1">
        <v>45551</v>
      </c>
      <c r="C4886" s="11">
        <f t="shared" si="228"/>
        <v>2024</v>
      </c>
      <c r="D4886" t="s">
        <v>293</v>
      </c>
      <c r="E4886" t="s">
        <v>28</v>
      </c>
      <c r="F4886" t="s">
        <v>29</v>
      </c>
      <c r="G4886" t="s">
        <v>30</v>
      </c>
      <c r="H4886">
        <v>1</v>
      </c>
      <c r="I4886" s="2">
        <v>25.15</v>
      </c>
      <c r="J4886" s="2">
        <v>25.15</v>
      </c>
      <c r="K4886" s="2">
        <f t="shared" si="229"/>
        <v>25.15</v>
      </c>
      <c r="L4886" s="2">
        <f t="shared" si="230"/>
        <v>0</v>
      </c>
      <c r="M4886" t="s">
        <v>38</v>
      </c>
      <c r="N4886" t="s">
        <v>16</v>
      </c>
    </row>
    <row r="4887" spans="1:14" x14ac:dyDescent="0.3">
      <c r="A4887">
        <v>2024005885</v>
      </c>
      <c r="B4887" s="1">
        <v>45367</v>
      </c>
      <c r="C4887" s="11">
        <f t="shared" si="228"/>
        <v>2024</v>
      </c>
      <c r="D4887" t="s">
        <v>11</v>
      </c>
      <c r="E4887" t="s">
        <v>12</v>
      </c>
      <c r="F4887" t="s">
        <v>13</v>
      </c>
      <c r="G4887" t="s">
        <v>14</v>
      </c>
      <c r="H4887">
        <v>2</v>
      </c>
      <c r="I4887" s="2">
        <v>359.25</v>
      </c>
      <c r="J4887" s="2">
        <v>718.5</v>
      </c>
      <c r="K4887" s="2">
        <f t="shared" si="229"/>
        <v>718.5</v>
      </c>
      <c r="L4887" s="2">
        <f t="shared" si="230"/>
        <v>0</v>
      </c>
      <c r="M4887" t="s">
        <v>15</v>
      </c>
      <c r="N4887" t="s">
        <v>16</v>
      </c>
    </row>
    <row r="4888" spans="1:14" x14ac:dyDescent="0.3">
      <c r="A4888">
        <v>2024005886</v>
      </c>
      <c r="B4888" s="1">
        <v>45565</v>
      </c>
      <c r="C4888" s="11">
        <f t="shared" si="228"/>
        <v>2024</v>
      </c>
      <c r="D4888" t="s">
        <v>301</v>
      </c>
      <c r="E4888" t="s">
        <v>18</v>
      </c>
      <c r="F4888" t="s">
        <v>19</v>
      </c>
      <c r="G4888" t="s">
        <v>14</v>
      </c>
      <c r="H4888">
        <v>1</v>
      </c>
      <c r="I4888" s="2">
        <v>561.9</v>
      </c>
      <c r="J4888" s="2">
        <v>561.9</v>
      </c>
      <c r="K4888" s="2">
        <f t="shared" si="229"/>
        <v>561.9</v>
      </c>
      <c r="L4888" s="2">
        <f t="shared" si="230"/>
        <v>0</v>
      </c>
      <c r="M4888" t="s">
        <v>55</v>
      </c>
      <c r="N4888" t="s">
        <v>26</v>
      </c>
    </row>
    <row r="4889" spans="1:14" x14ac:dyDescent="0.3">
      <c r="A4889">
        <v>2024005887</v>
      </c>
      <c r="B4889" s="1">
        <v>45540</v>
      </c>
      <c r="C4889" s="11">
        <f t="shared" si="228"/>
        <v>2024</v>
      </c>
      <c r="D4889" t="s">
        <v>165</v>
      </c>
      <c r="E4889" t="s">
        <v>43</v>
      </c>
      <c r="F4889" t="s">
        <v>44</v>
      </c>
      <c r="G4889" t="s">
        <v>36</v>
      </c>
      <c r="H4889">
        <v>1</v>
      </c>
      <c r="I4889" s="2">
        <v>1197.98</v>
      </c>
      <c r="J4889" s="2">
        <v>1197.98</v>
      </c>
      <c r="K4889" s="2">
        <f t="shared" si="229"/>
        <v>1197.98</v>
      </c>
      <c r="L4889" s="2">
        <f t="shared" si="230"/>
        <v>0</v>
      </c>
      <c r="M4889" t="s">
        <v>57</v>
      </c>
      <c r="N4889" t="s">
        <v>32</v>
      </c>
    </row>
    <row r="4890" spans="1:14" x14ac:dyDescent="0.3">
      <c r="A4890">
        <v>2024005888</v>
      </c>
      <c r="B4890" s="1">
        <v>45485</v>
      </c>
      <c r="C4890" s="11">
        <f t="shared" si="228"/>
        <v>2024</v>
      </c>
      <c r="D4890" t="s">
        <v>11</v>
      </c>
      <c r="E4890" t="s">
        <v>23</v>
      </c>
      <c r="F4890" t="s">
        <v>24</v>
      </c>
      <c r="G4890" t="s">
        <v>14</v>
      </c>
      <c r="H4890">
        <v>4</v>
      </c>
      <c r="I4890" s="2">
        <v>83.78</v>
      </c>
      <c r="J4890" s="2">
        <v>335.12</v>
      </c>
      <c r="K4890" s="2">
        <f t="shared" si="229"/>
        <v>335.12</v>
      </c>
      <c r="L4890" s="2">
        <f t="shared" si="230"/>
        <v>0</v>
      </c>
      <c r="M4890" t="s">
        <v>64</v>
      </c>
      <c r="N4890" t="s">
        <v>26</v>
      </c>
    </row>
    <row r="4891" spans="1:14" x14ac:dyDescent="0.3">
      <c r="A4891">
        <v>2024005889</v>
      </c>
      <c r="B4891" s="1">
        <v>45341</v>
      </c>
      <c r="C4891" s="11">
        <f t="shared" si="228"/>
        <v>2024</v>
      </c>
      <c r="D4891" t="s">
        <v>301</v>
      </c>
      <c r="E4891" t="s">
        <v>12</v>
      </c>
      <c r="F4891" t="s">
        <v>13</v>
      </c>
      <c r="G4891" t="s">
        <v>14</v>
      </c>
      <c r="H4891">
        <v>1</v>
      </c>
      <c r="I4891" s="2">
        <v>371.14</v>
      </c>
      <c r="J4891" s="2">
        <v>371.14</v>
      </c>
      <c r="K4891" s="2">
        <f t="shared" si="229"/>
        <v>371.14</v>
      </c>
      <c r="L4891" s="2">
        <f t="shared" si="230"/>
        <v>0</v>
      </c>
      <c r="M4891" t="s">
        <v>15</v>
      </c>
      <c r="N4891" t="s">
        <v>21</v>
      </c>
    </row>
    <row r="4892" spans="1:14" x14ac:dyDescent="0.3">
      <c r="A4892">
        <v>2024005890</v>
      </c>
      <c r="B4892" s="1">
        <v>45537</v>
      </c>
      <c r="C4892" s="11">
        <f t="shared" si="228"/>
        <v>2024</v>
      </c>
      <c r="D4892" t="s">
        <v>185</v>
      </c>
      <c r="E4892" t="s">
        <v>67</v>
      </c>
      <c r="F4892" t="s">
        <v>68</v>
      </c>
      <c r="G4892" t="s">
        <v>36</v>
      </c>
      <c r="H4892">
        <v>3</v>
      </c>
      <c r="I4892" s="2">
        <v>389.59</v>
      </c>
      <c r="J4892" s="2">
        <v>1168.77</v>
      </c>
      <c r="K4892" s="2">
        <f t="shared" si="229"/>
        <v>1168.77</v>
      </c>
      <c r="L4892" s="2">
        <f t="shared" si="230"/>
        <v>0</v>
      </c>
      <c r="M4892" t="s">
        <v>20</v>
      </c>
      <c r="N4892" t="s">
        <v>32</v>
      </c>
    </row>
    <row r="4893" spans="1:14" x14ac:dyDescent="0.3">
      <c r="A4893">
        <v>2024005891</v>
      </c>
      <c r="B4893" s="1">
        <v>45541</v>
      </c>
      <c r="C4893" s="11">
        <f t="shared" si="228"/>
        <v>2024</v>
      </c>
      <c r="D4893" t="s">
        <v>193</v>
      </c>
      <c r="E4893" t="s">
        <v>67</v>
      </c>
      <c r="F4893" t="s">
        <v>68</v>
      </c>
      <c r="G4893" t="s">
        <v>36</v>
      </c>
      <c r="H4893">
        <v>1</v>
      </c>
      <c r="I4893" s="2">
        <v>424.84</v>
      </c>
      <c r="J4893" s="2">
        <v>424.84</v>
      </c>
      <c r="K4893" s="2">
        <f t="shared" si="229"/>
        <v>424.84</v>
      </c>
      <c r="L4893" s="2">
        <f t="shared" si="230"/>
        <v>0</v>
      </c>
      <c r="M4893" t="s">
        <v>20</v>
      </c>
      <c r="N4893" t="s">
        <v>32</v>
      </c>
    </row>
    <row r="4894" spans="1:14" x14ac:dyDescent="0.3">
      <c r="A4894">
        <v>2024005892</v>
      </c>
      <c r="B4894" s="1">
        <v>45381</v>
      </c>
      <c r="C4894" s="11">
        <f t="shared" si="228"/>
        <v>2024</v>
      </c>
      <c r="D4894" t="s">
        <v>65</v>
      </c>
      <c r="E4894" t="s">
        <v>28</v>
      </c>
      <c r="F4894" t="s">
        <v>29</v>
      </c>
      <c r="G4894" t="s">
        <v>30</v>
      </c>
      <c r="H4894">
        <v>1</v>
      </c>
      <c r="I4894" s="2">
        <v>25.57</v>
      </c>
      <c r="J4894" s="2">
        <v>25.57</v>
      </c>
      <c r="K4894" s="2">
        <f t="shared" si="229"/>
        <v>25.57</v>
      </c>
      <c r="L4894" s="2">
        <f t="shared" si="230"/>
        <v>0</v>
      </c>
      <c r="M4894" t="s">
        <v>38</v>
      </c>
      <c r="N4894" t="s">
        <v>16</v>
      </c>
    </row>
    <row r="4895" spans="1:14" x14ac:dyDescent="0.3">
      <c r="A4895">
        <v>2024005893</v>
      </c>
      <c r="B4895" s="1">
        <v>45293</v>
      </c>
      <c r="C4895" s="11">
        <f t="shared" si="228"/>
        <v>2024</v>
      </c>
      <c r="D4895" t="s">
        <v>184</v>
      </c>
      <c r="E4895" t="s">
        <v>18</v>
      </c>
      <c r="F4895" t="s">
        <v>19</v>
      </c>
      <c r="G4895" t="s">
        <v>14</v>
      </c>
      <c r="H4895">
        <v>1</v>
      </c>
      <c r="I4895" s="2">
        <v>612.54999999999995</v>
      </c>
      <c r="J4895" s="2">
        <v>612.54999999999995</v>
      </c>
      <c r="K4895" s="2">
        <f t="shared" si="229"/>
        <v>612.54999999999995</v>
      </c>
      <c r="L4895" s="2">
        <f t="shared" si="230"/>
        <v>0</v>
      </c>
      <c r="M4895" t="s">
        <v>48</v>
      </c>
      <c r="N4895" t="s">
        <v>26</v>
      </c>
    </row>
    <row r="4896" spans="1:14" x14ac:dyDescent="0.3">
      <c r="A4896">
        <v>2024005894</v>
      </c>
      <c r="B4896" s="1">
        <v>45638</v>
      </c>
      <c r="C4896" s="11">
        <f t="shared" si="228"/>
        <v>2024</v>
      </c>
      <c r="D4896" t="s">
        <v>211</v>
      </c>
      <c r="E4896" t="s">
        <v>46</v>
      </c>
      <c r="F4896" t="s">
        <v>47</v>
      </c>
      <c r="G4896" t="s">
        <v>36</v>
      </c>
      <c r="H4896">
        <v>3</v>
      </c>
      <c r="I4896" s="2">
        <v>89.89</v>
      </c>
      <c r="J4896" s="2">
        <v>269.67</v>
      </c>
      <c r="K4896" s="2">
        <f t="shared" si="229"/>
        <v>269.67</v>
      </c>
      <c r="L4896" s="2">
        <f t="shared" si="230"/>
        <v>0</v>
      </c>
      <c r="M4896" t="s">
        <v>25</v>
      </c>
      <c r="N4896" t="s">
        <v>21</v>
      </c>
    </row>
    <row r="4897" spans="1:14" x14ac:dyDescent="0.3">
      <c r="A4897">
        <v>2024005895</v>
      </c>
      <c r="B4897" s="1">
        <v>45440</v>
      </c>
      <c r="C4897" s="11">
        <f t="shared" si="228"/>
        <v>2024</v>
      </c>
      <c r="D4897" t="s">
        <v>182</v>
      </c>
      <c r="E4897" t="s">
        <v>53</v>
      </c>
      <c r="F4897" t="s">
        <v>54</v>
      </c>
      <c r="G4897" t="s">
        <v>36</v>
      </c>
      <c r="H4897">
        <v>1</v>
      </c>
      <c r="I4897" s="2">
        <v>127.52</v>
      </c>
      <c r="J4897" s="2">
        <v>127.52</v>
      </c>
      <c r="K4897" s="2">
        <f t="shared" si="229"/>
        <v>127.52</v>
      </c>
      <c r="L4897" s="2">
        <f t="shared" si="230"/>
        <v>0</v>
      </c>
      <c r="M4897" t="s">
        <v>20</v>
      </c>
      <c r="N4897" t="s">
        <v>26</v>
      </c>
    </row>
    <row r="4898" spans="1:14" x14ac:dyDescent="0.3">
      <c r="A4898">
        <v>2024005896</v>
      </c>
      <c r="B4898" s="1">
        <v>45523</v>
      </c>
      <c r="C4898" s="11">
        <f t="shared" si="228"/>
        <v>2024</v>
      </c>
      <c r="D4898" t="s">
        <v>189</v>
      </c>
      <c r="E4898" t="s">
        <v>53</v>
      </c>
      <c r="F4898" t="s">
        <v>54</v>
      </c>
      <c r="G4898" t="s">
        <v>36</v>
      </c>
      <c r="H4898">
        <v>1</v>
      </c>
      <c r="I4898" s="2">
        <v>126.38</v>
      </c>
      <c r="J4898" s="2">
        <v>126.38</v>
      </c>
      <c r="K4898" s="2">
        <f t="shared" si="229"/>
        <v>126.38</v>
      </c>
      <c r="L4898" s="2">
        <f t="shared" si="230"/>
        <v>0</v>
      </c>
      <c r="M4898" t="s">
        <v>15</v>
      </c>
      <c r="N4898" t="s">
        <v>16</v>
      </c>
    </row>
    <row r="4899" spans="1:14" x14ac:dyDescent="0.3">
      <c r="A4899">
        <v>2024005897</v>
      </c>
      <c r="B4899" s="1">
        <v>45429</v>
      </c>
      <c r="C4899" s="11">
        <f t="shared" si="228"/>
        <v>2024</v>
      </c>
      <c r="D4899" t="s">
        <v>167</v>
      </c>
      <c r="E4899" t="s">
        <v>23</v>
      </c>
      <c r="F4899" t="s">
        <v>24</v>
      </c>
      <c r="G4899" t="s">
        <v>14</v>
      </c>
      <c r="H4899">
        <v>2</v>
      </c>
      <c r="I4899" s="2">
        <v>85.26</v>
      </c>
      <c r="J4899" s="2">
        <v>170.52</v>
      </c>
      <c r="K4899" s="2">
        <f t="shared" si="229"/>
        <v>170.52</v>
      </c>
      <c r="L4899" s="2">
        <f t="shared" si="230"/>
        <v>0</v>
      </c>
      <c r="M4899" t="s">
        <v>38</v>
      </c>
      <c r="N4899" t="s">
        <v>16</v>
      </c>
    </row>
    <row r="4900" spans="1:14" x14ac:dyDescent="0.3">
      <c r="A4900">
        <v>2024005898</v>
      </c>
      <c r="B4900" s="1">
        <v>45458</v>
      </c>
      <c r="C4900" s="11">
        <f t="shared" si="228"/>
        <v>2024</v>
      </c>
      <c r="D4900" t="s">
        <v>291</v>
      </c>
      <c r="E4900" t="s">
        <v>53</v>
      </c>
      <c r="F4900" t="s">
        <v>54</v>
      </c>
      <c r="G4900" t="s">
        <v>36</v>
      </c>
      <c r="H4900">
        <v>5</v>
      </c>
      <c r="I4900" s="2">
        <v>124.35</v>
      </c>
      <c r="J4900" s="2">
        <v>621.75</v>
      </c>
      <c r="K4900" s="2">
        <f t="shared" si="229"/>
        <v>621.75</v>
      </c>
      <c r="L4900" s="2">
        <f t="shared" si="230"/>
        <v>0</v>
      </c>
      <c r="M4900" t="s">
        <v>57</v>
      </c>
      <c r="N4900" t="s">
        <v>32</v>
      </c>
    </row>
    <row r="4901" spans="1:14" x14ac:dyDescent="0.3">
      <c r="A4901">
        <v>2024005899</v>
      </c>
      <c r="B4901" s="1">
        <v>45647</v>
      </c>
      <c r="C4901" s="11">
        <f t="shared" si="228"/>
        <v>2024</v>
      </c>
      <c r="D4901" t="s">
        <v>277</v>
      </c>
      <c r="E4901" t="s">
        <v>28</v>
      </c>
      <c r="F4901" t="s">
        <v>29</v>
      </c>
      <c r="G4901" t="s">
        <v>30</v>
      </c>
      <c r="H4901">
        <v>1</v>
      </c>
      <c r="I4901" s="2">
        <v>23.74</v>
      </c>
      <c r="J4901" s="2">
        <v>23.74</v>
      </c>
      <c r="K4901" s="2">
        <f t="shared" si="229"/>
        <v>23.74</v>
      </c>
      <c r="L4901" s="2">
        <f t="shared" si="230"/>
        <v>0</v>
      </c>
      <c r="M4901" t="s">
        <v>48</v>
      </c>
      <c r="N4901" t="s">
        <v>32</v>
      </c>
    </row>
    <row r="4902" spans="1:14" x14ac:dyDescent="0.3">
      <c r="A4902">
        <v>2024005900</v>
      </c>
      <c r="B4902" s="1">
        <v>45647</v>
      </c>
      <c r="C4902" s="11">
        <f t="shared" si="228"/>
        <v>2024</v>
      </c>
      <c r="D4902" t="s">
        <v>298</v>
      </c>
      <c r="E4902" t="s">
        <v>46</v>
      </c>
      <c r="F4902" t="s">
        <v>47</v>
      </c>
      <c r="G4902" t="s">
        <v>36</v>
      </c>
      <c r="H4902">
        <v>1</v>
      </c>
      <c r="I4902" s="2">
        <v>94.79</v>
      </c>
      <c r="J4902" s="2">
        <v>94.79</v>
      </c>
      <c r="K4902" s="2">
        <f t="shared" si="229"/>
        <v>94.79</v>
      </c>
      <c r="L4902" s="2">
        <f t="shared" si="230"/>
        <v>0</v>
      </c>
      <c r="M4902" t="s">
        <v>31</v>
      </c>
      <c r="N4902" t="s">
        <v>21</v>
      </c>
    </row>
    <row r="4903" spans="1:14" x14ac:dyDescent="0.3">
      <c r="A4903">
        <v>2024005901</v>
      </c>
      <c r="B4903" s="1">
        <v>45320</v>
      </c>
      <c r="C4903" s="11">
        <f t="shared" si="228"/>
        <v>2024</v>
      </c>
      <c r="D4903" t="s">
        <v>85</v>
      </c>
      <c r="E4903" t="s">
        <v>67</v>
      </c>
      <c r="F4903" t="s">
        <v>68</v>
      </c>
      <c r="G4903" t="s">
        <v>36</v>
      </c>
      <c r="H4903">
        <v>3</v>
      </c>
      <c r="I4903" s="2">
        <v>397.58</v>
      </c>
      <c r="J4903" s="2">
        <v>1192.74</v>
      </c>
      <c r="K4903" s="2">
        <f t="shared" si="229"/>
        <v>1192.74</v>
      </c>
      <c r="L4903" s="2">
        <f t="shared" si="230"/>
        <v>0</v>
      </c>
      <c r="M4903" t="s">
        <v>38</v>
      </c>
      <c r="N4903" t="s">
        <v>26</v>
      </c>
    </row>
    <row r="4904" spans="1:14" x14ac:dyDescent="0.3">
      <c r="A4904">
        <v>2024005902</v>
      </c>
      <c r="B4904" s="1">
        <v>45345</v>
      </c>
      <c r="C4904" s="11">
        <f t="shared" si="228"/>
        <v>2024</v>
      </c>
      <c r="D4904" t="s">
        <v>11</v>
      </c>
      <c r="E4904" t="s">
        <v>40</v>
      </c>
      <c r="F4904" t="s">
        <v>41</v>
      </c>
      <c r="G4904" t="s">
        <v>36</v>
      </c>
      <c r="H4904">
        <v>1</v>
      </c>
      <c r="I4904" s="2">
        <v>44.6</v>
      </c>
      <c r="J4904" s="2">
        <v>44.6</v>
      </c>
      <c r="K4904" s="2">
        <f t="shared" si="229"/>
        <v>44.6</v>
      </c>
      <c r="L4904" s="2">
        <f t="shared" si="230"/>
        <v>0</v>
      </c>
      <c r="M4904" t="s">
        <v>15</v>
      </c>
      <c r="N4904" t="s">
        <v>32</v>
      </c>
    </row>
    <row r="4905" spans="1:14" x14ac:dyDescent="0.3">
      <c r="A4905">
        <v>2024005903</v>
      </c>
      <c r="B4905" s="1">
        <v>45561</v>
      </c>
      <c r="C4905" s="11">
        <f t="shared" si="228"/>
        <v>2024</v>
      </c>
      <c r="D4905" t="s">
        <v>316</v>
      </c>
      <c r="E4905" t="s">
        <v>34</v>
      </c>
      <c r="F4905" t="s">
        <v>35</v>
      </c>
      <c r="G4905" t="s">
        <v>36</v>
      </c>
      <c r="H4905">
        <v>1</v>
      </c>
      <c r="I4905" s="2">
        <v>15.19</v>
      </c>
      <c r="J4905" s="2">
        <v>15.19</v>
      </c>
      <c r="K4905" s="2">
        <f t="shared" si="229"/>
        <v>15.19</v>
      </c>
      <c r="L4905" s="2">
        <f t="shared" si="230"/>
        <v>0</v>
      </c>
      <c r="M4905" t="s">
        <v>20</v>
      </c>
      <c r="N4905" t="s">
        <v>32</v>
      </c>
    </row>
    <row r="4906" spans="1:14" x14ac:dyDescent="0.3">
      <c r="A4906">
        <v>2024005904</v>
      </c>
      <c r="B4906" s="1">
        <v>45356</v>
      </c>
      <c r="C4906" s="11">
        <f t="shared" si="228"/>
        <v>2024</v>
      </c>
      <c r="D4906" t="s">
        <v>169</v>
      </c>
      <c r="E4906" t="s">
        <v>67</v>
      </c>
      <c r="F4906" t="s">
        <v>68</v>
      </c>
      <c r="G4906" t="s">
        <v>36</v>
      </c>
      <c r="H4906">
        <v>3</v>
      </c>
      <c r="I4906" s="2">
        <v>374.14</v>
      </c>
      <c r="J4906" s="2">
        <v>1122.42</v>
      </c>
      <c r="K4906" s="2">
        <f t="shared" si="229"/>
        <v>1122.42</v>
      </c>
      <c r="L4906" s="2">
        <f t="shared" si="230"/>
        <v>0</v>
      </c>
      <c r="M4906" t="s">
        <v>64</v>
      </c>
      <c r="N4906" t="s">
        <v>26</v>
      </c>
    </row>
    <row r="4907" spans="1:14" x14ac:dyDescent="0.3">
      <c r="A4907">
        <v>2024005905</v>
      </c>
      <c r="B4907" s="1">
        <v>45528</v>
      </c>
      <c r="C4907" s="11">
        <f t="shared" si="228"/>
        <v>2024</v>
      </c>
      <c r="D4907" t="s">
        <v>153</v>
      </c>
      <c r="E4907" t="s">
        <v>12</v>
      </c>
      <c r="F4907" t="s">
        <v>13</v>
      </c>
      <c r="G4907" t="s">
        <v>14</v>
      </c>
      <c r="H4907">
        <v>1</v>
      </c>
      <c r="I4907" s="2">
        <v>347.03</v>
      </c>
      <c r="J4907" s="2">
        <v>347.03</v>
      </c>
      <c r="K4907" s="2">
        <f t="shared" si="229"/>
        <v>347.03</v>
      </c>
      <c r="L4907" s="2">
        <f t="shared" si="230"/>
        <v>0</v>
      </c>
      <c r="M4907" t="s">
        <v>31</v>
      </c>
      <c r="N4907" t="s">
        <v>26</v>
      </c>
    </row>
    <row r="4908" spans="1:14" x14ac:dyDescent="0.3">
      <c r="A4908">
        <v>2024005906</v>
      </c>
      <c r="B4908" s="1">
        <v>45583</v>
      </c>
      <c r="C4908" s="11">
        <f t="shared" si="228"/>
        <v>2024</v>
      </c>
      <c r="D4908" t="s">
        <v>328</v>
      </c>
      <c r="E4908" t="s">
        <v>12</v>
      </c>
      <c r="F4908" t="s">
        <v>13</v>
      </c>
      <c r="G4908" t="s">
        <v>14</v>
      </c>
      <c r="H4908">
        <v>1</v>
      </c>
      <c r="I4908" s="2">
        <v>328.57</v>
      </c>
      <c r="J4908" s="2">
        <v>328.57</v>
      </c>
      <c r="K4908" s="2">
        <f t="shared" si="229"/>
        <v>328.57</v>
      </c>
      <c r="L4908" s="2">
        <f t="shared" si="230"/>
        <v>0</v>
      </c>
      <c r="M4908" t="s">
        <v>20</v>
      </c>
      <c r="N4908" t="s">
        <v>26</v>
      </c>
    </row>
    <row r="4909" spans="1:14" x14ac:dyDescent="0.3">
      <c r="A4909">
        <v>2024005907</v>
      </c>
      <c r="B4909" s="1">
        <v>45588</v>
      </c>
      <c r="C4909" s="11">
        <f t="shared" si="228"/>
        <v>2024</v>
      </c>
      <c r="D4909" t="s">
        <v>79</v>
      </c>
      <c r="E4909" t="s">
        <v>46</v>
      </c>
      <c r="F4909" t="s">
        <v>47</v>
      </c>
      <c r="G4909" t="s">
        <v>36</v>
      </c>
      <c r="H4909">
        <v>1</v>
      </c>
      <c r="I4909" s="2">
        <v>84.92</v>
      </c>
      <c r="J4909" s="2">
        <v>84.92</v>
      </c>
      <c r="K4909" s="2">
        <f t="shared" si="229"/>
        <v>84.92</v>
      </c>
      <c r="L4909" s="2">
        <f t="shared" si="230"/>
        <v>0</v>
      </c>
      <c r="M4909" t="s">
        <v>61</v>
      </c>
      <c r="N4909" t="s">
        <v>32</v>
      </c>
    </row>
    <row r="4910" spans="1:14" x14ac:dyDescent="0.3">
      <c r="A4910">
        <v>2024005908</v>
      </c>
      <c r="B4910" s="1">
        <v>45511</v>
      </c>
      <c r="C4910" s="11">
        <f t="shared" si="228"/>
        <v>2024</v>
      </c>
      <c r="D4910" t="s">
        <v>203</v>
      </c>
      <c r="E4910" t="s">
        <v>23</v>
      </c>
      <c r="F4910" t="s">
        <v>24</v>
      </c>
      <c r="G4910" t="s">
        <v>14</v>
      </c>
      <c r="H4910">
        <v>3</v>
      </c>
      <c r="I4910" s="2">
        <v>79.03</v>
      </c>
      <c r="J4910" s="2">
        <v>237.09</v>
      </c>
      <c r="K4910" s="2">
        <f t="shared" si="229"/>
        <v>237.09</v>
      </c>
      <c r="L4910" s="2">
        <f t="shared" si="230"/>
        <v>0</v>
      </c>
      <c r="M4910" t="s">
        <v>20</v>
      </c>
      <c r="N4910" t="s">
        <v>32</v>
      </c>
    </row>
    <row r="4911" spans="1:14" x14ac:dyDescent="0.3">
      <c r="A4911">
        <v>2024005909</v>
      </c>
      <c r="B4911" s="1">
        <v>45643</v>
      </c>
      <c r="C4911" s="11">
        <f t="shared" si="228"/>
        <v>2024</v>
      </c>
      <c r="D4911" t="s">
        <v>340</v>
      </c>
      <c r="E4911" t="s">
        <v>34</v>
      </c>
      <c r="F4911" t="s">
        <v>35</v>
      </c>
      <c r="G4911" t="s">
        <v>36</v>
      </c>
      <c r="H4911">
        <v>1</v>
      </c>
      <c r="I4911" s="2">
        <v>16.079999999999998</v>
      </c>
      <c r="J4911" s="2">
        <v>16.079999999999998</v>
      </c>
      <c r="K4911" s="2">
        <f t="shared" si="229"/>
        <v>16.079999999999998</v>
      </c>
      <c r="L4911" s="2">
        <f t="shared" si="230"/>
        <v>0</v>
      </c>
      <c r="M4911" t="s">
        <v>61</v>
      </c>
      <c r="N4911" t="s">
        <v>21</v>
      </c>
    </row>
    <row r="4912" spans="1:14" x14ac:dyDescent="0.3">
      <c r="A4912">
        <v>2024005910</v>
      </c>
      <c r="B4912" s="1">
        <v>45536</v>
      </c>
      <c r="C4912" s="11">
        <f t="shared" si="228"/>
        <v>2024</v>
      </c>
      <c r="D4912" t="s">
        <v>51</v>
      </c>
      <c r="E4912" t="s">
        <v>67</v>
      </c>
      <c r="F4912" t="s">
        <v>68</v>
      </c>
      <c r="G4912" t="s">
        <v>36</v>
      </c>
      <c r="H4912">
        <v>4</v>
      </c>
      <c r="I4912" s="2">
        <v>405.92</v>
      </c>
      <c r="J4912" s="2">
        <v>1623.68</v>
      </c>
      <c r="K4912" s="2">
        <f t="shared" si="229"/>
        <v>1623.68</v>
      </c>
      <c r="L4912" s="2">
        <f t="shared" si="230"/>
        <v>0</v>
      </c>
      <c r="M4912" t="s">
        <v>15</v>
      </c>
      <c r="N4912" t="s">
        <v>21</v>
      </c>
    </row>
    <row r="4913" spans="1:14" x14ac:dyDescent="0.3">
      <c r="A4913">
        <v>2024005911</v>
      </c>
      <c r="B4913" s="1">
        <v>45425</v>
      </c>
      <c r="C4913" s="11">
        <f t="shared" si="228"/>
        <v>2024</v>
      </c>
      <c r="D4913" t="s">
        <v>298</v>
      </c>
      <c r="E4913" t="s">
        <v>46</v>
      </c>
      <c r="F4913" t="s">
        <v>47</v>
      </c>
      <c r="G4913" t="s">
        <v>36</v>
      </c>
      <c r="H4913">
        <v>1</v>
      </c>
      <c r="I4913" s="2">
        <v>95</v>
      </c>
      <c r="J4913" s="2">
        <v>95</v>
      </c>
      <c r="K4913" s="2">
        <f t="shared" si="229"/>
        <v>95</v>
      </c>
      <c r="L4913" s="2">
        <f t="shared" si="230"/>
        <v>0</v>
      </c>
      <c r="M4913" t="s">
        <v>20</v>
      </c>
      <c r="N4913" t="s">
        <v>21</v>
      </c>
    </row>
    <row r="4914" spans="1:14" x14ac:dyDescent="0.3">
      <c r="A4914">
        <v>2024005912</v>
      </c>
      <c r="B4914" s="1">
        <v>45351</v>
      </c>
      <c r="C4914" s="11">
        <f t="shared" si="228"/>
        <v>2024</v>
      </c>
      <c r="D4914" t="s">
        <v>92</v>
      </c>
      <c r="E4914" t="s">
        <v>34</v>
      </c>
      <c r="F4914" t="s">
        <v>35</v>
      </c>
      <c r="G4914" t="s">
        <v>36</v>
      </c>
      <c r="H4914">
        <v>3</v>
      </c>
      <c r="I4914" s="2">
        <v>15.21</v>
      </c>
      <c r="J4914" s="2">
        <v>45.63</v>
      </c>
      <c r="K4914" s="2">
        <f t="shared" si="229"/>
        <v>45.63</v>
      </c>
      <c r="L4914" s="2">
        <f t="shared" si="230"/>
        <v>0</v>
      </c>
      <c r="M4914" t="s">
        <v>61</v>
      </c>
      <c r="N4914" t="s">
        <v>26</v>
      </c>
    </row>
    <row r="4915" spans="1:14" x14ac:dyDescent="0.3">
      <c r="A4915">
        <v>2024005913</v>
      </c>
      <c r="B4915" s="1">
        <v>45474</v>
      </c>
      <c r="C4915" s="11">
        <f t="shared" si="228"/>
        <v>2024</v>
      </c>
      <c r="D4915" t="s">
        <v>306</v>
      </c>
      <c r="E4915" t="s">
        <v>34</v>
      </c>
      <c r="F4915" t="s">
        <v>35</v>
      </c>
      <c r="G4915" t="s">
        <v>36</v>
      </c>
      <c r="H4915">
        <v>1</v>
      </c>
      <c r="I4915" s="2">
        <v>15.45</v>
      </c>
      <c r="J4915" s="2">
        <v>15.45</v>
      </c>
      <c r="K4915" s="2">
        <f t="shared" si="229"/>
        <v>15.45</v>
      </c>
      <c r="L4915" s="2">
        <f t="shared" si="230"/>
        <v>0</v>
      </c>
      <c r="M4915" t="s">
        <v>64</v>
      </c>
      <c r="N4915" t="s">
        <v>26</v>
      </c>
    </row>
    <row r="4916" spans="1:14" x14ac:dyDescent="0.3">
      <c r="A4916">
        <v>2024005914</v>
      </c>
      <c r="B4916" s="1">
        <v>45527</v>
      </c>
      <c r="C4916" s="11">
        <f t="shared" si="228"/>
        <v>2024</v>
      </c>
      <c r="D4916" t="s">
        <v>266</v>
      </c>
      <c r="E4916" t="s">
        <v>67</v>
      </c>
      <c r="F4916" t="s">
        <v>68</v>
      </c>
      <c r="G4916" t="s">
        <v>36</v>
      </c>
      <c r="H4916">
        <v>2</v>
      </c>
      <c r="I4916" s="2">
        <v>435.96</v>
      </c>
      <c r="J4916" s="2">
        <v>871.92</v>
      </c>
      <c r="K4916" s="2">
        <f t="shared" si="229"/>
        <v>871.92</v>
      </c>
      <c r="L4916" s="2">
        <f t="shared" si="230"/>
        <v>0</v>
      </c>
      <c r="M4916" t="s">
        <v>31</v>
      </c>
      <c r="N4916" t="s">
        <v>32</v>
      </c>
    </row>
    <row r="4917" spans="1:14" x14ac:dyDescent="0.3">
      <c r="A4917">
        <v>2024005915</v>
      </c>
      <c r="B4917" s="1">
        <v>45634</v>
      </c>
      <c r="C4917" s="11">
        <f t="shared" si="228"/>
        <v>2024</v>
      </c>
      <c r="D4917" t="s">
        <v>237</v>
      </c>
      <c r="E4917" t="s">
        <v>53</v>
      </c>
      <c r="F4917" t="s">
        <v>54</v>
      </c>
      <c r="G4917" t="s">
        <v>36</v>
      </c>
      <c r="H4917">
        <v>2</v>
      </c>
      <c r="I4917" s="2">
        <v>123.46</v>
      </c>
      <c r="J4917" s="2">
        <v>246.92</v>
      </c>
      <c r="K4917" s="2">
        <f t="shared" si="229"/>
        <v>246.92</v>
      </c>
      <c r="L4917" s="2">
        <f t="shared" si="230"/>
        <v>0</v>
      </c>
      <c r="M4917" t="s">
        <v>55</v>
      </c>
      <c r="N4917" t="s">
        <v>16</v>
      </c>
    </row>
    <row r="4918" spans="1:14" x14ac:dyDescent="0.3">
      <c r="A4918">
        <v>2024005916</v>
      </c>
      <c r="B4918" s="1">
        <v>45346</v>
      </c>
      <c r="C4918" s="11">
        <f t="shared" si="228"/>
        <v>2024</v>
      </c>
      <c r="D4918" t="s">
        <v>277</v>
      </c>
      <c r="E4918" t="s">
        <v>23</v>
      </c>
      <c r="F4918" t="s">
        <v>24</v>
      </c>
      <c r="G4918" t="s">
        <v>14</v>
      </c>
      <c r="H4918">
        <v>1</v>
      </c>
      <c r="I4918" s="2">
        <v>76.7</v>
      </c>
      <c r="J4918" s="2">
        <v>76.7</v>
      </c>
      <c r="K4918" s="2">
        <f t="shared" si="229"/>
        <v>76.7</v>
      </c>
      <c r="L4918" s="2">
        <f t="shared" si="230"/>
        <v>0</v>
      </c>
      <c r="M4918" t="s">
        <v>57</v>
      </c>
      <c r="N4918" t="s">
        <v>16</v>
      </c>
    </row>
    <row r="4919" spans="1:14" x14ac:dyDescent="0.3">
      <c r="A4919">
        <v>2024005917</v>
      </c>
      <c r="B4919" s="1">
        <v>45445</v>
      </c>
      <c r="C4919" s="11">
        <f t="shared" si="228"/>
        <v>2024</v>
      </c>
      <c r="D4919" t="s">
        <v>11</v>
      </c>
      <c r="E4919" t="s">
        <v>46</v>
      </c>
      <c r="F4919" t="s">
        <v>47</v>
      </c>
      <c r="G4919" t="s">
        <v>36</v>
      </c>
      <c r="H4919">
        <v>1</v>
      </c>
      <c r="I4919" s="2">
        <v>101.85</v>
      </c>
      <c r="J4919" s="2">
        <v>101.85</v>
      </c>
      <c r="K4919" s="2">
        <f t="shared" si="229"/>
        <v>101.85</v>
      </c>
      <c r="L4919" s="2">
        <f t="shared" si="230"/>
        <v>0</v>
      </c>
      <c r="M4919" t="s">
        <v>38</v>
      </c>
      <c r="N4919" t="s">
        <v>26</v>
      </c>
    </row>
    <row r="4920" spans="1:14" x14ac:dyDescent="0.3">
      <c r="A4920">
        <v>2024005918</v>
      </c>
      <c r="B4920" s="1">
        <v>45623</v>
      </c>
      <c r="C4920" s="11">
        <f t="shared" si="228"/>
        <v>2024</v>
      </c>
      <c r="D4920" t="s">
        <v>60</v>
      </c>
      <c r="E4920" t="s">
        <v>18</v>
      </c>
      <c r="F4920" t="s">
        <v>19</v>
      </c>
      <c r="G4920" t="s">
        <v>14</v>
      </c>
      <c r="H4920">
        <v>1</v>
      </c>
      <c r="I4920" s="2">
        <v>606.47</v>
      </c>
      <c r="J4920" s="2">
        <v>606.47</v>
      </c>
      <c r="K4920" s="2">
        <f t="shared" si="229"/>
        <v>606.47</v>
      </c>
      <c r="L4920" s="2">
        <f t="shared" si="230"/>
        <v>0</v>
      </c>
      <c r="M4920" t="s">
        <v>57</v>
      </c>
      <c r="N4920" t="s">
        <v>26</v>
      </c>
    </row>
    <row r="4921" spans="1:14" x14ac:dyDescent="0.3">
      <c r="A4921">
        <v>2024005919</v>
      </c>
      <c r="B4921" s="1">
        <v>45519</v>
      </c>
      <c r="C4921" s="11">
        <f t="shared" si="228"/>
        <v>2024</v>
      </c>
      <c r="D4921" t="s">
        <v>63</v>
      </c>
      <c r="E4921" t="s">
        <v>43</v>
      </c>
      <c r="F4921" t="s">
        <v>44</v>
      </c>
      <c r="G4921" t="s">
        <v>36</v>
      </c>
      <c r="H4921">
        <v>3</v>
      </c>
      <c r="I4921" s="2">
        <v>1216.3900000000001</v>
      </c>
      <c r="J4921" s="2">
        <v>3649.17</v>
      </c>
      <c r="K4921" s="2">
        <f t="shared" si="229"/>
        <v>3649.17</v>
      </c>
      <c r="L4921" s="2">
        <f t="shared" si="230"/>
        <v>0</v>
      </c>
      <c r="M4921" t="s">
        <v>57</v>
      </c>
      <c r="N4921" t="s">
        <v>32</v>
      </c>
    </row>
    <row r="4922" spans="1:14" x14ac:dyDescent="0.3">
      <c r="A4922">
        <v>2024005920</v>
      </c>
      <c r="B4922" s="1">
        <v>45297</v>
      </c>
      <c r="C4922" s="11">
        <f t="shared" si="228"/>
        <v>2024</v>
      </c>
      <c r="D4922" t="s">
        <v>206</v>
      </c>
      <c r="E4922" t="s">
        <v>46</v>
      </c>
      <c r="F4922" t="s">
        <v>47</v>
      </c>
      <c r="G4922" t="s">
        <v>36</v>
      </c>
      <c r="H4922">
        <v>1</v>
      </c>
      <c r="I4922" s="2">
        <v>82.47</v>
      </c>
      <c r="J4922" s="2">
        <v>82.47</v>
      </c>
      <c r="K4922" s="2">
        <f t="shared" si="229"/>
        <v>82.47</v>
      </c>
      <c r="L4922" s="2">
        <f t="shared" si="230"/>
        <v>0</v>
      </c>
      <c r="M4922" t="s">
        <v>57</v>
      </c>
      <c r="N4922" t="s">
        <v>32</v>
      </c>
    </row>
    <row r="4923" spans="1:14" x14ac:dyDescent="0.3">
      <c r="A4923">
        <v>2024005921</v>
      </c>
      <c r="B4923" s="1">
        <v>45615</v>
      </c>
      <c r="C4923" s="11">
        <f t="shared" si="228"/>
        <v>2024</v>
      </c>
      <c r="D4923" t="s">
        <v>279</v>
      </c>
      <c r="E4923" t="s">
        <v>67</v>
      </c>
      <c r="F4923" t="s">
        <v>68</v>
      </c>
      <c r="G4923" t="s">
        <v>36</v>
      </c>
      <c r="H4923">
        <v>1</v>
      </c>
      <c r="I4923" s="2">
        <v>391.06</v>
      </c>
      <c r="J4923" s="2">
        <v>391.06</v>
      </c>
      <c r="K4923" s="2">
        <f t="shared" si="229"/>
        <v>391.06</v>
      </c>
      <c r="L4923" s="2">
        <f t="shared" si="230"/>
        <v>0</v>
      </c>
      <c r="M4923" t="s">
        <v>15</v>
      </c>
      <c r="N4923" t="s">
        <v>26</v>
      </c>
    </row>
    <row r="4924" spans="1:14" x14ac:dyDescent="0.3">
      <c r="A4924">
        <v>2024005922</v>
      </c>
      <c r="B4924" s="1">
        <v>45332</v>
      </c>
      <c r="C4924" s="11">
        <f t="shared" si="228"/>
        <v>2024</v>
      </c>
      <c r="D4924" t="s">
        <v>191</v>
      </c>
      <c r="E4924" t="s">
        <v>34</v>
      </c>
      <c r="F4924" t="s">
        <v>35</v>
      </c>
      <c r="G4924" t="s">
        <v>36</v>
      </c>
      <c r="H4924">
        <v>1</v>
      </c>
      <c r="I4924" s="2">
        <v>14.63</v>
      </c>
      <c r="J4924" s="2">
        <v>14.63</v>
      </c>
      <c r="K4924" s="2">
        <f t="shared" si="229"/>
        <v>14.63</v>
      </c>
      <c r="L4924" s="2">
        <f t="shared" si="230"/>
        <v>0</v>
      </c>
      <c r="M4924" t="s">
        <v>20</v>
      </c>
      <c r="N4924" t="s">
        <v>16</v>
      </c>
    </row>
    <row r="4925" spans="1:14" x14ac:dyDescent="0.3">
      <c r="A4925">
        <v>2024005923</v>
      </c>
      <c r="B4925" s="1">
        <v>45547</v>
      </c>
      <c r="C4925" s="11">
        <f t="shared" si="228"/>
        <v>2024</v>
      </c>
      <c r="D4925" t="s">
        <v>301</v>
      </c>
      <c r="E4925" t="s">
        <v>28</v>
      </c>
      <c r="F4925" t="s">
        <v>29</v>
      </c>
      <c r="G4925" t="s">
        <v>30</v>
      </c>
      <c r="H4925">
        <v>2</v>
      </c>
      <c r="I4925" s="2">
        <v>27.67</v>
      </c>
      <c r="J4925" s="2">
        <v>55.34</v>
      </c>
      <c r="K4925" s="2">
        <f t="shared" si="229"/>
        <v>55.34</v>
      </c>
      <c r="L4925" s="2">
        <f t="shared" si="230"/>
        <v>0</v>
      </c>
      <c r="M4925" t="s">
        <v>20</v>
      </c>
      <c r="N4925" t="s">
        <v>32</v>
      </c>
    </row>
    <row r="4926" spans="1:14" x14ac:dyDescent="0.3">
      <c r="A4926">
        <v>2024005924</v>
      </c>
      <c r="B4926" s="1">
        <v>45528</v>
      </c>
      <c r="C4926" s="11">
        <f t="shared" si="228"/>
        <v>2024</v>
      </c>
      <c r="D4926" t="s">
        <v>304</v>
      </c>
      <c r="E4926" t="s">
        <v>23</v>
      </c>
      <c r="F4926" t="s">
        <v>24</v>
      </c>
      <c r="G4926" t="s">
        <v>14</v>
      </c>
      <c r="H4926">
        <v>1</v>
      </c>
      <c r="I4926" s="2">
        <v>82.16</v>
      </c>
      <c r="J4926" s="2">
        <v>82.16</v>
      </c>
      <c r="K4926" s="2">
        <f t="shared" si="229"/>
        <v>82.16</v>
      </c>
      <c r="L4926" s="2">
        <f t="shared" si="230"/>
        <v>0</v>
      </c>
      <c r="M4926" t="s">
        <v>38</v>
      </c>
      <c r="N4926" t="s">
        <v>26</v>
      </c>
    </row>
    <row r="4927" spans="1:14" x14ac:dyDescent="0.3">
      <c r="A4927">
        <v>2024005925</v>
      </c>
      <c r="B4927" s="1">
        <v>45657</v>
      </c>
      <c r="C4927" s="11">
        <f t="shared" si="228"/>
        <v>2024</v>
      </c>
      <c r="D4927" t="s">
        <v>230</v>
      </c>
      <c r="E4927" t="s">
        <v>18</v>
      </c>
      <c r="F4927" t="s">
        <v>19</v>
      </c>
      <c r="G4927" t="s">
        <v>14</v>
      </c>
      <c r="H4927">
        <v>4</v>
      </c>
      <c r="I4927" s="2">
        <v>564.73</v>
      </c>
      <c r="J4927" s="2">
        <v>2258.92</v>
      </c>
      <c r="K4927" s="2">
        <f t="shared" si="229"/>
        <v>2258.92</v>
      </c>
      <c r="L4927" s="2">
        <f t="shared" si="230"/>
        <v>0</v>
      </c>
      <c r="M4927" t="s">
        <v>20</v>
      </c>
      <c r="N4927" t="s">
        <v>16</v>
      </c>
    </row>
    <row r="4928" spans="1:14" x14ac:dyDescent="0.3">
      <c r="A4928">
        <v>2024005926</v>
      </c>
      <c r="B4928" s="1">
        <v>45560</v>
      </c>
      <c r="C4928" s="11">
        <f t="shared" si="228"/>
        <v>2024</v>
      </c>
      <c r="D4928" t="s">
        <v>193</v>
      </c>
      <c r="E4928" t="s">
        <v>67</v>
      </c>
      <c r="F4928" t="s">
        <v>68</v>
      </c>
      <c r="G4928" t="s">
        <v>36</v>
      </c>
      <c r="H4928">
        <v>2</v>
      </c>
      <c r="I4928" s="2">
        <v>387.57</v>
      </c>
      <c r="J4928" s="2">
        <v>775.14</v>
      </c>
      <c r="K4928" s="2">
        <f t="shared" si="229"/>
        <v>775.14</v>
      </c>
      <c r="L4928" s="2">
        <f t="shared" si="230"/>
        <v>0</v>
      </c>
      <c r="M4928" t="s">
        <v>20</v>
      </c>
      <c r="N4928" t="s">
        <v>32</v>
      </c>
    </row>
    <row r="4929" spans="1:14" x14ac:dyDescent="0.3">
      <c r="A4929">
        <v>2024005927</v>
      </c>
      <c r="B4929" s="1">
        <v>45361</v>
      </c>
      <c r="C4929" s="11">
        <f t="shared" si="228"/>
        <v>2024</v>
      </c>
      <c r="D4929" t="s">
        <v>76</v>
      </c>
      <c r="E4929" t="s">
        <v>46</v>
      </c>
      <c r="F4929" t="s">
        <v>47</v>
      </c>
      <c r="G4929" t="s">
        <v>36</v>
      </c>
      <c r="H4929">
        <v>3</v>
      </c>
      <c r="I4929" s="2">
        <v>93.82</v>
      </c>
      <c r="J4929" s="2">
        <v>281.45999999999998</v>
      </c>
      <c r="K4929" s="2">
        <f t="shared" si="229"/>
        <v>281.45999999999998</v>
      </c>
      <c r="L4929" s="2">
        <f t="shared" si="230"/>
        <v>0</v>
      </c>
      <c r="M4929" t="s">
        <v>15</v>
      </c>
      <c r="N4929" t="s">
        <v>21</v>
      </c>
    </row>
    <row r="4930" spans="1:14" x14ac:dyDescent="0.3">
      <c r="A4930">
        <v>2024005928</v>
      </c>
      <c r="B4930" s="1">
        <v>45379</v>
      </c>
      <c r="C4930" s="11">
        <f t="shared" si="228"/>
        <v>2024</v>
      </c>
      <c r="D4930" t="s">
        <v>191</v>
      </c>
      <c r="E4930" t="s">
        <v>67</v>
      </c>
      <c r="F4930" t="s">
        <v>68</v>
      </c>
      <c r="G4930" t="s">
        <v>36</v>
      </c>
      <c r="H4930">
        <v>1</v>
      </c>
      <c r="I4930" s="2">
        <v>428.1</v>
      </c>
      <c r="J4930" s="2">
        <v>428.1</v>
      </c>
      <c r="K4930" s="2">
        <f t="shared" si="229"/>
        <v>428.1</v>
      </c>
      <c r="L4930" s="2">
        <f t="shared" si="230"/>
        <v>0</v>
      </c>
      <c r="M4930" t="s">
        <v>64</v>
      </c>
      <c r="N4930" t="s">
        <v>26</v>
      </c>
    </row>
    <row r="4931" spans="1:14" x14ac:dyDescent="0.3">
      <c r="A4931">
        <v>2024005929</v>
      </c>
      <c r="B4931" s="1">
        <v>45515</v>
      </c>
      <c r="C4931" s="11">
        <f t="shared" ref="C4931:C4994" si="231">YEAR(B4931)</f>
        <v>2024</v>
      </c>
      <c r="D4931" t="s">
        <v>196</v>
      </c>
      <c r="E4931" t="s">
        <v>23</v>
      </c>
      <c r="F4931" t="s">
        <v>24</v>
      </c>
      <c r="G4931" t="s">
        <v>14</v>
      </c>
      <c r="H4931">
        <v>2</v>
      </c>
      <c r="I4931" s="2">
        <v>83.78</v>
      </c>
      <c r="J4931" s="2">
        <v>167.56</v>
      </c>
      <c r="K4931" s="2">
        <f t="shared" ref="K4931:K4994" si="232">I4931*H4931</f>
        <v>167.56</v>
      </c>
      <c r="L4931" s="2">
        <f t="shared" ref="L4931:L4994" si="233">J4931-K4931</f>
        <v>0</v>
      </c>
      <c r="M4931" t="s">
        <v>31</v>
      </c>
      <c r="N4931" t="s">
        <v>26</v>
      </c>
    </row>
    <row r="4932" spans="1:14" x14ac:dyDescent="0.3">
      <c r="A4932">
        <v>2024005930</v>
      </c>
      <c r="B4932" s="1">
        <v>45420</v>
      </c>
      <c r="C4932" s="11">
        <f t="shared" si="231"/>
        <v>2024</v>
      </c>
      <c r="D4932" t="s">
        <v>334</v>
      </c>
      <c r="E4932" t="s">
        <v>18</v>
      </c>
      <c r="F4932" t="s">
        <v>19</v>
      </c>
      <c r="G4932" t="s">
        <v>14</v>
      </c>
      <c r="H4932">
        <v>1</v>
      </c>
      <c r="I4932" s="2">
        <v>614.97</v>
      </c>
      <c r="J4932" s="2">
        <v>614.97</v>
      </c>
      <c r="K4932" s="2">
        <f t="shared" si="232"/>
        <v>614.97</v>
      </c>
      <c r="L4932" s="2">
        <f t="shared" si="233"/>
        <v>0</v>
      </c>
      <c r="M4932" t="s">
        <v>48</v>
      </c>
      <c r="N4932" t="s">
        <v>32</v>
      </c>
    </row>
    <row r="4933" spans="1:14" x14ac:dyDescent="0.3">
      <c r="A4933">
        <v>2024005931</v>
      </c>
      <c r="B4933" s="1">
        <v>45511</v>
      </c>
      <c r="C4933" s="11">
        <f t="shared" si="231"/>
        <v>2024</v>
      </c>
      <c r="D4933" t="s">
        <v>11</v>
      </c>
      <c r="E4933" t="s">
        <v>23</v>
      </c>
      <c r="F4933" t="s">
        <v>24</v>
      </c>
      <c r="G4933" t="s">
        <v>14</v>
      </c>
      <c r="H4933">
        <v>3</v>
      </c>
      <c r="I4933" s="2">
        <v>82.69</v>
      </c>
      <c r="J4933" s="2">
        <v>248.07</v>
      </c>
      <c r="K4933" s="2">
        <f t="shared" si="232"/>
        <v>248.07</v>
      </c>
      <c r="L4933" s="2">
        <f t="shared" si="233"/>
        <v>0</v>
      </c>
      <c r="M4933" t="s">
        <v>61</v>
      </c>
      <c r="N4933" t="s">
        <v>26</v>
      </c>
    </row>
    <row r="4934" spans="1:14" x14ac:dyDescent="0.3">
      <c r="A4934">
        <v>2024005932</v>
      </c>
      <c r="B4934" s="1">
        <v>45455</v>
      </c>
      <c r="C4934" s="11">
        <f t="shared" si="231"/>
        <v>2024</v>
      </c>
      <c r="D4934" t="s">
        <v>11</v>
      </c>
      <c r="E4934" t="s">
        <v>53</v>
      </c>
      <c r="F4934" t="s">
        <v>54</v>
      </c>
      <c r="G4934" t="s">
        <v>36</v>
      </c>
      <c r="H4934">
        <v>1</v>
      </c>
      <c r="I4934" s="2">
        <v>120.92</v>
      </c>
      <c r="J4934" s="2">
        <v>120.92</v>
      </c>
      <c r="K4934" s="2">
        <f t="shared" si="232"/>
        <v>120.92</v>
      </c>
      <c r="L4934" s="2">
        <f t="shared" si="233"/>
        <v>0</v>
      </c>
      <c r="M4934" t="s">
        <v>55</v>
      </c>
      <c r="N4934" t="s">
        <v>32</v>
      </c>
    </row>
    <row r="4935" spans="1:14" x14ac:dyDescent="0.3">
      <c r="A4935">
        <v>2024005933</v>
      </c>
      <c r="B4935" s="1">
        <v>45391</v>
      </c>
      <c r="C4935" s="11">
        <f t="shared" si="231"/>
        <v>2024</v>
      </c>
      <c r="D4935" t="s">
        <v>170</v>
      </c>
      <c r="E4935" t="s">
        <v>43</v>
      </c>
      <c r="F4935" t="s">
        <v>44</v>
      </c>
      <c r="G4935" t="s">
        <v>36</v>
      </c>
      <c r="H4935">
        <v>2</v>
      </c>
      <c r="I4935" s="2">
        <v>1154.93</v>
      </c>
      <c r="J4935" s="2">
        <v>2309.86</v>
      </c>
      <c r="K4935" s="2">
        <f t="shared" si="232"/>
        <v>2309.86</v>
      </c>
      <c r="L4935" s="2">
        <f t="shared" si="233"/>
        <v>0</v>
      </c>
      <c r="M4935" t="s">
        <v>25</v>
      </c>
      <c r="N4935" t="s">
        <v>26</v>
      </c>
    </row>
    <row r="4936" spans="1:14" x14ac:dyDescent="0.3">
      <c r="A4936">
        <v>2024005934</v>
      </c>
      <c r="B4936" s="1">
        <v>45586</v>
      </c>
      <c r="C4936" s="11">
        <f t="shared" si="231"/>
        <v>2024</v>
      </c>
      <c r="D4936" t="s">
        <v>312</v>
      </c>
      <c r="E4936" t="s">
        <v>12</v>
      </c>
      <c r="F4936" t="s">
        <v>13</v>
      </c>
      <c r="G4936" t="s">
        <v>14</v>
      </c>
      <c r="H4936">
        <v>4</v>
      </c>
      <c r="I4936" s="2">
        <v>338.44</v>
      </c>
      <c r="J4936" s="2">
        <v>1353.76</v>
      </c>
      <c r="K4936" s="2">
        <f t="shared" si="232"/>
        <v>1353.76</v>
      </c>
      <c r="L4936" s="2">
        <f t="shared" si="233"/>
        <v>0</v>
      </c>
      <c r="M4936" t="s">
        <v>38</v>
      </c>
      <c r="N4936" t="s">
        <v>21</v>
      </c>
    </row>
    <row r="4937" spans="1:14" x14ac:dyDescent="0.3">
      <c r="A4937">
        <v>2024005935</v>
      </c>
      <c r="B4937" s="1">
        <v>45574</v>
      </c>
      <c r="C4937" s="11">
        <f t="shared" si="231"/>
        <v>2024</v>
      </c>
      <c r="D4937" t="s">
        <v>89</v>
      </c>
      <c r="E4937" t="s">
        <v>28</v>
      </c>
      <c r="F4937" t="s">
        <v>29</v>
      </c>
      <c r="G4937" t="s">
        <v>30</v>
      </c>
      <c r="H4937">
        <v>2</v>
      </c>
      <c r="I4937" s="2">
        <v>25.84</v>
      </c>
      <c r="J4937" s="2">
        <v>51.68</v>
      </c>
      <c r="K4937" s="2">
        <f t="shared" si="232"/>
        <v>51.68</v>
      </c>
      <c r="L4937" s="2">
        <f t="shared" si="233"/>
        <v>0</v>
      </c>
      <c r="M4937" t="s">
        <v>15</v>
      </c>
      <c r="N4937" t="s">
        <v>21</v>
      </c>
    </row>
    <row r="4938" spans="1:14" x14ac:dyDescent="0.3">
      <c r="A4938">
        <v>2024005936</v>
      </c>
      <c r="B4938" s="1">
        <v>45532</v>
      </c>
      <c r="C4938" s="11">
        <f t="shared" si="231"/>
        <v>2024</v>
      </c>
      <c r="D4938" t="s">
        <v>95</v>
      </c>
      <c r="E4938" t="s">
        <v>43</v>
      </c>
      <c r="F4938" t="s">
        <v>44</v>
      </c>
      <c r="G4938" t="s">
        <v>36</v>
      </c>
      <c r="H4938">
        <v>1</v>
      </c>
      <c r="I4938" s="2">
        <v>1267.51</v>
      </c>
      <c r="J4938" s="2">
        <v>1267.51</v>
      </c>
      <c r="K4938" s="2">
        <f t="shared" si="232"/>
        <v>1267.51</v>
      </c>
      <c r="L4938" s="2">
        <f t="shared" si="233"/>
        <v>0</v>
      </c>
      <c r="M4938" t="s">
        <v>61</v>
      </c>
      <c r="N4938" t="s">
        <v>26</v>
      </c>
    </row>
    <row r="4939" spans="1:14" x14ac:dyDescent="0.3">
      <c r="A4939">
        <v>2024005937</v>
      </c>
      <c r="B4939" s="1">
        <v>45357</v>
      </c>
      <c r="C4939" s="11">
        <f t="shared" si="231"/>
        <v>2024</v>
      </c>
      <c r="D4939" t="s">
        <v>282</v>
      </c>
      <c r="E4939" t="s">
        <v>40</v>
      </c>
      <c r="F4939" t="s">
        <v>41</v>
      </c>
      <c r="G4939" t="s">
        <v>36</v>
      </c>
      <c r="H4939">
        <v>2</v>
      </c>
      <c r="I4939" s="2">
        <v>43.92</v>
      </c>
      <c r="J4939" s="2">
        <v>87.84</v>
      </c>
      <c r="K4939" s="2">
        <f t="shared" si="232"/>
        <v>87.84</v>
      </c>
      <c r="L4939" s="2">
        <f t="shared" si="233"/>
        <v>0</v>
      </c>
      <c r="M4939" t="s">
        <v>25</v>
      </c>
      <c r="N4939" t="s">
        <v>16</v>
      </c>
    </row>
    <row r="4940" spans="1:14" x14ac:dyDescent="0.3">
      <c r="A4940">
        <v>2024005938</v>
      </c>
      <c r="B4940" s="1">
        <v>45354</v>
      </c>
      <c r="C4940" s="11">
        <f t="shared" si="231"/>
        <v>2024</v>
      </c>
      <c r="D4940" t="s">
        <v>337</v>
      </c>
      <c r="E4940" t="s">
        <v>23</v>
      </c>
      <c r="F4940" t="s">
        <v>24</v>
      </c>
      <c r="G4940" t="s">
        <v>14</v>
      </c>
      <c r="H4940">
        <v>1</v>
      </c>
      <c r="I4940" s="2">
        <v>87.23</v>
      </c>
      <c r="J4940" s="2">
        <v>87.23</v>
      </c>
      <c r="K4940" s="2">
        <f t="shared" si="232"/>
        <v>87.23</v>
      </c>
      <c r="L4940" s="2">
        <f t="shared" si="233"/>
        <v>0</v>
      </c>
      <c r="M4940" t="s">
        <v>20</v>
      </c>
      <c r="N4940" t="s">
        <v>26</v>
      </c>
    </row>
    <row r="4941" spans="1:14" x14ac:dyDescent="0.3">
      <c r="A4941">
        <v>2024005939</v>
      </c>
      <c r="B4941" s="1">
        <v>45652</v>
      </c>
      <c r="C4941" s="11">
        <f t="shared" si="231"/>
        <v>2024</v>
      </c>
      <c r="D4941" t="s">
        <v>11</v>
      </c>
      <c r="E4941" t="s">
        <v>23</v>
      </c>
      <c r="F4941" t="s">
        <v>24</v>
      </c>
      <c r="G4941" t="s">
        <v>14</v>
      </c>
      <c r="H4941">
        <v>2</v>
      </c>
      <c r="I4941" s="2">
        <v>75.739999999999995</v>
      </c>
      <c r="J4941" s="2">
        <v>151.47999999999999</v>
      </c>
      <c r="K4941" s="2">
        <f t="shared" si="232"/>
        <v>151.47999999999999</v>
      </c>
      <c r="L4941" s="2">
        <f t="shared" si="233"/>
        <v>0</v>
      </c>
      <c r="M4941" t="s">
        <v>31</v>
      </c>
      <c r="N4941" t="s">
        <v>21</v>
      </c>
    </row>
    <row r="4942" spans="1:14" x14ac:dyDescent="0.3">
      <c r="A4942">
        <v>2024005940</v>
      </c>
      <c r="B4942" s="1">
        <v>45626</v>
      </c>
      <c r="C4942" s="11">
        <f t="shared" si="231"/>
        <v>2024</v>
      </c>
      <c r="D4942" t="s">
        <v>245</v>
      </c>
      <c r="E4942" t="s">
        <v>12</v>
      </c>
      <c r="F4942" t="s">
        <v>13</v>
      </c>
      <c r="G4942" t="s">
        <v>14</v>
      </c>
      <c r="H4942">
        <v>1</v>
      </c>
      <c r="I4942" s="2">
        <v>381.64</v>
      </c>
      <c r="J4942" s="2">
        <v>381.64</v>
      </c>
      <c r="K4942" s="2">
        <f t="shared" si="232"/>
        <v>381.64</v>
      </c>
      <c r="L4942" s="2">
        <f t="shared" si="233"/>
        <v>0</v>
      </c>
      <c r="M4942" t="s">
        <v>57</v>
      </c>
      <c r="N4942" t="s">
        <v>16</v>
      </c>
    </row>
    <row r="4943" spans="1:14" x14ac:dyDescent="0.3">
      <c r="A4943">
        <v>2024005941</v>
      </c>
      <c r="B4943" s="1">
        <v>45315</v>
      </c>
      <c r="C4943" s="11">
        <f t="shared" si="231"/>
        <v>2024</v>
      </c>
      <c r="D4943" t="s">
        <v>338</v>
      </c>
      <c r="E4943" t="s">
        <v>34</v>
      </c>
      <c r="F4943" t="s">
        <v>35</v>
      </c>
      <c r="G4943" t="s">
        <v>36</v>
      </c>
      <c r="H4943">
        <v>1</v>
      </c>
      <c r="I4943" s="2">
        <v>15.49</v>
      </c>
      <c r="J4943" s="2">
        <v>15.49</v>
      </c>
      <c r="K4943" s="2">
        <f t="shared" si="232"/>
        <v>15.49</v>
      </c>
      <c r="L4943" s="2">
        <f t="shared" si="233"/>
        <v>0</v>
      </c>
      <c r="M4943" t="s">
        <v>38</v>
      </c>
      <c r="N4943" t="s">
        <v>32</v>
      </c>
    </row>
    <row r="4944" spans="1:14" x14ac:dyDescent="0.3">
      <c r="A4944">
        <v>2024005942</v>
      </c>
      <c r="B4944" s="1">
        <v>45389</v>
      </c>
      <c r="C4944" s="11">
        <f t="shared" si="231"/>
        <v>2024</v>
      </c>
      <c r="D4944" t="s">
        <v>127</v>
      </c>
      <c r="E4944" t="s">
        <v>46</v>
      </c>
      <c r="F4944" t="s">
        <v>47</v>
      </c>
      <c r="G4944" t="s">
        <v>36</v>
      </c>
      <c r="H4944">
        <v>3</v>
      </c>
      <c r="I4944" s="2">
        <v>84.14</v>
      </c>
      <c r="J4944" s="2">
        <v>252.42</v>
      </c>
      <c r="K4944" s="2">
        <f t="shared" si="232"/>
        <v>252.42000000000002</v>
      </c>
      <c r="L4944" s="2">
        <f t="shared" si="233"/>
        <v>0</v>
      </c>
      <c r="M4944" t="s">
        <v>15</v>
      </c>
      <c r="N4944" t="s">
        <v>16</v>
      </c>
    </row>
    <row r="4945" spans="1:14" x14ac:dyDescent="0.3">
      <c r="A4945">
        <v>2024005943</v>
      </c>
      <c r="B4945" s="1">
        <v>45334</v>
      </c>
      <c r="C4945" s="11">
        <f t="shared" si="231"/>
        <v>2024</v>
      </c>
      <c r="D4945" t="s">
        <v>247</v>
      </c>
      <c r="E4945" t="s">
        <v>12</v>
      </c>
      <c r="F4945" t="s">
        <v>13</v>
      </c>
      <c r="G4945" t="s">
        <v>14</v>
      </c>
      <c r="H4945">
        <v>1</v>
      </c>
      <c r="I4945" s="2">
        <v>353.15</v>
      </c>
      <c r="J4945" s="2">
        <v>353.15</v>
      </c>
      <c r="K4945" s="2">
        <f t="shared" si="232"/>
        <v>353.15</v>
      </c>
      <c r="L4945" s="2">
        <f t="shared" si="233"/>
        <v>0</v>
      </c>
      <c r="M4945" t="s">
        <v>25</v>
      </c>
      <c r="N4945" t="s">
        <v>26</v>
      </c>
    </row>
    <row r="4946" spans="1:14" x14ac:dyDescent="0.3">
      <c r="A4946">
        <v>2024005944</v>
      </c>
      <c r="B4946" s="1">
        <v>45446</v>
      </c>
      <c r="C4946" s="11">
        <f t="shared" si="231"/>
        <v>2024</v>
      </c>
      <c r="D4946" t="s">
        <v>11</v>
      </c>
      <c r="E4946" t="s">
        <v>28</v>
      </c>
      <c r="F4946" t="s">
        <v>29</v>
      </c>
      <c r="G4946" t="s">
        <v>30</v>
      </c>
      <c r="H4946">
        <v>2</v>
      </c>
      <c r="I4946" s="2">
        <v>25.7</v>
      </c>
      <c r="J4946" s="2">
        <v>51.4</v>
      </c>
      <c r="K4946" s="2">
        <f t="shared" si="232"/>
        <v>51.4</v>
      </c>
      <c r="L4946" s="2">
        <f t="shared" si="233"/>
        <v>0</v>
      </c>
      <c r="M4946" t="s">
        <v>25</v>
      </c>
      <c r="N4946" t="s">
        <v>26</v>
      </c>
    </row>
    <row r="4947" spans="1:14" x14ac:dyDescent="0.3">
      <c r="A4947">
        <v>2024005945</v>
      </c>
      <c r="B4947" s="1">
        <v>45563</v>
      </c>
      <c r="C4947" s="11">
        <f t="shared" si="231"/>
        <v>2024</v>
      </c>
      <c r="D4947" t="s">
        <v>74</v>
      </c>
      <c r="E4947" t="s">
        <v>46</v>
      </c>
      <c r="F4947" t="s">
        <v>47</v>
      </c>
      <c r="G4947" t="s">
        <v>36</v>
      </c>
      <c r="H4947">
        <v>1</v>
      </c>
      <c r="I4947" s="2">
        <v>85.65</v>
      </c>
      <c r="J4947" s="2">
        <v>85.65</v>
      </c>
      <c r="K4947" s="2">
        <f t="shared" si="232"/>
        <v>85.65</v>
      </c>
      <c r="L4947" s="2">
        <f t="shared" si="233"/>
        <v>0</v>
      </c>
      <c r="M4947" t="s">
        <v>61</v>
      </c>
      <c r="N4947" t="s">
        <v>16</v>
      </c>
    </row>
    <row r="4948" spans="1:14" x14ac:dyDescent="0.3">
      <c r="A4948">
        <v>2024001987</v>
      </c>
      <c r="B4948" s="1">
        <v>45510</v>
      </c>
      <c r="C4948" s="11">
        <f t="shared" si="231"/>
        <v>2024</v>
      </c>
      <c r="D4948" t="s">
        <v>11</v>
      </c>
      <c r="E4948" t="s">
        <v>53</v>
      </c>
      <c r="F4948" t="s">
        <v>54</v>
      </c>
      <c r="G4948" t="s">
        <v>36</v>
      </c>
      <c r="H4948">
        <v>1</v>
      </c>
      <c r="I4948" s="2">
        <v>114.75</v>
      </c>
      <c r="J4948" s="2">
        <v>114.75</v>
      </c>
      <c r="K4948" s="2">
        <f t="shared" si="232"/>
        <v>114.75</v>
      </c>
      <c r="L4948" s="2">
        <f t="shared" si="233"/>
        <v>0</v>
      </c>
      <c r="M4948" t="s">
        <v>55</v>
      </c>
      <c r="N4948" t="s">
        <v>21</v>
      </c>
    </row>
    <row r="4949" spans="1:14" x14ac:dyDescent="0.3">
      <c r="A4949">
        <v>2024005947</v>
      </c>
      <c r="B4949" s="1">
        <v>45402</v>
      </c>
      <c r="C4949" s="11">
        <f t="shared" si="231"/>
        <v>2024</v>
      </c>
      <c r="D4949" t="s">
        <v>11</v>
      </c>
      <c r="E4949" t="s">
        <v>12</v>
      </c>
      <c r="F4949" t="s">
        <v>13</v>
      </c>
      <c r="G4949" t="s">
        <v>14</v>
      </c>
      <c r="H4949">
        <v>3</v>
      </c>
      <c r="I4949" s="2">
        <v>374.08</v>
      </c>
      <c r="J4949" s="2">
        <v>1122.24</v>
      </c>
      <c r="K4949" s="2">
        <f t="shared" si="232"/>
        <v>1122.24</v>
      </c>
      <c r="L4949" s="2">
        <f t="shared" si="233"/>
        <v>0</v>
      </c>
      <c r="M4949" t="s">
        <v>38</v>
      </c>
      <c r="N4949" t="s">
        <v>21</v>
      </c>
    </row>
    <row r="4950" spans="1:14" x14ac:dyDescent="0.3">
      <c r="A4950">
        <v>2024005948</v>
      </c>
      <c r="B4950" s="1">
        <v>45321</v>
      </c>
      <c r="C4950" s="11">
        <f t="shared" si="231"/>
        <v>2024</v>
      </c>
      <c r="D4950" t="s">
        <v>11</v>
      </c>
      <c r="E4950" t="s">
        <v>53</v>
      </c>
      <c r="F4950" t="s">
        <v>54</v>
      </c>
      <c r="G4950" t="s">
        <v>36</v>
      </c>
      <c r="H4950">
        <v>2</v>
      </c>
      <c r="I4950" s="2">
        <v>120.24</v>
      </c>
      <c r="J4950" s="2">
        <v>240.48</v>
      </c>
      <c r="K4950" s="2">
        <f t="shared" si="232"/>
        <v>240.48</v>
      </c>
      <c r="L4950" s="2">
        <f t="shared" si="233"/>
        <v>0</v>
      </c>
      <c r="M4950" t="s">
        <v>15</v>
      </c>
      <c r="N4950" t="s">
        <v>26</v>
      </c>
    </row>
    <row r="4951" spans="1:14" x14ac:dyDescent="0.3">
      <c r="A4951">
        <v>2024005949</v>
      </c>
      <c r="B4951" s="1">
        <v>45480</v>
      </c>
      <c r="C4951" s="11">
        <f t="shared" si="231"/>
        <v>2024</v>
      </c>
      <c r="D4951" t="s">
        <v>49</v>
      </c>
      <c r="E4951" t="s">
        <v>12</v>
      </c>
      <c r="F4951" t="s">
        <v>13</v>
      </c>
      <c r="G4951" t="s">
        <v>14</v>
      </c>
      <c r="H4951">
        <v>3</v>
      </c>
      <c r="I4951" s="2">
        <v>344.21</v>
      </c>
      <c r="J4951" s="2">
        <v>1032.6300000000001</v>
      </c>
      <c r="K4951" s="2">
        <f t="shared" si="232"/>
        <v>1032.6299999999999</v>
      </c>
      <c r="L4951" s="2">
        <f t="shared" si="233"/>
        <v>0</v>
      </c>
      <c r="M4951" t="s">
        <v>31</v>
      </c>
      <c r="N4951" t="s">
        <v>16</v>
      </c>
    </row>
    <row r="4952" spans="1:14" x14ac:dyDescent="0.3">
      <c r="A4952">
        <v>2024005950</v>
      </c>
      <c r="B4952" s="1">
        <v>45370</v>
      </c>
      <c r="C4952" s="11">
        <f t="shared" si="231"/>
        <v>2024</v>
      </c>
      <c r="D4952" t="s">
        <v>335</v>
      </c>
      <c r="E4952" t="s">
        <v>67</v>
      </c>
      <c r="F4952" t="s">
        <v>68</v>
      </c>
      <c r="G4952" t="s">
        <v>36</v>
      </c>
      <c r="H4952">
        <v>2</v>
      </c>
      <c r="I4952" s="2">
        <v>396.93</v>
      </c>
      <c r="J4952" s="2">
        <v>793.86</v>
      </c>
      <c r="K4952" s="2">
        <f t="shared" si="232"/>
        <v>793.86</v>
      </c>
      <c r="L4952" s="2">
        <f t="shared" si="233"/>
        <v>0</v>
      </c>
      <c r="M4952" t="s">
        <v>20</v>
      </c>
      <c r="N4952" t="s">
        <v>16</v>
      </c>
    </row>
    <row r="4953" spans="1:14" x14ac:dyDescent="0.3">
      <c r="A4953">
        <v>2024005951</v>
      </c>
      <c r="B4953" s="1">
        <v>45333</v>
      </c>
      <c r="C4953" s="11">
        <f t="shared" si="231"/>
        <v>2024</v>
      </c>
      <c r="D4953" t="s">
        <v>274</v>
      </c>
      <c r="E4953" t="s">
        <v>34</v>
      </c>
      <c r="F4953" t="s">
        <v>35</v>
      </c>
      <c r="G4953" t="s">
        <v>36</v>
      </c>
      <c r="H4953">
        <v>5</v>
      </c>
      <c r="I4953" s="2">
        <v>14.58</v>
      </c>
      <c r="J4953" s="2">
        <v>72.900000000000006</v>
      </c>
      <c r="K4953" s="2">
        <f t="shared" si="232"/>
        <v>72.900000000000006</v>
      </c>
      <c r="L4953" s="2">
        <f t="shared" si="233"/>
        <v>0</v>
      </c>
      <c r="M4953" t="s">
        <v>61</v>
      </c>
      <c r="N4953" t="s">
        <v>26</v>
      </c>
    </row>
    <row r="4954" spans="1:14" x14ac:dyDescent="0.3">
      <c r="A4954">
        <v>2024005952</v>
      </c>
      <c r="B4954" s="1">
        <v>45386</v>
      </c>
      <c r="C4954" s="11">
        <f t="shared" si="231"/>
        <v>2024</v>
      </c>
      <c r="D4954" t="s">
        <v>260</v>
      </c>
      <c r="E4954" t="s">
        <v>67</v>
      </c>
      <c r="F4954" t="s">
        <v>68</v>
      </c>
      <c r="G4954" t="s">
        <v>36</v>
      </c>
      <c r="H4954">
        <v>1</v>
      </c>
      <c r="I4954" s="2">
        <v>370.67</v>
      </c>
      <c r="J4954" s="2">
        <v>370.67</v>
      </c>
      <c r="K4954" s="2">
        <f t="shared" si="232"/>
        <v>370.67</v>
      </c>
      <c r="L4954" s="2">
        <f t="shared" si="233"/>
        <v>0</v>
      </c>
      <c r="M4954" t="s">
        <v>25</v>
      </c>
      <c r="N4954" t="s">
        <v>16</v>
      </c>
    </row>
    <row r="4955" spans="1:14" x14ac:dyDescent="0.3">
      <c r="A4955">
        <v>2024005953</v>
      </c>
      <c r="B4955" s="1">
        <v>45430</v>
      </c>
      <c r="C4955" s="11">
        <f t="shared" si="231"/>
        <v>2024</v>
      </c>
      <c r="D4955" t="s">
        <v>337</v>
      </c>
      <c r="E4955" t="s">
        <v>23</v>
      </c>
      <c r="F4955" t="s">
        <v>24</v>
      </c>
      <c r="G4955" t="s">
        <v>14</v>
      </c>
      <c r="H4955">
        <v>1</v>
      </c>
      <c r="I4955" s="2">
        <v>88.51</v>
      </c>
      <c r="J4955" s="2">
        <v>88.51</v>
      </c>
      <c r="K4955" s="2">
        <f t="shared" si="232"/>
        <v>88.51</v>
      </c>
      <c r="L4955" s="2">
        <f t="shared" si="233"/>
        <v>0</v>
      </c>
      <c r="M4955" t="s">
        <v>20</v>
      </c>
      <c r="N4955" t="s">
        <v>21</v>
      </c>
    </row>
    <row r="4956" spans="1:14" x14ac:dyDescent="0.3">
      <c r="A4956">
        <v>2024005954</v>
      </c>
      <c r="B4956" s="1">
        <v>45279</v>
      </c>
      <c r="C4956" s="11">
        <f t="shared" si="231"/>
        <v>2023</v>
      </c>
      <c r="D4956" t="s">
        <v>293</v>
      </c>
      <c r="E4956" t="s">
        <v>40</v>
      </c>
      <c r="F4956" t="s">
        <v>41</v>
      </c>
      <c r="G4956" t="s">
        <v>36</v>
      </c>
      <c r="H4956">
        <v>1</v>
      </c>
      <c r="I4956" s="2">
        <v>43.71</v>
      </c>
      <c r="J4956" s="2">
        <v>43.71</v>
      </c>
      <c r="K4956" s="2">
        <f t="shared" si="232"/>
        <v>43.71</v>
      </c>
      <c r="L4956" s="2">
        <f t="shared" si="233"/>
        <v>0</v>
      </c>
      <c r="M4956" t="s">
        <v>20</v>
      </c>
      <c r="N4956" t="s">
        <v>26</v>
      </c>
    </row>
    <row r="4957" spans="1:14" x14ac:dyDescent="0.3">
      <c r="A4957">
        <v>2024005955</v>
      </c>
      <c r="B4957" s="1">
        <v>45646</v>
      </c>
      <c r="C4957" s="11">
        <f t="shared" si="231"/>
        <v>2024</v>
      </c>
      <c r="D4957" t="s">
        <v>266</v>
      </c>
      <c r="E4957" t="s">
        <v>23</v>
      </c>
      <c r="F4957" t="s">
        <v>24</v>
      </c>
      <c r="G4957" t="s">
        <v>14</v>
      </c>
      <c r="H4957">
        <v>3</v>
      </c>
      <c r="I4957" s="2">
        <v>78.709999999999994</v>
      </c>
      <c r="J4957" s="2">
        <v>236.13</v>
      </c>
      <c r="K4957" s="2">
        <f t="shared" si="232"/>
        <v>236.13</v>
      </c>
      <c r="L4957" s="2">
        <f t="shared" si="233"/>
        <v>0</v>
      </c>
      <c r="M4957" t="s">
        <v>55</v>
      </c>
      <c r="N4957" t="s">
        <v>21</v>
      </c>
    </row>
    <row r="4958" spans="1:14" x14ac:dyDescent="0.3">
      <c r="A4958">
        <v>2024005956</v>
      </c>
      <c r="B4958" s="1">
        <v>45312</v>
      </c>
      <c r="C4958" s="11">
        <f t="shared" si="231"/>
        <v>2024</v>
      </c>
      <c r="D4958" t="s">
        <v>11</v>
      </c>
      <c r="E4958" t="s">
        <v>67</v>
      </c>
      <c r="F4958" t="s">
        <v>68</v>
      </c>
      <c r="G4958" t="s">
        <v>36</v>
      </c>
      <c r="H4958">
        <v>4</v>
      </c>
      <c r="I4958" s="2">
        <v>372.16</v>
      </c>
      <c r="J4958" s="2">
        <v>1488.64</v>
      </c>
      <c r="K4958" s="2">
        <f t="shared" si="232"/>
        <v>1488.64</v>
      </c>
      <c r="L4958" s="2">
        <f t="shared" si="233"/>
        <v>0</v>
      </c>
      <c r="M4958" t="s">
        <v>61</v>
      </c>
      <c r="N4958" t="s">
        <v>16</v>
      </c>
    </row>
    <row r="4959" spans="1:14" x14ac:dyDescent="0.3">
      <c r="A4959">
        <v>2024005957</v>
      </c>
      <c r="B4959" s="1">
        <v>45593</v>
      </c>
      <c r="C4959" s="11">
        <f t="shared" si="231"/>
        <v>2024</v>
      </c>
      <c r="D4959" t="s">
        <v>128</v>
      </c>
      <c r="E4959" t="s">
        <v>28</v>
      </c>
      <c r="F4959" t="s">
        <v>29</v>
      </c>
      <c r="G4959" t="s">
        <v>30</v>
      </c>
      <c r="H4959">
        <v>2</v>
      </c>
      <c r="I4959" s="2">
        <v>24.43</v>
      </c>
      <c r="J4959" s="2">
        <v>48.86</v>
      </c>
      <c r="K4959" s="2">
        <f t="shared" si="232"/>
        <v>48.86</v>
      </c>
      <c r="L4959" s="2">
        <f t="shared" si="233"/>
        <v>0</v>
      </c>
      <c r="M4959" t="s">
        <v>20</v>
      </c>
      <c r="N4959" t="s">
        <v>26</v>
      </c>
    </row>
    <row r="4960" spans="1:14" x14ac:dyDescent="0.3">
      <c r="A4960">
        <v>2024005958</v>
      </c>
      <c r="B4960" s="1">
        <v>45468</v>
      </c>
      <c r="C4960" s="11">
        <f t="shared" si="231"/>
        <v>2024</v>
      </c>
      <c r="D4960" t="s">
        <v>292</v>
      </c>
      <c r="E4960" t="s">
        <v>23</v>
      </c>
      <c r="F4960" t="s">
        <v>24</v>
      </c>
      <c r="G4960" t="s">
        <v>14</v>
      </c>
      <c r="H4960">
        <v>1</v>
      </c>
      <c r="I4960" s="2">
        <v>83.48</v>
      </c>
      <c r="J4960" s="2">
        <v>83.48</v>
      </c>
      <c r="K4960" s="2">
        <f t="shared" si="232"/>
        <v>83.48</v>
      </c>
      <c r="L4960" s="2">
        <f t="shared" si="233"/>
        <v>0</v>
      </c>
      <c r="M4960" t="s">
        <v>48</v>
      </c>
      <c r="N4960" t="s">
        <v>26</v>
      </c>
    </row>
    <row r="4961" spans="1:14" x14ac:dyDescent="0.3">
      <c r="A4961">
        <v>2024005959</v>
      </c>
      <c r="B4961" s="1">
        <v>45355</v>
      </c>
      <c r="C4961" s="11">
        <f t="shared" si="231"/>
        <v>2024</v>
      </c>
      <c r="D4961" t="s">
        <v>11</v>
      </c>
      <c r="E4961" t="s">
        <v>12</v>
      </c>
      <c r="F4961" t="s">
        <v>13</v>
      </c>
      <c r="G4961" t="s">
        <v>14</v>
      </c>
      <c r="H4961">
        <v>2</v>
      </c>
      <c r="I4961" s="2">
        <v>343.74</v>
      </c>
      <c r="J4961" s="2">
        <v>687.48</v>
      </c>
      <c r="K4961" s="2">
        <f t="shared" si="232"/>
        <v>687.48</v>
      </c>
      <c r="L4961" s="2">
        <f t="shared" si="233"/>
        <v>0</v>
      </c>
      <c r="M4961" t="s">
        <v>61</v>
      </c>
      <c r="N4961" t="s">
        <v>26</v>
      </c>
    </row>
    <row r="4962" spans="1:14" x14ac:dyDescent="0.3">
      <c r="A4962">
        <v>2024002647</v>
      </c>
      <c r="B4962" s="1">
        <v>45297</v>
      </c>
      <c r="C4962" s="11">
        <f t="shared" si="231"/>
        <v>2024</v>
      </c>
      <c r="D4962" t="s">
        <v>280</v>
      </c>
      <c r="E4962" t="s">
        <v>28</v>
      </c>
      <c r="F4962" t="s">
        <v>29</v>
      </c>
      <c r="G4962" t="s">
        <v>30</v>
      </c>
      <c r="H4962">
        <v>1</v>
      </c>
      <c r="I4962" s="2">
        <v>23.2</v>
      </c>
      <c r="J4962" s="2">
        <v>23.2</v>
      </c>
      <c r="K4962" s="2">
        <f t="shared" si="232"/>
        <v>23.2</v>
      </c>
      <c r="L4962" s="2">
        <f t="shared" si="233"/>
        <v>0</v>
      </c>
      <c r="M4962" t="s">
        <v>61</v>
      </c>
      <c r="N4962" t="s">
        <v>16</v>
      </c>
    </row>
    <row r="4963" spans="1:14" x14ac:dyDescent="0.3">
      <c r="A4963">
        <v>2024005961</v>
      </c>
      <c r="B4963" s="1">
        <v>45579</v>
      </c>
      <c r="C4963" s="11">
        <f t="shared" si="231"/>
        <v>2024</v>
      </c>
      <c r="D4963" t="s">
        <v>321</v>
      </c>
      <c r="E4963" t="s">
        <v>46</v>
      </c>
      <c r="F4963" t="s">
        <v>47</v>
      </c>
      <c r="G4963" t="s">
        <v>36</v>
      </c>
      <c r="H4963">
        <v>2</v>
      </c>
      <c r="I4963" s="2">
        <v>91.49</v>
      </c>
      <c r="J4963" s="2">
        <v>182.98</v>
      </c>
      <c r="K4963" s="2">
        <f t="shared" si="232"/>
        <v>182.98</v>
      </c>
      <c r="L4963" s="2">
        <f t="shared" si="233"/>
        <v>0</v>
      </c>
      <c r="M4963" t="s">
        <v>38</v>
      </c>
      <c r="N4963" t="s">
        <v>16</v>
      </c>
    </row>
    <row r="4964" spans="1:14" x14ac:dyDescent="0.3">
      <c r="A4964">
        <v>2024005962</v>
      </c>
      <c r="B4964" s="1">
        <v>45432</v>
      </c>
      <c r="C4964" s="11">
        <f t="shared" si="231"/>
        <v>2024</v>
      </c>
      <c r="D4964" t="s">
        <v>253</v>
      </c>
      <c r="E4964" t="s">
        <v>12</v>
      </c>
      <c r="F4964" t="s">
        <v>13</v>
      </c>
      <c r="G4964" t="s">
        <v>14</v>
      </c>
      <c r="H4964">
        <v>1</v>
      </c>
      <c r="I4964" s="2">
        <v>314.88</v>
      </c>
      <c r="J4964" s="2">
        <v>314.88</v>
      </c>
      <c r="K4964" s="2">
        <f t="shared" si="232"/>
        <v>314.88</v>
      </c>
      <c r="L4964" s="2">
        <f t="shared" si="233"/>
        <v>0</v>
      </c>
      <c r="M4964" t="s">
        <v>55</v>
      </c>
      <c r="N4964" t="s">
        <v>26</v>
      </c>
    </row>
    <row r="4965" spans="1:14" x14ac:dyDescent="0.3">
      <c r="A4965">
        <v>2024005963</v>
      </c>
      <c r="B4965" s="1">
        <v>45312</v>
      </c>
      <c r="C4965" s="11">
        <f t="shared" si="231"/>
        <v>2024</v>
      </c>
      <c r="D4965" t="s">
        <v>106</v>
      </c>
      <c r="E4965" t="s">
        <v>12</v>
      </c>
      <c r="F4965" t="s">
        <v>13</v>
      </c>
      <c r="G4965" t="s">
        <v>14</v>
      </c>
      <c r="H4965">
        <v>1</v>
      </c>
      <c r="I4965" s="2">
        <v>338.55</v>
      </c>
      <c r="J4965" s="2">
        <v>338.55</v>
      </c>
      <c r="K4965" s="2">
        <f t="shared" si="232"/>
        <v>338.55</v>
      </c>
      <c r="L4965" s="2">
        <f t="shared" si="233"/>
        <v>0</v>
      </c>
      <c r="M4965" t="s">
        <v>15</v>
      </c>
      <c r="N4965" t="s">
        <v>21</v>
      </c>
    </row>
    <row r="4966" spans="1:14" x14ac:dyDescent="0.3">
      <c r="A4966">
        <v>2024005964</v>
      </c>
      <c r="B4966" s="1">
        <v>45421</v>
      </c>
      <c r="C4966" s="11">
        <f t="shared" si="231"/>
        <v>2024</v>
      </c>
      <c r="D4966" t="s">
        <v>304</v>
      </c>
      <c r="E4966" t="s">
        <v>43</v>
      </c>
      <c r="F4966" t="s">
        <v>44</v>
      </c>
      <c r="G4966" t="s">
        <v>36</v>
      </c>
      <c r="H4966">
        <v>1</v>
      </c>
      <c r="I4966" s="2">
        <v>1242.1300000000001</v>
      </c>
      <c r="J4966" s="2">
        <v>1242.1300000000001</v>
      </c>
      <c r="K4966" s="2">
        <f t="shared" si="232"/>
        <v>1242.1300000000001</v>
      </c>
      <c r="L4966" s="2">
        <f t="shared" si="233"/>
        <v>0</v>
      </c>
      <c r="M4966" t="s">
        <v>15</v>
      </c>
      <c r="N4966" t="s">
        <v>32</v>
      </c>
    </row>
    <row r="4967" spans="1:14" x14ac:dyDescent="0.3">
      <c r="A4967">
        <v>2024005965</v>
      </c>
      <c r="B4967" s="1">
        <v>45404</v>
      </c>
      <c r="C4967" s="11">
        <f t="shared" si="231"/>
        <v>2024</v>
      </c>
      <c r="D4967" t="s">
        <v>325</v>
      </c>
      <c r="E4967" t="s">
        <v>53</v>
      </c>
      <c r="F4967" t="s">
        <v>54</v>
      </c>
      <c r="G4967" t="s">
        <v>36</v>
      </c>
      <c r="H4967">
        <v>3</v>
      </c>
      <c r="I4967" s="2">
        <v>115.58</v>
      </c>
      <c r="J4967" s="2">
        <v>346.74</v>
      </c>
      <c r="K4967" s="2">
        <f t="shared" si="232"/>
        <v>346.74</v>
      </c>
      <c r="L4967" s="2">
        <f t="shared" si="233"/>
        <v>0</v>
      </c>
      <c r="M4967" t="s">
        <v>20</v>
      </c>
      <c r="N4967" t="s">
        <v>16</v>
      </c>
    </row>
    <row r="4968" spans="1:14" x14ac:dyDescent="0.3">
      <c r="A4968">
        <v>2024005966</v>
      </c>
      <c r="B4968" s="1">
        <v>45242</v>
      </c>
      <c r="C4968" s="11">
        <f t="shared" si="231"/>
        <v>2023</v>
      </c>
      <c r="D4968" t="s">
        <v>74</v>
      </c>
      <c r="E4968" t="s">
        <v>67</v>
      </c>
      <c r="F4968" t="s">
        <v>68</v>
      </c>
      <c r="G4968" t="s">
        <v>36</v>
      </c>
      <c r="H4968">
        <v>2</v>
      </c>
      <c r="I4968" s="2">
        <v>376.71</v>
      </c>
      <c r="J4968" s="2">
        <v>753.42</v>
      </c>
      <c r="K4968" s="2">
        <f t="shared" si="232"/>
        <v>753.42</v>
      </c>
      <c r="L4968" s="2">
        <f t="shared" si="233"/>
        <v>0</v>
      </c>
      <c r="M4968" t="s">
        <v>48</v>
      </c>
      <c r="N4968" t="s">
        <v>32</v>
      </c>
    </row>
    <row r="4969" spans="1:14" x14ac:dyDescent="0.3">
      <c r="A4969">
        <v>2024005967</v>
      </c>
      <c r="B4969" s="1">
        <v>45515</v>
      </c>
      <c r="C4969" s="11">
        <f t="shared" si="231"/>
        <v>2024</v>
      </c>
      <c r="D4969" t="s">
        <v>132</v>
      </c>
      <c r="E4969" t="s">
        <v>12</v>
      </c>
      <c r="F4969" t="s">
        <v>13</v>
      </c>
      <c r="G4969" t="s">
        <v>14</v>
      </c>
      <c r="H4969">
        <v>4</v>
      </c>
      <c r="I4969" s="2">
        <v>359.43</v>
      </c>
      <c r="J4969" s="2">
        <v>1437.72</v>
      </c>
      <c r="K4969" s="2">
        <f t="shared" si="232"/>
        <v>1437.72</v>
      </c>
      <c r="L4969" s="2">
        <f t="shared" si="233"/>
        <v>0</v>
      </c>
      <c r="M4969" t="s">
        <v>25</v>
      </c>
      <c r="N4969" t="s">
        <v>21</v>
      </c>
    </row>
    <row r="4970" spans="1:14" x14ac:dyDescent="0.3">
      <c r="A4970">
        <v>2024005968</v>
      </c>
      <c r="B4970" s="1">
        <v>45493</v>
      </c>
      <c r="C4970" s="11">
        <f t="shared" si="231"/>
        <v>2024</v>
      </c>
      <c r="D4970" t="s">
        <v>11</v>
      </c>
      <c r="E4970" t="s">
        <v>34</v>
      </c>
      <c r="F4970" t="s">
        <v>35</v>
      </c>
      <c r="G4970" t="s">
        <v>36</v>
      </c>
      <c r="H4970">
        <v>1</v>
      </c>
      <c r="I4970" s="2">
        <v>14.19</v>
      </c>
      <c r="J4970" s="2">
        <v>14.19</v>
      </c>
      <c r="K4970" s="2">
        <f t="shared" si="232"/>
        <v>14.19</v>
      </c>
      <c r="L4970" s="2">
        <f t="shared" si="233"/>
        <v>0</v>
      </c>
      <c r="M4970" t="s">
        <v>25</v>
      </c>
      <c r="N4970" t="s">
        <v>32</v>
      </c>
    </row>
    <row r="4971" spans="1:14" x14ac:dyDescent="0.3">
      <c r="A4971">
        <v>2024005969</v>
      </c>
      <c r="B4971" s="1">
        <v>45653</v>
      </c>
      <c r="C4971" s="11">
        <f t="shared" si="231"/>
        <v>2024</v>
      </c>
      <c r="D4971" t="s">
        <v>11</v>
      </c>
      <c r="E4971" t="s">
        <v>28</v>
      </c>
      <c r="F4971" t="s">
        <v>29</v>
      </c>
      <c r="G4971" t="s">
        <v>30</v>
      </c>
      <c r="H4971">
        <v>2</v>
      </c>
      <c r="I4971" s="2">
        <v>22.92</v>
      </c>
      <c r="J4971" s="2">
        <v>45.84</v>
      </c>
      <c r="K4971" s="2">
        <f t="shared" si="232"/>
        <v>45.84</v>
      </c>
      <c r="L4971" s="2">
        <f t="shared" si="233"/>
        <v>0</v>
      </c>
      <c r="M4971" t="s">
        <v>31</v>
      </c>
      <c r="N4971" t="s">
        <v>21</v>
      </c>
    </row>
    <row r="4972" spans="1:14" x14ac:dyDescent="0.3">
      <c r="A4972">
        <v>2024005970</v>
      </c>
      <c r="B4972" s="1">
        <v>45591</v>
      </c>
      <c r="C4972" s="11">
        <f t="shared" si="231"/>
        <v>2024</v>
      </c>
      <c r="D4972" t="s">
        <v>142</v>
      </c>
      <c r="E4972" t="s">
        <v>12</v>
      </c>
      <c r="F4972" t="s">
        <v>13</v>
      </c>
      <c r="G4972" t="s">
        <v>14</v>
      </c>
      <c r="H4972">
        <v>1</v>
      </c>
      <c r="I4972" s="2">
        <v>358.99</v>
      </c>
      <c r="J4972" s="2">
        <v>358.99</v>
      </c>
      <c r="K4972" s="2">
        <f t="shared" si="232"/>
        <v>358.99</v>
      </c>
      <c r="L4972" s="2">
        <f t="shared" si="233"/>
        <v>0</v>
      </c>
      <c r="M4972" t="s">
        <v>61</v>
      </c>
      <c r="N4972" t="s">
        <v>21</v>
      </c>
    </row>
    <row r="4973" spans="1:14" x14ac:dyDescent="0.3">
      <c r="A4973">
        <v>2024005971</v>
      </c>
      <c r="B4973" s="1">
        <v>45379</v>
      </c>
      <c r="C4973" s="11">
        <f t="shared" si="231"/>
        <v>2024</v>
      </c>
      <c r="D4973" t="s">
        <v>235</v>
      </c>
      <c r="E4973" t="s">
        <v>46</v>
      </c>
      <c r="F4973" t="s">
        <v>47</v>
      </c>
      <c r="G4973" t="s">
        <v>36</v>
      </c>
      <c r="H4973">
        <v>3</v>
      </c>
      <c r="I4973" s="2">
        <v>81.33</v>
      </c>
      <c r="J4973" s="2">
        <v>243.99</v>
      </c>
      <c r="K4973" s="2">
        <f t="shared" si="232"/>
        <v>243.99</v>
      </c>
      <c r="L4973" s="2">
        <f t="shared" si="233"/>
        <v>0</v>
      </c>
      <c r="M4973" t="s">
        <v>25</v>
      </c>
      <c r="N4973" t="s">
        <v>21</v>
      </c>
    </row>
    <row r="4974" spans="1:14" x14ac:dyDescent="0.3">
      <c r="A4974">
        <v>2024005972</v>
      </c>
      <c r="B4974" s="1">
        <v>45396</v>
      </c>
      <c r="C4974" s="11">
        <f t="shared" si="231"/>
        <v>2024</v>
      </c>
      <c r="D4974" t="s">
        <v>118</v>
      </c>
      <c r="E4974" t="s">
        <v>53</v>
      </c>
      <c r="F4974" t="s">
        <v>54</v>
      </c>
      <c r="G4974" t="s">
        <v>36</v>
      </c>
      <c r="H4974">
        <v>2</v>
      </c>
      <c r="I4974" s="2">
        <v>122.36</v>
      </c>
      <c r="J4974" s="2">
        <v>244.72</v>
      </c>
      <c r="K4974" s="2">
        <f t="shared" si="232"/>
        <v>244.72</v>
      </c>
      <c r="L4974" s="2">
        <f t="shared" si="233"/>
        <v>0</v>
      </c>
      <c r="M4974" t="s">
        <v>20</v>
      </c>
      <c r="N4974" t="s">
        <v>21</v>
      </c>
    </row>
    <row r="4975" spans="1:14" x14ac:dyDescent="0.3">
      <c r="A4975">
        <v>2024005973</v>
      </c>
      <c r="B4975" s="1">
        <v>45495</v>
      </c>
      <c r="C4975" s="11">
        <f t="shared" si="231"/>
        <v>2024</v>
      </c>
      <c r="D4975" t="s">
        <v>263</v>
      </c>
      <c r="E4975" t="s">
        <v>12</v>
      </c>
      <c r="F4975" t="s">
        <v>13</v>
      </c>
      <c r="G4975" t="s">
        <v>14</v>
      </c>
      <c r="H4975">
        <v>2</v>
      </c>
      <c r="I4975" s="2">
        <v>338.54</v>
      </c>
      <c r="J4975" s="2">
        <v>677.08</v>
      </c>
      <c r="K4975" s="2">
        <f t="shared" si="232"/>
        <v>677.08</v>
      </c>
      <c r="L4975" s="2">
        <f t="shared" si="233"/>
        <v>0</v>
      </c>
      <c r="M4975" t="s">
        <v>48</v>
      </c>
      <c r="N4975" t="s">
        <v>21</v>
      </c>
    </row>
    <row r="4976" spans="1:14" x14ac:dyDescent="0.3">
      <c r="A4976">
        <v>2024005974</v>
      </c>
      <c r="B4976" s="1">
        <v>45655</v>
      </c>
      <c r="C4976" s="11">
        <f t="shared" si="231"/>
        <v>2024</v>
      </c>
      <c r="D4976" t="s">
        <v>320</v>
      </c>
      <c r="E4976" t="s">
        <v>18</v>
      </c>
      <c r="F4976" t="s">
        <v>19</v>
      </c>
      <c r="G4976" t="s">
        <v>14</v>
      </c>
      <c r="H4976">
        <v>1</v>
      </c>
      <c r="I4976" s="2">
        <v>588.08000000000004</v>
      </c>
      <c r="J4976" s="2">
        <v>588.08000000000004</v>
      </c>
      <c r="K4976" s="2">
        <f t="shared" si="232"/>
        <v>588.08000000000004</v>
      </c>
      <c r="L4976" s="2">
        <f t="shared" si="233"/>
        <v>0</v>
      </c>
      <c r="M4976" t="s">
        <v>15</v>
      </c>
      <c r="N4976" t="s">
        <v>32</v>
      </c>
    </row>
    <row r="4977" spans="1:14" x14ac:dyDescent="0.3">
      <c r="A4977">
        <v>2024005975</v>
      </c>
      <c r="B4977" s="1">
        <v>45490</v>
      </c>
      <c r="C4977" s="11">
        <f t="shared" si="231"/>
        <v>2024</v>
      </c>
      <c r="D4977" t="s">
        <v>259</v>
      </c>
      <c r="E4977" t="s">
        <v>12</v>
      </c>
      <c r="F4977" t="s">
        <v>13</v>
      </c>
      <c r="G4977" t="s">
        <v>14</v>
      </c>
      <c r="H4977">
        <v>1</v>
      </c>
      <c r="I4977" s="2">
        <v>330.86</v>
      </c>
      <c r="J4977" s="2">
        <v>330.86</v>
      </c>
      <c r="K4977" s="2">
        <f t="shared" si="232"/>
        <v>330.86</v>
      </c>
      <c r="L4977" s="2">
        <f t="shared" si="233"/>
        <v>0</v>
      </c>
      <c r="M4977" t="s">
        <v>57</v>
      </c>
      <c r="N4977" t="s">
        <v>21</v>
      </c>
    </row>
    <row r="4978" spans="1:14" x14ac:dyDescent="0.3">
      <c r="A4978">
        <v>2024005976</v>
      </c>
      <c r="B4978" s="1">
        <v>45350</v>
      </c>
      <c r="C4978" s="11">
        <f t="shared" si="231"/>
        <v>2024</v>
      </c>
      <c r="D4978" t="s">
        <v>248</v>
      </c>
      <c r="E4978" t="s">
        <v>28</v>
      </c>
      <c r="F4978" t="s">
        <v>29</v>
      </c>
      <c r="G4978" t="s">
        <v>30</v>
      </c>
      <c r="H4978">
        <v>2</v>
      </c>
      <c r="I4978" s="2">
        <v>26.94</v>
      </c>
      <c r="J4978" s="2">
        <v>53.88</v>
      </c>
      <c r="K4978" s="2">
        <f t="shared" si="232"/>
        <v>53.88</v>
      </c>
      <c r="L4978" s="2">
        <f t="shared" si="233"/>
        <v>0</v>
      </c>
      <c r="M4978" t="s">
        <v>25</v>
      </c>
      <c r="N4978" t="s">
        <v>21</v>
      </c>
    </row>
    <row r="4979" spans="1:14" x14ac:dyDescent="0.3">
      <c r="A4979">
        <v>2024005977</v>
      </c>
      <c r="B4979" s="1">
        <v>45543</v>
      </c>
      <c r="C4979" s="11">
        <f t="shared" si="231"/>
        <v>2024</v>
      </c>
      <c r="D4979" t="s">
        <v>249</v>
      </c>
      <c r="E4979" t="s">
        <v>18</v>
      </c>
      <c r="F4979" t="s">
        <v>19</v>
      </c>
      <c r="G4979" t="s">
        <v>14</v>
      </c>
      <c r="H4979">
        <v>2</v>
      </c>
      <c r="I4979" s="2">
        <v>622.54</v>
      </c>
      <c r="J4979" s="2">
        <v>1245.08</v>
      </c>
      <c r="K4979" s="2">
        <f t="shared" si="232"/>
        <v>1245.08</v>
      </c>
      <c r="L4979" s="2">
        <f t="shared" si="233"/>
        <v>0</v>
      </c>
      <c r="M4979" t="s">
        <v>61</v>
      </c>
      <c r="N4979" t="s">
        <v>26</v>
      </c>
    </row>
    <row r="4980" spans="1:14" x14ac:dyDescent="0.3">
      <c r="A4980">
        <v>2024005978</v>
      </c>
      <c r="B4980" s="1">
        <v>45402</v>
      </c>
      <c r="C4980" s="11">
        <f t="shared" si="231"/>
        <v>2024</v>
      </c>
      <c r="D4980" t="s">
        <v>11</v>
      </c>
      <c r="E4980" t="s">
        <v>40</v>
      </c>
      <c r="F4980" t="s">
        <v>41</v>
      </c>
      <c r="G4980" t="s">
        <v>36</v>
      </c>
      <c r="H4980">
        <v>3</v>
      </c>
      <c r="I4980" s="2">
        <v>44.6</v>
      </c>
      <c r="J4980" s="2">
        <v>133.80000000000001</v>
      </c>
      <c r="K4980" s="2">
        <f t="shared" si="232"/>
        <v>133.80000000000001</v>
      </c>
      <c r="L4980" s="2">
        <f t="shared" si="233"/>
        <v>0</v>
      </c>
      <c r="M4980" t="s">
        <v>15</v>
      </c>
      <c r="N4980" t="s">
        <v>26</v>
      </c>
    </row>
    <row r="4981" spans="1:14" x14ac:dyDescent="0.3">
      <c r="A4981">
        <v>2024005979</v>
      </c>
      <c r="B4981" s="1">
        <v>45335</v>
      </c>
      <c r="C4981" s="11">
        <f t="shared" si="231"/>
        <v>2024</v>
      </c>
      <c r="D4981" t="s">
        <v>324</v>
      </c>
      <c r="E4981" t="s">
        <v>23</v>
      </c>
      <c r="F4981" t="s">
        <v>24</v>
      </c>
      <c r="G4981" t="s">
        <v>14</v>
      </c>
      <c r="H4981">
        <v>1</v>
      </c>
      <c r="I4981" s="2">
        <v>87.25</v>
      </c>
      <c r="J4981" s="2">
        <v>87.25</v>
      </c>
      <c r="K4981" s="2">
        <f t="shared" si="232"/>
        <v>87.25</v>
      </c>
      <c r="L4981" s="2">
        <f t="shared" si="233"/>
        <v>0</v>
      </c>
      <c r="M4981" t="s">
        <v>25</v>
      </c>
      <c r="N4981" t="s">
        <v>32</v>
      </c>
    </row>
    <row r="4982" spans="1:14" x14ac:dyDescent="0.3">
      <c r="A4982">
        <v>2024005980</v>
      </c>
      <c r="B4982" s="1">
        <v>45506</v>
      </c>
      <c r="C4982" s="11">
        <f t="shared" si="231"/>
        <v>2024</v>
      </c>
      <c r="D4982" t="s">
        <v>314</v>
      </c>
      <c r="E4982" t="s">
        <v>40</v>
      </c>
      <c r="F4982" t="s">
        <v>41</v>
      </c>
      <c r="G4982" t="s">
        <v>36</v>
      </c>
      <c r="H4982">
        <v>2</v>
      </c>
      <c r="I4982" s="2">
        <v>49.86</v>
      </c>
      <c r="J4982" s="2">
        <v>99.72</v>
      </c>
      <c r="K4982" s="2">
        <f t="shared" si="232"/>
        <v>99.72</v>
      </c>
      <c r="L4982" s="2">
        <f t="shared" si="233"/>
        <v>0</v>
      </c>
      <c r="M4982" t="s">
        <v>20</v>
      </c>
      <c r="N4982" t="s">
        <v>16</v>
      </c>
    </row>
    <row r="4983" spans="1:14" x14ac:dyDescent="0.3">
      <c r="A4983">
        <v>2024005981</v>
      </c>
      <c r="B4983" s="1">
        <v>45355</v>
      </c>
      <c r="C4983" s="11">
        <f t="shared" si="231"/>
        <v>2024</v>
      </c>
      <c r="D4983" t="s">
        <v>251</v>
      </c>
      <c r="E4983" t="s">
        <v>28</v>
      </c>
      <c r="F4983" t="s">
        <v>29</v>
      </c>
      <c r="G4983" t="s">
        <v>30</v>
      </c>
      <c r="H4983">
        <v>2</v>
      </c>
      <c r="I4983" s="2">
        <v>23.68</v>
      </c>
      <c r="J4983" s="2">
        <v>47.36</v>
      </c>
      <c r="K4983" s="2">
        <f t="shared" si="232"/>
        <v>47.36</v>
      </c>
      <c r="L4983" s="2">
        <f t="shared" si="233"/>
        <v>0</v>
      </c>
      <c r="M4983" t="s">
        <v>61</v>
      </c>
      <c r="N4983" t="s">
        <v>32</v>
      </c>
    </row>
    <row r="4984" spans="1:14" x14ac:dyDescent="0.3">
      <c r="A4984">
        <v>2024005982</v>
      </c>
      <c r="B4984" s="1">
        <v>45646</v>
      </c>
      <c r="C4984" s="11">
        <f t="shared" si="231"/>
        <v>2024</v>
      </c>
      <c r="D4984" t="s">
        <v>203</v>
      </c>
      <c r="E4984" t="s">
        <v>40</v>
      </c>
      <c r="F4984" t="s">
        <v>41</v>
      </c>
      <c r="G4984" t="s">
        <v>36</v>
      </c>
      <c r="H4984">
        <v>0</v>
      </c>
      <c r="I4984" s="2">
        <v>43.17</v>
      </c>
      <c r="J4984" s="2">
        <v>0</v>
      </c>
      <c r="K4984" s="2">
        <f t="shared" si="232"/>
        <v>0</v>
      </c>
      <c r="L4984" s="2">
        <f t="shared" si="233"/>
        <v>0</v>
      </c>
      <c r="M4984" t="s">
        <v>55</v>
      </c>
      <c r="N4984" t="s">
        <v>16</v>
      </c>
    </row>
    <row r="4985" spans="1:14" x14ac:dyDescent="0.3">
      <c r="A4985">
        <v>2024005983</v>
      </c>
      <c r="B4985" s="1">
        <v>45501</v>
      </c>
      <c r="C4985" s="11">
        <f t="shared" si="231"/>
        <v>2024</v>
      </c>
      <c r="D4985" t="s">
        <v>280</v>
      </c>
      <c r="E4985" t="s">
        <v>12</v>
      </c>
      <c r="F4985" t="s">
        <v>13</v>
      </c>
      <c r="G4985" t="s">
        <v>14</v>
      </c>
      <c r="H4985">
        <v>1</v>
      </c>
      <c r="I4985" s="2">
        <v>360.23</v>
      </c>
      <c r="J4985" s="2">
        <v>360.23</v>
      </c>
      <c r="K4985" s="2">
        <f t="shared" si="232"/>
        <v>360.23</v>
      </c>
      <c r="L4985" s="2">
        <f t="shared" si="233"/>
        <v>0</v>
      </c>
      <c r="M4985" t="s">
        <v>38</v>
      </c>
      <c r="N4985" t="s">
        <v>16</v>
      </c>
    </row>
    <row r="4986" spans="1:14" x14ac:dyDescent="0.3">
      <c r="A4986">
        <v>2024005984</v>
      </c>
      <c r="B4986" s="1">
        <v>45393</v>
      </c>
      <c r="C4986" s="11">
        <f t="shared" si="231"/>
        <v>2024</v>
      </c>
      <c r="D4986" t="s">
        <v>137</v>
      </c>
      <c r="E4986" t="s">
        <v>12</v>
      </c>
      <c r="F4986" t="s">
        <v>13</v>
      </c>
      <c r="G4986" t="s">
        <v>14</v>
      </c>
      <c r="H4986">
        <v>1</v>
      </c>
      <c r="I4986" s="2">
        <v>341.87</v>
      </c>
      <c r="J4986" s="2">
        <v>341.87</v>
      </c>
      <c r="K4986" s="2">
        <f t="shared" si="232"/>
        <v>341.87</v>
      </c>
      <c r="L4986" s="2">
        <f t="shared" si="233"/>
        <v>0</v>
      </c>
      <c r="M4986" t="s">
        <v>61</v>
      </c>
      <c r="N4986" t="s">
        <v>32</v>
      </c>
    </row>
    <row r="4987" spans="1:14" x14ac:dyDescent="0.3">
      <c r="A4987">
        <v>2024005985</v>
      </c>
      <c r="B4987" s="1">
        <v>45401</v>
      </c>
      <c r="C4987" s="11">
        <f t="shared" si="231"/>
        <v>2024</v>
      </c>
      <c r="D4987" t="s">
        <v>195</v>
      </c>
      <c r="E4987" t="s">
        <v>28</v>
      </c>
      <c r="F4987" t="s">
        <v>29</v>
      </c>
      <c r="G4987" t="s">
        <v>30</v>
      </c>
      <c r="H4987">
        <v>3</v>
      </c>
      <c r="I4987" s="2">
        <v>24.43</v>
      </c>
      <c r="J4987" s="2">
        <v>73.290000000000006</v>
      </c>
      <c r="K4987" s="2">
        <f t="shared" si="232"/>
        <v>73.289999999999992</v>
      </c>
      <c r="L4987" s="2">
        <f t="shared" si="233"/>
        <v>0</v>
      </c>
      <c r="M4987" t="s">
        <v>61</v>
      </c>
      <c r="N4987" t="s">
        <v>21</v>
      </c>
    </row>
    <row r="4988" spans="1:14" x14ac:dyDescent="0.3">
      <c r="A4988">
        <v>2024005986</v>
      </c>
      <c r="B4988" s="1">
        <v>45545</v>
      </c>
      <c r="C4988" s="11">
        <f t="shared" si="231"/>
        <v>2024</v>
      </c>
      <c r="D4988" t="s">
        <v>11</v>
      </c>
      <c r="E4988" t="s">
        <v>40</v>
      </c>
      <c r="F4988" t="s">
        <v>41</v>
      </c>
      <c r="G4988" t="s">
        <v>36</v>
      </c>
      <c r="H4988">
        <v>1</v>
      </c>
      <c r="I4988" s="2">
        <v>46.11</v>
      </c>
      <c r="J4988" s="2">
        <v>46.11</v>
      </c>
      <c r="K4988" s="2">
        <f t="shared" si="232"/>
        <v>46.11</v>
      </c>
      <c r="L4988" s="2">
        <f t="shared" si="233"/>
        <v>0</v>
      </c>
      <c r="M4988" t="s">
        <v>25</v>
      </c>
      <c r="N4988" t="s">
        <v>26</v>
      </c>
    </row>
    <row r="4989" spans="1:14" x14ac:dyDescent="0.3">
      <c r="A4989">
        <v>2024005987</v>
      </c>
      <c r="B4989" s="1">
        <v>45345</v>
      </c>
      <c r="C4989" s="11">
        <f t="shared" si="231"/>
        <v>2024</v>
      </c>
      <c r="D4989" t="s">
        <v>317</v>
      </c>
      <c r="E4989" t="s">
        <v>43</v>
      </c>
      <c r="F4989" t="s">
        <v>44</v>
      </c>
      <c r="G4989" t="s">
        <v>36</v>
      </c>
      <c r="H4989">
        <v>1</v>
      </c>
      <c r="I4989" s="2">
        <v>1289.46</v>
      </c>
      <c r="J4989" s="2">
        <v>1289.46</v>
      </c>
      <c r="K4989" s="2">
        <f t="shared" si="232"/>
        <v>1289.46</v>
      </c>
      <c r="L4989" s="2">
        <f t="shared" si="233"/>
        <v>0</v>
      </c>
      <c r="M4989" t="s">
        <v>57</v>
      </c>
      <c r="N4989" t="s">
        <v>26</v>
      </c>
    </row>
    <row r="4990" spans="1:14" x14ac:dyDescent="0.3">
      <c r="A4990">
        <v>2024005988</v>
      </c>
      <c r="B4990" s="1">
        <v>45608</v>
      </c>
      <c r="C4990" s="11">
        <f t="shared" si="231"/>
        <v>2024</v>
      </c>
      <c r="D4990" t="s">
        <v>267</v>
      </c>
      <c r="E4990" t="s">
        <v>53</v>
      </c>
      <c r="F4990" t="s">
        <v>54</v>
      </c>
      <c r="G4990" t="s">
        <v>36</v>
      </c>
      <c r="H4990">
        <v>2</v>
      </c>
      <c r="I4990" s="2">
        <v>123.96</v>
      </c>
      <c r="J4990" s="2">
        <v>247.92</v>
      </c>
      <c r="K4990" s="2">
        <f t="shared" si="232"/>
        <v>247.92</v>
      </c>
      <c r="L4990" s="2">
        <f t="shared" si="233"/>
        <v>0</v>
      </c>
      <c r="M4990" t="s">
        <v>64</v>
      </c>
      <c r="N4990" t="s">
        <v>16</v>
      </c>
    </row>
    <row r="4991" spans="1:14" x14ac:dyDescent="0.3">
      <c r="A4991">
        <v>2024005989</v>
      </c>
      <c r="B4991" s="1">
        <v>45466</v>
      </c>
      <c r="C4991" s="11">
        <f t="shared" si="231"/>
        <v>2024</v>
      </c>
      <c r="D4991" t="s">
        <v>175</v>
      </c>
      <c r="E4991" t="s">
        <v>34</v>
      </c>
      <c r="F4991" t="s">
        <v>35</v>
      </c>
      <c r="G4991" t="s">
        <v>36</v>
      </c>
      <c r="H4991">
        <v>4</v>
      </c>
      <c r="I4991" s="2">
        <v>15.13</v>
      </c>
      <c r="J4991" s="2">
        <v>60.52</v>
      </c>
      <c r="K4991" s="2">
        <f t="shared" si="232"/>
        <v>60.52</v>
      </c>
      <c r="L4991" s="2">
        <f t="shared" si="233"/>
        <v>0</v>
      </c>
      <c r="M4991" t="s">
        <v>20</v>
      </c>
      <c r="N4991" t="s">
        <v>21</v>
      </c>
    </row>
    <row r="4992" spans="1:14" x14ac:dyDescent="0.3">
      <c r="A4992">
        <v>2024005990</v>
      </c>
      <c r="B4992" s="1">
        <v>45513</v>
      </c>
      <c r="C4992" s="11">
        <f t="shared" si="231"/>
        <v>2024</v>
      </c>
      <c r="D4992" t="s">
        <v>11</v>
      </c>
      <c r="E4992" t="s">
        <v>34</v>
      </c>
      <c r="F4992" t="s">
        <v>35</v>
      </c>
      <c r="G4992" t="s">
        <v>36</v>
      </c>
      <c r="H4992">
        <v>3</v>
      </c>
      <c r="I4992" s="2">
        <v>15.11</v>
      </c>
      <c r="J4992" s="2">
        <v>45.33</v>
      </c>
      <c r="K4992" s="2">
        <f t="shared" si="232"/>
        <v>45.33</v>
      </c>
      <c r="L4992" s="2">
        <f t="shared" si="233"/>
        <v>0</v>
      </c>
      <c r="M4992" t="s">
        <v>25</v>
      </c>
      <c r="N4992" t="s">
        <v>32</v>
      </c>
    </row>
    <row r="4993" spans="1:14" x14ac:dyDescent="0.3">
      <c r="A4993">
        <v>2024005991</v>
      </c>
      <c r="B4993" s="1">
        <v>45611</v>
      </c>
      <c r="C4993" s="11">
        <f t="shared" si="231"/>
        <v>2024</v>
      </c>
      <c r="D4993" t="s">
        <v>255</v>
      </c>
      <c r="E4993" t="s">
        <v>18</v>
      </c>
      <c r="F4993" t="s">
        <v>19</v>
      </c>
      <c r="G4993" t="s">
        <v>14</v>
      </c>
      <c r="H4993">
        <v>1</v>
      </c>
      <c r="I4993" s="2">
        <v>579.07000000000005</v>
      </c>
      <c r="J4993" s="2">
        <v>579.07000000000005</v>
      </c>
      <c r="K4993" s="2">
        <f t="shared" si="232"/>
        <v>579.07000000000005</v>
      </c>
      <c r="L4993" s="2">
        <f t="shared" si="233"/>
        <v>0</v>
      </c>
      <c r="M4993" t="s">
        <v>48</v>
      </c>
      <c r="N4993" t="s">
        <v>21</v>
      </c>
    </row>
    <row r="4994" spans="1:14" x14ac:dyDescent="0.3">
      <c r="A4994">
        <v>2024005992</v>
      </c>
      <c r="B4994" s="1">
        <v>45557</v>
      </c>
      <c r="C4994" s="11">
        <f t="shared" si="231"/>
        <v>2024</v>
      </c>
      <c r="D4994" t="s">
        <v>294</v>
      </c>
      <c r="E4994" t="s">
        <v>34</v>
      </c>
      <c r="F4994" t="s">
        <v>35</v>
      </c>
      <c r="G4994" t="s">
        <v>36</v>
      </c>
      <c r="H4994">
        <v>1</v>
      </c>
      <c r="I4994" s="2">
        <v>15</v>
      </c>
      <c r="J4994" s="2">
        <v>15</v>
      </c>
      <c r="K4994" s="2">
        <f t="shared" si="232"/>
        <v>15</v>
      </c>
      <c r="L4994" s="2">
        <f t="shared" si="233"/>
        <v>0</v>
      </c>
      <c r="M4994" t="s">
        <v>20</v>
      </c>
      <c r="N4994" t="s">
        <v>21</v>
      </c>
    </row>
    <row r="4995" spans="1:14" x14ac:dyDescent="0.3">
      <c r="A4995">
        <v>2024005993</v>
      </c>
      <c r="B4995" s="1">
        <v>45297</v>
      </c>
      <c r="C4995" s="11">
        <f t="shared" ref="C4995:C5001" si="234">YEAR(B4995)</f>
        <v>2024</v>
      </c>
      <c r="D4995" t="s">
        <v>199</v>
      </c>
      <c r="E4995" t="s">
        <v>18</v>
      </c>
      <c r="F4995" t="s">
        <v>19</v>
      </c>
      <c r="G4995" t="s">
        <v>14</v>
      </c>
      <c r="H4995">
        <v>1</v>
      </c>
      <c r="I4995" s="2">
        <v>592.92999999999995</v>
      </c>
      <c r="J4995" s="2">
        <v>592.92999999999995</v>
      </c>
      <c r="K4995" s="2">
        <f t="shared" ref="K4995:K5001" si="235">I4995*H4995</f>
        <v>592.92999999999995</v>
      </c>
      <c r="L4995" s="2">
        <f t="shared" ref="L4995:L5001" si="236">J4995-K4995</f>
        <v>0</v>
      </c>
      <c r="M4995" t="s">
        <v>20</v>
      </c>
      <c r="N4995" t="s">
        <v>26</v>
      </c>
    </row>
    <row r="4996" spans="1:14" x14ac:dyDescent="0.3">
      <c r="A4996">
        <v>2024005994</v>
      </c>
      <c r="B4996" s="1">
        <v>45533</v>
      </c>
      <c r="C4996" s="11">
        <f t="shared" si="234"/>
        <v>2024</v>
      </c>
      <c r="D4996" t="s">
        <v>11</v>
      </c>
      <c r="E4996" t="s">
        <v>67</v>
      </c>
      <c r="F4996" t="s">
        <v>68</v>
      </c>
      <c r="G4996" t="s">
        <v>36</v>
      </c>
      <c r="H4996">
        <v>4</v>
      </c>
      <c r="I4996" s="2">
        <v>378.84</v>
      </c>
      <c r="J4996" s="2">
        <v>1515.36</v>
      </c>
      <c r="K4996" s="2">
        <f t="shared" si="235"/>
        <v>1515.36</v>
      </c>
      <c r="L4996" s="2">
        <f t="shared" si="236"/>
        <v>0</v>
      </c>
      <c r="M4996" t="s">
        <v>64</v>
      </c>
      <c r="N4996" t="s">
        <v>21</v>
      </c>
    </row>
    <row r="4997" spans="1:14" x14ac:dyDescent="0.3">
      <c r="A4997">
        <v>2024005995</v>
      </c>
      <c r="B4997" s="1">
        <v>45455</v>
      </c>
      <c r="C4997" s="11">
        <f t="shared" si="234"/>
        <v>2024</v>
      </c>
      <c r="D4997" t="s">
        <v>169</v>
      </c>
      <c r="E4997" t="s">
        <v>67</v>
      </c>
      <c r="F4997" t="s">
        <v>68</v>
      </c>
      <c r="G4997" t="s">
        <v>36</v>
      </c>
      <c r="H4997">
        <v>3</v>
      </c>
      <c r="I4997" s="2">
        <v>389.12</v>
      </c>
      <c r="J4997" s="2">
        <v>1167.3599999999999</v>
      </c>
      <c r="K4997" s="2">
        <f t="shared" si="235"/>
        <v>1167.3600000000001</v>
      </c>
      <c r="L4997" s="2">
        <f t="shared" si="236"/>
        <v>0</v>
      </c>
      <c r="M4997" t="s">
        <v>20</v>
      </c>
      <c r="N4997" t="s">
        <v>21</v>
      </c>
    </row>
    <row r="4998" spans="1:14" x14ac:dyDescent="0.3">
      <c r="A4998">
        <v>2024005996</v>
      </c>
      <c r="B4998" s="1">
        <v>45646</v>
      </c>
      <c r="C4998" s="11">
        <f t="shared" si="234"/>
        <v>2024</v>
      </c>
      <c r="D4998" t="s">
        <v>332</v>
      </c>
      <c r="E4998" t="s">
        <v>34</v>
      </c>
      <c r="F4998" t="s">
        <v>35</v>
      </c>
      <c r="G4998" t="s">
        <v>36</v>
      </c>
      <c r="H4998">
        <v>3</v>
      </c>
      <c r="I4998" s="2">
        <v>14.93</v>
      </c>
      <c r="J4998" s="2">
        <v>44.79</v>
      </c>
      <c r="K4998" s="2">
        <f t="shared" si="235"/>
        <v>44.79</v>
      </c>
      <c r="L4998" s="2">
        <f t="shared" si="236"/>
        <v>0</v>
      </c>
      <c r="M4998" t="s">
        <v>20</v>
      </c>
      <c r="N4998" t="s">
        <v>21</v>
      </c>
    </row>
    <row r="4999" spans="1:14" x14ac:dyDescent="0.3">
      <c r="A4999">
        <v>2024005997</v>
      </c>
      <c r="B4999" s="1">
        <v>45584</v>
      </c>
      <c r="C4999" s="11">
        <f t="shared" si="234"/>
        <v>2024</v>
      </c>
      <c r="D4999" t="s">
        <v>51</v>
      </c>
      <c r="E4999" t="s">
        <v>23</v>
      </c>
      <c r="F4999" t="s">
        <v>24</v>
      </c>
      <c r="G4999" t="s">
        <v>14</v>
      </c>
      <c r="H4999">
        <v>1</v>
      </c>
      <c r="I4999" s="2">
        <v>76.91</v>
      </c>
      <c r="J4999" s="2">
        <v>76.91</v>
      </c>
      <c r="K4999" s="2">
        <f t="shared" si="235"/>
        <v>76.91</v>
      </c>
      <c r="L4999" s="2">
        <f t="shared" si="236"/>
        <v>0</v>
      </c>
      <c r="M4999" t="s">
        <v>31</v>
      </c>
      <c r="N4999" t="s">
        <v>26</v>
      </c>
    </row>
    <row r="5000" spans="1:14" x14ac:dyDescent="0.3">
      <c r="A5000">
        <v>2024005998</v>
      </c>
      <c r="B5000" s="1">
        <v>45368</v>
      </c>
      <c r="C5000" s="11">
        <f t="shared" si="234"/>
        <v>2024</v>
      </c>
      <c r="D5000" t="s">
        <v>231</v>
      </c>
      <c r="E5000" t="s">
        <v>28</v>
      </c>
      <c r="F5000" t="s">
        <v>29</v>
      </c>
      <c r="G5000" t="s">
        <v>30</v>
      </c>
      <c r="H5000">
        <v>3</v>
      </c>
      <c r="I5000" s="2">
        <v>22.41</v>
      </c>
      <c r="J5000" s="2">
        <v>67.23</v>
      </c>
      <c r="K5000" s="2">
        <f t="shared" si="235"/>
        <v>67.23</v>
      </c>
      <c r="L5000" s="2">
        <f t="shared" si="236"/>
        <v>0</v>
      </c>
      <c r="M5000" t="s">
        <v>31</v>
      </c>
      <c r="N5000" t="s">
        <v>32</v>
      </c>
    </row>
    <row r="5001" spans="1:14" x14ac:dyDescent="0.3">
      <c r="A5001">
        <v>2024005999</v>
      </c>
      <c r="B5001" s="1">
        <v>45520</v>
      </c>
      <c r="C5001" s="11">
        <f t="shared" si="234"/>
        <v>2024</v>
      </c>
      <c r="D5001" t="s">
        <v>251</v>
      </c>
      <c r="E5001" t="s">
        <v>28</v>
      </c>
      <c r="F5001" t="s">
        <v>29</v>
      </c>
      <c r="G5001" t="s">
        <v>30</v>
      </c>
      <c r="H5001">
        <v>4</v>
      </c>
      <c r="I5001" s="2">
        <v>24.93</v>
      </c>
      <c r="J5001" s="2">
        <v>99.72</v>
      </c>
      <c r="K5001" s="2">
        <f t="shared" si="235"/>
        <v>99.72</v>
      </c>
      <c r="L5001" s="2">
        <f t="shared" si="236"/>
        <v>0</v>
      </c>
      <c r="M5001" t="s">
        <v>20</v>
      </c>
      <c r="N50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366C-D1EF-4834-A152-1BB0F3518B13}">
  <sheetPr>
    <tabColor rgb="FF00B050"/>
  </sheetPr>
  <dimension ref="A1:B43"/>
  <sheetViews>
    <sheetView showGridLines="0" workbookViewId="0">
      <selection activeCell="D19" sqref="D19"/>
    </sheetView>
  </sheetViews>
  <sheetFormatPr defaultRowHeight="14.4" x14ac:dyDescent="0.3"/>
  <cols>
    <col min="1" max="1" width="48.109375" bestFit="1" customWidth="1"/>
    <col min="2" max="2" width="24.5546875" bestFit="1" customWidth="1"/>
  </cols>
  <sheetData>
    <row r="1" spans="1:2" ht="21" x14ac:dyDescent="0.4">
      <c r="A1" s="5" t="s">
        <v>352</v>
      </c>
    </row>
    <row r="5" spans="1:2" x14ac:dyDescent="0.3">
      <c r="A5" s="6" t="s">
        <v>353</v>
      </c>
    </row>
    <row r="6" spans="1:2" x14ac:dyDescent="0.3">
      <c r="A6" t="s">
        <v>361</v>
      </c>
      <c r="B6" s="12">
        <f>SUM(Raw_Data!K2:K5001)</f>
        <v>2728759.489999997</v>
      </c>
    </row>
    <row r="7" spans="1:2" x14ac:dyDescent="0.3">
      <c r="B7" s="4"/>
    </row>
    <row r="8" spans="1:2" x14ac:dyDescent="0.3">
      <c r="A8" s="6" t="s">
        <v>354</v>
      </c>
      <c r="B8" s="4"/>
    </row>
    <row r="9" spans="1:2" x14ac:dyDescent="0.3">
      <c r="A9" t="s">
        <v>362</v>
      </c>
      <c r="B9" s="4">
        <f>COUNTA(Raw_Data!A2:A5001)</f>
        <v>5000</v>
      </c>
    </row>
    <row r="10" spans="1:2" x14ac:dyDescent="0.3">
      <c r="B10" s="4"/>
    </row>
    <row r="11" spans="1:2" x14ac:dyDescent="0.3">
      <c r="A11" s="7" t="s">
        <v>355</v>
      </c>
      <c r="B11" s="4"/>
    </row>
    <row r="12" spans="1:2" x14ac:dyDescent="0.3">
      <c r="A12" t="s">
        <v>363</v>
      </c>
      <c r="B12" s="13">
        <f>COUNTIF(Raw_Data!K2:K5001,"&lt;0")</f>
        <v>0</v>
      </c>
    </row>
    <row r="13" spans="1:2" x14ac:dyDescent="0.3">
      <c r="A13" t="s">
        <v>364</v>
      </c>
      <c r="B13" s="13">
        <f>SUMIF(Raw_Data!K2:K5001,"&lt;0")</f>
        <v>0</v>
      </c>
    </row>
    <row r="14" spans="1:2" x14ac:dyDescent="0.3">
      <c r="B14" s="4"/>
    </row>
    <row r="15" spans="1:2" x14ac:dyDescent="0.3">
      <c r="A15" s="9" t="s">
        <v>356</v>
      </c>
      <c r="B15" s="4"/>
    </row>
    <row r="16" spans="1:2" x14ac:dyDescent="0.3">
      <c r="A16" t="s">
        <v>365</v>
      </c>
      <c r="B16" s="14">
        <f>COUNTIF(Raw_Data!K2:K5001,"=0")</f>
        <v>20</v>
      </c>
    </row>
    <row r="17" spans="1:2" x14ac:dyDescent="0.3">
      <c r="B17" s="4"/>
    </row>
    <row r="18" spans="1:2" x14ac:dyDescent="0.3">
      <c r="A18" s="9" t="s">
        <v>358</v>
      </c>
      <c r="B18" s="4"/>
    </row>
    <row r="19" spans="1:2" x14ac:dyDescent="0.3">
      <c r="A19" t="s">
        <v>366</v>
      </c>
      <c r="B19" s="4">
        <v>4928</v>
      </c>
    </row>
    <row r="20" spans="1:2" x14ac:dyDescent="0.3">
      <c r="A20" t="s">
        <v>367</v>
      </c>
      <c r="B20" s="4">
        <v>5000</v>
      </c>
    </row>
    <row r="21" spans="1:2" x14ac:dyDescent="0.3">
      <c r="A21" t="s">
        <v>368</v>
      </c>
      <c r="B21" s="14">
        <v>72</v>
      </c>
    </row>
    <row r="22" spans="1:2" x14ac:dyDescent="0.3">
      <c r="B22" s="4"/>
    </row>
    <row r="23" spans="1:2" x14ac:dyDescent="0.3">
      <c r="A23" s="7" t="s">
        <v>385</v>
      </c>
      <c r="B23" s="4"/>
    </row>
    <row r="24" spans="1:2" x14ac:dyDescent="0.3">
      <c r="A24" t="s">
        <v>380</v>
      </c>
      <c r="B24" s="15">
        <f>COUNTIF(Raw_Data!C2:C5001,"2023")</f>
        <v>15</v>
      </c>
    </row>
    <row r="25" spans="1:2" x14ac:dyDescent="0.3">
      <c r="A25" t="s">
        <v>381</v>
      </c>
      <c r="B25" s="15">
        <f>COUNTIF(Raw_Data!C3:C5002,"2025")</f>
        <v>0</v>
      </c>
    </row>
    <row r="26" spans="1:2" x14ac:dyDescent="0.3">
      <c r="B26" s="15"/>
    </row>
    <row r="27" spans="1:2" x14ac:dyDescent="0.3">
      <c r="A27" s="6" t="s">
        <v>357</v>
      </c>
      <c r="B27" s="4"/>
    </row>
    <row r="28" spans="1:2" x14ac:dyDescent="0.3">
      <c r="A28" t="s">
        <v>369</v>
      </c>
      <c r="B28" s="18">
        <f>AVERAGE(Raw_Data!K2:K5001)</f>
        <v>545.75189799999941</v>
      </c>
    </row>
    <row r="29" spans="1:2" x14ac:dyDescent="0.3">
      <c r="A29" t="s">
        <v>370</v>
      </c>
      <c r="B29" s="18">
        <f>MEDIAN(Raw_Data!K2:K5001)</f>
        <v>195.79000000000002</v>
      </c>
    </row>
    <row r="30" spans="1:2" x14ac:dyDescent="0.3">
      <c r="B30" s="4"/>
    </row>
    <row r="31" spans="1:2" x14ac:dyDescent="0.3">
      <c r="A31" s="8" t="s">
        <v>376</v>
      </c>
      <c r="B31" s="4"/>
    </row>
    <row r="32" spans="1:2" x14ac:dyDescent="0.3">
      <c r="A32" t="s">
        <v>371</v>
      </c>
      <c r="B32" s="4">
        <f>COUNTA(_xlfn.UNIQUE(Raw_Data!D2:D5001))</f>
        <v>300</v>
      </c>
    </row>
    <row r="33" spans="1:2" x14ac:dyDescent="0.3">
      <c r="A33" t="s">
        <v>373</v>
      </c>
      <c r="B33" s="18">
        <f>GETPIVOTDATA("Montant Recalculé",Pivot_Summary!$A$4,"Client_ID","CLIENT_0042")</f>
        <v>356670.76999999973</v>
      </c>
    </row>
    <row r="34" spans="1:2" x14ac:dyDescent="0.3">
      <c r="A34" t="s">
        <v>372</v>
      </c>
      <c r="B34" s="19">
        <f>B33/B6</f>
        <v>0.13070802733149639</v>
      </c>
    </row>
    <row r="35" spans="1:2" x14ac:dyDescent="0.3">
      <c r="B35" s="4"/>
    </row>
    <row r="36" spans="1:2" x14ac:dyDescent="0.3">
      <c r="A36" s="8" t="s">
        <v>359</v>
      </c>
      <c r="B36" s="4"/>
    </row>
    <row r="37" spans="1:2" x14ac:dyDescent="0.3">
      <c r="A37" t="s">
        <v>374</v>
      </c>
      <c r="B37" s="4" t="s">
        <v>375</v>
      </c>
    </row>
    <row r="38" spans="1:2" x14ac:dyDescent="0.3">
      <c r="B38" s="4"/>
    </row>
    <row r="39" spans="1:2" x14ac:dyDescent="0.3">
      <c r="A39" s="6" t="s">
        <v>360</v>
      </c>
      <c r="B39" s="4"/>
    </row>
    <row r="40" spans="1:2" x14ac:dyDescent="0.3">
      <c r="A40" t="s">
        <v>348</v>
      </c>
      <c r="B40" s="18">
        <f>SUMIF(Raw_Data!N2:N5001,"Online",Raw_Data!K2:K5001)</f>
        <v>731925.09000000043</v>
      </c>
    </row>
    <row r="41" spans="1:2" x14ac:dyDescent="0.3">
      <c r="A41" t="s">
        <v>349</v>
      </c>
      <c r="B41" s="18">
        <f>SUMIF(Raw_Data!N2:N5001,"Retail",Raw_Data!K2:K5001)</f>
        <v>620426.87000000069</v>
      </c>
    </row>
    <row r="42" spans="1:2" x14ac:dyDescent="0.3">
      <c r="A42" t="s">
        <v>350</v>
      </c>
      <c r="B42" s="18">
        <f>SUMIF(Raw_Data!N2:N5001,"B2B",Raw_Data!K2:K5001)</f>
        <v>688300.00000000035</v>
      </c>
    </row>
    <row r="43" spans="1:2" x14ac:dyDescent="0.3">
      <c r="A43" t="s">
        <v>351</v>
      </c>
      <c r="B43" s="18">
        <f>SUMIF(Raw_Data!N2:N5001,"Reseller",Raw_Data!K2:K5001)</f>
        <v>688107.53000000026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7A88-7590-4147-8194-1BCE1166D943}">
  <sheetPr>
    <tabColor rgb="FFFFC000"/>
  </sheetPr>
  <dimension ref="A1:N194"/>
  <sheetViews>
    <sheetView showGridLines="0" zoomScale="68" workbookViewId="0">
      <selection activeCell="B13" sqref="B13"/>
    </sheetView>
  </sheetViews>
  <sheetFormatPr defaultRowHeight="14.4" x14ac:dyDescent="0.3"/>
  <cols>
    <col min="1" max="1" width="21.109375" customWidth="1"/>
    <col min="4" max="4" width="11.88671875" bestFit="1" customWidth="1"/>
    <col min="5" max="5" width="11.5546875" customWidth="1"/>
    <col min="6" max="6" width="19.21875" bestFit="1" customWidth="1"/>
    <col min="7" max="7" width="10.44140625" bestFit="1" customWidth="1"/>
  </cols>
  <sheetData>
    <row r="1" spans="1:14" ht="21" x14ac:dyDescent="0.4">
      <c r="A1" s="21" t="s">
        <v>401</v>
      </c>
      <c r="B1" s="22"/>
      <c r="C1" s="22"/>
      <c r="D1" s="22"/>
      <c r="E1" s="22"/>
    </row>
    <row r="4" spans="1:14" ht="15.6" x14ac:dyDescent="0.3">
      <c r="A4" s="23" t="s">
        <v>402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6" spans="1:14" x14ac:dyDescent="0.3">
      <c r="A6" s="10" t="s">
        <v>0</v>
      </c>
      <c r="B6" s="10" t="s">
        <v>1</v>
      </c>
      <c r="C6" s="10" t="s">
        <v>377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378</v>
      </c>
      <c r="L6" s="10" t="s">
        <v>379</v>
      </c>
      <c r="M6" s="10" t="s">
        <v>9</v>
      </c>
      <c r="N6" s="10" t="s">
        <v>10</v>
      </c>
    </row>
    <row r="7" spans="1:14" x14ac:dyDescent="0.3">
      <c r="A7" cm="1">
        <f t="array" ref="A7:N26">_xlfn._xlws.FILTER(Raw_Data!A2:N5001, Raw_Data!H2:H5001 = 0)</f>
        <v>2024001052</v>
      </c>
      <c r="B7">
        <v>45641</v>
      </c>
      <c r="C7">
        <v>2024</v>
      </c>
      <c r="D7" t="str">
        <v>CLIENT_0047</v>
      </c>
      <c r="E7" t="str">
        <v>PROD_003</v>
      </c>
      <c r="F7" t="str">
        <v>USB-C Cable</v>
      </c>
      <c r="G7" t="str">
        <v>Electronics</v>
      </c>
      <c r="H7">
        <v>0</v>
      </c>
      <c r="I7">
        <v>13.48</v>
      </c>
      <c r="J7">
        <v>0</v>
      </c>
      <c r="K7">
        <v>0</v>
      </c>
      <c r="L7">
        <v>0</v>
      </c>
      <c r="M7" t="str">
        <v>France</v>
      </c>
      <c r="N7" t="str">
        <v>Reseller</v>
      </c>
    </row>
    <row r="8" spans="1:14" x14ac:dyDescent="0.3">
      <c r="A8">
        <v>2024001782</v>
      </c>
      <c r="B8">
        <v>45589</v>
      </c>
      <c r="C8">
        <v>2024</v>
      </c>
      <c r="D8" t="str">
        <v>CLIENT_0042</v>
      </c>
      <c r="E8" t="str">
        <v>PROD_004</v>
      </c>
      <c r="F8" t="str">
        <v>Desk Chair</v>
      </c>
      <c r="G8" t="str">
        <v>Furniture</v>
      </c>
      <c r="H8">
        <v>0</v>
      </c>
      <c r="I8">
        <v>330.18</v>
      </c>
      <c r="J8">
        <v>0</v>
      </c>
      <c r="K8">
        <v>0</v>
      </c>
      <c r="L8">
        <v>0</v>
      </c>
      <c r="M8" t="str">
        <v>Switzerland</v>
      </c>
      <c r="N8" t="str">
        <v>Online</v>
      </c>
    </row>
    <row r="9" spans="1:14" x14ac:dyDescent="0.3">
      <c r="A9">
        <v>2024002254</v>
      </c>
      <c r="B9">
        <v>45405</v>
      </c>
      <c r="C9">
        <v>2024</v>
      </c>
      <c r="D9" t="str">
        <v>CLIENT_0042</v>
      </c>
      <c r="E9" t="str">
        <v>PROD_008</v>
      </c>
      <c r="F9" t="str">
        <v>Desk Lamp</v>
      </c>
      <c r="G9" t="str">
        <v>Furniture</v>
      </c>
      <c r="H9">
        <v>0</v>
      </c>
      <c r="I9">
        <v>80.510000000000005</v>
      </c>
      <c r="J9">
        <v>0</v>
      </c>
      <c r="K9">
        <v>0</v>
      </c>
      <c r="L9">
        <v>0</v>
      </c>
      <c r="M9" t="str">
        <v>Sweden</v>
      </c>
      <c r="N9" t="str">
        <v>Online</v>
      </c>
    </row>
    <row r="10" spans="1:14" x14ac:dyDescent="0.3">
      <c r="A10">
        <v>2024002872</v>
      </c>
      <c r="B10" s="20">
        <v>45597</v>
      </c>
      <c r="C10" s="20">
        <v>2024</v>
      </c>
      <c r="D10" t="str">
        <v>CLIENT_0242</v>
      </c>
      <c r="E10" t="str">
        <v>PROD_002</v>
      </c>
      <c r="F10" t="str">
        <v>Wireless Mouse</v>
      </c>
      <c r="G10" t="str">
        <v>Electronics</v>
      </c>
      <c r="H10">
        <v>0</v>
      </c>
      <c r="I10">
        <v>44.87</v>
      </c>
      <c r="J10">
        <v>0</v>
      </c>
      <c r="K10">
        <v>0</v>
      </c>
      <c r="L10">
        <v>0</v>
      </c>
      <c r="M10" t="str">
        <v>Italy</v>
      </c>
      <c r="N10" t="str">
        <v>B2B</v>
      </c>
    </row>
    <row r="11" spans="1:14" x14ac:dyDescent="0.3">
      <c r="A11">
        <v>2024002952</v>
      </c>
      <c r="B11">
        <v>45426</v>
      </c>
      <c r="C11">
        <v>2024</v>
      </c>
      <c r="D11" t="str">
        <v>CLIENT_0054</v>
      </c>
      <c r="E11" t="str">
        <v>PROD_001</v>
      </c>
      <c r="F11" t="str">
        <v>Laptop Pro</v>
      </c>
      <c r="G11" t="str">
        <v>Electronics</v>
      </c>
      <c r="H11">
        <v>0</v>
      </c>
      <c r="I11">
        <v>1251.54</v>
      </c>
      <c r="J11">
        <v>0</v>
      </c>
      <c r="K11">
        <v>0</v>
      </c>
      <c r="L11">
        <v>0</v>
      </c>
      <c r="M11" t="str">
        <v>Spain</v>
      </c>
      <c r="N11" t="str">
        <v>Online</v>
      </c>
    </row>
    <row r="12" spans="1:14" x14ac:dyDescent="0.3">
      <c r="A12">
        <v>2024002982</v>
      </c>
      <c r="B12">
        <v>45494</v>
      </c>
      <c r="C12">
        <v>2024</v>
      </c>
      <c r="D12" t="str">
        <v>CLIENT_0116</v>
      </c>
      <c r="E12" t="str">
        <v>PROD_003</v>
      </c>
      <c r="F12" t="str">
        <v>USB-C Cable</v>
      </c>
      <c r="G12" t="str">
        <v>Electronics</v>
      </c>
      <c r="H12">
        <v>0</v>
      </c>
      <c r="I12">
        <v>15.12</v>
      </c>
      <c r="J12">
        <v>0</v>
      </c>
      <c r="K12">
        <v>0</v>
      </c>
      <c r="L12">
        <v>0</v>
      </c>
      <c r="M12" t="str">
        <v>Sweden</v>
      </c>
      <c r="N12" t="str">
        <v>Reseller</v>
      </c>
    </row>
    <row r="13" spans="1:14" x14ac:dyDescent="0.3">
      <c r="A13">
        <v>2024001738</v>
      </c>
      <c r="B13">
        <v>45535</v>
      </c>
      <c r="C13">
        <v>2024</v>
      </c>
      <c r="D13" t="str">
        <v>CLIENT_0270</v>
      </c>
      <c r="E13" t="str">
        <v>PROD_007</v>
      </c>
      <c r="F13" t="str">
        <v>Keyboard Mechanical</v>
      </c>
      <c r="G13" t="str">
        <v>Electronics</v>
      </c>
      <c r="H13">
        <v>0</v>
      </c>
      <c r="I13">
        <v>115.97</v>
      </c>
      <c r="J13">
        <v>0</v>
      </c>
      <c r="K13">
        <v>0</v>
      </c>
      <c r="L13">
        <v>0</v>
      </c>
      <c r="M13" t="str">
        <v>Spain</v>
      </c>
      <c r="N13" t="str">
        <v>Reseller</v>
      </c>
    </row>
    <row r="14" spans="1:14" x14ac:dyDescent="0.3">
      <c r="A14">
        <v>2024003420</v>
      </c>
      <c r="B14">
        <v>45453</v>
      </c>
      <c r="C14">
        <v>2024</v>
      </c>
      <c r="D14" t="str">
        <v>CLIENT_0102</v>
      </c>
      <c r="E14" t="str">
        <v>PROD_005</v>
      </c>
      <c r="F14" t="str">
        <v>Standing Desk</v>
      </c>
      <c r="G14" t="str">
        <v>Furniture</v>
      </c>
      <c r="H14">
        <v>0</v>
      </c>
      <c r="I14">
        <v>630.37</v>
      </c>
      <c r="J14">
        <v>0</v>
      </c>
      <c r="K14">
        <v>0</v>
      </c>
      <c r="L14">
        <v>0</v>
      </c>
      <c r="M14" t="str">
        <v>Sweden</v>
      </c>
      <c r="N14" t="str">
        <v>Online</v>
      </c>
    </row>
    <row r="15" spans="1:14" x14ac:dyDescent="0.3">
      <c r="A15">
        <v>2024003435</v>
      </c>
      <c r="B15">
        <v>45621</v>
      </c>
      <c r="C15">
        <v>2024</v>
      </c>
      <c r="D15" t="str">
        <v>CLIENT_0131</v>
      </c>
      <c r="E15" t="str">
        <v>PROD_004</v>
      </c>
      <c r="F15" t="str">
        <v>Desk Chair</v>
      </c>
      <c r="G15" t="str">
        <v>Furniture</v>
      </c>
      <c r="H15">
        <v>0</v>
      </c>
      <c r="I15">
        <v>328.15</v>
      </c>
      <c r="J15">
        <v>0</v>
      </c>
      <c r="K15">
        <v>0</v>
      </c>
      <c r="L15">
        <v>0</v>
      </c>
      <c r="M15" t="str">
        <v>Italy</v>
      </c>
      <c r="N15" t="str">
        <v>Retail</v>
      </c>
    </row>
    <row r="16" spans="1:14" x14ac:dyDescent="0.3">
      <c r="A16">
        <v>2024003462</v>
      </c>
      <c r="B16">
        <v>45368</v>
      </c>
      <c r="C16">
        <v>2024</v>
      </c>
      <c r="D16" t="str">
        <v>CLIENT_0019</v>
      </c>
      <c r="E16" t="str">
        <v>PROD_007</v>
      </c>
      <c r="F16" t="str">
        <v>Keyboard Mechanical</v>
      </c>
      <c r="G16" t="str">
        <v>Electronics</v>
      </c>
      <c r="H16">
        <v>0</v>
      </c>
      <c r="I16">
        <v>125.64</v>
      </c>
      <c r="J16">
        <v>0</v>
      </c>
      <c r="K16">
        <v>0</v>
      </c>
      <c r="L16">
        <v>0</v>
      </c>
      <c r="M16" t="str">
        <v>Sweden</v>
      </c>
      <c r="N16" t="str">
        <v>Online</v>
      </c>
    </row>
    <row r="17" spans="1:14" x14ac:dyDescent="0.3">
      <c r="A17">
        <v>2024003619</v>
      </c>
      <c r="B17">
        <v>45657</v>
      </c>
      <c r="C17">
        <v>2024</v>
      </c>
      <c r="D17" t="str">
        <v>CLIENT_0042</v>
      </c>
      <c r="E17" t="str">
        <v>PROD_003</v>
      </c>
      <c r="F17" t="str">
        <v>USB-C Cable</v>
      </c>
      <c r="G17" t="str">
        <v>Electronics</v>
      </c>
      <c r="H17">
        <v>0</v>
      </c>
      <c r="I17">
        <v>14.73</v>
      </c>
      <c r="J17">
        <v>0</v>
      </c>
      <c r="K17">
        <v>0</v>
      </c>
      <c r="L17">
        <v>0</v>
      </c>
      <c r="M17" t="str">
        <v>Germany</v>
      </c>
      <c r="N17" t="str">
        <v>Online</v>
      </c>
    </row>
    <row r="18" spans="1:14" x14ac:dyDescent="0.3">
      <c r="A18">
        <v>2024004029</v>
      </c>
      <c r="B18">
        <v>45341</v>
      </c>
      <c r="C18">
        <v>2024</v>
      </c>
      <c r="D18" t="str">
        <v>CLIENT_0270</v>
      </c>
      <c r="E18" t="str">
        <v>PROD_010</v>
      </c>
      <c r="F18" t="str">
        <v>Webcam HD</v>
      </c>
      <c r="G18" t="str">
        <v>Electronics</v>
      </c>
      <c r="H18">
        <v>0</v>
      </c>
      <c r="I18">
        <v>97.54</v>
      </c>
      <c r="J18">
        <v>0</v>
      </c>
      <c r="K18">
        <v>0</v>
      </c>
      <c r="L18">
        <v>0</v>
      </c>
      <c r="M18" t="str">
        <v>Spain</v>
      </c>
      <c r="N18" t="str">
        <v>Retail</v>
      </c>
    </row>
    <row r="19" spans="1:14" x14ac:dyDescent="0.3">
      <c r="A19">
        <v>2024004241</v>
      </c>
      <c r="B19">
        <v>45471</v>
      </c>
      <c r="C19">
        <v>2024</v>
      </c>
      <c r="D19" t="str">
        <v>CLIENT_0292</v>
      </c>
      <c r="E19" t="str">
        <v>PROD_009</v>
      </c>
      <c r="F19" t="str">
        <v>Phone Stand</v>
      </c>
      <c r="G19" t="str">
        <v>Accessories</v>
      </c>
      <c r="H19">
        <v>0</v>
      </c>
      <c r="I19">
        <v>24.22</v>
      </c>
      <c r="J19">
        <v>0</v>
      </c>
      <c r="K19">
        <v>0</v>
      </c>
      <c r="L19">
        <v>0</v>
      </c>
      <c r="M19" t="str">
        <v>Germany</v>
      </c>
      <c r="N19" t="str">
        <v>B2B</v>
      </c>
    </row>
    <row r="20" spans="1:14" x14ac:dyDescent="0.3">
      <c r="A20">
        <v>2024004289</v>
      </c>
      <c r="B20">
        <v>45295</v>
      </c>
      <c r="C20">
        <v>2024</v>
      </c>
      <c r="D20" t="str">
        <v>CLIENT_0165</v>
      </c>
      <c r="E20" t="str">
        <v>PROD_010</v>
      </c>
      <c r="F20" t="str">
        <v>Webcam HD</v>
      </c>
      <c r="G20" t="str">
        <v>Electronics</v>
      </c>
      <c r="H20">
        <v>0</v>
      </c>
      <c r="I20">
        <v>90.44</v>
      </c>
      <c r="J20">
        <v>0</v>
      </c>
      <c r="K20">
        <v>0</v>
      </c>
      <c r="L20">
        <v>0</v>
      </c>
      <c r="M20" t="str">
        <v>France</v>
      </c>
      <c r="N20" t="str">
        <v>Online</v>
      </c>
    </row>
    <row r="21" spans="1:14" x14ac:dyDescent="0.3">
      <c r="A21">
        <v>2024004540</v>
      </c>
      <c r="B21">
        <v>45601</v>
      </c>
      <c r="C21">
        <v>2024</v>
      </c>
      <c r="D21" t="str">
        <v>CLIENT_0172</v>
      </c>
      <c r="E21" t="str">
        <v>PROD_009</v>
      </c>
      <c r="F21" t="str">
        <v>Phone Stand</v>
      </c>
      <c r="G21" t="str">
        <v>Accessories</v>
      </c>
      <c r="H21">
        <v>0</v>
      </c>
      <c r="I21">
        <v>21.73</v>
      </c>
      <c r="J21">
        <v>0</v>
      </c>
      <c r="K21">
        <v>0</v>
      </c>
      <c r="L21">
        <v>0</v>
      </c>
      <c r="M21" t="str">
        <v>Sweden</v>
      </c>
      <c r="N21" t="str">
        <v>Retail</v>
      </c>
    </row>
    <row r="22" spans="1:14" x14ac:dyDescent="0.3">
      <c r="A22">
        <v>2024005172</v>
      </c>
      <c r="B22">
        <v>45342</v>
      </c>
      <c r="C22">
        <v>2024</v>
      </c>
      <c r="D22" t="str">
        <v>CLIENT_0149</v>
      </c>
      <c r="E22" t="str">
        <v>PROD_002</v>
      </c>
      <c r="F22" t="str">
        <v>Wireless Mouse</v>
      </c>
      <c r="G22" t="str">
        <v>Electronics</v>
      </c>
      <c r="H22">
        <v>0</v>
      </c>
      <c r="I22">
        <v>48.25</v>
      </c>
      <c r="J22">
        <v>0</v>
      </c>
      <c r="K22">
        <v>0</v>
      </c>
      <c r="L22">
        <v>0</v>
      </c>
      <c r="M22" t="str">
        <v>Switzerland</v>
      </c>
      <c r="N22" t="str">
        <v>B2B</v>
      </c>
    </row>
    <row r="23" spans="1:14" x14ac:dyDescent="0.3">
      <c r="A23">
        <v>2024005217</v>
      </c>
      <c r="B23">
        <v>45557</v>
      </c>
      <c r="C23">
        <v>2024</v>
      </c>
      <c r="D23" t="str">
        <v>CLIENT_0070</v>
      </c>
      <c r="E23" t="str">
        <v>PROD_005</v>
      </c>
      <c r="F23" t="str">
        <v>Standing Desk</v>
      </c>
      <c r="G23" t="str">
        <v>Furniture</v>
      </c>
      <c r="H23">
        <v>0</v>
      </c>
      <c r="I23">
        <v>642.54</v>
      </c>
      <c r="J23">
        <v>0</v>
      </c>
      <c r="K23">
        <v>0</v>
      </c>
      <c r="L23">
        <v>0</v>
      </c>
      <c r="M23" t="str">
        <v>Netherlands</v>
      </c>
      <c r="N23" t="str">
        <v>Online</v>
      </c>
    </row>
    <row r="24" spans="1:14" x14ac:dyDescent="0.3">
      <c r="A24">
        <v>2024005363</v>
      </c>
      <c r="B24">
        <v>45354</v>
      </c>
      <c r="C24">
        <v>2024</v>
      </c>
      <c r="D24" t="str">
        <v>CLIENT_0294</v>
      </c>
      <c r="E24" t="str">
        <v>PROD_008</v>
      </c>
      <c r="F24" t="str">
        <v>Desk Lamp</v>
      </c>
      <c r="G24" t="str">
        <v>Furniture</v>
      </c>
      <c r="H24">
        <v>0</v>
      </c>
      <c r="I24">
        <v>77.040000000000006</v>
      </c>
      <c r="J24">
        <v>0</v>
      </c>
      <c r="K24">
        <v>0</v>
      </c>
      <c r="L24">
        <v>0</v>
      </c>
      <c r="M24" t="str">
        <v>Switzerland</v>
      </c>
      <c r="N24" t="str">
        <v>Reseller</v>
      </c>
    </row>
    <row r="25" spans="1:14" x14ac:dyDescent="0.3">
      <c r="A25">
        <v>2024005826</v>
      </c>
      <c r="B25">
        <v>45449</v>
      </c>
      <c r="C25">
        <v>2024</v>
      </c>
      <c r="D25" t="str">
        <v>CLIENT_0025</v>
      </c>
      <c r="E25" t="str">
        <v>PROD_002</v>
      </c>
      <c r="F25" t="str">
        <v>Wireless Mouse</v>
      </c>
      <c r="G25" t="str">
        <v>Electronics</v>
      </c>
      <c r="H25">
        <v>0</v>
      </c>
      <c r="I25">
        <v>45.08</v>
      </c>
      <c r="J25">
        <v>0</v>
      </c>
      <c r="K25">
        <v>0</v>
      </c>
      <c r="L25">
        <v>0</v>
      </c>
      <c r="M25" t="str">
        <v>Austria</v>
      </c>
      <c r="N25" t="str">
        <v>B2B</v>
      </c>
    </row>
    <row r="26" spans="1:14" x14ac:dyDescent="0.3">
      <c r="A26">
        <v>2024005982</v>
      </c>
      <c r="B26">
        <v>45646</v>
      </c>
      <c r="C26">
        <v>2024</v>
      </c>
      <c r="D26" t="str">
        <v>CLIENT_0173</v>
      </c>
      <c r="E26" t="str">
        <v>PROD_002</v>
      </c>
      <c r="F26" t="str">
        <v>Wireless Mouse</v>
      </c>
      <c r="G26" t="str">
        <v>Electronics</v>
      </c>
      <c r="H26">
        <v>0</v>
      </c>
      <c r="I26">
        <v>43.17</v>
      </c>
      <c r="J26">
        <v>0</v>
      </c>
      <c r="K26">
        <v>0</v>
      </c>
      <c r="L26">
        <v>0</v>
      </c>
      <c r="M26" t="str">
        <v>Germany</v>
      </c>
      <c r="N26" t="str">
        <v>Retail</v>
      </c>
    </row>
    <row r="28" spans="1:14" ht="15.6" x14ac:dyDescent="0.3">
      <c r="A28" s="23" t="s">
        <v>403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30" spans="1:14" x14ac:dyDescent="0.3">
      <c r="A30" s="10" t="s">
        <v>0</v>
      </c>
      <c r="B30" s="10" t="s">
        <v>1</v>
      </c>
      <c r="C30" s="10" t="s">
        <v>377</v>
      </c>
      <c r="D30" s="10" t="s">
        <v>2</v>
      </c>
      <c r="E30" s="10" t="s">
        <v>3</v>
      </c>
      <c r="F30" s="10" t="s">
        <v>4</v>
      </c>
      <c r="G30" s="10" t="s">
        <v>5</v>
      </c>
      <c r="H30" s="10" t="s">
        <v>6</v>
      </c>
      <c r="I30" s="10" t="s">
        <v>7</v>
      </c>
      <c r="J30" s="10" t="s">
        <v>8</v>
      </c>
      <c r="K30" s="10" t="s">
        <v>378</v>
      </c>
      <c r="L30" s="10" t="s">
        <v>379</v>
      </c>
      <c r="M30" s="10" t="s">
        <v>9</v>
      </c>
      <c r="N30" s="10" t="s">
        <v>10</v>
      </c>
    </row>
    <row r="31" spans="1:14" x14ac:dyDescent="0.3">
      <c r="A31" cm="1">
        <f t="array" ref="A31:N172">_xlfn._xlws.FILTER(Raw_Data!A2:N5001, COUNTIF(Raw_Data!A2:A5001, Raw_Data!A2:A5001) &gt; 1)</f>
        <v>2024001027</v>
      </c>
      <c r="B31">
        <v>45489</v>
      </c>
      <c r="C31">
        <v>2024</v>
      </c>
      <c r="D31" t="str">
        <v>CLIENT_0247</v>
      </c>
      <c r="E31" t="str">
        <v>PROD_004</v>
      </c>
      <c r="F31" t="str">
        <v>Desk Chair</v>
      </c>
      <c r="G31" t="str">
        <v>Furniture</v>
      </c>
      <c r="H31">
        <v>1</v>
      </c>
      <c r="I31">
        <v>384.55</v>
      </c>
      <c r="J31">
        <v>384.55</v>
      </c>
      <c r="K31">
        <v>384.55</v>
      </c>
      <c r="L31">
        <v>0</v>
      </c>
      <c r="M31" t="str">
        <v>Switzerland</v>
      </c>
      <c r="N31" t="str">
        <v>B2B</v>
      </c>
    </row>
    <row r="32" spans="1:14" x14ac:dyDescent="0.3">
      <c r="A32">
        <v>2024001043</v>
      </c>
      <c r="B32">
        <v>45547</v>
      </c>
      <c r="C32">
        <v>2024</v>
      </c>
      <c r="D32" t="str">
        <v>CLIENT_0128</v>
      </c>
      <c r="E32" t="str">
        <v>PROD_002</v>
      </c>
      <c r="F32" t="str">
        <v>Wireless Mouse</v>
      </c>
      <c r="G32" t="str">
        <v>Electronics</v>
      </c>
      <c r="H32">
        <v>2</v>
      </c>
      <c r="I32">
        <v>43.93</v>
      </c>
      <c r="J32">
        <v>87.86</v>
      </c>
      <c r="K32">
        <v>87.86</v>
      </c>
      <c r="L32">
        <v>0</v>
      </c>
      <c r="M32" t="str">
        <v>Netherlands</v>
      </c>
      <c r="N32" t="str">
        <v>Retail</v>
      </c>
    </row>
    <row r="33" spans="1:14" x14ac:dyDescent="0.3">
      <c r="A33">
        <v>2024001059</v>
      </c>
      <c r="B33">
        <v>45541</v>
      </c>
      <c r="C33">
        <v>2024</v>
      </c>
      <c r="D33" t="str">
        <v>CLIENT_0010</v>
      </c>
      <c r="E33" t="str">
        <v>PROD_006</v>
      </c>
      <c r="F33" t="str">
        <v>Monitor 27"</v>
      </c>
      <c r="G33" t="str">
        <v>Electronics</v>
      </c>
      <c r="H33">
        <v>2</v>
      </c>
      <c r="I33">
        <v>397.9</v>
      </c>
      <c r="J33">
        <v>795.8</v>
      </c>
      <c r="K33">
        <v>795.8</v>
      </c>
      <c r="L33">
        <v>0</v>
      </c>
      <c r="M33" t="str">
        <v>Germany</v>
      </c>
      <c r="N33" t="str">
        <v>Reseller</v>
      </c>
    </row>
    <row r="34" spans="1:14" x14ac:dyDescent="0.3">
      <c r="A34">
        <v>2024001066</v>
      </c>
      <c r="B34">
        <v>45366</v>
      </c>
      <c r="C34">
        <v>2024</v>
      </c>
      <c r="D34" t="str">
        <v>CLIENT_0217</v>
      </c>
      <c r="E34" t="str">
        <v>PROD_005</v>
      </c>
      <c r="F34" t="str">
        <v>Standing Desk</v>
      </c>
      <c r="G34" t="str">
        <v>Furniture</v>
      </c>
      <c r="H34">
        <v>4</v>
      </c>
      <c r="I34">
        <v>533.5</v>
      </c>
      <c r="J34">
        <v>2134</v>
      </c>
      <c r="K34">
        <v>2134</v>
      </c>
      <c r="L34">
        <v>0</v>
      </c>
      <c r="M34" t="str">
        <v>Switzerland</v>
      </c>
      <c r="N34" t="str">
        <v>Reseller</v>
      </c>
    </row>
    <row r="35" spans="1:14" x14ac:dyDescent="0.3">
      <c r="A35">
        <v>2024001089</v>
      </c>
      <c r="B35">
        <v>45437</v>
      </c>
      <c r="C35">
        <v>2024</v>
      </c>
      <c r="D35" t="str">
        <v>CLIENT_0224</v>
      </c>
      <c r="E35" t="str">
        <v>PROD_001</v>
      </c>
      <c r="F35" t="str">
        <v>Laptop Pro</v>
      </c>
      <c r="G35" t="str">
        <v>Electronics</v>
      </c>
      <c r="H35">
        <v>1</v>
      </c>
      <c r="I35">
        <v>1129.81</v>
      </c>
      <c r="J35">
        <v>1129.81</v>
      </c>
      <c r="K35">
        <v>1129.81</v>
      </c>
      <c r="L35">
        <v>0</v>
      </c>
      <c r="M35" t="str">
        <v>Sweden</v>
      </c>
      <c r="N35" t="str">
        <v>B2B</v>
      </c>
    </row>
    <row r="36" spans="1:14" x14ac:dyDescent="0.3">
      <c r="A36">
        <v>2024001114</v>
      </c>
      <c r="B36">
        <v>45555</v>
      </c>
      <c r="C36">
        <v>2024</v>
      </c>
      <c r="D36" t="str">
        <v>CLIENT_0236</v>
      </c>
      <c r="E36" t="str">
        <v>PROD_003</v>
      </c>
      <c r="F36" t="str">
        <v>USB-C Cable</v>
      </c>
      <c r="G36" t="str">
        <v>Electronics</v>
      </c>
      <c r="H36">
        <v>1</v>
      </c>
      <c r="I36">
        <v>15.53</v>
      </c>
      <c r="J36">
        <v>15.53</v>
      </c>
      <c r="K36">
        <v>15.53</v>
      </c>
      <c r="L36">
        <v>0</v>
      </c>
      <c r="M36" t="str">
        <v>Germany</v>
      </c>
      <c r="N36" t="str">
        <v>B2B</v>
      </c>
    </row>
    <row r="37" spans="1:14" x14ac:dyDescent="0.3">
      <c r="A37">
        <v>2024001059</v>
      </c>
      <c r="B37">
        <v>45423</v>
      </c>
      <c r="C37">
        <v>2024</v>
      </c>
      <c r="D37" t="str">
        <v>CLIENT_0089</v>
      </c>
      <c r="E37" t="str">
        <v>PROD_010</v>
      </c>
      <c r="F37" t="str">
        <v>Webcam HD</v>
      </c>
      <c r="G37" t="str">
        <v>Electronics</v>
      </c>
      <c r="H37">
        <v>1</v>
      </c>
      <c r="I37">
        <v>88.87</v>
      </c>
      <c r="J37">
        <v>88.87</v>
      </c>
      <c r="K37">
        <v>88.87</v>
      </c>
      <c r="L37">
        <v>0</v>
      </c>
      <c r="M37" t="str">
        <v>UK</v>
      </c>
      <c r="N37" t="str">
        <v>Online</v>
      </c>
    </row>
    <row r="38" spans="1:14" x14ac:dyDescent="0.3">
      <c r="A38">
        <v>2024001139</v>
      </c>
      <c r="B38">
        <v>45473</v>
      </c>
      <c r="C38">
        <v>2024</v>
      </c>
      <c r="D38" t="str">
        <v>CLIENT_0001</v>
      </c>
      <c r="E38" t="str">
        <v>PROD_006</v>
      </c>
      <c r="F38" t="str">
        <v>Monitor 27"</v>
      </c>
      <c r="G38" t="str">
        <v>Electronics</v>
      </c>
      <c r="H38">
        <v>2</v>
      </c>
      <c r="I38">
        <v>390.59</v>
      </c>
      <c r="J38">
        <v>781.18</v>
      </c>
      <c r="K38">
        <v>781.18</v>
      </c>
      <c r="L38">
        <v>0</v>
      </c>
      <c r="M38" t="str">
        <v>Switzerland</v>
      </c>
      <c r="N38" t="str">
        <v>B2B</v>
      </c>
    </row>
    <row r="39" spans="1:14" x14ac:dyDescent="0.3">
      <c r="A39">
        <v>2024001140</v>
      </c>
      <c r="B39">
        <v>45440</v>
      </c>
      <c r="C39">
        <v>2024</v>
      </c>
      <c r="D39" t="str">
        <v>CLIENT_0042</v>
      </c>
      <c r="E39" t="str">
        <v>PROD_009</v>
      </c>
      <c r="F39" t="str">
        <v>Phone Stand</v>
      </c>
      <c r="G39" t="str">
        <v>Accessories</v>
      </c>
      <c r="H39">
        <v>2</v>
      </c>
      <c r="I39">
        <v>25.77</v>
      </c>
      <c r="J39">
        <v>51.54</v>
      </c>
      <c r="K39">
        <v>51.54</v>
      </c>
      <c r="L39">
        <v>0</v>
      </c>
      <c r="M39" t="str">
        <v>Sweden</v>
      </c>
      <c r="N39" t="str">
        <v>Online</v>
      </c>
    </row>
    <row r="40" spans="1:14" x14ac:dyDescent="0.3">
      <c r="A40">
        <v>2024001181</v>
      </c>
      <c r="B40">
        <v>45295</v>
      </c>
      <c r="C40">
        <v>2024</v>
      </c>
      <c r="D40" t="str">
        <v>CLIENT_0210</v>
      </c>
      <c r="E40" t="str">
        <v>PROD_001</v>
      </c>
      <c r="F40" t="str">
        <v>Laptop Pro</v>
      </c>
      <c r="G40" t="str">
        <v>Electronics</v>
      </c>
      <c r="H40">
        <v>3</v>
      </c>
      <c r="I40">
        <v>1085.73</v>
      </c>
      <c r="J40">
        <v>3257.19</v>
      </c>
      <c r="K40">
        <v>3257.19</v>
      </c>
      <c r="L40">
        <v>0</v>
      </c>
      <c r="M40" t="str">
        <v>Sweden</v>
      </c>
      <c r="N40" t="str">
        <v>Reseller</v>
      </c>
    </row>
    <row r="41" spans="1:14" x14ac:dyDescent="0.3">
      <c r="A41">
        <v>2024001184</v>
      </c>
      <c r="B41">
        <v>45650</v>
      </c>
      <c r="C41">
        <v>2024</v>
      </c>
      <c r="D41" t="str">
        <v>CLIENT_0042</v>
      </c>
      <c r="E41" t="str">
        <v>PROD_004</v>
      </c>
      <c r="F41" t="str">
        <v>Desk Chair</v>
      </c>
      <c r="G41" t="str">
        <v>Furniture</v>
      </c>
      <c r="H41">
        <v>2</v>
      </c>
      <c r="I41">
        <v>342.65</v>
      </c>
      <c r="J41">
        <v>685.3</v>
      </c>
      <c r="K41">
        <v>685.3</v>
      </c>
      <c r="L41">
        <v>0</v>
      </c>
      <c r="M41" t="str">
        <v>Switzerland</v>
      </c>
      <c r="N41" t="str">
        <v>Retail</v>
      </c>
    </row>
    <row r="42" spans="1:14" x14ac:dyDescent="0.3">
      <c r="A42">
        <v>2024001208</v>
      </c>
      <c r="B42">
        <v>45561</v>
      </c>
      <c r="C42">
        <v>2024</v>
      </c>
      <c r="D42" t="str">
        <v>CLIENT_0192</v>
      </c>
      <c r="E42" t="str">
        <v>PROD_004</v>
      </c>
      <c r="F42" t="str">
        <v>Desk Chair</v>
      </c>
      <c r="G42" t="str">
        <v>Furniture</v>
      </c>
      <c r="H42">
        <v>2</v>
      </c>
      <c r="I42">
        <v>320.16000000000003</v>
      </c>
      <c r="J42">
        <v>640.32000000000005</v>
      </c>
      <c r="K42">
        <v>640.32000000000005</v>
      </c>
      <c r="L42">
        <v>0</v>
      </c>
      <c r="M42" t="str">
        <v>France</v>
      </c>
      <c r="N42" t="str">
        <v>Retail</v>
      </c>
    </row>
    <row r="43" spans="1:14" x14ac:dyDescent="0.3">
      <c r="A43">
        <v>2024001215</v>
      </c>
      <c r="B43">
        <v>45490</v>
      </c>
      <c r="C43">
        <v>2024</v>
      </c>
      <c r="D43" t="str">
        <v>CLIENT_0181</v>
      </c>
      <c r="E43" t="str">
        <v>PROD_008</v>
      </c>
      <c r="F43" t="str">
        <v>Desk Lamp</v>
      </c>
      <c r="G43" t="str">
        <v>Furniture</v>
      </c>
      <c r="H43">
        <v>4</v>
      </c>
      <c r="I43">
        <v>75.25</v>
      </c>
      <c r="J43">
        <v>301</v>
      </c>
      <c r="K43">
        <v>301</v>
      </c>
      <c r="L43">
        <v>0</v>
      </c>
      <c r="M43" t="str">
        <v>UK</v>
      </c>
      <c r="N43" t="str">
        <v>Reseller</v>
      </c>
    </row>
    <row r="44" spans="1:14" x14ac:dyDescent="0.3">
      <c r="A44">
        <v>2024001227</v>
      </c>
      <c r="B44">
        <v>45294</v>
      </c>
      <c r="C44">
        <v>2024</v>
      </c>
      <c r="D44" t="str">
        <v>CLIENT_0127</v>
      </c>
      <c r="E44" t="str">
        <v>PROD_009</v>
      </c>
      <c r="F44" t="str">
        <v>Phone Stand</v>
      </c>
      <c r="G44" t="str">
        <v>Accessories</v>
      </c>
      <c r="H44">
        <v>1</v>
      </c>
      <c r="I44">
        <v>26.47</v>
      </c>
      <c r="J44">
        <v>26.47</v>
      </c>
      <c r="K44">
        <v>26.47</v>
      </c>
      <c r="L44">
        <v>0</v>
      </c>
      <c r="M44" t="str">
        <v>Germany</v>
      </c>
      <c r="N44" t="str">
        <v>Retail</v>
      </c>
    </row>
    <row r="45" spans="1:14" x14ac:dyDescent="0.3">
      <c r="A45">
        <v>2024001140</v>
      </c>
      <c r="B45">
        <v>45376</v>
      </c>
      <c r="C45">
        <v>2024</v>
      </c>
      <c r="D45" t="str">
        <v>CLIENT_0282</v>
      </c>
      <c r="E45" t="str">
        <v>PROD_008</v>
      </c>
      <c r="F45" t="str">
        <v>Desk Lamp</v>
      </c>
      <c r="G45" t="str">
        <v>Furniture</v>
      </c>
      <c r="H45">
        <v>2</v>
      </c>
      <c r="I45">
        <v>78.180000000000007</v>
      </c>
      <c r="J45">
        <v>156.36000000000001</v>
      </c>
      <c r="K45">
        <v>156.36000000000001</v>
      </c>
      <c r="L45">
        <v>0</v>
      </c>
      <c r="M45" t="str">
        <v>Sweden</v>
      </c>
      <c r="N45" t="str">
        <v>Online</v>
      </c>
    </row>
    <row r="46" spans="1:14" x14ac:dyDescent="0.3">
      <c r="A46">
        <v>2024001272</v>
      </c>
      <c r="B46">
        <v>45369</v>
      </c>
      <c r="C46">
        <v>2024</v>
      </c>
      <c r="D46" t="str">
        <v>CLIENT_0077</v>
      </c>
      <c r="E46" t="str">
        <v>PROD_009</v>
      </c>
      <c r="F46" t="str">
        <v>Phone Stand</v>
      </c>
      <c r="G46" t="str">
        <v>Accessories</v>
      </c>
      <c r="H46">
        <v>1</v>
      </c>
      <c r="I46">
        <v>24</v>
      </c>
      <c r="J46">
        <v>24</v>
      </c>
      <c r="K46">
        <v>24</v>
      </c>
      <c r="L46">
        <v>0</v>
      </c>
      <c r="M46" t="str">
        <v>Netherlands</v>
      </c>
      <c r="N46" t="str">
        <v>Online</v>
      </c>
    </row>
    <row r="47" spans="1:14" x14ac:dyDescent="0.3">
      <c r="A47">
        <v>2024001302</v>
      </c>
      <c r="B47">
        <v>45547</v>
      </c>
      <c r="C47">
        <v>2024</v>
      </c>
      <c r="D47" t="str">
        <v>CLIENT_0183</v>
      </c>
      <c r="E47" t="str">
        <v>PROD_005</v>
      </c>
      <c r="F47" t="str">
        <v>Standing Desk</v>
      </c>
      <c r="G47" t="str">
        <v>Furniture</v>
      </c>
      <c r="H47">
        <v>1</v>
      </c>
      <c r="I47">
        <v>586.70000000000005</v>
      </c>
      <c r="J47">
        <v>586.70000000000005</v>
      </c>
      <c r="K47">
        <v>586.70000000000005</v>
      </c>
      <c r="L47">
        <v>0</v>
      </c>
      <c r="M47" t="str">
        <v>Germany</v>
      </c>
      <c r="N47" t="str">
        <v>Reseller</v>
      </c>
    </row>
    <row r="48" spans="1:14" x14ac:dyDescent="0.3">
      <c r="A48">
        <v>2024001344</v>
      </c>
      <c r="B48">
        <v>45627</v>
      </c>
      <c r="C48">
        <v>2024</v>
      </c>
      <c r="D48" t="str">
        <v>CLIENT_0182</v>
      </c>
      <c r="E48" t="str">
        <v>PROD_010</v>
      </c>
      <c r="F48" t="str">
        <v>Webcam HD</v>
      </c>
      <c r="G48" t="str">
        <v>Electronics</v>
      </c>
      <c r="H48">
        <v>3</v>
      </c>
      <c r="I48">
        <v>86.77</v>
      </c>
      <c r="J48">
        <v>260.31</v>
      </c>
      <c r="K48">
        <v>260.31</v>
      </c>
      <c r="L48">
        <v>0</v>
      </c>
      <c r="M48" t="str">
        <v>Spain</v>
      </c>
      <c r="N48" t="str">
        <v>Reseller</v>
      </c>
    </row>
    <row r="49" spans="1:14" x14ac:dyDescent="0.3">
      <c r="A49">
        <v>2024001184</v>
      </c>
      <c r="B49">
        <v>45482</v>
      </c>
      <c r="C49">
        <v>2024</v>
      </c>
      <c r="D49" t="str">
        <v>CLIENT_0021</v>
      </c>
      <c r="E49" t="str">
        <v>PROD_003</v>
      </c>
      <c r="F49" t="str">
        <v>USB-C Cable</v>
      </c>
      <c r="G49" t="str">
        <v>Electronics</v>
      </c>
      <c r="H49">
        <v>3</v>
      </c>
      <c r="I49">
        <v>14.72</v>
      </c>
      <c r="J49">
        <v>44.16</v>
      </c>
      <c r="K49">
        <v>44.160000000000004</v>
      </c>
      <c r="L49">
        <v>0</v>
      </c>
      <c r="M49" t="str">
        <v>Italy</v>
      </c>
      <c r="N49" t="str">
        <v>Retail</v>
      </c>
    </row>
    <row r="50" spans="1:14" x14ac:dyDescent="0.3">
      <c r="A50">
        <v>2024001393</v>
      </c>
      <c r="B50">
        <v>45384</v>
      </c>
      <c r="C50">
        <v>2024</v>
      </c>
      <c r="D50" t="str">
        <v>CLIENT_0109</v>
      </c>
      <c r="E50" t="str">
        <v>PROD_001</v>
      </c>
      <c r="F50" t="str">
        <v>Laptop Pro</v>
      </c>
      <c r="G50" t="str">
        <v>Electronics</v>
      </c>
      <c r="H50">
        <v>2</v>
      </c>
      <c r="I50">
        <v>1363.69</v>
      </c>
      <c r="J50">
        <v>2727.38</v>
      </c>
      <c r="K50">
        <v>2727.38</v>
      </c>
      <c r="L50">
        <v>0</v>
      </c>
      <c r="M50" t="str">
        <v>Spain</v>
      </c>
      <c r="N50" t="str">
        <v>Reseller</v>
      </c>
    </row>
    <row r="51" spans="1:14" x14ac:dyDescent="0.3">
      <c r="A51">
        <v>2024001402</v>
      </c>
      <c r="B51">
        <v>45375</v>
      </c>
      <c r="C51">
        <v>2024</v>
      </c>
      <c r="D51" t="str">
        <v>CLIENT_0042</v>
      </c>
      <c r="E51" t="str">
        <v>PROD_001</v>
      </c>
      <c r="F51" t="str">
        <v>Laptop Pro</v>
      </c>
      <c r="G51" t="str">
        <v>Electronics</v>
      </c>
      <c r="H51">
        <v>1</v>
      </c>
      <c r="I51">
        <v>1186.51</v>
      </c>
      <c r="J51">
        <v>1186.51</v>
      </c>
      <c r="K51">
        <v>1186.51</v>
      </c>
      <c r="L51">
        <v>0</v>
      </c>
      <c r="M51" t="str">
        <v>Belgium</v>
      </c>
      <c r="N51" t="str">
        <v>Retail</v>
      </c>
    </row>
    <row r="52" spans="1:14" x14ac:dyDescent="0.3">
      <c r="A52">
        <v>2024001424</v>
      </c>
      <c r="B52">
        <v>45355</v>
      </c>
      <c r="C52">
        <v>2024</v>
      </c>
      <c r="D52" t="str">
        <v>CLIENT_0091</v>
      </c>
      <c r="E52" t="str">
        <v>PROD_005</v>
      </c>
      <c r="F52" t="str">
        <v>Standing Desk</v>
      </c>
      <c r="G52" t="str">
        <v>Furniture</v>
      </c>
      <c r="H52">
        <v>2</v>
      </c>
      <c r="I52">
        <v>582.16</v>
      </c>
      <c r="J52">
        <v>1164.32</v>
      </c>
      <c r="K52">
        <v>1164.32</v>
      </c>
      <c r="L52">
        <v>0</v>
      </c>
      <c r="M52" t="str">
        <v>Netherlands</v>
      </c>
      <c r="N52" t="str">
        <v>Online</v>
      </c>
    </row>
    <row r="53" spans="1:14" x14ac:dyDescent="0.3">
      <c r="A53">
        <v>2024001437</v>
      </c>
      <c r="B53">
        <v>45649</v>
      </c>
      <c r="C53">
        <v>2024</v>
      </c>
      <c r="D53" t="str">
        <v>CLIENT_0042</v>
      </c>
      <c r="E53" t="str">
        <v>PROD_003</v>
      </c>
      <c r="F53" t="str">
        <v>USB-C Cable</v>
      </c>
      <c r="G53" t="str">
        <v>Electronics</v>
      </c>
      <c r="H53">
        <v>2</v>
      </c>
      <c r="I53">
        <v>14.34</v>
      </c>
      <c r="J53">
        <v>28.68</v>
      </c>
      <c r="K53">
        <v>28.68</v>
      </c>
      <c r="L53">
        <v>0</v>
      </c>
      <c r="M53" t="str">
        <v>Germany</v>
      </c>
      <c r="N53" t="str">
        <v>Online</v>
      </c>
    </row>
    <row r="54" spans="1:14" x14ac:dyDescent="0.3">
      <c r="A54">
        <v>2024001438</v>
      </c>
      <c r="B54">
        <v>45352</v>
      </c>
      <c r="C54">
        <v>2024</v>
      </c>
      <c r="D54" t="str">
        <v>CLIENT_0083</v>
      </c>
      <c r="E54" t="str">
        <v>PROD_006</v>
      </c>
      <c r="F54" t="str">
        <v>Monitor 27"</v>
      </c>
      <c r="G54" t="str">
        <v>Electronics</v>
      </c>
      <c r="H54">
        <v>1</v>
      </c>
      <c r="I54">
        <v>400.02</v>
      </c>
      <c r="J54">
        <v>400.02</v>
      </c>
      <c r="K54">
        <v>400.02</v>
      </c>
      <c r="L54">
        <v>0</v>
      </c>
      <c r="M54" t="str">
        <v>Sweden</v>
      </c>
      <c r="N54" t="str">
        <v>Reseller</v>
      </c>
    </row>
    <row r="55" spans="1:14" x14ac:dyDescent="0.3">
      <c r="A55">
        <v>2024001440</v>
      </c>
      <c r="B55">
        <v>45581</v>
      </c>
      <c r="C55">
        <v>2024</v>
      </c>
      <c r="D55" t="str">
        <v>CLIENT_0295</v>
      </c>
      <c r="E55" t="str">
        <v>PROD_003</v>
      </c>
      <c r="F55" t="str">
        <v>USB-C Cable</v>
      </c>
      <c r="G55" t="str">
        <v>Electronics</v>
      </c>
      <c r="H55">
        <v>3</v>
      </c>
      <c r="I55">
        <v>14.88</v>
      </c>
      <c r="J55">
        <v>44.64</v>
      </c>
      <c r="K55">
        <v>44.64</v>
      </c>
      <c r="L55">
        <v>0</v>
      </c>
      <c r="M55" t="str">
        <v>Netherlands</v>
      </c>
      <c r="N55" t="str">
        <v>Online</v>
      </c>
    </row>
    <row r="56" spans="1:14" x14ac:dyDescent="0.3">
      <c r="A56">
        <v>2024001446</v>
      </c>
      <c r="B56">
        <v>45303</v>
      </c>
      <c r="C56">
        <v>2024</v>
      </c>
      <c r="D56" t="str">
        <v>CLIENT_0119</v>
      </c>
      <c r="E56" t="str">
        <v>PROD_002</v>
      </c>
      <c r="F56" t="str">
        <v>Wireless Mouse</v>
      </c>
      <c r="G56" t="str">
        <v>Electronics</v>
      </c>
      <c r="H56">
        <v>1</v>
      </c>
      <c r="I56">
        <v>43.82</v>
      </c>
      <c r="J56">
        <v>43.82</v>
      </c>
      <c r="K56">
        <v>43.82</v>
      </c>
      <c r="L56">
        <v>0</v>
      </c>
      <c r="M56" t="str">
        <v>France</v>
      </c>
      <c r="N56" t="str">
        <v>B2B</v>
      </c>
    </row>
    <row r="57" spans="1:14" x14ac:dyDescent="0.3">
      <c r="A57">
        <v>2024001461</v>
      </c>
      <c r="B57">
        <v>45647</v>
      </c>
      <c r="C57">
        <v>2024</v>
      </c>
      <c r="D57" t="str">
        <v>CLIENT_0138</v>
      </c>
      <c r="E57" t="str">
        <v>PROD_003</v>
      </c>
      <c r="F57" t="str">
        <v>USB-C Cable</v>
      </c>
      <c r="G57" t="str">
        <v>Electronics</v>
      </c>
      <c r="H57">
        <v>1</v>
      </c>
      <c r="I57">
        <v>14.15</v>
      </c>
      <c r="J57">
        <v>14.15</v>
      </c>
      <c r="K57">
        <v>14.15</v>
      </c>
      <c r="L57">
        <v>0</v>
      </c>
      <c r="M57" t="str">
        <v>Netherlands</v>
      </c>
      <c r="N57" t="str">
        <v>Online</v>
      </c>
    </row>
    <row r="58" spans="1:14" x14ac:dyDescent="0.3">
      <c r="A58">
        <v>2024001464</v>
      </c>
      <c r="B58">
        <v>45574</v>
      </c>
      <c r="C58">
        <v>2024</v>
      </c>
      <c r="D58" t="str">
        <v>CLIENT_0181</v>
      </c>
      <c r="E58" t="str">
        <v>PROD_010</v>
      </c>
      <c r="F58" t="str">
        <v>Webcam HD</v>
      </c>
      <c r="G58" t="str">
        <v>Electronics</v>
      </c>
      <c r="H58">
        <v>3</v>
      </c>
      <c r="I58">
        <v>88.93</v>
      </c>
      <c r="J58">
        <v>266.79000000000002</v>
      </c>
      <c r="K58">
        <v>266.79000000000002</v>
      </c>
      <c r="L58">
        <v>0</v>
      </c>
      <c r="M58" t="str">
        <v>Netherlands</v>
      </c>
      <c r="N58" t="str">
        <v>B2B</v>
      </c>
    </row>
    <row r="59" spans="1:14" x14ac:dyDescent="0.3">
      <c r="A59">
        <v>2024001140</v>
      </c>
      <c r="B59">
        <v>45450</v>
      </c>
      <c r="C59">
        <v>2024</v>
      </c>
      <c r="D59" t="str">
        <v>CLIENT_0174</v>
      </c>
      <c r="E59" t="str">
        <v>PROD_002</v>
      </c>
      <c r="F59" t="str">
        <v>Wireless Mouse</v>
      </c>
      <c r="G59" t="str">
        <v>Electronics</v>
      </c>
      <c r="H59">
        <v>2</v>
      </c>
      <c r="I59">
        <v>46.05</v>
      </c>
      <c r="J59">
        <v>92.1</v>
      </c>
      <c r="K59">
        <v>92.1</v>
      </c>
      <c r="L59">
        <v>0</v>
      </c>
      <c r="M59" t="str">
        <v>Germany</v>
      </c>
      <c r="N59" t="str">
        <v>Online</v>
      </c>
    </row>
    <row r="60" spans="1:14" x14ac:dyDescent="0.3">
      <c r="A60">
        <v>2024001181</v>
      </c>
      <c r="B60">
        <v>45339</v>
      </c>
      <c r="C60">
        <v>2024</v>
      </c>
      <c r="D60" t="str">
        <v>CLIENT_0111</v>
      </c>
      <c r="E60" t="str">
        <v>PROD_009</v>
      </c>
      <c r="F60" t="str">
        <v>Phone Stand</v>
      </c>
      <c r="G60" t="str">
        <v>Accessories</v>
      </c>
      <c r="H60">
        <v>1</v>
      </c>
      <c r="I60">
        <v>27.88</v>
      </c>
      <c r="J60">
        <v>27.88</v>
      </c>
      <c r="K60">
        <v>27.88</v>
      </c>
      <c r="L60">
        <v>0</v>
      </c>
      <c r="M60" t="str">
        <v>Italy</v>
      </c>
      <c r="N60" t="str">
        <v>Retail</v>
      </c>
    </row>
    <row r="61" spans="1:14" x14ac:dyDescent="0.3">
      <c r="A61">
        <v>2024001511</v>
      </c>
      <c r="B61">
        <v>45538</v>
      </c>
      <c r="C61">
        <v>2024</v>
      </c>
      <c r="D61" t="str">
        <v>CLIENT_0216</v>
      </c>
      <c r="E61" t="str">
        <v>PROD_003</v>
      </c>
      <c r="F61" t="str">
        <v>USB-C Cable</v>
      </c>
      <c r="G61" t="str">
        <v>Electronics</v>
      </c>
      <c r="H61">
        <v>2</v>
      </c>
      <c r="I61">
        <v>15.94</v>
      </c>
      <c r="J61">
        <v>31.88</v>
      </c>
      <c r="K61">
        <v>31.88</v>
      </c>
      <c r="L61">
        <v>0</v>
      </c>
      <c r="M61" t="str">
        <v>France</v>
      </c>
      <c r="N61" t="str">
        <v>Online</v>
      </c>
    </row>
    <row r="62" spans="1:14" x14ac:dyDescent="0.3">
      <c r="A62">
        <v>2024001518</v>
      </c>
      <c r="B62">
        <v>45350</v>
      </c>
      <c r="C62">
        <v>2024</v>
      </c>
      <c r="D62" t="str">
        <v>CLIENT_0033</v>
      </c>
      <c r="E62" t="str">
        <v>PROD_002</v>
      </c>
      <c r="F62" t="str">
        <v>Wireless Mouse</v>
      </c>
      <c r="G62" t="str">
        <v>Electronics</v>
      </c>
      <c r="H62">
        <v>1</v>
      </c>
      <c r="I62">
        <v>42.49</v>
      </c>
      <c r="J62">
        <v>42.49</v>
      </c>
      <c r="K62">
        <v>42.49</v>
      </c>
      <c r="L62">
        <v>0</v>
      </c>
      <c r="M62" t="str">
        <v>Germany</v>
      </c>
      <c r="N62" t="str">
        <v>Retail</v>
      </c>
    </row>
    <row r="63" spans="1:14" x14ac:dyDescent="0.3">
      <c r="A63">
        <v>2024001530</v>
      </c>
      <c r="B63">
        <v>45592</v>
      </c>
      <c r="C63">
        <v>2024</v>
      </c>
      <c r="D63" t="str">
        <v>CLIENT_0068</v>
      </c>
      <c r="E63" t="str">
        <v>PROD_007</v>
      </c>
      <c r="F63" t="str">
        <v>Keyboard Mechanical</v>
      </c>
      <c r="G63" t="str">
        <v>Electronics</v>
      </c>
      <c r="H63">
        <v>1</v>
      </c>
      <c r="I63">
        <v>123.43</v>
      </c>
      <c r="J63">
        <v>123.43</v>
      </c>
      <c r="K63">
        <v>123.43</v>
      </c>
      <c r="L63">
        <v>0</v>
      </c>
      <c r="M63" t="str">
        <v>Spain</v>
      </c>
      <c r="N63" t="str">
        <v>Online</v>
      </c>
    </row>
    <row r="64" spans="1:14" x14ac:dyDescent="0.3">
      <c r="A64">
        <v>2024001139</v>
      </c>
      <c r="B64">
        <v>45564</v>
      </c>
      <c r="C64">
        <v>2024</v>
      </c>
      <c r="D64" t="str">
        <v>CLIENT_0058</v>
      </c>
      <c r="E64" t="str">
        <v>PROD_008</v>
      </c>
      <c r="F64" t="str">
        <v>Desk Lamp</v>
      </c>
      <c r="G64" t="str">
        <v>Furniture</v>
      </c>
      <c r="H64">
        <v>4</v>
      </c>
      <c r="I64">
        <v>82.76</v>
      </c>
      <c r="J64">
        <v>331.04</v>
      </c>
      <c r="K64">
        <v>331.04</v>
      </c>
      <c r="L64">
        <v>0</v>
      </c>
      <c r="M64" t="str">
        <v>Belgium</v>
      </c>
      <c r="N64" t="str">
        <v>Retail</v>
      </c>
    </row>
    <row r="65" spans="1:14" x14ac:dyDescent="0.3">
      <c r="A65">
        <v>2024001440</v>
      </c>
      <c r="B65">
        <v>45619</v>
      </c>
      <c r="C65">
        <v>2024</v>
      </c>
      <c r="D65" t="str">
        <v>CLIENT_0264</v>
      </c>
      <c r="E65" t="str">
        <v>PROD_010</v>
      </c>
      <c r="F65" t="str">
        <v>Webcam HD</v>
      </c>
      <c r="G65" t="str">
        <v>Electronics</v>
      </c>
      <c r="H65">
        <v>3</v>
      </c>
      <c r="I65">
        <v>93.34</v>
      </c>
      <c r="J65">
        <v>280.02</v>
      </c>
      <c r="K65">
        <v>280.02</v>
      </c>
      <c r="L65">
        <v>0</v>
      </c>
      <c r="M65" t="str">
        <v>Belgium</v>
      </c>
      <c r="N65" t="str">
        <v>Retail</v>
      </c>
    </row>
    <row r="66" spans="1:14" x14ac:dyDescent="0.3">
      <c r="A66">
        <v>2024001633</v>
      </c>
      <c r="B66">
        <v>45584</v>
      </c>
      <c r="C66">
        <v>2024</v>
      </c>
      <c r="D66" t="str">
        <v>CLIENT_0042</v>
      </c>
      <c r="E66" t="str">
        <v>PROD_003</v>
      </c>
      <c r="F66" t="str">
        <v>USB-C Cable</v>
      </c>
      <c r="G66" t="str">
        <v>Electronics</v>
      </c>
      <c r="H66">
        <v>2</v>
      </c>
      <c r="I66">
        <v>14.31</v>
      </c>
      <c r="J66">
        <v>28.62</v>
      </c>
      <c r="K66">
        <v>28.62</v>
      </c>
      <c r="L66">
        <v>0</v>
      </c>
      <c r="M66" t="str">
        <v>Netherlands</v>
      </c>
      <c r="N66" t="str">
        <v>Retail</v>
      </c>
    </row>
    <row r="67" spans="1:14" x14ac:dyDescent="0.3">
      <c r="A67">
        <v>2024001645</v>
      </c>
      <c r="B67">
        <v>45382</v>
      </c>
      <c r="C67">
        <v>2024</v>
      </c>
      <c r="D67" t="str">
        <v>CLIENT_0042</v>
      </c>
      <c r="E67" t="str">
        <v>PROD_002</v>
      </c>
      <c r="F67" t="str">
        <v>Wireless Mouse</v>
      </c>
      <c r="G67" t="str">
        <v>Electronics</v>
      </c>
      <c r="H67">
        <v>1</v>
      </c>
      <c r="I67">
        <v>42.26</v>
      </c>
      <c r="J67">
        <v>42.26</v>
      </c>
      <c r="K67">
        <v>42.26</v>
      </c>
      <c r="L67">
        <v>0</v>
      </c>
      <c r="M67" t="str">
        <v>UK</v>
      </c>
      <c r="N67" t="str">
        <v>Retail</v>
      </c>
    </row>
    <row r="68" spans="1:14" x14ac:dyDescent="0.3">
      <c r="A68">
        <v>2024001227</v>
      </c>
      <c r="B68">
        <v>45536</v>
      </c>
      <c r="C68">
        <v>2024</v>
      </c>
      <c r="D68" t="str">
        <v>CLIENT_0163</v>
      </c>
      <c r="E68" t="str">
        <v>PROD_006</v>
      </c>
      <c r="F68" t="str">
        <v>Monitor 27"</v>
      </c>
      <c r="G68" t="str">
        <v>Electronics</v>
      </c>
      <c r="H68">
        <v>2</v>
      </c>
      <c r="I68">
        <v>397.16</v>
      </c>
      <c r="J68">
        <v>794.32</v>
      </c>
      <c r="K68">
        <v>794.32</v>
      </c>
      <c r="L68">
        <v>0</v>
      </c>
      <c r="M68" t="str">
        <v>Germany</v>
      </c>
      <c r="N68" t="str">
        <v>Retail</v>
      </c>
    </row>
    <row r="69" spans="1:14" x14ac:dyDescent="0.3">
      <c r="A69">
        <v>2024001669</v>
      </c>
      <c r="B69">
        <v>45430</v>
      </c>
      <c r="C69">
        <v>2024</v>
      </c>
      <c r="D69" t="str">
        <v>CLIENT_0299</v>
      </c>
      <c r="E69" t="str">
        <v>PROD_001</v>
      </c>
      <c r="F69" t="str">
        <v>Laptop Pro</v>
      </c>
      <c r="G69" t="str">
        <v>Electronics</v>
      </c>
      <c r="H69">
        <v>2</v>
      </c>
      <c r="I69">
        <v>1194.8599999999999</v>
      </c>
      <c r="J69">
        <v>2389.7199999999998</v>
      </c>
      <c r="K69">
        <v>2389.7199999999998</v>
      </c>
      <c r="L69">
        <v>0</v>
      </c>
      <c r="M69" t="str">
        <v>Spain</v>
      </c>
      <c r="N69" t="str">
        <v>Online</v>
      </c>
    </row>
    <row r="70" spans="1:14" x14ac:dyDescent="0.3">
      <c r="A70">
        <v>2024001671</v>
      </c>
      <c r="B70">
        <v>45542</v>
      </c>
      <c r="C70">
        <v>2024</v>
      </c>
      <c r="D70" t="str">
        <v>CLIENT_0003</v>
      </c>
      <c r="E70" t="str">
        <v>PROD_009</v>
      </c>
      <c r="F70" t="str">
        <v>Phone Stand</v>
      </c>
      <c r="G70" t="str">
        <v>Accessories</v>
      </c>
      <c r="H70">
        <v>2</v>
      </c>
      <c r="I70">
        <v>25.72</v>
      </c>
      <c r="J70">
        <v>51.44</v>
      </c>
      <c r="K70">
        <v>51.44</v>
      </c>
      <c r="L70">
        <v>0</v>
      </c>
      <c r="M70" t="str">
        <v>Belgium</v>
      </c>
      <c r="N70" t="str">
        <v>Retail</v>
      </c>
    </row>
    <row r="71" spans="1:14" x14ac:dyDescent="0.3">
      <c r="A71">
        <v>2024001738</v>
      </c>
      <c r="B71">
        <v>45378</v>
      </c>
      <c r="C71">
        <v>2024</v>
      </c>
      <c r="D71" t="str">
        <v>CLIENT_0090</v>
      </c>
      <c r="E71" t="str">
        <v>PROD_006</v>
      </c>
      <c r="F71" t="str">
        <v>Monitor 27"</v>
      </c>
      <c r="G71" t="str">
        <v>Electronics</v>
      </c>
      <c r="H71">
        <v>2</v>
      </c>
      <c r="I71">
        <v>397.97</v>
      </c>
      <c r="J71">
        <v>795.94</v>
      </c>
      <c r="K71">
        <v>795.94</v>
      </c>
      <c r="L71">
        <v>0</v>
      </c>
      <c r="M71" t="str">
        <v>Italy</v>
      </c>
      <c r="N71" t="str">
        <v>Retail</v>
      </c>
    </row>
    <row r="72" spans="1:14" x14ac:dyDescent="0.3">
      <c r="A72">
        <v>2024001464</v>
      </c>
      <c r="B72">
        <v>45529</v>
      </c>
      <c r="C72">
        <v>2024</v>
      </c>
      <c r="D72" t="str">
        <v>CLIENT_0014</v>
      </c>
      <c r="E72" t="str">
        <v>PROD_006</v>
      </c>
      <c r="F72" t="str">
        <v>Monitor 27"</v>
      </c>
      <c r="G72" t="str">
        <v>Electronics</v>
      </c>
      <c r="H72">
        <v>2</v>
      </c>
      <c r="I72">
        <v>446.14</v>
      </c>
      <c r="J72">
        <v>892.28</v>
      </c>
      <c r="K72">
        <v>892.28</v>
      </c>
      <c r="L72">
        <v>0</v>
      </c>
      <c r="M72" t="str">
        <v>Belgium</v>
      </c>
      <c r="N72" t="str">
        <v>Retail</v>
      </c>
    </row>
    <row r="73" spans="1:14" x14ac:dyDescent="0.3">
      <c r="A73">
        <v>2024001114</v>
      </c>
      <c r="B73">
        <v>45417</v>
      </c>
      <c r="C73">
        <v>2024</v>
      </c>
      <c r="D73" t="str">
        <v>CLIENT_0150</v>
      </c>
      <c r="E73" t="str">
        <v>PROD_003</v>
      </c>
      <c r="F73" t="str">
        <v>USB-C Cable</v>
      </c>
      <c r="G73" t="str">
        <v>Electronics</v>
      </c>
      <c r="H73">
        <v>1</v>
      </c>
      <c r="I73">
        <v>14.56</v>
      </c>
      <c r="J73">
        <v>14.56</v>
      </c>
      <c r="K73">
        <v>14.56</v>
      </c>
      <c r="L73">
        <v>0</v>
      </c>
      <c r="M73" t="str">
        <v>Belgium</v>
      </c>
      <c r="N73" t="str">
        <v>B2B</v>
      </c>
    </row>
    <row r="74" spans="1:14" x14ac:dyDescent="0.3">
      <c r="A74">
        <v>2024001809</v>
      </c>
      <c r="B74">
        <v>45616</v>
      </c>
      <c r="C74">
        <v>2024</v>
      </c>
      <c r="D74" t="str">
        <v>CLIENT_0069</v>
      </c>
      <c r="E74" t="str">
        <v>PROD_004</v>
      </c>
      <c r="F74" t="str">
        <v>Desk Chair</v>
      </c>
      <c r="G74" t="str">
        <v>Furniture</v>
      </c>
      <c r="H74">
        <v>1</v>
      </c>
      <c r="I74">
        <v>359.49</v>
      </c>
      <c r="J74">
        <v>359.49</v>
      </c>
      <c r="K74">
        <v>359.49</v>
      </c>
      <c r="L74">
        <v>0</v>
      </c>
      <c r="M74" t="str">
        <v>UK</v>
      </c>
      <c r="N74" t="str">
        <v>Online</v>
      </c>
    </row>
    <row r="75" spans="1:14" x14ac:dyDescent="0.3">
      <c r="A75">
        <v>2024001438</v>
      </c>
      <c r="B75">
        <v>45519</v>
      </c>
      <c r="C75">
        <v>2024</v>
      </c>
      <c r="D75" t="str">
        <v>CLIENT_0188</v>
      </c>
      <c r="E75" t="str">
        <v>PROD_006</v>
      </c>
      <c r="F75" t="str">
        <v>Monitor 27"</v>
      </c>
      <c r="G75" t="str">
        <v>Electronics</v>
      </c>
      <c r="H75">
        <v>1</v>
      </c>
      <c r="I75">
        <v>415.25</v>
      </c>
      <c r="J75">
        <v>415.25</v>
      </c>
      <c r="K75">
        <v>415.25</v>
      </c>
      <c r="L75">
        <v>0</v>
      </c>
      <c r="M75" t="str">
        <v>Switzerland</v>
      </c>
      <c r="N75" t="str">
        <v>Reseller</v>
      </c>
    </row>
    <row r="76" spans="1:14" x14ac:dyDescent="0.3">
      <c r="A76">
        <v>2024001854</v>
      </c>
      <c r="B76">
        <v>45359</v>
      </c>
      <c r="C76">
        <v>2024</v>
      </c>
      <c r="D76" t="str">
        <v>CLIENT_0253</v>
      </c>
      <c r="E76" t="str">
        <v>PROD_010</v>
      </c>
      <c r="F76" t="str">
        <v>Webcam HD</v>
      </c>
      <c r="G76" t="str">
        <v>Electronics</v>
      </c>
      <c r="H76">
        <v>4</v>
      </c>
      <c r="I76">
        <v>86.02</v>
      </c>
      <c r="J76">
        <v>344.08</v>
      </c>
      <c r="K76">
        <v>344.08</v>
      </c>
      <c r="L76">
        <v>0</v>
      </c>
      <c r="M76" t="str">
        <v>Sweden</v>
      </c>
      <c r="N76" t="str">
        <v>Reseller</v>
      </c>
    </row>
    <row r="77" spans="1:14" x14ac:dyDescent="0.3">
      <c r="A77">
        <v>2024001530</v>
      </c>
      <c r="B77">
        <v>45309</v>
      </c>
      <c r="C77">
        <v>2024</v>
      </c>
      <c r="D77" t="str">
        <v>CLIENT_0012</v>
      </c>
      <c r="E77" t="str">
        <v>PROD_004</v>
      </c>
      <c r="F77" t="str">
        <v>Desk Chair</v>
      </c>
      <c r="G77" t="str">
        <v>Furniture</v>
      </c>
      <c r="H77">
        <v>3</v>
      </c>
      <c r="I77">
        <v>353.44</v>
      </c>
      <c r="J77">
        <v>1060.32</v>
      </c>
      <c r="K77">
        <v>1060.32</v>
      </c>
      <c r="L77">
        <v>0</v>
      </c>
      <c r="M77" t="str">
        <v>Italy</v>
      </c>
      <c r="N77" t="str">
        <v>B2B</v>
      </c>
    </row>
    <row r="78" spans="1:14" x14ac:dyDescent="0.3">
      <c r="A78">
        <v>2024001909</v>
      </c>
      <c r="B78">
        <v>45522</v>
      </c>
      <c r="C78">
        <v>2024</v>
      </c>
      <c r="D78" t="str">
        <v>CLIENT_0010</v>
      </c>
      <c r="E78" t="str">
        <v>PROD_006</v>
      </c>
      <c r="F78" t="str">
        <v>Monitor 27"</v>
      </c>
      <c r="G78" t="str">
        <v>Electronics</v>
      </c>
      <c r="H78">
        <v>1</v>
      </c>
      <c r="I78">
        <v>395.91</v>
      </c>
      <c r="J78">
        <v>395.91</v>
      </c>
      <c r="K78">
        <v>395.91</v>
      </c>
      <c r="L78">
        <v>0</v>
      </c>
      <c r="M78" t="str">
        <v>UK</v>
      </c>
      <c r="N78" t="str">
        <v>Online</v>
      </c>
    </row>
    <row r="79" spans="1:14" x14ac:dyDescent="0.3">
      <c r="A79">
        <v>2024001402</v>
      </c>
      <c r="B79">
        <v>45384</v>
      </c>
      <c r="C79">
        <v>2024</v>
      </c>
      <c r="D79" t="str">
        <v>CLIENT_0019</v>
      </c>
      <c r="E79" t="str">
        <v>PROD_001</v>
      </c>
      <c r="F79" t="str">
        <v>Laptop Pro</v>
      </c>
      <c r="G79" t="str">
        <v>Electronics</v>
      </c>
      <c r="H79">
        <v>5</v>
      </c>
      <c r="I79">
        <v>1206.6300000000001</v>
      </c>
      <c r="J79">
        <v>6033.15</v>
      </c>
      <c r="K79">
        <v>6033.1500000000005</v>
      </c>
      <c r="L79">
        <v>0</v>
      </c>
      <c r="M79" t="str">
        <v>Austria</v>
      </c>
      <c r="N79" t="str">
        <v>Reseller</v>
      </c>
    </row>
    <row r="80" spans="1:14" x14ac:dyDescent="0.3">
      <c r="A80">
        <v>2024001955</v>
      </c>
      <c r="B80">
        <v>45419</v>
      </c>
      <c r="C80">
        <v>2024</v>
      </c>
      <c r="D80" t="str">
        <v>CLIENT_0007</v>
      </c>
      <c r="E80" t="str">
        <v>PROD_010</v>
      </c>
      <c r="F80" t="str">
        <v>Webcam HD</v>
      </c>
      <c r="G80" t="str">
        <v>Electronics</v>
      </c>
      <c r="H80">
        <v>3</v>
      </c>
      <c r="I80">
        <v>95.88</v>
      </c>
      <c r="J80">
        <v>287.64</v>
      </c>
      <c r="K80">
        <v>287.64</v>
      </c>
      <c r="L80">
        <v>0</v>
      </c>
      <c r="M80" t="str">
        <v>Netherlands</v>
      </c>
      <c r="N80" t="str">
        <v>Online</v>
      </c>
    </row>
    <row r="81" spans="1:14" x14ac:dyDescent="0.3">
      <c r="A81">
        <v>2024001671</v>
      </c>
      <c r="B81">
        <v>45501</v>
      </c>
      <c r="C81">
        <v>2024</v>
      </c>
      <c r="D81" t="str">
        <v>CLIENT_0126</v>
      </c>
      <c r="E81" t="str">
        <v>PROD_010</v>
      </c>
      <c r="F81" t="str">
        <v>Webcam HD</v>
      </c>
      <c r="G81" t="str">
        <v>Electronics</v>
      </c>
      <c r="H81">
        <v>1</v>
      </c>
      <c r="I81">
        <v>89.68</v>
      </c>
      <c r="J81">
        <v>89.68</v>
      </c>
      <c r="K81">
        <v>89.68</v>
      </c>
      <c r="L81">
        <v>0</v>
      </c>
      <c r="M81" t="str">
        <v>Germany</v>
      </c>
      <c r="N81" t="str">
        <v>Retail</v>
      </c>
    </row>
    <row r="82" spans="1:14" x14ac:dyDescent="0.3">
      <c r="A82">
        <v>2024001962</v>
      </c>
      <c r="B82">
        <v>45479</v>
      </c>
      <c r="C82">
        <v>2024</v>
      </c>
      <c r="D82" t="str">
        <v>CLIENT_0230</v>
      </c>
      <c r="E82" t="str">
        <v>PROD_010</v>
      </c>
      <c r="F82" t="str">
        <v>Webcam HD</v>
      </c>
      <c r="G82" t="str">
        <v>Electronics</v>
      </c>
      <c r="H82">
        <v>1</v>
      </c>
      <c r="I82">
        <v>93.04</v>
      </c>
      <c r="J82">
        <v>93.04</v>
      </c>
      <c r="K82">
        <v>93.04</v>
      </c>
      <c r="L82">
        <v>0</v>
      </c>
      <c r="M82" t="str">
        <v>Netherlands</v>
      </c>
      <c r="N82" t="str">
        <v>Reseller</v>
      </c>
    </row>
    <row r="83" spans="1:14" x14ac:dyDescent="0.3">
      <c r="A83">
        <v>2024001645</v>
      </c>
      <c r="B83">
        <v>45388</v>
      </c>
      <c r="C83">
        <v>2024</v>
      </c>
      <c r="D83" t="str">
        <v>CLIENT_0117</v>
      </c>
      <c r="E83" t="str">
        <v>PROD_007</v>
      </c>
      <c r="F83" t="str">
        <v>Keyboard Mechanical</v>
      </c>
      <c r="G83" t="str">
        <v>Electronics</v>
      </c>
      <c r="H83">
        <v>1</v>
      </c>
      <c r="I83">
        <v>118.36</v>
      </c>
      <c r="J83">
        <v>118.36</v>
      </c>
      <c r="K83">
        <v>118.36</v>
      </c>
      <c r="L83">
        <v>0</v>
      </c>
      <c r="M83" t="str">
        <v>Italy</v>
      </c>
      <c r="N83" t="str">
        <v>Reseller</v>
      </c>
    </row>
    <row r="84" spans="1:14" x14ac:dyDescent="0.3">
      <c r="A84">
        <v>2024001854</v>
      </c>
      <c r="B84">
        <v>45298</v>
      </c>
      <c r="C84">
        <v>2024</v>
      </c>
      <c r="D84" t="str">
        <v>CLIENT_0049</v>
      </c>
      <c r="E84" t="str">
        <v>PROD_010</v>
      </c>
      <c r="F84" t="str">
        <v>Webcam HD</v>
      </c>
      <c r="G84" t="str">
        <v>Electronics</v>
      </c>
      <c r="H84">
        <v>1</v>
      </c>
      <c r="I84">
        <v>91.86</v>
      </c>
      <c r="J84">
        <v>91.86</v>
      </c>
      <c r="K84">
        <v>91.86</v>
      </c>
      <c r="L84">
        <v>0</v>
      </c>
      <c r="M84" t="str">
        <v>Germany</v>
      </c>
      <c r="N84" t="str">
        <v>Online</v>
      </c>
    </row>
    <row r="85" spans="1:14" x14ac:dyDescent="0.3">
      <c r="A85">
        <v>2024001987</v>
      </c>
      <c r="B85">
        <v>45400</v>
      </c>
      <c r="C85">
        <v>2024</v>
      </c>
      <c r="D85" t="str">
        <v>CLIENT_0042</v>
      </c>
      <c r="E85" t="str">
        <v>PROD_004</v>
      </c>
      <c r="F85" t="str">
        <v>Desk Chair</v>
      </c>
      <c r="G85" t="str">
        <v>Furniture</v>
      </c>
      <c r="H85">
        <v>3</v>
      </c>
      <c r="I85">
        <v>333.79</v>
      </c>
      <c r="J85">
        <v>1001.37</v>
      </c>
      <c r="K85">
        <v>1001.3700000000001</v>
      </c>
      <c r="L85">
        <v>0</v>
      </c>
      <c r="M85" t="str">
        <v>Spain</v>
      </c>
      <c r="N85" t="str">
        <v>Reseller</v>
      </c>
    </row>
    <row r="86" spans="1:14" x14ac:dyDescent="0.3">
      <c r="A86">
        <v>2024001955</v>
      </c>
      <c r="B86">
        <v>45647</v>
      </c>
      <c r="C86">
        <v>2024</v>
      </c>
      <c r="D86" t="str">
        <v>CLIENT_0139</v>
      </c>
      <c r="E86" t="str">
        <v>PROD_007</v>
      </c>
      <c r="F86" t="str">
        <v>Keyboard Mechanical</v>
      </c>
      <c r="G86" t="str">
        <v>Electronics</v>
      </c>
      <c r="H86">
        <v>3</v>
      </c>
      <c r="I86">
        <v>122.39</v>
      </c>
      <c r="J86">
        <v>367.17</v>
      </c>
      <c r="K86">
        <v>367.17</v>
      </c>
      <c r="L86">
        <v>0</v>
      </c>
      <c r="M86" t="str">
        <v>Sweden</v>
      </c>
      <c r="N86" t="str">
        <v>Online</v>
      </c>
    </row>
    <row r="87" spans="1:14" x14ac:dyDescent="0.3">
      <c r="A87">
        <v>2024002025</v>
      </c>
      <c r="B87">
        <v>45590</v>
      </c>
      <c r="C87">
        <v>2024</v>
      </c>
      <c r="D87" t="str">
        <v>CLIENT_0208</v>
      </c>
      <c r="E87" t="str">
        <v>PROD_010</v>
      </c>
      <c r="F87" t="str">
        <v>Webcam HD</v>
      </c>
      <c r="G87" t="str">
        <v>Electronics</v>
      </c>
      <c r="H87">
        <v>1</v>
      </c>
      <c r="I87">
        <v>94.57</v>
      </c>
      <c r="J87">
        <v>94.57</v>
      </c>
      <c r="K87">
        <v>94.57</v>
      </c>
      <c r="L87">
        <v>0</v>
      </c>
      <c r="M87" t="str">
        <v>UK</v>
      </c>
      <c r="N87" t="str">
        <v>Retail</v>
      </c>
    </row>
    <row r="88" spans="1:14" x14ac:dyDescent="0.3">
      <c r="A88">
        <v>2024001437</v>
      </c>
      <c r="B88">
        <v>45537</v>
      </c>
      <c r="C88">
        <v>2024</v>
      </c>
      <c r="D88" t="str">
        <v>CLIENT_0161</v>
      </c>
      <c r="E88" t="str">
        <v>PROD_008</v>
      </c>
      <c r="F88" t="str">
        <v>Desk Lamp</v>
      </c>
      <c r="G88" t="str">
        <v>Furniture</v>
      </c>
      <c r="H88">
        <v>2</v>
      </c>
      <c r="I88">
        <v>81.66</v>
      </c>
      <c r="J88">
        <v>163.32</v>
      </c>
      <c r="K88">
        <v>163.32</v>
      </c>
      <c r="L88">
        <v>0</v>
      </c>
      <c r="M88" t="str">
        <v>Spain</v>
      </c>
      <c r="N88" t="str">
        <v>Reseller</v>
      </c>
    </row>
    <row r="89" spans="1:14" x14ac:dyDescent="0.3">
      <c r="A89">
        <v>2024001393</v>
      </c>
      <c r="B89">
        <v>45544</v>
      </c>
      <c r="C89">
        <v>2024</v>
      </c>
      <c r="D89" t="str">
        <v>CLIENT_0222</v>
      </c>
      <c r="E89" t="str">
        <v>PROD_001</v>
      </c>
      <c r="F89" t="str">
        <v>Laptop Pro</v>
      </c>
      <c r="G89" t="str">
        <v>Electronics</v>
      </c>
      <c r="H89">
        <v>1</v>
      </c>
      <c r="I89">
        <v>1215.8599999999999</v>
      </c>
      <c r="J89">
        <v>1215.8599999999999</v>
      </c>
      <c r="K89">
        <v>1215.8599999999999</v>
      </c>
      <c r="L89">
        <v>0</v>
      </c>
      <c r="M89" t="str">
        <v>UK</v>
      </c>
      <c r="N89" t="str">
        <v>Retail</v>
      </c>
    </row>
    <row r="90" spans="1:14" x14ac:dyDescent="0.3">
      <c r="A90">
        <v>2024002065</v>
      </c>
      <c r="B90">
        <v>45412</v>
      </c>
      <c r="C90">
        <v>2024</v>
      </c>
      <c r="D90" t="str">
        <v>CLIENT_0101</v>
      </c>
      <c r="E90" t="str">
        <v>PROD_005</v>
      </c>
      <c r="F90" t="str">
        <v>Standing Desk</v>
      </c>
      <c r="G90" t="str">
        <v>Furniture</v>
      </c>
      <c r="H90">
        <v>1</v>
      </c>
      <c r="I90">
        <v>609.74</v>
      </c>
      <c r="J90">
        <v>609.74</v>
      </c>
      <c r="K90">
        <v>609.74</v>
      </c>
      <c r="L90">
        <v>0</v>
      </c>
      <c r="M90" t="str">
        <v>France</v>
      </c>
      <c r="N90" t="str">
        <v>Reseller</v>
      </c>
    </row>
    <row r="91" spans="1:14" x14ac:dyDescent="0.3">
      <c r="A91">
        <v>2024002100</v>
      </c>
      <c r="B91">
        <v>45432</v>
      </c>
      <c r="C91">
        <v>2024</v>
      </c>
      <c r="D91" t="str">
        <v>CLIENT_0093</v>
      </c>
      <c r="E91" t="str">
        <v>PROD_002</v>
      </c>
      <c r="F91" t="str">
        <v>Wireless Mouse</v>
      </c>
      <c r="G91" t="str">
        <v>Electronics</v>
      </c>
      <c r="H91">
        <v>2</v>
      </c>
      <c r="I91">
        <v>42.68</v>
      </c>
      <c r="J91">
        <v>85.36</v>
      </c>
      <c r="K91">
        <v>85.36</v>
      </c>
      <c r="L91">
        <v>0</v>
      </c>
      <c r="M91" t="str">
        <v>France</v>
      </c>
      <c r="N91" t="str">
        <v>Reseller</v>
      </c>
    </row>
    <row r="92" spans="1:14" x14ac:dyDescent="0.3">
      <c r="A92">
        <v>2024001043</v>
      </c>
      <c r="B92">
        <v>45404</v>
      </c>
      <c r="C92">
        <v>2024</v>
      </c>
      <c r="D92" t="str">
        <v>CLIENT_0023</v>
      </c>
      <c r="E92" t="str">
        <v>PROD_008</v>
      </c>
      <c r="F92" t="str">
        <v>Desk Lamp</v>
      </c>
      <c r="G92" t="str">
        <v>Furniture</v>
      </c>
      <c r="H92">
        <v>1</v>
      </c>
      <c r="I92">
        <v>80.73</v>
      </c>
      <c r="J92">
        <v>80.73</v>
      </c>
      <c r="K92">
        <v>80.73</v>
      </c>
      <c r="L92">
        <v>0</v>
      </c>
      <c r="M92" t="str">
        <v>Austria</v>
      </c>
      <c r="N92" t="str">
        <v>Online</v>
      </c>
    </row>
    <row r="93" spans="1:14" x14ac:dyDescent="0.3">
      <c r="A93">
        <v>2024002127</v>
      </c>
      <c r="B93">
        <v>45320</v>
      </c>
      <c r="C93">
        <v>2024</v>
      </c>
      <c r="D93" t="str">
        <v>CLIENT_0194</v>
      </c>
      <c r="E93" t="str">
        <v>PROD_007</v>
      </c>
      <c r="F93" t="str">
        <v>Keyboard Mechanical</v>
      </c>
      <c r="G93" t="str">
        <v>Electronics</v>
      </c>
      <c r="H93">
        <v>1</v>
      </c>
      <c r="I93">
        <v>121.59</v>
      </c>
      <c r="J93">
        <v>121.59</v>
      </c>
      <c r="K93">
        <v>121.59</v>
      </c>
      <c r="L93">
        <v>0</v>
      </c>
      <c r="M93" t="str">
        <v>France</v>
      </c>
      <c r="N93" t="str">
        <v>Online</v>
      </c>
    </row>
    <row r="94" spans="1:14" x14ac:dyDescent="0.3">
      <c r="A94">
        <v>2024002025</v>
      </c>
      <c r="B94">
        <v>45415</v>
      </c>
      <c r="C94">
        <v>2024</v>
      </c>
      <c r="D94" t="str">
        <v>CLIENT_0019</v>
      </c>
      <c r="E94" t="str">
        <v>PROD_007</v>
      </c>
      <c r="F94" t="str">
        <v>Keyboard Mechanical</v>
      </c>
      <c r="G94" t="str">
        <v>Electronics</v>
      </c>
      <c r="H94">
        <v>1</v>
      </c>
      <c r="I94">
        <v>121.15</v>
      </c>
      <c r="J94">
        <v>121.15</v>
      </c>
      <c r="K94">
        <v>121.15</v>
      </c>
      <c r="L94">
        <v>0</v>
      </c>
      <c r="M94" t="str">
        <v>Switzerland</v>
      </c>
      <c r="N94" t="str">
        <v>Retail</v>
      </c>
    </row>
    <row r="95" spans="1:14" x14ac:dyDescent="0.3">
      <c r="A95">
        <v>2024002130</v>
      </c>
      <c r="B95">
        <v>45654</v>
      </c>
      <c r="C95">
        <v>2024</v>
      </c>
      <c r="D95" t="str">
        <v>CLIENT_0157</v>
      </c>
      <c r="E95" t="str">
        <v>PROD_007</v>
      </c>
      <c r="F95" t="str">
        <v>Keyboard Mechanical</v>
      </c>
      <c r="G95" t="str">
        <v>Electronics</v>
      </c>
      <c r="H95">
        <v>2</v>
      </c>
      <c r="I95">
        <v>121.92</v>
      </c>
      <c r="J95">
        <v>243.84</v>
      </c>
      <c r="K95">
        <v>243.84</v>
      </c>
      <c r="L95">
        <v>0</v>
      </c>
      <c r="M95" t="str">
        <v>Austria</v>
      </c>
      <c r="N95" t="str">
        <v>Online</v>
      </c>
    </row>
    <row r="96" spans="1:14" x14ac:dyDescent="0.3">
      <c r="A96">
        <v>2024001344</v>
      </c>
      <c r="B96">
        <v>45357</v>
      </c>
      <c r="C96">
        <v>2024</v>
      </c>
      <c r="D96" t="str">
        <v>CLIENT_0079</v>
      </c>
      <c r="E96" t="str">
        <v>PROD_006</v>
      </c>
      <c r="F96" t="str">
        <v>Monitor 27"</v>
      </c>
      <c r="G96" t="str">
        <v>Electronics</v>
      </c>
      <c r="H96">
        <v>1</v>
      </c>
      <c r="I96">
        <v>381.64</v>
      </c>
      <c r="J96">
        <v>381.64</v>
      </c>
      <c r="K96">
        <v>381.64</v>
      </c>
      <c r="L96">
        <v>0</v>
      </c>
      <c r="M96" t="str">
        <v>France</v>
      </c>
      <c r="N96" t="str">
        <v>Online</v>
      </c>
    </row>
    <row r="97" spans="1:14" x14ac:dyDescent="0.3">
      <c r="A97">
        <v>2024002142</v>
      </c>
      <c r="B97">
        <v>45517</v>
      </c>
      <c r="C97">
        <v>2024</v>
      </c>
      <c r="D97" t="str">
        <v>CLIENT_0202</v>
      </c>
      <c r="E97" t="str">
        <v>PROD_010</v>
      </c>
      <c r="F97" t="str">
        <v>Webcam HD</v>
      </c>
      <c r="G97" t="str">
        <v>Electronics</v>
      </c>
      <c r="H97">
        <v>1</v>
      </c>
      <c r="I97">
        <v>93.26</v>
      </c>
      <c r="J97">
        <v>93.26</v>
      </c>
      <c r="K97">
        <v>93.26</v>
      </c>
      <c r="L97">
        <v>0</v>
      </c>
      <c r="M97" t="str">
        <v>Belgium</v>
      </c>
      <c r="N97" t="str">
        <v>B2B</v>
      </c>
    </row>
    <row r="98" spans="1:14" x14ac:dyDescent="0.3">
      <c r="A98">
        <v>2024002065</v>
      </c>
      <c r="B98">
        <v>45313</v>
      </c>
      <c r="C98">
        <v>2024</v>
      </c>
      <c r="D98" t="str">
        <v>CLIENT_0088</v>
      </c>
      <c r="E98" t="str">
        <v>PROD_009</v>
      </c>
      <c r="F98" t="str">
        <v>Phone Stand</v>
      </c>
      <c r="G98" t="str">
        <v>Accessories</v>
      </c>
      <c r="H98">
        <v>1</v>
      </c>
      <c r="I98">
        <v>27.23</v>
      </c>
      <c r="J98">
        <v>27.23</v>
      </c>
      <c r="K98">
        <v>27.23</v>
      </c>
      <c r="L98">
        <v>0</v>
      </c>
      <c r="M98" t="str">
        <v>Netherlands</v>
      </c>
      <c r="N98" t="str">
        <v>Online</v>
      </c>
    </row>
    <row r="99" spans="1:14" x14ac:dyDescent="0.3">
      <c r="A99">
        <v>2024001208</v>
      </c>
      <c r="B99">
        <v>45578</v>
      </c>
      <c r="C99">
        <v>2024</v>
      </c>
      <c r="D99" t="str">
        <v>CLIENT_0169</v>
      </c>
      <c r="E99" t="str">
        <v>PROD_010</v>
      </c>
      <c r="F99" t="str">
        <v>Webcam HD</v>
      </c>
      <c r="G99" t="str">
        <v>Electronics</v>
      </c>
      <c r="H99">
        <v>5</v>
      </c>
      <c r="I99">
        <v>91.96</v>
      </c>
      <c r="J99">
        <v>459.8</v>
      </c>
      <c r="K99">
        <v>459.79999999999995</v>
      </c>
      <c r="L99">
        <v>0</v>
      </c>
      <c r="M99" t="str">
        <v>Sweden</v>
      </c>
      <c r="N99" t="str">
        <v>Reseller</v>
      </c>
    </row>
    <row r="100" spans="1:14" x14ac:dyDescent="0.3">
      <c r="A100">
        <v>2024002209</v>
      </c>
      <c r="B100">
        <v>45636</v>
      </c>
      <c r="C100">
        <v>2024</v>
      </c>
      <c r="D100" t="str">
        <v>CLIENT_0008</v>
      </c>
      <c r="E100" t="str">
        <v>PROD_006</v>
      </c>
      <c r="F100" t="str">
        <v>Monitor 27"</v>
      </c>
      <c r="G100" t="str">
        <v>Electronics</v>
      </c>
      <c r="H100">
        <v>1</v>
      </c>
      <c r="I100">
        <v>416.84</v>
      </c>
      <c r="J100">
        <v>416.84</v>
      </c>
      <c r="K100">
        <v>416.84</v>
      </c>
      <c r="L100">
        <v>0</v>
      </c>
      <c r="M100" t="str">
        <v>Spain</v>
      </c>
      <c r="N100" t="str">
        <v>Online</v>
      </c>
    </row>
    <row r="101" spans="1:14" x14ac:dyDescent="0.3">
      <c r="A101">
        <v>2024002130</v>
      </c>
      <c r="B101">
        <v>45364</v>
      </c>
      <c r="C101">
        <v>2024</v>
      </c>
      <c r="D101" t="str">
        <v>CLIENT_0052</v>
      </c>
      <c r="E101" t="str">
        <v>PROD_001</v>
      </c>
      <c r="F101" t="str">
        <v>Laptop Pro</v>
      </c>
      <c r="G101" t="str">
        <v>Electronics</v>
      </c>
      <c r="H101">
        <v>1</v>
      </c>
      <c r="I101">
        <v>1267.5</v>
      </c>
      <c r="J101">
        <v>1267.5</v>
      </c>
      <c r="K101">
        <v>1267.5</v>
      </c>
      <c r="L101">
        <v>0</v>
      </c>
      <c r="M101" t="str">
        <v>Germany</v>
      </c>
      <c r="N101" t="str">
        <v>B2B</v>
      </c>
    </row>
    <row r="102" spans="1:14" x14ac:dyDescent="0.3">
      <c r="A102">
        <v>2024001633</v>
      </c>
      <c r="B102">
        <v>45332</v>
      </c>
      <c r="C102">
        <v>2024</v>
      </c>
      <c r="D102" t="str">
        <v>CLIENT_0122</v>
      </c>
      <c r="E102" t="str">
        <v>PROD_003</v>
      </c>
      <c r="F102" t="str">
        <v>USB-C Cable</v>
      </c>
      <c r="G102" t="str">
        <v>Electronics</v>
      </c>
      <c r="H102">
        <v>2</v>
      </c>
      <c r="I102">
        <v>14.32</v>
      </c>
      <c r="J102">
        <v>28.64</v>
      </c>
      <c r="K102">
        <v>28.64</v>
      </c>
      <c r="L102">
        <v>0</v>
      </c>
      <c r="M102" t="str">
        <v>Belgium</v>
      </c>
      <c r="N102" t="str">
        <v>Reseller</v>
      </c>
    </row>
    <row r="103" spans="1:14" x14ac:dyDescent="0.3">
      <c r="A103">
        <v>2024001215</v>
      </c>
      <c r="B103">
        <v>45411</v>
      </c>
      <c r="C103">
        <v>2024</v>
      </c>
      <c r="D103" t="str">
        <v>CLIENT_0067</v>
      </c>
      <c r="E103" t="str">
        <v>PROD_007</v>
      </c>
      <c r="F103" t="str">
        <v>Keyboard Mechanical</v>
      </c>
      <c r="G103" t="str">
        <v>Electronics</v>
      </c>
      <c r="H103">
        <v>1</v>
      </c>
      <c r="I103">
        <v>110.09</v>
      </c>
      <c r="J103">
        <v>110.09</v>
      </c>
      <c r="K103">
        <v>110.09</v>
      </c>
      <c r="L103">
        <v>0</v>
      </c>
      <c r="M103" t="str">
        <v>Germany</v>
      </c>
      <c r="N103" t="str">
        <v>Reseller</v>
      </c>
    </row>
    <row r="104" spans="1:14" x14ac:dyDescent="0.3">
      <c r="A104">
        <v>2024002374</v>
      </c>
      <c r="B104">
        <v>45531</v>
      </c>
      <c r="C104">
        <v>2024</v>
      </c>
      <c r="D104" t="str">
        <v>CLIENT_0266</v>
      </c>
      <c r="E104" t="str">
        <v>PROD_006</v>
      </c>
      <c r="F104" t="str">
        <v>Monitor 27"</v>
      </c>
      <c r="G104" t="str">
        <v>Electronics</v>
      </c>
      <c r="H104">
        <v>4</v>
      </c>
      <c r="I104">
        <v>392.26</v>
      </c>
      <c r="J104">
        <v>1569.04</v>
      </c>
      <c r="K104">
        <v>1569.04</v>
      </c>
      <c r="L104">
        <v>0</v>
      </c>
      <c r="M104" t="str">
        <v>Sweden</v>
      </c>
      <c r="N104" t="str">
        <v>B2B</v>
      </c>
    </row>
    <row r="105" spans="1:14" x14ac:dyDescent="0.3">
      <c r="A105">
        <v>2024002392</v>
      </c>
      <c r="B105">
        <v>45317</v>
      </c>
      <c r="C105">
        <v>2024</v>
      </c>
      <c r="D105" t="str">
        <v>CLIENT_0271</v>
      </c>
      <c r="E105" t="str">
        <v>PROD_003</v>
      </c>
      <c r="F105" t="str">
        <v>USB-C Cable</v>
      </c>
      <c r="G105" t="str">
        <v>Electronics</v>
      </c>
      <c r="H105">
        <v>1</v>
      </c>
      <c r="I105">
        <v>15.22</v>
      </c>
      <c r="J105">
        <v>15.22</v>
      </c>
      <c r="K105">
        <v>15.22</v>
      </c>
      <c r="L105">
        <v>0</v>
      </c>
      <c r="M105" t="str">
        <v>UK</v>
      </c>
      <c r="N105" t="str">
        <v>Online</v>
      </c>
    </row>
    <row r="106" spans="1:14" x14ac:dyDescent="0.3">
      <c r="A106">
        <v>2024002423</v>
      </c>
      <c r="B106">
        <v>45554</v>
      </c>
      <c r="C106">
        <v>2024</v>
      </c>
      <c r="D106" t="str">
        <v>CLIENT_0035</v>
      </c>
      <c r="E106" t="str">
        <v>PROD_001</v>
      </c>
      <c r="F106" t="str">
        <v>Laptop Pro</v>
      </c>
      <c r="G106" t="str">
        <v>Electronics</v>
      </c>
      <c r="H106">
        <v>1</v>
      </c>
      <c r="I106">
        <v>1209.81</v>
      </c>
      <c r="J106">
        <v>1209.81</v>
      </c>
      <c r="K106">
        <v>1209.81</v>
      </c>
      <c r="L106">
        <v>0</v>
      </c>
      <c r="M106" t="str">
        <v>Austria</v>
      </c>
      <c r="N106" t="str">
        <v>Retail</v>
      </c>
    </row>
    <row r="107" spans="1:14" x14ac:dyDescent="0.3">
      <c r="A107">
        <v>2024001511</v>
      </c>
      <c r="B107">
        <v>45304</v>
      </c>
      <c r="C107">
        <v>2024</v>
      </c>
      <c r="D107" t="str">
        <v>CLIENT_0255</v>
      </c>
      <c r="E107" t="str">
        <v>PROD_005</v>
      </c>
      <c r="F107" t="str">
        <v>Standing Desk</v>
      </c>
      <c r="G107" t="str">
        <v>Furniture</v>
      </c>
      <c r="H107">
        <v>4</v>
      </c>
      <c r="I107">
        <v>547.79</v>
      </c>
      <c r="J107">
        <v>2191.16</v>
      </c>
      <c r="K107">
        <v>2191.16</v>
      </c>
      <c r="L107">
        <v>0</v>
      </c>
      <c r="M107" t="str">
        <v>Germany</v>
      </c>
      <c r="N107" t="str">
        <v>Reseller</v>
      </c>
    </row>
    <row r="108" spans="1:14" x14ac:dyDescent="0.3">
      <c r="A108">
        <v>2024002545</v>
      </c>
      <c r="B108">
        <v>45519</v>
      </c>
      <c r="C108">
        <v>2024</v>
      </c>
      <c r="D108" t="str">
        <v>CLIENT_0042</v>
      </c>
      <c r="E108" t="str">
        <v>PROD_009</v>
      </c>
      <c r="F108" t="str">
        <v>Phone Stand</v>
      </c>
      <c r="G108" t="str">
        <v>Accessories</v>
      </c>
      <c r="H108">
        <v>3</v>
      </c>
      <c r="I108">
        <v>26.08</v>
      </c>
      <c r="J108">
        <v>78.239999999999995</v>
      </c>
      <c r="K108">
        <v>78.239999999999995</v>
      </c>
      <c r="L108">
        <v>0</v>
      </c>
      <c r="M108" t="str">
        <v>Netherlands</v>
      </c>
      <c r="N108" t="str">
        <v>B2B</v>
      </c>
    </row>
    <row r="109" spans="1:14" x14ac:dyDescent="0.3">
      <c r="A109">
        <v>2024001302</v>
      </c>
      <c r="B109">
        <v>45317</v>
      </c>
      <c r="C109">
        <v>2024</v>
      </c>
      <c r="D109" t="str">
        <v>CLIENT_0026</v>
      </c>
      <c r="E109" t="str">
        <v>PROD_002</v>
      </c>
      <c r="F109" t="str">
        <v>Wireless Mouse</v>
      </c>
      <c r="G109" t="str">
        <v>Electronics</v>
      </c>
      <c r="H109">
        <v>4</v>
      </c>
      <c r="I109">
        <v>41.28</v>
      </c>
      <c r="J109">
        <v>165.12</v>
      </c>
      <c r="K109">
        <v>165.12</v>
      </c>
      <c r="L109">
        <v>0</v>
      </c>
      <c r="M109" t="str">
        <v>Belgium</v>
      </c>
      <c r="N109" t="str">
        <v>B2B</v>
      </c>
    </row>
    <row r="110" spans="1:14" x14ac:dyDescent="0.3">
      <c r="A110">
        <v>2024001424</v>
      </c>
      <c r="B110">
        <v>45614</v>
      </c>
      <c r="C110">
        <v>2024</v>
      </c>
      <c r="D110" t="str">
        <v>CLIENT_0042</v>
      </c>
      <c r="E110" t="str">
        <v>PROD_001</v>
      </c>
      <c r="F110" t="str">
        <v>Laptop Pro</v>
      </c>
      <c r="G110" t="str">
        <v>Electronics</v>
      </c>
      <c r="H110">
        <v>1</v>
      </c>
      <c r="I110">
        <v>1202.0899999999999</v>
      </c>
      <c r="J110">
        <v>1202.0899999999999</v>
      </c>
      <c r="K110">
        <v>1202.0899999999999</v>
      </c>
      <c r="L110">
        <v>0</v>
      </c>
      <c r="M110" t="str">
        <v>France</v>
      </c>
      <c r="N110" t="str">
        <v>Online</v>
      </c>
    </row>
    <row r="111" spans="1:14" x14ac:dyDescent="0.3">
      <c r="A111">
        <v>2024002590</v>
      </c>
      <c r="B111">
        <v>45301</v>
      </c>
      <c r="C111">
        <v>2024</v>
      </c>
      <c r="D111" t="str">
        <v>CLIENT_0288</v>
      </c>
      <c r="E111" t="str">
        <v>PROD_006</v>
      </c>
      <c r="F111" t="str">
        <v>Monitor 27"</v>
      </c>
      <c r="G111" t="str">
        <v>Electronics</v>
      </c>
      <c r="H111">
        <v>2</v>
      </c>
      <c r="I111">
        <v>417.46</v>
      </c>
      <c r="J111">
        <v>834.92</v>
      </c>
      <c r="K111">
        <v>834.92</v>
      </c>
      <c r="L111">
        <v>0</v>
      </c>
      <c r="M111" t="str">
        <v>Switzerland</v>
      </c>
      <c r="N111" t="str">
        <v>Reseller</v>
      </c>
    </row>
    <row r="112" spans="1:14" x14ac:dyDescent="0.3">
      <c r="A112">
        <v>2024002604</v>
      </c>
      <c r="B112">
        <v>45554</v>
      </c>
      <c r="C112">
        <v>2024</v>
      </c>
      <c r="D112" t="str">
        <v>CLIENT_0107</v>
      </c>
      <c r="E112" t="str">
        <v>PROD_004</v>
      </c>
      <c r="F112" t="str">
        <v>Desk Chair</v>
      </c>
      <c r="G112" t="str">
        <v>Furniture</v>
      </c>
      <c r="H112">
        <v>1</v>
      </c>
      <c r="I112">
        <v>373.18</v>
      </c>
      <c r="J112">
        <v>373.18</v>
      </c>
      <c r="K112">
        <v>373.18</v>
      </c>
      <c r="L112">
        <v>0</v>
      </c>
      <c r="M112" t="str">
        <v>Austria</v>
      </c>
      <c r="N112" t="str">
        <v>Retail</v>
      </c>
    </row>
    <row r="113" spans="1:14" x14ac:dyDescent="0.3">
      <c r="A113">
        <v>2024001066</v>
      </c>
      <c r="B113">
        <v>45498</v>
      </c>
      <c r="C113">
        <v>2024</v>
      </c>
      <c r="D113" t="str">
        <v>CLIENT_0111</v>
      </c>
      <c r="E113" t="str">
        <v>PROD_001</v>
      </c>
      <c r="F113" t="str">
        <v>Laptop Pro</v>
      </c>
      <c r="G113" t="str">
        <v>Electronics</v>
      </c>
      <c r="H113">
        <v>1</v>
      </c>
      <c r="I113">
        <v>1152.8599999999999</v>
      </c>
      <c r="J113">
        <v>1152.8599999999999</v>
      </c>
      <c r="K113">
        <v>1152.8599999999999</v>
      </c>
      <c r="L113">
        <v>0</v>
      </c>
      <c r="M113" t="str">
        <v>Italy</v>
      </c>
      <c r="N113" t="str">
        <v>Online</v>
      </c>
    </row>
    <row r="114" spans="1:14" x14ac:dyDescent="0.3">
      <c r="A114">
        <v>2024002641</v>
      </c>
      <c r="B114">
        <v>45595</v>
      </c>
      <c r="C114">
        <v>2024</v>
      </c>
      <c r="D114" t="str">
        <v>CLIENT_0042</v>
      </c>
      <c r="E114" t="str">
        <v>PROD_002</v>
      </c>
      <c r="F114" t="str">
        <v>Wireless Mouse</v>
      </c>
      <c r="G114" t="str">
        <v>Electronics</v>
      </c>
      <c r="H114">
        <v>2</v>
      </c>
      <c r="I114">
        <v>46.05</v>
      </c>
      <c r="J114">
        <v>92.1</v>
      </c>
      <c r="K114">
        <v>92.1</v>
      </c>
      <c r="L114">
        <v>0</v>
      </c>
      <c r="M114" t="str">
        <v>Spain</v>
      </c>
      <c r="N114" t="str">
        <v>Retail</v>
      </c>
    </row>
    <row r="115" spans="1:14" x14ac:dyDescent="0.3">
      <c r="A115">
        <v>2024002647</v>
      </c>
      <c r="B115">
        <v>45623</v>
      </c>
      <c r="C115">
        <v>2024</v>
      </c>
      <c r="D115" t="str">
        <v>CLIENT_0042</v>
      </c>
      <c r="E115" t="str">
        <v>PROD_008</v>
      </c>
      <c r="F115" t="str">
        <v>Desk Lamp</v>
      </c>
      <c r="G115" t="str">
        <v>Furniture</v>
      </c>
      <c r="H115">
        <v>1</v>
      </c>
      <c r="I115">
        <v>72.81</v>
      </c>
      <c r="J115">
        <v>72.81</v>
      </c>
      <c r="K115">
        <v>72.81</v>
      </c>
      <c r="L115">
        <v>0</v>
      </c>
      <c r="M115" t="str">
        <v>France</v>
      </c>
      <c r="N115" t="str">
        <v>B2B</v>
      </c>
    </row>
    <row r="116" spans="1:14" x14ac:dyDescent="0.3">
      <c r="A116">
        <v>2024002739</v>
      </c>
      <c r="B116">
        <v>45386</v>
      </c>
      <c r="C116">
        <v>2024</v>
      </c>
      <c r="D116" t="str">
        <v>CLIENT_0142</v>
      </c>
      <c r="E116" t="str">
        <v>PROD_006</v>
      </c>
      <c r="F116" t="str">
        <v>Monitor 27"</v>
      </c>
      <c r="G116" t="str">
        <v>Electronics</v>
      </c>
      <c r="H116">
        <v>2</v>
      </c>
      <c r="I116">
        <v>441.99</v>
      </c>
      <c r="J116">
        <v>883.98</v>
      </c>
      <c r="K116">
        <v>883.98</v>
      </c>
      <c r="L116">
        <v>0</v>
      </c>
      <c r="M116" t="str">
        <v>France</v>
      </c>
      <c r="N116" t="str">
        <v>Retail</v>
      </c>
    </row>
    <row r="117" spans="1:14" x14ac:dyDescent="0.3">
      <c r="A117">
        <v>2024001669</v>
      </c>
      <c r="B117">
        <v>45372</v>
      </c>
      <c r="C117">
        <v>2024</v>
      </c>
      <c r="D117" t="str">
        <v>CLIENT_0147</v>
      </c>
      <c r="E117" t="str">
        <v>PROD_007</v>
      </c>
      <c r="F117" t="str">
        <v>Keyboard Mechanical</v>
      </c>
      <c r="G117" t="str">
        <v>Electronics</v>
      </c>
      <c r="H117">
        <v>1</v>
      </c>
      <c r="I117">
        <v>111.77</v>
      </c>
      <c r="J117">
        <v>111.77</v>
      </c>
      <c r="K117">
        <v>111.77</v>
      </c>
      <c r="L117">
        <v>0</v>
      </c>
      <c r="M117" t="str">
        <v>France</v>
      </c>
      <c r="N117" t="str">
        <v>Retail</v>
      </c>
    </row>
    <row r="118" spans="1:14" x14ac:dyDescent="0.3">
      <c r="A118">
        <v>2024001027</v>
      </c>
      <c r="B118">
        <v>45389</v>
      </c>
      <c r="C118">
        <v>2024</v>
      </c>
      <c r="D118" t="str">
        <v>CLIENT_0173</v>
      </c>
      <c r="E118" t="str">
        <v>PROD_006</v>
      </c>
      <c r="F118" t="str">
        <v>Monitor 27"</v>
      </c>
      <c r="G118" t="str">
        <v>Electronics</v>
      </c>
      <c r="H118">
        <v>1</v>
      </c>
      <c r="I118">
        <v>420.54</v>
      </c>
      <c r="J118">
        <v>420.54</v>
      </c>
      <c r="K118">
        <v>420.54</v>
      </c>
      <c r="L118">
        <v>0</v>
      </c>
      <c r="M118" t="str">
        <v>Switzerland</v>
      </c>
      <c r="N118" t="str">
        <v>Online</v>
      </c>
    </row>
    <row r="119" spans="1:14" x14ac:dyDescent="0.3">
      <c r="A119">
        <v>2024002127</v>
      </c>
      <c r="B119">
        <v>45532</v>
      </c>
      <c r="C119">
        <v>2024</v>
      </c>
      <c r="D119" t="str">
        <v>CLIENT_0275</v>
      </c>
      <c r="E119" t="str">
        <v>PROD_007</v>
      </c>
      <c r="F119" t="str">
        <v>Keyboard Mechanical</v>
      </c>
      <c r="G119" t="str">
        <v>Electronics</v>
      </c>
      <c r="H119">
        <v>1</v>
      </c>
      <c r="I119">
        <v>110.53</v>
      </c>
      <c r="J119">
        <v>110.53</v>
      </c>
      <c r="K119">
        <v>110.53</v>
      </c>
      <c r="L119">
        <v>0</v>
      </c>
      <c r="M119" t="str">
        <v>Switzerland</v>
      </c>
      <c r="N119" t="str">
        <v>B2B</v>
      </c>
    </row>
    <row r="120" spans="1:14" x14ac:dyDescent="0.3">
      <c r="A120">
        <v>2024002374</v>
      </c>
      <c r="B120">
        <v>45399</v>
      </c>
      <c r="C120">
        <v>2024</v>
      </c>
      <c r="D120" t="str">
        <v>CLIENT_0132</v>
      </c>
      <c r="E120" t="str">
        <v>PROD_005</v>
      </c>
      <c r="F120" t="str">
        <v>Standing Desk</v>
      </c>
      <c r="G120" t="str">
        <v>Furniture</v>
      </c>
      <c r="H120">
        <v>2</v>
      </c>
      <c r="I120">
        <v>608.71</v>
      </c>
      <c r="J120">
        <v>1217.42</v>
      </c>
      <c r="K120">
        <v>1217.42</v>
      </c>
      <c r="L120">
        <v>0</v>
      </c>
      <c r="M120" t="str">
        <v>Italy</v>
      </c>
      <c r="N120" t="str">
        <v>B2B</v>
      </c>
    </row>
    <row r="121" spans="1:14" x14ac:dyDescent="0.3">
      <c r="A121">
        <v>2024002963</v>
      </c>
      <c r="B121">
        <v>45408</v>
      </c>
      <c r="C121">
        <v>2024</v>
      </c>
      <c r="D121" t="str">
        <v>CLIENT_0042</v>
      </c>
      <c r="E121" t="str">
        <v>PROD_001</v>
      </c>
      <c r="F121" t="str">
        <v>Laptop Pro</v>
      </c>
      <c r="G121" t="str">
        <v>Electronics</v>
      </c>
      <c r="H121">
        <v>4</v>
      </c>
      <c r="I121">
        <v>1159.8599999999999</v>
      </c>
      <c r="J121">
        <v>4639.4399999999996</v>
      </c>
      <c r="K121">
        <v>4639.4399999999996</v>
      </c>
      <c r="L121">
        <v>0</v>
      </c>
      <c r="M121" t="str">
        <v>Germany</v>
      </c>
      <c r="N121" t="str">
        <v>Reseller</v>
      </c>
    </row>
    <row r="122" spans="1:14" x14ac:dyDescent="0.3">
      <c r="A122">
        <v>2024002604</v>
      </c>
      <c r="B122">
        <v>45477</v>
      </c>
      <c r="C122">
        <v>2024</v>
      </c>
      <c r="D122" t="str">
        <v>CLIENT_0012</v>
      </c>
      <c r="E122" t="str">
        <v>PROD_001</v>
      </c>
      <c r="F122" t="str">
        <v>Laptop Pro</v>
      </c>
      <c r="G122" t="str">
        <v>Electronics</v>
      </c>
      <c r="H122">
        <v>1</v>
      </c>
      <c r="I122">
        <v>1171.3800000000001</v>
      </c>
      <c r="J122">
        <v>1171.3800000000001</v>
      </c>
      <c r="K122">
        <v>1171.3800000000001</v>
      </c>
      <c r="L122">
        <v>0</v>
      </c>
      <c r="M122" t="str">
        <v>Spain</v>
      </c>
      <c r="N122" t="str">
        <v>Retail</v>
      </c>
    </row>
    <row r="123" spans="1:14" x14ac:dyDescent="0.3">
      <c r="A123">
        <v>2024001738</v>
      </c>
      <c r="B123">
        <v>45535</v>
      </c>
      <c r="C123">
        <v>2024</v>
      </c>
      <c r="D123" t="str">
        <v>CLIENT_0270</v>
      </c>
      <c r="E123" t="str">
        <v>PROD_007</v>
      </c>
      <c r="F123" t="str">
        <v>Keyboard Mechanical</v>
      </c>
      <c r="G123" t="str">
        <v>Electronics</v>
      </c>
      <c r="H123">
        <v>0</v>
      </c>
      <c r="I123">
        <v>115.97</v>
      </c>
      <c r="J123">
        <v>0</v>
      </c>
      <c r="K123">
        <v>0</v>
      </c>
      <c r="L123">
        <v>0</v>
      </c>
      <c r="M123" t="str">
        <v>Spain</v>
      </c>
      <c r="N123" t="str">
        <v>Reseller</v>
      </c>
    </row>
    <row r="124" spans="1:14" x14ac:dyDescent="0.3">
      <c r="A124">
        <v>2024003032</v>
      </c>
      <c r="B124">
        <v>45548</v>
      </c>
      <c r="C124">
        <v>2024</v>
      </c>
      <c r="D124" t="str">
        <v>CLIENT_0042</v>
      </c>
      <c r="E124" t="str">
        <v>PROD_008</v>
      </c>
      <c r="F124" t="str">
        <v>Desk Lamp</v>
      </c>
      <c r="G124" t="str">
        <v>Furniture</v>
      </c>
      <c r="H124">
        <v>1</v>
      </c>
      <c r="I124">
        <v>78.150000000000006</v>
      </c>
      <c r="J124">
        <v>78.150000000000006</v>
      </c>
      <c r="K124">
        <v>78.150000000000006</v>
      </c>
      <c r="L124">
        <v>0</v>
      </c>
      <c r="M124" t="str">
        <v>Spain</v>
      </c>
      <c r="N124" t="str">
        <v>Reseller</v>
      </c>
    </row>
    <row r="125" spans="1:14" x14ac:dyDescent="0.3">
      <c r="A125">
        <v>2024002963</v>
      </c>
      <c r="B125">
        <v>45435</v>
      </c>
      <c r="C125">
        <v>2024</v>
      </c>
      <c r="D125" t="str">
        <v>CLIENT_0042</v>
      </c>
      <c r="E125" t="str">
        <v>PROD_003</v>
      </c>
      <c r="F125" t="str">
        <v>USB-C Cable</v>
      </c>
      <c r="G125" t="str">
        <v>Electronics</v>
      </c>
      <c r="H125">
        <v>1</v>
      </c>
      <c r="I125">
        <v>15.79</v>
      </c>
      <c r="J125">
        <v>15.79</v>
      </c>
      <c r="K125">
        <v>15.79</v>
      </c>
      <c r="L125">
        <v>0</v>
      </c>
      <c r="M125" t="str">
        <v>Sweden</v>
      </c>
      <c r="N125" t="str">
        <v>Reseller</v>
      </c>
    </row>
    <row r="126" spans="1:14" x14ac:dyDescent="0.3">
      <c r="A126">
        <v>2024002545</v>
      </c>
      <c r="B126">
        <v>45294</v>
      </c>
      <c r="C126">
        <v>2024</v>
      </c>
      <c r="D126" t="str">
        <v>CLIENT_0243</v>
      </c>
      <c r="E126" t="str">
        <v>PROD_008</v>
      </c>
      <c r="F126" t="str">
        <v>Desk Lamp</v>
      </c>
      <c r="G126" t="str">
        <v>Furniture</v>
      </c>
      <c r="H126">
        <v>2</v>
      </c>
      <c r="I126">
        <v>83.72</v>
      </c>
      <c r="J126">
        <v>167.44</v>
      </c>
      <c r="K126">
        <v>167.44</v>
      </c>
      <c r="L126">
        <v>0</v>
      </c>
      <c r="M126" t="str">
        <v>Germany</v>
      </c>
      <c r="N126" t="str">
        <v>Retail</v>
      </c>
    </row>
    <row r="127" spans="1:14" x14ac:dyDescent="0.3">
      <c r="A127">
        <v>2024003117</v>
      </c>
      <c r="B127">
        <v>45636</v>
      </c>
      <c r="C127">
        <v>2024</v>
      </c>
      <c r="D127" t="str">
        <v>CLIENT_0139</v>
      </c>
      <c r="E127" t="str">
        <v>PROD_004</v>
      </c>
      <c r="F127" t="str">
        <v>Desk Chair</v>
      </c>
      <c r="G127" t="str">
        <v>Furniture</v>
      </c>
      <c r="H127">
        <v>3</v>
      </c>
      <c r="I127">
        <v>338.47</v>
      </c>
      <c r="J127">
        <v>1015.41</v>
      </c>
      <c r="K127">
        <v>1015.4100000000001</v>
      </c>
      <c r="L127">
        <v>0</v>
      </c>
      <c r="M127" t="str">
        <v>Netherlands</v>
      </c>
      <c r="N127" t="str">
        <v>Online</v>
      </c>
    </row>
    <row r="128" spans="1:14" x14ac:dyDescent="0.3">
      <c r="A128">
        <v>2024001461</v>
      </c>
      <c r="B128">
        <v>45588</v>
      </c>
      <c r="C128">
        <v>2024</v>
      </c>
      <c r="D128" t="str">
        <v>CLIENT_0123</v>
      </c>
      <c r="E128" t="str">
        <v>PROD_006</v>
      </c>
      <c r="F128" t="str">
        <v>Monitor 27"</v>
      </c>
      <c r="G128" t="str">
        <v>Electronics</v>
      </c>
      <c r="H128">
        <v>1</v>
      </c>
      <c r="I128">
        <v>392</v>
      </c>
      <c r="J128">
        <v>392</v>
      </c>
      <c r="K128">
        <v>392</v>
      </c>
      <c r="L128">
        <v>0</v>
      </c>
      <c r="M128" t="str">
        <v>Spain</v>
      </c>
      <c r="N128" t="str">
        <v>Reseller</v>
      </c>
    </row>
    <row r="129" spans="1:14" x14ac:dyDescent="0.3">
      <c r="A129">
        <v>2024003210</v>
      </c>
      <c r="B129">
        <v>45294</v>
      </c>
      <c r="C129">
        <v>2024</v>
      </c>
      <c r="D129" t="str">
        <v>CLIENT_0285</v>
      </c>
      <c r="E129" t="str">
        <v>PROD_006</v>
      </c>
      <c r="F129" t="str">
        <v>Monitor 27"</v>
      </c>
      <c r="G129" t="str">
        <v>Electronics</v>
      </c>
      <c r="H129">
        <v>1</v>
      </c>
      <c r="I129">
        <v>350.84</v>
      </c>
      <c r="J129">
        <v>350.84</v>
      </c>
      <c r="K129">
        <v>350.84</v>
      </c>
      <c r="L129">
        <v>0</v>
      </c>
      <c r="M129" t="str">
        <v>Netherlands</v>
      </c>
      <c r="N129" t="str">
        <v>Retail</v>
      </c>
    </row>
    <row r="130" spans="1:14" x14ac:dyDescent="0.3">
      <c r="A130">
        <v>2024002392</v>
      </c>
      <c r="B130">
        <v>45340</v>
      </c>
      <c r="C130">
        <v>2024</v>
      </c>
      <c r="D130" t="str">
        <v>CLIENT_0006</v>
      </c>
      <c r="E130" t="str">
        <v>PROD_005</v>
      </c>
      <c r="F130" t="str">
        <v>Standing Desk</v>
      </c>
      <c r="G130" t="str">
        <v>Furniture</v>
      </c>
      <c r="H130">
        <v>2</v>
      </c>
      <c r="I130">
        <v>557.92999999999995</v>
      </c>
      <c r="J130">
        <v>1115.8599999999999</v>
      </c>
      <c r="K130">
        <v>1115.8599999999999</v>
      </c>
      <c r="L130">
        <v>0</v>
      </c>
      <c r="M130" t="str">
        <v>Netherlands</v>
      </c>
      <c r="N130" t="str">
        <v>Online</v>
      </c>
    </row>
    <row r="131" spans="1:14" x14ac:dyDescent="0.3">
      <c r="A131">
        <v>2024003299</v>
      </c>
      <c r="B131">
        <v>45480</v>
      </c>
      <c r="C131">
        <v>2024</v>
      </c>
      <c r="D131" t="str">
        <v>CLIENT_0112</v>
      </c>
      <c r="E131" t="str">
        <v>PROD_006</v>
      </c>
      <c r="F131" t="str">
        <v>Monitor 27"</v>
      </c>
      <c r="G131" t="str">
        <v>Electronics</v>
      </c>
      <c r="H131">
        <v>2</v>
      </c>
      <c r="I131">
        <v>401.74</v>
      </c>
      <c r="J131">
        <v>803.48</v>
      </c>
      <c r="K131">
        <v>803.48</v>
      </c>
      <c r="L131">
        <v>0</v>
      </c>
      <c r="M131" t="str">
        <v>Spain</v>
      </c>
      <c r="N131" t="str">
        <v>Retail</v>
      </c>
    </row>
    <row r="132" spans="1:14" x14ac:dyDescent="0.3">
      <c r="A132">
        <v>2024001909</v>
      </c>
      <c r="B132">
        <v>45552</v>
      </c>
      <c r="C132">
        <v>2024</v>
      </c>
      <c r="D132" t="str">
        <v>CLIENT_0135</v>
      </c>
      <c r="E132" t="str">
        <v>PROD_002</v>
      </c>
      <c r="F132" t="str">
        <v>Wireless Mouse</v>
      </c>
      <c r="G132" t="str">
        <v>Electronics</v>
      </c>
      <c r="H132">
        <v>3</v>
      </c>
      <c r="I132">
        <v>42.66</v>
      </c>
      <c r="J132">
        <v>127.98</v>
      </c>
      <c r="K132">
        <v>127.97999999999999</v>
      </c>
      <c r="L132">
        <v>0</v>
      </c>
      <c r="M132" t="str">
        <v>Italy</v>
      </c>
      <c r="N132" t="str">
        <v>Online</v>
      </c>
    </row>
    <row r="133" spans="1:14" x14ac:dyDescent="0.3">
      <c r="A133">
        <v>2024002641</v>
      </c>
      <c r="B133">
        <v>45510</v>
      </c>
      <c r="C133">
        <v>2024</v>
      </c>
      <c r="D133" t="str">
        <v>CLIENT_0266</v>
      </c>
      <c r="E133" t="str">
        <v>PROD_002</v>
      </c>
      <c r="F133" t="str">
        <v>Wireless Mouse</v>
      </c>
      <c r="G133" t="str">
        <v>Electronics</v>
      </c>
      <c r="H133">
        <v>1</v>
      </c>
      <c r="I133">
        <v>46.34</v>
      </c>
      <c r="J133">
        <v>46.34</v>
      </c>
      <c r="K133">
        <v>46.34</v>
      </c>
      <c r="L133">
        <v>0</v>
      </c>
      <c r="M133" t="str">
        <v>Switzerland</v>
      </c>
      <c r="N133" t="str">
        <v>Online</v>
      </c>
    </row>
    <row r="134" spans="1:14" x14ac:dyDescent="0.3">
      <c r="A134">
        <v>2024001518</v>
      </c>
      <c r="B134">
        <v>45473</v>
      </c>
      <c r="C134">
        <v>2024</v>
      </c>
      <c r="D134" t="str">
        <v>CLIENT_0239</v>
      </c>
      <c r="E134" t="str">
        <v>PROD_009</v>
      </c>
      <c r="F134" t="str">
        <v>Phone Stand</v>
      </c>
      <c r="G134" t="str">
        <v>Accessories</v>
      </c>
      <c r="H134">
        <v>5</v>
      </c>
      <c r="I134">
        <v>22.76</v>
      </c>
      <c r="J134">
        <v>113.8</v>
      </c>
      <c r="K134">
        <v>113.80000000000001</v>
      </c>
      <c r="L134">
        <v>0</v>
      </c>
      <c r="M134" t="str">
        <v>Spain</v>
      </c>
      <c r="N134" t="str">
        <v>Retail</v>
      </c>
    </row>
    <row r="135" spans="1:14" x14ac:dyDescent="0.3">
      <c r="A135">
        <v>2024001089</v>
      </c>
      <c r="B135">
        <v>45434</v>
      </c>
      <c r="C135">
        <v>2024</v>
      </c>
      <c r="D135" t="str">
        <v>CLIENT_0097</v>
      </c>
      <c r="E135" t="str">
        <v>PROD_005</v>
      </c>
      <c r="F135" t="str">
        <v>Standing Desk</v>
      </c>
      <c r="G135" t="str">
        <v>Furniture</v>
      </c>
      <c r="H135">
        <v>2</v>
      </c>
      <c r="I135">
        <v>550.33000000000004</v>
      </c>
      <c r="J135">
        <v>1100.6600000000001</v>
      </c>
      <c r="K135">
        <v>1100.6600000000001</v>
      </c>
      <c r="L135">
        <v>0</v>
      </c>
      <c r="M135" t="str">
        <v>Spain</v>
      </c>
      <c r="N135" t="str">
        <v>Online</v>
      </c>
    </row>
    <row r="136" spans="1:14" x14ac:dyDescent="0.3">
      <c r="A136">
        <v>2024003629</v>
      </c>
      <c r="B136">
        <v>45300</v>
      </c>
      <c r="C136">
        <v>2024</v>
      </c>
      <c r="D136" t="str">
        <v>CLIENT_0071</v>
      </c>
      <c r="E136" t="str">
        <v>PROD_010</v>
      </c>
      <c r="F136" t="str">
        <v>Webcam HD</v>
      </c>
      <c r="G136" t="str">
        <v>Electronics</v>
      </c>
      <c r="H136">
        <v>1</v>
      </c>
      <c r="I136">
        <v>94.71</v>
      </c>
      <c r="J136">
        <v>94.71</v>
      </c>
      <c r="K136">
        <v>94.71</v>
      </c>
      <c r="L136">
        <v>0</v>
      </c>
      <c r="M136" t="str">
        <v>Spain</v>
      </c>
      <c r="N136" t="str">
        <v>Reseller</v>
      </c>
    </row>
    <row r="137" spans="1:14" x14ac:dyDescent="0.3">
      <c r="A137">
        <v>2024003210</v>
      </c>
      <c r="B137">
        <v>45502</v>
      </c>
      <c r="C137">
        <v>2024</v>
      </c>
      <c r="D137" t="str">
        <v>CLIENT_0018</v>
      </c>
      <c r="E137" t="str">
        <v>PROD_001</v>
      </c>
      <c r="F137" t="str">
        <v>Laptop Pro</v>
      </c>
      <c r="G137" t="str">
        <v>Electronics</v>
      </c>
      <c r="H137">
        <v>2</v>
      </c>
      <c r="I137">
        <v>1137.32</v>
      </c>
      <c r="J137">
        <v>2274.64</v>
      </c>
      <c r="K137">
        <v>2274.64</v>
      </c>
      <c r="L137">
        <v>0</v>
      </c>
      <c r="M137" t="str">
        <v>Austria</v>
      </c>
      <c r="N137" t="str">
        <v>Retail</v>
      </c>
    </row>
    <row r="138" spans="1:14" x14ac:dyDescent="0.3">
      <c r="A138">
        <v>2024003738</v>
      </c>
      <c r="B138">
        <v>45304</v>
      </c>
      <c r="C138">
        <v>2024</v>
      </c>
      <c r="D138" t="str">
        <v>CLIENT_0300</v>
      </c>
      <c r="E138" t="str">
        <v>PROD_008</v>
      </c>
      <c r="F138" t="str">
        <v>Desk Lamp</v>
      </c>
      <c r="G138" t="str">
        <v>Furniture</v>
      </c>
      <c r="H138">
        <v>1</v>
      </c>
      <c r="I138">
        <v>90.08</v>
      </c>
      <c r="J138">
        <v>90.08</v>
      </c>
      <c r="K138">
        <v>90.08</v>
      </c>
      <c r="L138">
        <v>0</v>
      </c>
      <c r="M138" t="str">
        <v>France</v>
      </c>
      <c r="N138" t="str">
        <v>Retail</v>
      </c>
    </row>
    <row r="139" spans="1:14" x14ac:dyDescent="0.3">
      <c r="A139">
        <v>2024003738</v>
      </c>
      <c r="B139">
        <v>45434</v>
      </c>
      <c r="C139">
        <v>2024</v>
      </c>
      <c r="D139" t="str">
        <v>CLIENT_0246</v>
      </c>
      <c r="E139" t="str">
        <v>PROD_004</v>
      </c>
      <c r="F139" t="str">
        <v>Desk Chair</v>
      </c>
      <c r="G139" t="str">
        <v>Furniture</v>
      </c>
      <c r="H139">
        <v>5</v>
      </c>
      <c r="I139">
        <v>352.31</v>
      </c>
      <c r="J139">
        <v>1761.55</v>
      </c>
      <c r="K139">
        <v>1761.55</v>
      </c>
      <c r="L139">
        <v>0</v>
      </c>
      <c r="M139" t="str">
        <v>Sweden</v>
      </c>
      <c r="N139" t="str">
        <v>Reseller</v>
      </c>
    </row>
    <row r="140" spans="1:14" x14ac:dyDescent="0.3">
      <c r="A140">
        <v>2024001809</v>
      </c>
      <c r="B140">
        <v>45612</v>
      </c>
      <c r="C140">
        <v>2024</v>
      </c>
      <c r="D140" t="str">
        <v>CLIENT_0207</v>
      </c>
      <c r="E140" t="str">
        <v>PROD_008</v>
      </c>
      <c r="F140" t="str">
        <v>Desk Lamp</v>
      </c>
      <c r="G140" t="str">
        <v>Furniture</v>
      </c>
      <c r="H140">
        <v>2</v>
      </c>
      <c r="I140">
        <v>81.23</v>
      </c>
      <c r="J140">
        <v>162.46</v>
      </c>
      <c r="K140">
        <v>162.46</v>
      </c>
      <c r="L140">
        <v>0</v>
      </c>
      <c r="M140" t="str">
        <v>Germany</v>
      </c>
      <c r="N140" t="str">
        <v>Online</v>
      </c>
    </row>
    <row r="141" spans="1:14" x14ac:dyDescent="0.3">
      <c r="A141">
        <v>2024003117</v>
      </c>
      <c r="B141">
        <v>45527</v>
      </c>
      <c r="C141">
        <v>2024</v>
      </c>
      <c r="D141" t="str">
        <v>CLIENT_0291</v>
      </c>
      <c r="E141" t="str">
        <v>PROD_007</v>
      </c>
      <c r="F141" t="str">
        <v>Keyboard Mechanical</v>
      </c>
      <c r="G141" t="str">
        <v>Electronics</v>
      </c>
      <c r="H141">
        <v>2</v>
      </c>
      <c r="I141">
        <v>119.97</v>
      </c>
      <c r="J141">
        <v>239.94</v>
      </c>
      <c r="K141">
        <v>239.94</v>
      </c>
      <c r="L141">
        <v>0</v>
      </c>
      <c r="M141" t="str">
        <v>Spain</v>
      </c>
      <c r="N141" t="str">
        <v>B2B</v>
      </c>
    </row>
    <row r="142" spans="1:14" x14ac:dyDescent="0.3">
      <c r="A142">
        <v>2024002209</v>
      </c>
      <c r="B142">
        <v>45444</v>
      </c>
      <c r="C142">
        <v>2024</v>
      </c>
      <c r="D142" t="str">
        <v>CLIENT_0163</v>
      </c>
      <c r="E142" t="str">
        <v>PROD_003</v>
      </c>
      <c r="F142" t="str">
        <v>USB-C Cable</v>
      </c>
      <c r="G142" t="str">
        <v>Electronics</v>
      </c>
      <c r="H142">
        <v>3</v>
      </c>
      <c r="I142">
        <v>14.94</v>
      </c>
      <c r="J142">
        <v>44.82</v>
      </c>
      <c r="K142">
        <v>44.82</v>
      </c>
      <c r="L142">
        <v>0</v>
      </c>
      <c r="M142" t="str">
        <v>Belgium</v>
      </c>
      <c r="N142" t="str">
        <v>B2B</v>
      </c>
    </row>
    <row r="143" spans="1:14" x14ac:dyDescent="0.3">
      <c r="A143">
        <v>2024001272</v>
      </c>
      <c r="B143">
        <v>45407</v>
      </c>
      <c r="C143">
        <v>2024</v>
      </c>
      <c r="D143" t="str">
        <v>CLIENT_0104</v>
      </c>
      <c r="E143" t="str">
        <v>PROD_003</v>
      </c>
      <c r="F143" t="str">
        <v>USB-C Cable</v>
      </c>
      <c r="G143" t="str">
        <v>Electronics</v>
      </c>
      <c r="H143">
        <v>3</v>
      </c>
      <c r="I143">
        <v>14.35</v>
      </c>
      <c r="J143">
        <v>43.05</v>
      </c>
      <c r="K143">
        <v>43.05</v>
      </c>
      <c r="L143">
        <v>0</v>
      </c>
      <c r="M143" t="str">
        <v>France</v>
      </c>
      <c r="N143" t="str">
        <v>Retail</v>
      </c>
    </row>
    <row r="144" spans="1:14" x14ac:dyDescent="0.3">
      <c r="A144">
        <v>2024003032</v>
      </c>
      <c r="B144">
        <v>45418</v>
      </c>
      <c r="C144">
        <v>2024</v>
      </c>
      <c r="D144" t="str">
        <v>CLIENT_0121</v>
      </c>
      <c r="E144" t="str">
        <v>PROD_005</v>
      </c>
      <c r="F144" t="str">
        <v>Standing Desk</v>
      </c>
      <c r="G144" t="str">
        <v>Furniture</v>
      </c>
      <c r="H144">
        <v>2</v>
      </c>
      <c r="I144">
        <v>579.92999999999995</v>
      </c>
      <c r="J144">
        <v>1159.8599999999999</v>
      </c>
      <c r="K144">
        <v>1159.8599999999999</v>
      </c>
      <c r="L144">
        <v>0</v>
      </c>
      <c r="M144" t="str">
        <v>Italy</v>
      </c>
      <c r="N144" t="str">
        <v>Retail</v>
      </c>
    </row>
    <row r="145" spans="1:14" x14ac:dyDescent="0.3">
      <c r="A145">
        <v>2024002590</v>
      </c>
      <c r="B145">
        <v>45351</v>
      </c>
      <c r="C145">
        <v>2024</v>
      </c>
      <c r="D145" t="str">
        <v>CLIENT_0241</v>
      </c>
      <c r="E145" t="str">
        <v>PROD_004</v>
      </c>
      <c r="F145" t="str">
        <v>Desk Chair</v>
      </c>
      <c r="G145" t="str">
        <v>Furniture</v>
      </c>
      <c r="H145">
        <v>3</v>
      </c>
      <c r="I145">
        <v>351.12</v>
      </c>
      <c r="J145">
        <v>1053.3599999999999</v>
      </c>
      <c r="K145">
        <v>1053.3600000000001</v>
      </c>
      <c r="L145">
        <v>0</v>
      </c>
      <c r="M145" t="str">
        <v>Belgium</v>
      </c>
      <c r="N145" t="str">
        <v>B2B</v>
      </c>
    </row>
    <row r="146" spans="1:14" x14ac:dyDescent="0.3">
      <c r="A146">
        <v>2024004269</v>
      </c>
      <c r="B146">
        <v>45529</v>
      </c>
      <c r="C146">
        <v>2024</v>
      </c>
      <c r="D146" t="str">
        <v>CLIENT_0243</v>
      </c>
      <c r="E146" t="str">
        <v>PROD_007</v>
      </c>
      <c r="F146" t="str">
        <v>Keyboard Mechanical</v>
      </c>
      <c r="G146" t="str">
        <v>Electronics</v>
      </c>
      <c r="H146">
        <v>4</v>
      </c>
      <c r="I146">
        <v>119.22</v>
      </c>
      <c r="J146">
        <v>476.88</v>
      </c>
      <c r="K146">
        <v>476.88</v>
      </c>
      <c r="L146">
        <v>0</v>
      </c>
      <c r="M146" t="str">
        <v>Belgium</v>
      </c>
      <c r="N146" t="str">
        <v>B2B</v>
      </c>
    </row>
    <row r="147" spans="1:14" x14ac:dyDescent="0.3">
      <c r="A147">
        <v>2024002374</v>
      </c>
      <c r="B147">
        <v>45505</v>
      </c>
      <c r="C147">
        <v>2024</v>
      </c>
      <c r="D147" t="str">
        <v>CLIENT_0239</v>
      </c>
      <c r="E147" t="str">
        <v>PROD_003</v>
      </c>
      <c r="F147" t="str">
        <v>USB-C Cable</v>
      </c>
      <c r="G147" t="str">
        <v>Electronics</v>
      </c>
      <c r="H147">
        <v>1</v>
      </c>
      <c r="I147">
        <v>15.52</v>
      </c>
      <c r="J147">
        <v>15.52</v>
      </c>
      <c r="K147">
        <v>15.52</v>
      </c>
      <c r="L147">
        <v>0</v>
      </c>
      <c r="M147" t="str">
        <v>Switzerland</v>
      </c>
      <c r="N147" t="str">
        <v>Retail</v>
      </c>
    </row>
    <row r="148" spans="1:14" x14ac:dyDescent="0.3">
      <c r="A148">
        <v>2024002423</v>
      </c>
      <c r="B148">
        <v>45354</v>
      </c>
      <c r="C148">
        <v>2024</v>
      </c>
      <c r="D148" t="str">
        <v>CLIENT_0032</v>
      </c>
      <c r="E148" t="str">
        <v>PROD_009</v>
      </c>
      <c r="F148" t="str">
        <v>Phone Stand</v>
      </c>
      <c r="G148" t="str">
        <v>Accessories</v>
      </c>
      <c r="H148">
        <v>1</v>
      </c>
      <c r="I148">
        <v>24.65</v>
      </c>
      <c r="J148">
        <v>24.65</v>
      </c>
      <c r="K148">
        <v>24.65</v>
      </c>
      <c r="L148">
        <v>0</v>
      </c>
      <c r="M148" t="str">
        <v>Germany</v>
      </c>
      <c r="N148" t="str">
        <v>B2B</v>
      </c>
    </row>
    <row r="149" spans="1:14" x14ac:dyDescent="0.3">
      <c r="A149">
        <v>2024001962</v>
      </c>
      <c r="B149">
        <v>45633</v>
      </c>
      <c r="C149">
        <v>2024</v>
      </c>
      <c r="D149" t="str">
        <v>CLIENT_0161</v>
      </c>
      <c r="E149" t="str">
        <v>PROD_002</v>
      </c>
      <c r="F149" t="str">
        <v>Wireless Mouse</v>
      </c>
      <c r="G149" t="str">
        <v>Electronics</v>
      </c>
      <c r="H149">
        <v>1</v>
      </c>
      <c r="I149">
        <v>46.13</v>
      </c>
      <c r="J149">
        <v>46.13</v>
      </c>
      <c r="K149">
        <v>46.13</v>
      </c>
      <c r="L149">
        <v>0</v>
      </c>
      <c r="M149" t="str">
        <v>Spain</v>
      </c>
      <c r="N149" t="str">
        <v>B2B</v>
      </c>
    </row>
    <row r="150" spans="1:14" x14ac:dyDescent="0.3">
      <c r="A150">
        <v>2024002739</v>
      </c>
      <c r="B150">
        <v>45469</v>
      </c>
      <c r="C150">
        <v>2024</v>
      </c>
      <c r="D150" t="str">
        <v>CLIENT_0012</v>
      </c>
      <c r="E150" t="str">
        <v>PROD_009</v>
      </c>
      <c r="F150" t="str">
        <v>Phone Stand</v>
      </c>
      <c r="G150" t="str">
        <v>Accessories</v>
      </c>
      <c r="H150">
        <v>1</v>
      </c>
      <c r="I150">
        <v>23.36</v>
      </c>
      <c r="J150">
        <v>23.36</v>
      </c>
      <c r="K150">
        <v>23.36</v>
      </c>
      <c r="L150">
        <v>0</v>
      </c>
      <c r="M150" t="str">
        <v>UK</v>
      </c>
      <c r="N150" t="str">
        <v>Online</v>
      </c>
    </row>
    <row r="151" spans="1:14" x14ac:dyDescent="0.3">
      <c r="A151">
        <v>2024004529</v>
      </c>
      <c r="B151">
        <v>45355</v>
      </c>
      <c r="C151">
        <v>2024</v>
      </c>
      <c r="D151" t="str">
        <v>CLIENT_0062</v>
      </c>
      <c r="E151" t="str">
        <v>PROD_004</v>
      </c>
      <c r="F151" t="str">
        <v>Desk Chair</v>
      </c>
      <c r="G151" t="str">
        <v>Furniture</v>
      </c>
      <c r="H151">
        <v>2</v>
      </c>
      <c r="I151">
        <v>361.68</v>
      </c>
      <c r="J151">
        <v>723.36</v>
      </c>
      <c r="K151">
        <v>723.36</v>
      </c>
      <c r="L151">
        <v>0</v>
      </c>
      <c r="M151" t="str">
        <v>France</v>
      </c>
      <c r="N151" t="str">
        <v>Reseller</v>
      </c>
    </row>
    <row r="152" spans="1:14" x14ac:dyDescent="0.3">
      <c r="A152">
        <v>2024002100</v>
      </c>
      <c r="B152">
        <v>45571</v>
      </c>
      <c r="C152">
        <v>2024</v>
      </c>
      <c r="D152" t="str">
        <v>CLIENT_0044</v>
      </c>
      <c r="E152" t="str">
        <v>PROD_002</v>
      </c>
      <c r="F152" t="str">
        <v>Wireless Mouse</v>
      </c>
      <c r="G152" t="str">
        <v>Electronics</v>
      </c>
      <c r="H152">
        <v>2</v>
      </c>
      <c r="I152">
        <v>43.71</v>
      </c>
      <c r="J152">
        <v>87.42</v>
      </c>
      <c r="K152">
        <v>87.42</v>
      </c>
      <c r="L152">
        <v>0</v>
      </c>
      <c r="M152" t="str">
        <v>Belgium</v>
      </c>
      <c r="N152" t="str">
        <v>Retail</v>
      </c>
    </row>
    <row r="153" spans="1:14" x14ac:dyDescent="0.3">
      <c r="A153">
        <v>2024004269</v>
      </c>
      <c r="B153">
        <v>45593</v>
      </c>
      <c r="C153">
        <v>2024</v>
      </c>
      <c r="D153" t="str">
        <v>CLIENT_0129</v>
      </c>
      <c r="E153" t="str">
        <v>PROD_009</v>
      </c>
      <c r="F153" t="str">
        <v>Phone Stand</v>
      </c>
      <c r="G153" t="str">
        <v>Accessories</v>
      </c>
      <c r="H153">
        <v>2</v>
      </c>
      <c r="I153">
        <v>26.08</v>
      </c>
      <c r="J153">
        <v>52.16</v>
      </c>
      <c r="K153">
        <v>52.16</v>
      </c>
      <c r="L153">
        <v>0</v>
      </c>
      <c r="M153" t="str">
        <v>Switzerland</v>
      </c>
      <c r="N153" t="str">
        <v>Online</v>
      </c>
    </row>
    <row r="154" spans="1:14" x14ac:dyDescent="0.3">
      <c r="A154">
        <v>2024004844</v>
      </c>
      <c r="B154">
        <v>45403</v>
      </c>
      <c r="C154">
        <v>2024</v>
      </c>
      <c r="D154" t="str">
        <v>CLIENT_0042</v>
      </c>
      <c r="E154" t="str">
        <v>PROD_008</v>
      </c>
      <c r="F154" t="str">
        <v>Desk Lamp</v>
      </c>
      <c r="G154" t="str">
        <v>Furniture</v>
      </c>
      <c r="H154">
        <v>1</v>
      </c>
      <c r="I154">
        <v>75.53</v>
      </c>
      <c r="J154">
        <v>75.53</v>
      </c>
      <c r="K154">
        <v>75.53</v>
      </c>
      <c r="L154">
        <v>0</v>
      </c>
      <c r="M154" t="str">
        <v>Spain</v>
      </c>
      <c r="N154" t="str">
        <v>Retail</v>
      </c>
    </row>
    <row r="155" spans="1:14" x14ac:dyDescent="0.3">
      <c r="A155">
        <v>2024004896</v>
      </c>
      <c r="B155">
        <v>45382</v>
      </c>
      <c r="C155">
        <v>2024</v>
      </c>
      <c r="D155" t="str">
        <v>CLIENT_0026</v>
      </c>
      <c r="E155" t="str">
        <v>PROD_008</v>
      </c>
      <c r="F155" t="str">
        <v>Desk Lamp</v>
      </c>
      <c r="G155" t="str">
        <v>Furniture</v>
      </c>
      <c r="H155">
        <v>2</v>
      </c>
      <c r="I155">
        <v>81.64</v>
      </c>
      <c r="J155">
        <v>163.28</v>
      </c>
      <c r="K155">
        <v>163.28</v>
      </c>
      <c r="L155">
        <v>0</v>
      </c>
      <c r="M155" t="str">
        <v>Spain</v>
      </c>
      <c r="N155" t="str">
        <v>Online</v>
      </c>
    </row>
    <row r="156" spans="1:14" x14ac:dyDescent="0.3">
      <c r="A156">
        <v>2024004948</v>
      </c>
      <c r="B156">
        <v>45601</v>
      </c>
      <c r="C156">
        <v>2024</v>
      </c>
      <c r="D156" t="str">
        <v>CLIENT_0002</v>
      </c>
      <c r="E156" t="str">
        <v>PROD_006</v>
      </c>
      <c r="F156" t="str">
        <v>Monitor 27"</v>
      </c>
      <c r="G156" t="str">
        <v>Electronics</v>
      </c>
      <c r="H156">
        <v>4</v>
      </c>
      <c r="I156">
        <v>400.26</v>
      </c>
      <c r="J156">
        <v>1601.04</v>
      </c>
      <c r="K156">
        <v>1601.04</v>
      </c>
      <c r="L156">
        <v>0</v>
      </c>
      <c r="M156" t="str">
        <v>France</v>
      </c>
      <c r="N156" t="str">
        <v>Reseller</v>
      </c>
    </row>
    <row r="157" spans="1:14" x14ac:dyDescent="0.3">
      <c r="A157">
        <v>2024005137</v>
      </c>
      <c r="B157">
        <v>45362</v>
      </c>
      <c r="C157">
        <v>2024</v>
      </c>
      <c r="D157" t="str">
        <v>CLIENT_0042</v>
      </c>
      <c r="E157" t="str">
        <v>PROD_005</v>
      </c>
      <c r="F157" t="str">
        <v>Standing Desk</v>
      </c>
      <c r="G157" t="str">
        <v>Furniture</v>
      </c>
      <c r="H157">
        <v>2</v>
      </c>
      <c r="I157">
        <v>624.78</v>
      </c>
      <c r="J157">
        <v>1249.56</v>
      </c>
      <c r="K157">
        <v>1249.56</v>
      </c>
      <c r="L157">
        <v>0</v>
      </c>
      <c r="M157" t="str">
        <v>Germany</v>
      </c>
      <c r="N157" t="str">
        <v>Reseller</v>
      </c>
    </row>
    <row r="158" spans="1:14" x14ac:dyDescent="0.3">
      <c r="A158">
        <v>2024004529</v>
      </c>
      <c r="B158">
        <v>45570</v>
      </c>
      <c r="C158">
        <v>2024</v>
      </c>
      <c r="D158" t="str">
        <v>CLIENT_0046</v>
      </c>
      <c r="E158" t="str">
        <v>PROD_010</v>
      </c>
      <c r="F158" t="str">
        <v>Webcam HD</v>
      </c>
      <c r="G158" t="str">
        <v>Electronics</v>
      </c>
      <c r="H158">
        <v>2</v>
      </c>
      <c r="I158">
        <v>98.99</v>
      </c>
      <c r="J158">
        <v>197.98</v>
      </c>
      <c r="K158">
        <v>197.98</v>
      </c>
      <c r="L158">
        <v>0</v>
      </c>
      <c r="M158" t="str">
        <v>UK</v>
      </c>
      <c r="N158" t="str">
        <v>Reseller</v>
      </c>
    </row>
    <row r="159" spans="1:14" x14ac:dyDescent="0.3">
      <c r="A159">
        <v>2024003629</v>
      </c>
      <c r="B159">
        <v>45516</v>
      </c>
      <c r="C159">
        <v>2024</v>
      </c>
      <c r="D159" t="str">
        <v>CLIENT_0143</v>
      </c>
      <c r="E159" t="str">
        <v>PROD_005</v>
      </c>
      <c r="F159" t="str">
        <v>Standing Desk</v>
      </c>
      <c r="G159" t="str">
        <v>Furniture</v>
      </c>
      <c r="H159">
        <v>1</v>
      </c>
      <c r="I159">
        <v>573.05999999999995</v>
      </c>
      <c r="J159">
        <v>573.05999999999995</v>
      </c>
      <c r="K159">
        <v>573.05999999999995</v>
      </c>
      <c r="L159">
        <v>0</v>
      </c>
      <c r="M159" t="str">
        <v>Belgium</v>
      </c>
      <c r="N159" t="str">
        <v>Retail</v>
      </c>
    </row>
    <row r="160" spans="1:14" x14ac:dyDescent="0.3">
      <c r="A160">
        <v>2024005297</v>
      </c>
      <c r="B160">
        <v>45522</v>
      </c>
      <c r="C160">
        <v>2024</v>
      </c>
      <c r="D160" t="str">
        <v>CLIENT_0162</v>
      </c>
      <c r="E160" t="str">
        <v>PROD_009</v>
      </c>
      <c r="F160" t="str">
        <v>Phone Stand</v>
      </c>
      <c r="G160" t="str">
        <v>Accessories</v>
      </c>
      <c r="H160">
        <v>2</v>
      </c>
      <c r="I160">
        <v>26.01</v>
      </c>
      <c r="J160">
        <v>52.02</v>
      </c>
      <c r="K160">
        <v>52.02</v>
      </c>
      <c r="L160">
        <v>0</v>
      </c>
      <c r="M160" t="str">
        <v>Sweden</v>
      </c>
      <c r="N160" t="str">
        <v>Online</v>
      </c>
    </row>
    <row r="161" spans="1:14" x14ac:dyDescent="0.3">
      <c r="A161">
        <v>2024005137</v>
      </c>
      <c r="B161">
        <v>45421</v>
      </c>
      <c r="C161">
        <v>2024</v>
      </c>
      <c r="D161" t="str">
        <v>CLIENT_0028</v>
      </c>
      <c r="E161" t="str">
        <v>PROD_009</v>
      </c>
      <c r="F161" t="str">
        <v>Phone Stand</v>
      </c>
      <c r="G161" t="str">
        <v>Accessories</v>
      </c>
      <c r="H161">
        <v>1</v>
      </c>
      <c r="I161">
        <v>24.41</v>
      </c>
      <c r="J161">
        <v>24.41</v>
      </c>
      <c r="K161">
        <v>24.41</v>
      </c>
      <c r="L161">
        <v>0</v>
      </c>
      <c r="M161" t="str">
        <v>France</v>
      </c>
      <c r="N161" t="str">
        <v>Retail</v>
      </c>
    </row>
    <row r="162" spans="1:14" x14ac:dyDescent="0.3">
      <c r="A162">
        <v>2024004948</v>
      </c>
      <c r="B162">
        <v>45246</v>
      </c>
      <c r="C162">
        <v>2023</v>
      </c>
      <c r="D162" t="str">
        <v>CLIENT_0184</v>
      </c>
      <c r="E162" t="str">
        <v>PROD_001</v>
      </c>
      <c r="F162" t="str">
        <v>Laptop Pro</v>
      </c>
      <c r="G162" t="str">
        <v>Electronics</v>
      </c>
      <c r="H162">
        <v>1</v>
      </c>
      <c r="I162">
        <v>1181.6099999999999</v>
      </c>
      <c r="J162">
        <v>1181.6099999999999</v>
      </c>
      <c r="K162">
        <v>1181.6099999999999</v>
      </c>
      <c r="L162">
        <v>0</v>
      </c>
      <c r="M162" t="str">
        <v>Germany</v>
      </c>
      <c r="N162" t="str">
        <v>Reseller</v>
      </c>
    </row>
    <row r="163" spans="1:14" x14ac:dyDescent="0.3">
      <c r="A163">
        <v>2024005297</v>
      </c>
      <c r="B163">
        <v>45605</v>
      </c>
      <c r="C163">
        <v>2024</v>
      </c>
      <c r="D163" t="str">
        <v>CLIENT_0233</v>
      </c>
      <c r="E163" t="str">
        <v>PROD_004</v>
      </c>
      <c r="F163" t="str">
        <v>Desk Chair</v>
      </c>
      <c r="G163" t="str">
        <v>Furniture</v>
      </c>
      <c r="H163">
        <v>3</v>
      </c>
      <c r="I163">
        <v>368.12</v>
      </c>
      <c r="J163">
        <v>1104.3599999999999</v>
      </c>
      <c r="K163">
        <v>1104.3600000000001</v>
      </c>
      <c r="L163">
        <v>0</v>
      </c>
      <c r="M163" t="str">
        <v>Switzerland</v>
      </c>
      <c r="N163" t="str">
        <v>Online</v>
      </c>
    </row>
    <row r="164" spans="1:14" x14ac:dyDescent="0.3">
      <c r="A164">
        <v>2024005532</v>
      </c>
      <c r="B164">
        <v>45237</v>
      </c>
      <c r="C164">
        <v>2023</v>
      </c>
      <c r="D164" t="str">
        <v>CLIENT_0074</v>
      </c>
      <c r="E164" t="str">
        <v>PROD_005</v>
      </c>
      <c r="F164" t="str">
        <v>Standing Desk</v>
      </c>
      <c r="G164" t="str">
        <v>Furniture</v>
      </c>
      <c r="H164">
        <v>1</v>
      </c>
      <c r="I164">
        <v>617.25</v>
      </c>
      <c r="J164">
        <v>617.25</v>
      </c>
      <c r="K164">
        <v>617.25</v>
      </c>
      <c r="L164">
        <v>0</v>
      </c>
      <c r="M164" t="str">
        <v>Italy</v>
      </c>
      <c r="N164" t="str">
        <v>B2B</v>
      </c>
    </row>
    <row r="165" spans="1:14" x14ac:dyDescent="0.3">
      <c r="A165">
        <v>2024002142</v>
      </c>
      <c r="B165">
        <v>45576</v>
      </c>
      <c r="C165">
        <v>2024</v>
      </c>
      <c r="D165" t="str">
        <v>CLIENT_0149</v>
      </c>
      <c r="E165" t="str">
        <v>PROD_009</v>
      </c>
      <c r="F165" t="str">
        <v>Phone Stand</v>
      </c>
      <c r="G165" t="str">
        <v>Accessories</v>
      </c>
      <c r="H165">
        <v>2</v>
      </c>
      <c r="I165">
        <v>25.41</v>
      </c>
      <c r="J165">
        <v>50.82</v>
      </c>
      <c r="K165">
        <v>50.82</v>
      </c>
      <c r="L165">
        <v>0</v>
      </c>
      <c r="M165" t="str">
        <v>Belgium</v>
      </c>
      <c r="N165" t="str">
        <v>Retail</v>
      </c>
    </row>
    <row r="166" spans="1:14" x14ac:dyDescent="0.3">
      <c r="A166">
        <v>2024004844</v>
      </c>
      <c r="B166">
        <v>45657</v>
      </c>
      <c r="C166">
        <v>2024</v>
      </c>
      <c r="D166" t="str">
        <v>CLIENT_0135</v>
      </c>
      <c r="E166" t="str">
        <v>PROD_002</v>
      </c>
      <c r="F166" t="str">
        <v>Wireless Mouse</v>
      </c>
      <c r="G166" t="str">
        <v>Electronics</v>
      </c>
      <c r="H166">
        <v>1</v>
      </c>
      <c r="I166">
        <v>45</v>
      </c>
      <c r="J166">
        <v>45</v>
      </c>
      <c r="K166">
        <v>45</v>
      </c>
      <c r="L166">
        <v>0</v>
      </c>
      <c r="M166" t="str">
        <v>France</v>
      </c>
      <c r="N166" t="str">
        <v>Retail</v>
      </c>
    </row>
    <row r="167" spans="1:14" x14ac:dyDescent="0.3">
      <c r="A167">
        <v>2024001446</v>
      </c>
      <c r="B167">
        <v>45438</v>
      </c>
      <c r="C167">
        <v>2024</v>
      </c>
      <c r="D167" t="str">
        <v>CLIENT_0282</v>
      </c>
      <c r="E167" t="str">
        <v>PROD_003</v>
      </c>
      <c r="F167" t="str">
        <v>USB-C Cable</v>
      </c>
      <c r="G167" t="str">
        <v>Electronics</v>
      </c>
      <c r="H167">
        <v>2</v>
      </c>
      <c r="I167">
        <v>15.73</v>
      </c>
      <c r="J167">
        <v>31.46</v>
      </c>
      <c r="K167">
        <v>31.46</v>
      </c>
      <c r="L167">
        <v>0</v>
      </c>
      <c r="M167" t="str">
        <v>Sweden</v>
      </c>
      <c r="N167" t="str">
        <v>Online</v>
      </c>
    </row>
    <row r="168" spans="1:14" x14ac:dyDescent="0.3">
      <c r="A168">
        <v>2024005532</v>
      </c>
      <c r="B168">
        <v>45473</v>
      </c>
      <c r="C168">
        <v>2024</v>
      </c>
      <c r="D168" t="str">
        <v>CLIENT_0141</v>
      </c>
      <c r="E168" t="str">
        <v>PROD_003</v>
      </c>
      <c r="F168" t="str">
        <v>USB-C Cable</v>
      </c>
      <c r="G168" t="str">
        <v>Electronics</v>
      </c>
      <c r="H168">
        <v>3</v>
      </c>
      <c r="I168">
        <v>14.17</v>
      </c>
      <c r="J168">
        <v>42.51</v>
      </c>
      <c r="K168">
        <v>42.51</v>
      </c>
      <c r="L168">
        <v>0</v>
      </c>
      <c r="M168" t="str">
        <v>Germany</v>
      </c>
      <c r="N168" t="str">
        <v>Retail</v>
      </c>
    </row>
    <row r="169" spans="1:14" x14ac:dyDescent="0.3">
      <c r="A169">
        <v>2024004896</v>
      </c>
      <c r="B169">
        <v>45654</v>
      </c>
      <c r="C169">
        <v>2024</v>
      </c>
      <c r="D169" t="str">
        <v>CLIENT_0149</v>
      </c>
      <c r="E169" t="str">
        <v>PROD_007</v>
      </c>
      <c r="F169" t="str">
        <v>Keyboard Mechanical</v>
      </c>
      <c r="G169" t="str">
        <v>Electronics</v>
      </c>
      <c r="H169">
        <v>2</v>
      </c>
      <c r="I169">
        <v>121.8</v>
      </c>
      <c r="J169">
        <v>243.6</v>
      </c>
      <c r="K169">
        <v>243.6</v>
      </c>
      <c r="L169">
        <v>0</v>
      </c>
      <c r="M169" t="str">
        <v>France</v>
      </c>
      <c r="N169" t="str">
        <v>B2B</v>
      </c>
    </row>
    <row r="170" spans="1:14" x14ac:dyDescent="0.3">
      <c r="A170">
        <v>2024003299</v>
      </c>
      <c r="B170">
        <v>45551</v>
      </c>
      <c r="C170">
        <v>2024</v>
      </c>
      <c r="D170" t="str">
        <v>CLIENT_0019</v>
      </c>
      <c r="E170" t="str">
        <v>PROD_009</v>
      </c>
      <c r="F170" t="str">
        <v>Phone Stand</v>
      </c>
      <c r="G170" t="str">
        <v>Accessories</v>
      </c>
      <c r="H170">
        <v>1</v>
      </c>
      <c r="I170">
        <v>25.15</v>
      </c>
      <c r="J170">
        <v>25.15</v>
      </c>
      <c r="K170">
        <v>25.15</v>
      </c>
      <c r="L170">
        <v>0</v>
      </c>
      <c r="M170" t="str">
        <v>Spain</v>
      </c>
      <c r="N170" t="str">
        <v>Retail</v>
      </c>
    </row>
    <row r="171" spans="1:14" x14ac:dyDescent="0.3">
      <c r="A171">
        <v>2024001987</v>
      </c>
      <c r="B171">
        <v>45510</v>
      </c>
      <c r="C171">
        <v>2024</v>
      </c>
      <c r="D171" t="str">
        <v>CLIENT_0042</v>
      </c>
      <c r="E171" t="str">
        <v>PROD_007</v>
      </c>
      <c r="F171" t="str">
        <v>Keyboard Mechanical</v>
      </c>
      <c r="G171" t="str">
        <v>Electronics</v>
      </c>
      <c r="H171">
        <v>1</v>
      </c>
      <c r="I171">
        <v>114.75</v>
      </c>
      <c r="J171">
        <v>114.75</v>
      </c>
      <c r="K171">
        <v>114.75</v>
      </c>
      <c r="L171">
        <v>0</v>
      </c>
      <c r="M171" t="str">
        <v>Germany</v>
      </c>
      <c r="N171" t="str">
        <v>B2B</v>
      </c>
    </row>
    <row r="172" spans="1:14" x14ac:dyDescent="0.3">
      <c r="A172">
        <v>2024002647</v>
      </c>
      <c r="B172">
        <v>45297</v>
      </c>
      <c r="C172">
        <v>2024</v>
      </c>
      <c r="D172" t="str">
        <v>CLIENT_0193</v>
      </c>
      <c r="E172" t="str">
        <v>PROD_009</v>
      </c>
      <c r="F172" t="str">
        <v>Phone Stand</v>
      </c>
      <c r="G172" t="str">
        <v>Accessories</v>
      </c>
      <c r="H172">
        <v>1</v>
      </c>
      <c r="I172">
        <v>23.2</v>
      </c>
      <c r="J172">
        <v>23.2</v>
      </c>
      <c r="K172">
        <v>23.2</v>
      </c>
      <c r="L172">
        <v>0</v>
      </c>
      <c r="M172" t="str">
        <v>France</v>
      </c>
      <c r="N172" t="str">
        <v>Retail</v>
      </c>
    </row>
    <row r="176" spans="1:14" ht="15.6" x14ac:dyDescent="0.3">
      <c r="A176" s="23" t="s">
        <v>404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</row>
    <row r="179" spans="1:14" x14ac:dyDescent="0.3">
      <c r="A179" s="10" t="s">
        <v>0</v>
      </c>
      <c r="B179" s="10" t="s">
        <v>1</v>
      </c>
      <c r="C179" s="10" t="s">
        <v>377</v>
      </c>
      <c r="D179" s="10" t="s">
        <v>2</v>
      </c>
      <c r="E179" s="10" t="s">
        <v>3</v>
      </c>
      <c r="F179" s="10" t="s">
        <v>4</v>
      </c>
      <c r="G179" s="10" t="s">
        <v>5</v>
      </c>
      <c r="H179" s="10" t="s">
        <v>6</v>
      </c>
      <c r="I179" s="10" t="s">
        <v>7</v>
      </c>
      <c r="J179" s="10" t="s">
        <v>8</v>
      </c>
      <c r="K179" s="10" t="s">
        <v>378</v>
      </c>
      <c r="L179" s="10" t="s">
        <v>379</v>
      </c>
      <c r="M179" s="10" t="s">
        <v>9</v>
      </c>
      <c r="N179" s="10" t="s">
        <v>10</v>
      </c>
    </row>
    <row r="180" spans="1:14" x14ac:dyDescent="0.3">
      <c r="A180" cm="1">
        <f t="array" ref="A180:N194">_xlfn._xlws.FILTER(Raw_Data!A2:N5001, Raw_Data!C2:C5001 = 2023)</f>
        <v>2024001426</v>
      </c>
      <c r="B180">
        <v>45282</v>
      </c>
      <c r="C180">
        <v>2023</v>
      </c>
      <c r="D180" t="str">
        <v>CLIENT_0070</v>
      </c>
      <c r="E180" t="str">
        <v>PROD_001</v>
      </c>
      <c r="F180" t="str">
        <v>Laptop Pro</v>
      </c>
      <c r="G180" t="str">
        <v>Electronics</v>
      </c>
      <c r="H180">
        <v>4</v>
      </c>
      <c r="I180">
        <v>1145.44</v>
      </c>
      <c r="J180">
        <v>4581.76</v>
      </c>
      <c r="K180">
        <v>4581.76</v>
      </c>
      <c r="L180">
        <v>0</v>
      </c>
      <c r="M180" t="str">
        <v>Netherlands</v>
      </c>
      <c r="N180" t="str">
        <v>B2B</v>
      </c>
    </row>
    <row r="181" spans="1:14" x14ac:dyDescent="0.3">
      <c r="A181">
        <v>2024002568</v>
      </c>
      <c r="B181">
        <v>45277</v>
      </c>
      <c r="C181">
        <v>2023</v>
      </c>
      <c r="D181" t="str">
        <v>CLIENT_0141</v>
      </c>
      <c r="E181" t="str">
        <v>PROD_007</v>
      </c>
      <c r="F181" t="str">
        <v>Keyboard Mechanical</v>
      </c>
      <c r="G181" t="str">
        <v>Electronics</v>
      </c>
      <c r="H181">
        <v>2</v>
      </c>
      <c r="I181">
        <v>123.95</v>
      </c>
      <c r="J181">
        <v>247.9</v>
      </c>
      <c r="K181">
        <v>247.9</v>
      </c>
      <c r="L181">
        <v>0</v>
      </c>
      <c r="M181" t="str">
        <v>Sweden</v>
      </c>
      <c r="N181" t="str">
        <v>Online</v>
      </c>
    </row>
    <row r="182" spans="1:14" x14ac:dyDescent="0.3">
      <c r="A182">
        <v>2024003427</v>
      </c>
      <c r="B182">
        <v>45290</v>
      </c>
      <c r="C182">
        <v>2023</v>
      </c>
      <c r="D182" t="str">
        <v>CLIENT_0135</v>
      </c>
      <c r="E182" t="str">
        <v>PROD_006</v>
      </c>
      <c r="F182" t="str">
        <v>Monitor 27"</v>
      </c>
      <c r="G182" t="str">
        <v>Electronics</v>
      </c>
      <c r="H182">
        <v>1</v>
      </c>
      <c r="I182">
        <v>399.34</v>
      </c>
      <c r="J182">
        <v>399.34</v>
      </c>
      <c r="K182">
        <v>399.34</v>
      </c>
      <c r="L182">
        <v>0</v>
      </c>
      <c r="M182" t="str">
        <v>UK</v>
      </c>
      <c r="N182" t="str">
        <v>Reseller</v>
      </c>
    </row>
    <row r="183" spans="1:14" x14ac:dyDescent="0.3">
      <c r="A183">
        <v>2024003446</v>
      </c>
      <c r="B183">
        <v>45247</v>
      </c>
      <c r="C183">
        <v>2023</v>
      </c>
      <c r="D183" t="str">
        <v>CLIENT_0042</v>
      </c>
      <c r="E183" t="str">
        <v>PROD_004</v>
      </c>
      <c r="F183" t="str">
        <v>Desk Chair</v>
      </c>
      <c r="G183" t="str">
        <v>Furniture</v>
      </c>
      <c r="H183">
        <v>1</v>
      </c>
      <c r="I183">
        <v>343.67</v>
      </c>
      <c r="J183">
        <v>343.67</v>
      </c>
      <c r="K183">
        <v>343.67</v>
      </c>
      <c r="L183">
        <v>0</v>
      </c>
      <c r="M183" t="str">
        <v>Germany</v>
      </c>
      <c r="N183" t="str">
        <v>B2B</v>
      </c>
    </row>
    <row r="184" spans="1:14" x14ac:dyDescent="0.3">
      <c r="A184">
        <v>2024003610</v>
      </c>
      <c r="B184">
        <v>45240</v>
      </c>
      <c r="C184">
        <v>2023</v>
      </c>
      <c r="D184" t="str">
        <v>CLIENT_0042</v>
      </c>
      <c r="E184" t="str">
        <v>PROD_002</v>
      </c>
      <c r="F184" t="str">
        <v>Wireless Mouse</v>
      </c>
      <c r="G184" t="str">
        <v>Electronics</v>
      </c>
      <c r="H184">
        <v>1</v>
      </c>
      <c r="I184">
        <v>46.15</v>
      </c>
      <c r="J184">
        <v>46.15</v>
      </c>
      <c r="K184">
        <v>46.15</v>
      </c>
      <c r="L184">
        <v>0</v>
      </c>
      <c r="M184" t="str">
        <v>Sweden</v>
      </c>
      <c r="N184" t="str">
        <v>Online</v>
      </c>
    </row>
    <row r="185" spans="1:14" x14ac:dyDescent="0.3">
      <c r="A185">
        <v>2024004267</v>
      </c>
      <c r="B185">
        <v>45269</v>
      </c>
      <c r="C185">
        <v>2023</v>
      </c>
      <c r="D185" t="str">
        <v>CLIENT_0132</v>
      </c>
      <c r="E185" t="str">
        <v>PROD_010</v>
      </c>
      <c r="F185" t="str">
        <v>Webcam HD</v>
      </c>
      <c r="G185" t="str">
        <v>Electronics</v>
      </c>
      <c r="H185">
        <v>1</v>
      </c>
      <c r="I185">
        <v>89.94</v>
      </c>
      <c r="J185">
        <v>89.94</v>
      </c>
      <c r="K185">
        <v>89.94</v>
      </c>
      <c r="L185">
        <v>0</v>
      </c>
      <c r="M185" t="str">
        <v>Sweden</v>
      </c>
      <c r="N185" t="str">
        <v>Retail</v>
      </c>
    </row>
    <row r="186" spans="1:14" x14ac:dyDescent="0.3">
      <c r="A186">
        <v>2024004581</v>
      </c>
      <c r="B186">
        <v>45271</v>
      </c>
      <c r="C186">
        <v>2023</v>
      </c>
      <c r="D186" t="str">
        <v>CLIENT_0077</v>
      </c>
      <c r="E186" t="str">
        <v>PROD_001</v>
      </c>
      <c r="F186" t="str">
        <v>Laptop Pro</v>
      </c>
      <c r="G186" t="str">
        <v>Electronics</v>
      </c>
      <c r="H186">
        <v>2</v>
      </c>
      <c r="I186">
        <v>1234.17</v>
      </c>
      <c r="J186">
        <v>2468.34</v>
      </c>
      <c r="K186">
        <v>2468.34</v>
      </c>
      <c r="L186">
        <v>0</v>
      </c>
      <c r="M186" t="str">
        <v>France</v>
      </c>
      <c r="N186" t="str">
        <v>Online</v>
      </c>
    </row>
    <row r="187" spans="1:14" x14ac:dyDescent="0.3">
      <c r="A187">
        <v>2024004860</v>
      </c>
      <c r="B187">
        <v>45236</v>
      </c>
      <c r="C187">
        <v>2023</v>
      </c>
      <c r="D187" t="str">
        <v>CLIENT_0275</v>
      </c>
      <c r="E187" t="str">
        <v>PROD_003</v>
      </c>
      <c r="F187" t="str">
        <v>USB-C Cable</v>
      </c>
      <c r="G187" t="str">
        <v>Electronics</v>
      </c>
      <c r="H187">
        <v>1</v>
      </c>
      <c r="I187">
        <v>15.05</v>
      </c>
      <c r="J187">
        <v>15.05</v>
      </c>
      <c r="K187">
        <v>15.05</v>
      </c>
      <c r="L187">
        <v>0</v>
      </c>
      <c r="M187" t="str">
        <v>UK</v>
      </c>
      <c r="N187" t="str">
        <v>Reseller</v>
      </c>
    </row>
    <row r="188" spans="1:14" x14ac:dyDescent="0.3">
      <c r="A188">
        <v>2024004948</v>
      </c>
      <c r="B188">
        <v>45246</v>
      </c>
      <c r="C188">
        <v>2023</v>
      </c>
      <c r="D188" t="str">
        <v>CLIENT_0184</v>
      </c>
      <c r="E188" t="str">
        <v>PROD_001</v>
      </c>
      <c r="F188" t="str">
        <v>Laptop Pro</v>
      </c>
      <c r="G188" t="str">
        <v>Electronics</v>
      </c>
      <c r="H188">
        <v>1</v>
      </c>
      <c r="I188">
        <v>1181.6099999999999</v>
      </c>
      <c r="J188">
        <v>1181.6099999999999</v>
      </c>
      <c r="K188">
        <v>1181.6099999999999</v>
      </c>
      <c r="L188">
        <v>0</v>
      </c>
      <c r="M188" t="str">
        <v>Germany</v>
      </c>
      <c r="N188" t="str">
        <v>Reseller</v>
      </c>
    </row>
    <row r="189" spans="1:14" x14ac:dyDescent="0.3">
      <c r="A189">
        <v>2024005532</v>
      </c>
      <c r="B189">
        <v>45237</v>
      </c>
      <c r="C189">
        <v>2023</v>
      </c>
      <c r="D189" t="str">
        <v>CLIENT_0074</v>
      </c>
      <c r="E189" t="str">
        <v>PROD_005</v>
      </c>
      <c r="F189" t="str">
        <v>Standing Desk</v>
      </c>
      <c r="G189" t="str">
        <v>Furniture</v>
      </c>
      <c r="H189">
        <v>1</v>
      </c>
      <c r="I189">
        <v>617.25</v>
      </c>
      <c r="J189">
        <v>617.25</v>
      </c>
      <c r="K189">
        <v>617.25</v>
      </c>
      <c r="L189">
        <v>0</v>
      </c>
      <c r="M189" t="str">
        <v>Italy</v>
      </c>
      <c r="N189" t="str">
        <v>B2B</v>
      </c>
    </row>
    <row r="190" spans="1:14" x14ac:dyDescent="0.3">
      <c r="A190">
        <v>2024005674</v>
      </c>
      <c r="B190">
        <v>45243</v>
      </c>
      <c r="C190">
        <v>2023</v>
      </c>
      <c r="D190" t="str">
        <v>CLIENT_0088</v>
      </c>
      <c r="E190" t="str">
        <v>PROD_001</v>
      </c>
      <c r="F190" t="str">
        <v>Laptop Pro</v>
      </c>
      <c r="G190" t="str">
        <v>Electronics</v>
      </c>
      <c r="H190">
        <v>2</v>
      </c>
      <c r="I190">
        <v>1168.8699999999999</v>
      </c>
      <c r="J190">
        <v>2337.7399999999998</v>
      </c>
      <c r="K190">
        <v>2337.7399999999998</v>
      </c>
      <c r="L190">
        <v>0</v>
      </c>
      <c r="M190" t="str">
        <v>Austria</v>
      </c>
      <c r="N190" t="str">
        <v>Retail</v>
      </c>
    </row>
    <row r="191" spans="1:14" x14ac:dyDescent="0.3">
      <c r="A191">
        <v>2024005701</v>
      </c>
      <c r="B191">
        <v>45235</v>
      </c>
      <c r="C191">
        <v>2023</v>
      </c>
      <c r="D191" t="str">
        <v>CLIENT_0172</v>
      </c>
      <c r="E191" t="str">
        <v>PROD_004</v>
      </c>
      <c r="F191" t="str">
        <v>Desk Chair</v>
      </c>
      <c r="G191" t="str">
        <v>Furniture</v>
      </c>
      <c r="H191">
        <v>1</v>
      </c>
      <c r="I191">
        <v>316.76</v>
      </c>
      <c r="J191">
        <v>316.76</v>
      </c>
      <c r="K191">
        <v>316.76</v>
      </c>
      <c r="L191">
        <v>0</v>
      </c>
      <c r="M191" t="str">
        <v>France</v>
      </c>
      <c r="N191" t="str">
        <v>B2B</v>
      </c>
    </row>
    <row r="192" spans="1:14" x14ac:dyDescent="0.3">
      <c r="A192">
        <v>2024005872</v>
      </c>
      <c r="B192">
        <v>45291</v>
      </c>
      <c r="C192">
        <v>2023</v>
      </c>
      <c r="D192" t="str">
        <v>CLIENT_0082</v>
      </c>
      <c r="E192" t="str">
        <v>PROD_004</v>
      </c>
      <c r="F192" t="str">
        <v>Desk Chair</v>
      </c>
      <c r="G192" t="str">
        <v>Furniture</v>
      </c>
      <c r="H192">
        <v>2</v>
      </c>
      <c r="I192">
        <v>375.11</v>
      </c>
      <c r="J192">
        <v>750.22</v>
      </c>
      <c r="K192">
        <v>750.22</v>
      </c>
      <c r="L192">
        <v>0</v>
      </c>
      <c r="M192" t="str">
        <v>Germany</v>
      </c>
      <c r="N192" t="str">
        <v>Online</v>
      </c>
    </row>
    <row r="193" spans="1:14" x14ac:dyDescent="0.3">
      <c r="A193">
        <v>2024005954</v>
      </c>
      <c r="B193">
        <v>45279</v>
      </c>
      <c r="C193">
        <v>2023</v>
      </c>
      <c r="D193" t="str">
        <v>CLIENT_0019</v>
      </c>
      <c r="E193" t="str">
        <v>PROD_002</v>
      </c>
      <c r="F193" t="str">
        <v>Wireless Mouse</v>
      </c>
      <c r="G193" t="str">
        <v>Electronics</v>
      </c>
      <c r="H193">
        <v>1</v>
      </c>
      <c r="I193">
        <v>43.71</v>
      </c>
      <c r="J193">
        <v>43.71</v>
      </c>
      <c r="K193">
        <v>43.71</v>
      </c>
      <c r="L193">
        <v>0</v>
      </c>
      <c r="M193" t="str">
        <v>Switzerland</v>
      </c>
      <c r="N193" t="str">
        <v>Online</v>
      </c>
    </row>
    <row r="194" spans="1:14" x14ac:dyDescent="0.3">
      <c r="A194">
        <v>2024005966</v>
      </c>
      <c r="B194">
        <v>45242</v>
      </c>
      <c r="C194">
        <v>2023</v>
      </c>
      <c r="D194" t="str">
        <v>CLIENT_0194</v>
      </c>
      <c r="E194" t="str">
        <v>PROD_006</v>
      </c>
      <c r="F194" t="str">
        <v>Monitor 27"</v>
      </c>
      <c r="G194" t="str">
        <v>Electronics</v>
      </c>
      <c r="H194">
        <v>2</v>
      </c>
      <c r="I194">
        <v>376.71</v>
      </c>
      <c r="J194">
        <v>753.42</v>
      </c>
      <c r="K194">
        <v>753.42</v>
      </c>
      <c r="L194">
        <v>0</v>
      </c>
      <c r="M194" t="str">
        <v>Austria</v>
      </c>
      <c r="N194" t="str">
        <v>Reseller</v>
      </c>
    </row>
  </sheetData>
  <mergeCells count="3">
    <mergeCell ref="A28:N28"/>
    <mergeCell ref="A4:N4"/>
    <mergeCell ref="A176:N1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0623-0556-4C7E-8E73-D5CE6C822166}">
  <sheetPr>
    <tabColor rgb="FF0070C0"/>
  </sheetPr>
  <dimension ref="A2:K17"/>
  <sheetViews>
    <sheetView showGridLines="0" tabSelected="1" workbookViewId="0">
      <selection activeCell="M6" sqref="M6"/>
    </sheetView>
  </sheetViews>
  <sheetFormatPr defaultRowHeight="14.4" x14ac:dyDescent="0.3"/>
  <cols>
    <col min="1" max="1" width="12.5546875" bestFit="1" customWidth="1"/>
    <col min="2" max="2" width="23.5546875" bestFit="1" customWidth="1"/>
    <col min="5" max="5" width="12.5546875" bestFit="1" customWidth="1"/>
    <col min="6" max="6" width="23.5546875" bestFit="1" customWidth="1"/>
    <col min="9" max="9" width="12.5546875" bestFit="1" customWidth="1"/>
    <col min="10" max="10" width="23.5546875" bestFit="1" customWidth="1"/>
  </cols>
  <sheetData>
    <row r="2" spans="1:11" ht="15.6" x14ac:dyDescent="0.3">
      <c r="A2" s="24" t="s">
        <v>386</v>
      </c>
      <c r="B2" s="24"/>
      <c r="E2" s="24" t="s">
        <v>387</v>
      </c>
      <c r="F2" s="24"/>
      <c r="I2" s="25" t="s">
        <v>400</v>
      </c>
      <c r="J2" s="25"/>
      <c r="K2" s="25"/>
    </row>
    <row r="4" spans="1:11" x14ac:dyDescent="0.3">
      <c r="A4" s="16" t="s">
        <v>382</v>
      </c>
      <c r="B4" t="s">
        <v>384</v>
      </c>
      <c r="E4" s="16" t="s">
        <v>382</v>
      </c>
      <c r="F4" t="s">
        <v>384</v>
      </c>
      <c r="I4" s="16" t="s">
        <v>382</v>
      </c>
      <c r="J4" t="s">
        <v>384</v>
      </c>
    </row>
    <row r="5" spans="1:11" x14ac:dyDescent="0.3">
      <c r="A5" s="17" t="s">
        <v>11</v>
      </c>
      <c r="B5" s="3">
        <v>356670.76999999973</v>
      </c>
      <c r="E5" s="17" t="s">
        <v>390</v>
      </c>
      <c r="F5" s="3">
        <v>227899.50999999989</v>
      </c>
      <c r="I5" s="17" t="s">
        <v>21</v>
      </c>
      <c r="J5" s="3">
        <v>688300.00000000035</v>
      </c>
    </row>
    <row r="6" spans="1:11" x14ac:dyDescent="0.3">
      <c r="A6" s="17" t="s">
        <v>132</v>
      </c>
      <c r="B6" s="3">
        <v>20961.87</v>
      </c>
      <c r="E6" s="17" t="s">
        <v>391</v>
      </c>
      <c r="F6" s="3">
        <v>203052.24999999994</v>
      </c>
      <c r="I6" s="17" t="s">
        <v>26</v>
      </c>
      <c r="J6" s="3">
        <v>731925.09000000043</v>
      </c>
    </row>
    <row r="7" spans="1:11" x14ac:dyDescent="0.3">
      <c r="A7" s="17" t="s">
        <v>293</v>
      </c>
      <c r="B7" s="3">
        <v>19777.41</v>
      </c>
      <c r="E7" s="17" t="s">
        <v>392</v>
      </c>
      <c r="F7" s="3">
        <v>205217.43999999992</v>
      </c>
      <c r="I7" s="17" t="s">
        <v>32</v>
      </c>
      <c r="J7" s="3">
        <v>688107.53000000026</v>
      </c>
    </row>
    <row r="8" spans="1:11" x14ac:dyDescent="0.3">
      <c r="A8" s="17" t="s">
        <v>163</v>
      </c>
      <c r="B8" s="3">
        <v>19676.04</v>
      </c>
      <c r="E8" s="17" t="s">
        <v>393</v>
      </c>
      <c r="F8" s="3">
        <v>216220.41999999975</v>
      </c>
      <c r="I8" s="17" t="s">
        <v>16</v>
      </c>
      <c r="J8" s="3">
        <v>620426.87000000069</v>
      </c>
    </row>
    <row r="9" spans="1:11" x14ac:dyDescent="0.3">
      <c r="A9" s="17" t="s">
        <v>153</v>
      </c>
      <c r="B9" s="3">
        <v>19317.369999999995</v>
      </c>
      <c r="E9" s="17" t="s">
        <v>394</v>
      </c>
      <c r="F9" s="3">
        <v>223067.17999999982</v>
      </c>
      <c r="I9" s="17" t="s">
        <v>383</v>
      </c>
      <c r="J9" s="3">
        <v>2728759.4900000016</v>
      </c>
    </row>
    <row r="10" spans="1:11" x14ac:dyDescent="0.3">
      <c r="A10" s="17" t="s">
        <v>50</v>
      </c>
      <c r="B10" s="3">
        <v>18969.830000000002</v>
      </c>
      <c r="E10" s="17" t="s">
        <v>395</v>
      </c>
      <c r="F10" s="3">
        <v>230778.3500000003</v>
      </c>
    </row>
    <row r="11" spans="1:11" x14ac:dyDescent="0.3">
      <c r="A11" s="17" t="s">
        <v>17</v>
      </c>
      <c r="B11" s="3">
        <v>17870.169999999998</v>
      </c>
      <c r="E11" s="17" t="s">
        <v>396</v>
      </c>
      <c r="F11" s="3">
        <v>232846.36</v>
      </c>
    </row>
    <row r="12" spans="1:11" x14ac:dyDescent="0.3">
      <c r="A12" s="17" t="s">
        <v>204</v>
      </c>
      <c r="B12" s="3">
        <v>17500.29</v>
      </c>
      <c r="E12" s="17" t="s">
        <v>397</v>
      </c>
      <c r="F12" s="3">
        <v>263520.37000000005</v>
      </c>
    </row>
    <row r="13" spans="1:11" x14ac:dyDescent="0.3">
      <c r="A13" s="17" t="s">
        <v>298</v>
      </c>
      <c r="B13" s="3">
        <v>17258.25</v>
      </c>
      <c r="E13" s="17" t="s">
        <v>398</v>
      </c>
      <c r="F13" s="3">
        <v>226816.70999999982</v>
      </c>
    </row>
    <row r="14" spans="1:11" x14ac:dyDescent="0.3">
      <c r="A14" s="17" t="s">
        <v>63</v>
      </c>
      <c r="B14" s="3">
        <v>16728.23</v>
      </c>
      <c r="E14" s="17" t="s">
        <v>399</v>
      </c>
      <c r="F14" s="3">
        <v>238796.59999999998</v>
      </c>
    </row>
    <row r="15" spans="1:11" x14ac:dyDescent="0.3">
      <c r="A15" s="17" t="s">
        <v>383</v>
      </c>
      <c r="B15" s="3">
        <v>524730.22999999963</v>
      </c>
      <c r="E15" s="17" t="s">
        <v>388</v>
      </c>
      <c r="F15" s="3">
        <v>221614.56000000006</v>
      </c>
    </row>
    <row r="16" spans="1:11" x14ac:dyDescent="0.3">
      <c r="E16" s="17" t="s">
        <v>389</v>
      </c>
      <c r="F16" s="3">
        <v>238929.73999999996</v>
      </c>
    </row>
    <row r="17" spans="5:6" x14ac:dyDescent="0.3">
      <c r="E17" s="17" t="s">
        <v>383</v>
      </c>
      <c r="F17" s="3">
        <v>2728759.4899999993</v>
      </c>
    </row>
  </sheetData>
  <mergeCells count="3">
    <mergeCell ref="A2:B2"/>
    <mergeCell ref="E2:F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Insights</vt:lpstr>
      <vt:lpstr>Anomalies</vt:lpstr>
      <vt:lpstr>Pivot_Summary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ENOH</dc:creator>
  <cp:lastModifiedBy>Manuel ENOH</cp:lastModifiedBy>
  <dcterms:created xsi:type="dcterms:W3CDTF">2026-01-19T13:25:07Z</dcterms:created>
  <dcterms:modified xsi:type="dcterms:W3CDTF">2026-01-19T16:01:26Z</dcterms:modified>
</cp:coreProperties>
</file>